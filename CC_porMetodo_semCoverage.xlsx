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versidade\Downloads\"/>
    </mc:Choice>
  </mc:AlternateContent>
  <xr:revisionPtr revIDLastSave="0" documentId="8_{0E3A9576-25C3-402A-8E8B-24555FC1CDB6}" xr6:coauthVersionLast="47" xr6:coauthVersionMax="47" xr10:uidLastSave="{00000000-0000-0000-0000-000000000000}"/>
  <bookViews>
    <workbookView xWindow="-108" yWindow="-108" windowWidth="23256" windowHeight="12456" activeTab="1" xr2:uid="{F7BBC0C3-460E-46FB-B607-25A34CEF9FF2}"/>
  </bookViews>
  <sheets>
    <sheet name="Battleship2-method_2" sheetId="1" r:id="rId1"/>
    <sheet name="CC_porMetodo_semCoverage" sheetId="2" r:id="rId2"/>
  </sheets>
  <definedNames>
    <definedName name="_xlnm._FilterDatabase" localSheetId="0" hidden="1">'Battleship2-method_2'!$A$1:$U$193</definedName>
    <definedName name="_xlnm._FilterDatabase" localSheetId="1" hidden="1">CC_porMetodo_semCoverage!$A$1:$D$89</definedName>
    <definedName name="_xlnm.Criteria" localSheetId="0">'Battleship2-method_2'!$A$2:$A$193</definedName>
  </definedNames>
  <calcPr calcId="0"/>
</workbook>
</file>

<file path=xl/calcChain.xml><?xml version="1.0" encoding="utf-8"?>
<calcChain xmlns="http://schemas.openxmlformats.org/spreadsheetml/2006/main">
  <c r="B8" i="2" l="1"/>
  <c r="B49" i="2"/>
  <c r="B19" i="2"/>
  <c r="B24" i="2"/>
  <c r="B20" i="2"/>
  <c r="B25" i="2"/>
  <c r="B26" i="2"/>
  <c r="B27" i="2"/>
  <c r="B21" i="2"/>
  <c r="B56" i="2"/>
  <c r="B57" i="2"/>
  <c r="B50" i="2"/>
  <c r="B58" i="2"/>
  <c r="B59" i="2"/>
  <c r="B28" i="2"/>
  <c r="B5" i="2"/>
  <c r="B29" i="2"/>
  <c r="B30" i="2"/>
  <c r="B14" i="2"/>
  <c r="B16" i="2"/>
  <c r="B60" i="2"/>
  <c r="B61" i="2"/>
  <c r="B62" i="2"/>
  <c r="B31" i="2"/>
  <c r="B15" i="2"/>
  <c r="B63" i="2"/>
  <c r="B64" i="2"/>
  <c r="B4" i="2"/>
  <c r="B32" i="2"/>
  <c r="B65" i="2"/>
  <c r="B9" i="2"/>
  <c r="B10" i="2"/>
  <c r="B6" i="2"/>
  <c r="B7" i="2"/>
  <c r="B33" i="2"/>
  <c r="B34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2" i="2"/>
  <c r="B79" i="2"/>
  <c r="B51" i="2"/>
  <c r="B52" i="2"/>
  <c r="B11" i="2"/>
  <c r="B80" i="2"/>
  <c r="B81" i="2"/>
  <c r="B35" i="2"/>
  <c r="B22" i="2"/>
  <c r="B82" i="2"/>
  <c r="B53" i="2"/>
  <c r="B83" i="2"/>
  <c r="B84" i="2"/>
  <c r="B17" i="2"/>
  <c r="B36" i="2"/>
  <c r="B37" i="2"/>
  <c r="B54" i="2"/>
  <c r="B13" i="2"/>
  <c r="B18" i="2"/>
  <c r="B38" i="2"/>
  <c r="B39" i="2"/>
  <c r="B85" i="2"/>
  <c r="B40" i="2"/>
  <c r="B41" i="2"/>
  <c r="B42" i="2"/>
  <c r="B43" i="2"/>
  <c r="B55" i="2"/>
  <c r="B44" i="2"/>
  <c r="B86" i="2"/>
  <c r="B45" i="2"/>
  <c r="B46" i="2"/>
  <c r="B47" i="2"/>
  <c r="B23" i="2"/>
  <c r="B3" i="2"/>
  <c r="B87" i="2"/>
  <c r="B12" i="2"/>
  <c r="B88" i="2"/>
  <c r="B89" i="2"/>
  <c r="B48" i="2"/>
  <c r="A8" i="2"/>
  <c r="A49" i="2"/>
  <c r="A19" i="2"/>
  <c r="A24" i="2"/>
  <c r="A20" i="2"/>
  <c r="A25" i="2"/>
  <c r="A26" i="2"/>
  <c r="A27" i="2"/>
  <c r="A21" i="2"/>
  <c r="A56" i="2"/>
  <c r="A57" i="2"/>
  <c r="A50" i="2"/>
  <c r="A58" i="2"/>
  <c r="A59" i="2"/>
  <c r="A28" i="2"/>
  <c r="A5" i="2"/>
  <c r="A29" i="2"/>
  <c r="A30" i="2"/>
  <c r="A14" i="2"/>
  <c r="A16" i="2"/>
  <c r="A60" i="2"/>
  <c r="A61" i="2"/>
  <c r="A62" i="2"/>
  <c r="A31" i="2"/>
  <c r="A15" i="2"/>
  <c r="A63" i="2"/>
  <c r="A64" i="2"/>
  <c r="A4" i="2"/>
  <c r="A32" i="2"/>
  <c r="A65" i="2"/>
  <c r="A9" i="2"/>
  <c r="A10" i="2"/>
  <c r="A6" i="2"/>
  <c r="A7" i="2"/>
  <c r="A33" i="2"/>
  <c r="A34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2" i="2"/>
  <c r="A79" i="2"/>
  <c r="A51" i="2"/>
  <c r="A52" i="2"/>
  <c r="A11" i="2"/>
  <c r="A80" i="2"/>
  <c r="A81" i="2"/>
  <c r="A35" i="2"/>
  <c r="A22" i="2"/>
  <c r="A82" i="2"/>
  <c r="A53" i="2"/>
  <c r="A83" i="2"/>
  <c r="A84" i="2"/>
  <c r="A17" i="2"/>
  <c r="A36" i="2"/>
  <c r="A37" i="2"/>
  <c r="A54" i="2"/>
  <c r="A13" i="2"/>
  <c r="A18" i="2"/>
  <c r="A38" i="2"/>
  <c r="A39" i="2"/>
  <c r="A85" i="2"/>
  <c r="A40" i="2"/>
  <c r="A41" i="2"/>
  <c r="A42" i="2"/>
  <c r="A43" i="2"/>
  <c r="A55" i="2"/>
  <c r="A44" i="2"/>
  <c r="A86" i="2"/>
  <c r="A45" i="2"/>
  <c r="A46" i="2"/>
  <c r="A47" i="2"/>
  <c r="A23" i="2"/>
  <c r="A3" i="2"/>
  <c r="A87" i="2"/>
  <c r="A12" i="2"/>
  <c r="A88" i="2"/>
  <c r="A89" i="2"/>
  <c r="A48" i="2"/>
</calcChain>
</file>

<file path=xl/sharedStrings.xml><?xml version="1.0" encoding="utf-8"?>
<sst xmlns="http://schemas.openxmlformats.org/spreadsheetml/2006/main" count="507" uniqueCount="219">
  <si>
    <t>Method Name</t>
  </si>
  <si>
    <t>CC</t>
  </si>
  <si>
    <t>CCM</t>
  </si>
  <si>
    <t>CDISP</t>
  </si>
  <si>
    <t>CINT</t>
  </si>
  <si>
    <t>CND</t>
  </si>
  <si>
    <t>FDP</t>
  </si>
  <si>
    <t>HD</t>
  </si>
  <si>
    <t>HEF</t>
  </si>
  <si>
    <t>HER</t>
  </si>
  <si>
    <t>HL</t>
  </si>
  <si>
    <t>HVC</t>
  </si>
  <si>
    <t>HVL</t>
  </si>
  <si>
    <t>LAA</t>
  </si>
  <si>
    <t>LND</t>
  </si>
  <si>
    <t>LOC</t>
  </si>
  <si>
    <t>MMI</t>
  </si>
  <si>
    <t>MND</t>
  </si>
  <si>
    <t>NOAV</t>
  </si>
  <si>
    <t>NOL</t>
  </si>
  <si>
    <t>NOPM</t>
  </si>
  <si>
    <t>battleship.Barge.Barge(Compass, IPosition)</t>
  </si>
  <si>
    <t>battleship.BoardWindow.close()</t>
  </si>
  <si>
    <t>battleship.BoardWindow.createBoardPanel(char[][], List&lt;IPosition&gt;)</t>
  </si>
  <si>
    <t>battleship.BoardWindow.show(char[][], char[][], List&lt;IPosition&gt;, List&lt;IPosition&gt;)</t>
  </si>
  <si>
    <t>battleship.Caravel.Caravel(Compass, IPosition)</t>
  </si>
  <si>
    <t>battleship.Carrack.Carrack(Compass, IPosition)</t>
  </si>
  <si>
    <t>battleship.Compass.Compass(char)</t>
  </si>
  <si>
    <t>battleship.Compass.charToCompass(char)</t>
  </si>
  <si>
    <t>battleship.Compass.getDirection()</t>
  </si>
  <si>
    <t>battleship.Compass.randomBearing()</t>
  </si>
  <si>
    <t>battleship.Compass.toString()</t>
  </si>
  <si>
    <t>battleship.Compass.valueOf(String)</t>
  </si>
  <si>
    <t>NaN</t>
  </si>
  <si>
    <t>battleship.Compass.values()</t>
  </si>
  <si>
    <t>battleship.Fleet.Fleet()</t>
  </si>
  <si>
    <t>battleship.Fleet.addShip(IShip)</t>
  </si>
  <si>
    <t>battleship.Fleet.colisionRisk(IShip)</t>
  </si>
  <si>
    <t>battleship.Fleet.createRandom()</t>
  </si>
  <si>
    <t>battleship.Fleet.getFloatingShips()</t>
  </si>
  <si>
    <t>battleship.Fleet.getShips()</t>
  </si>
  <si>
    <t>battleship.Fleet.getShipsLike(String)</t>
  </si>
  <si>
    <t>battleship.Fleet.getSunkShips()</t>
  </si>
  <si>
    <t>battleship.Fleet.isInsideBoard(IShip)</t>
  </si>
  <si>
    <t>battleship.Fleet.printAllShips()</t>
  </si>
  <si>
    <t>battleship.Fleet.printFloatingShips()</t>
  </si>
  <si>
    <t>battleship.Fleet.printShips(List&lt;IShip&gt;)</t>
  </si>
  <si>
    <t>battleship.Fleet.printShipsByCategory(String)</t>
  </si>
  <si>
    <t>battleship.Fleet.printStatus()</t>
  </si>
  <si>
    <t>battleship.Fleet.shipAt(IPosition)</t>
  </si>
  <si>
    <t>battleship.Frigate.Frigate(Compass, IPosition)</t>
  </si>
  <si>
    <t>battleship.Galleon.Galleon(Compass, IPosition)</t>
  </si>
  <si>
    <t>battleship.Galleon.fillEast(IPosition)</t>
  </si>
  <si>
    <t>battleship.Galleon.fillNorth(IPosition)</t>
  </si>
  <si>
    <t>battleship.Galleon.fillSouth(IPosition)</t>
  </si>
  <si>
    <t>battleship.Galleon.fillWest(IPosition)</t>
  </si>
  <si>
    <t>battleship.Game.Game(IFleet)</t>
  </si>
  <si>
    <t>battleship.Game.buildMap(IFleet, List&lt;IMove&gt;, boolean, boolean)</t>
  </si>
  <si>
    <t>battleship.Game.fireShots(List&lt;IPosition&gt;)</t>
  </si>
  <si>
    <t>battleship.Game.fireShotsAtAlien(List&lt;IPosition&gt;)</t>
  </si>
  <si>
    <t>battleship.Game.fireSingleShot(IPosition, boolean)</t>
  </si>
  <si>
    <t>battleship.Game.fireSingleShotAtAlien(IPosition, boolean)</t>
  </si>
  <si>
    <t>battleship.Game.getAlienFleet()</t>
  </si>
  <si>
    <t>battleship.Game.getAlienMoves()</t>
  </si>
  <si>
    <t>battleship.Game.getHits()</t>
  </si>
  <si>
    <t>battleship.Game.getInvalidShots()</t>
  </si>
  <si>
    <t>battleship.Game.getMyFleet()</t>
  </si>
  <si>
    <t>battleship.Game.getMyMoves()</t>
  </si>
  <si>
    <t>battleship.Game.getRemainingShips()</t>
  </si>
  <si>
    <t>battleship.Game.getRepeatedShots()</t>
  </si>
  <si>
    <t>battleship.Game.getSunkShips()</t>
  </si>
  <si>
    <t>battleship.Game.jsonShots(List&lt;IPosition&gt;)</t>
  </si>
  <si>
    <t>battleship.Game.jsonToShots(String)</t>
  </si>
  <si>
    <t>battleship.Game.over()</t>
  </si>
  <si>
    <t>battleship.Game.printAlienBoard(boolean, boolean)</t>
  </si>
  <si>
    <t>battleship.Game.printBoard(IFleet, List&lt;IMove&gt;, boolean, boolean)</t>
  </si>
  <si>
    <t>battleship.Game.printBothBoards(boolean)</t>
  </si>
  <si>
    <t>battleship.Game.printMyBoard(boolean, boolean)</t>
  </si>
  <si>
    <t>battleship.Game.randomEnemyFire()</t>
  </si>
  <si>
    <t>battleship.Game.randomPlayerFire()</t>
  </si>
  <si>
    <t>battleship.Game.readAlienFire(Scanner)</t>
  </si>
  <si>
    <t>battleship.Game.readEnemyFire(Scanner)</t>
  </si>
  <si>
    <t>battleship.Game.repeatedShot(IPosition)</t>
  </si>
  <si>
    <t>battleship.Game.repeatedShotAtAlien(IPosition)</t>
  </si>
  <si>
    <t>battleship.GameResult.GameResult()</t>
  </si>
  <si>
    <t>âˆž</t>
  </si>
  <si>
    <t>battleship.GameResult.GameResult(String, int, boolean)</t>
  </si>
  <si>
    <t>battleship.GameResult.getDate()</t>
  </si>
  <si>
    <t>battleship.GameResult.getPlayerName()</t>
  </si>
  <si>
    <t>battleship.GameResult.getTotalMoves()</t>
  </si>
  <si>
    <t>battleship.GameResult.isPlayerWon()</t>
  </si>
  <si>
    <t>battleship.GameResult.setDate(LocalDateTime)</t>
  </si>
  <si>
    <t>battleship.GameResult.setPlayerName(String)</t>
  </si>
  <si>
    <t>battleship.GameResult.setPlayerWon(boolean)</t>
  </si>
  <si>
    <t>battleship.GameResult.setTotalMoves(int)</t>
  </si>
  <si>
    <t>battleship.IFleet.addShip(IShip)</t>
  </si>
  <si>
    <t>N/A</t>
  </si>
  <si>
    <t>battleship.IFleet.getFloatingShips()</t>
  </si>
  <si>
    <t>battleship.IFleet.getShips()</t>
  </si>
  <si>
    <t>battleship.IFleet.getShipsLike(String)</t>
  </si>
  <si>
    <t>battleship.IFleet.getSunkShips()</t>
  </si>
  <si>
    <t>battleship.IFleet.printStatus()</t>
  </si>
  <si>
    <t>battleship.IFleet.shipAt(IPosition)</t>
  </si>
  <si>
    <t>battleship.IGame.fireShots(List&lt;IPosition&gt;)</t>
  </si>
  <si>
    <t>battleship.IGame.fireSingleShot(IPosition, boolean)</t>
  </si>
  <si>
    <t>battleship.IGame.getAlienFleet()</t>
  </si>
  <si>
    <t>battleship.IGame.getAlienMoves()</t>
  </si>
  <si>
    <t>battleship.IGame.getHits()</t>
  </si>
  <si>
    <t>battleship.IGame.getInvalidShots()</t>
  </si>
  <si>
    <t>battleship.IGame.getMyFleet()</t>
  </si>
  <si>
    <t>battleship.IGame.getMyMoves()</t>
  </si>
  <si>
    <t>battleship.IGame.getRemainingShips()</t>
  </si>
  <si>
    <t>battleship.IGame.getRepeatedShots()</t>
  </si>
  <si>
    <t>battleship.IGame.getSunkShips()</t>
  </si>
  <si>
    <t>battleship.IGame.over()</t>
  </si>
  <si>
    <t>battleship.IGame.printAlienBoard(boolean, boolean)</t>
  </si>
  <si>
    <t>battleship.IGame.printMyBoard(boolean, boolean)</t>
  </si>
  <si>
    <t>battleship.IGame.randomEnemyFire()</t>
  </si>
  <si>
    <t>battleship.IGame.readEnemyFire(Scanner)</t>
  </si>
  <si>
    <t>battleship.IGame.ShotResult.ShotResult(boolean, boolean, IShip, boolean)</t>
  </si>
  <si>
    <t>battleship.IGame.ShotResult.repeated()</t>
  </si>
  <si>
    <t>battleship.IGame.ShotResult.ship()</t>
  </si>
  <si>
    <t>battleship.IGame.ShotResult.sunk()</t>
  </si>
  <si>
    <t>battleship.IGame.ShotResult.valid()</t>
  </si>
  <si>
    <t>battleship.IMove.getNumber()</t>
  </si>
  <si>
    <t>battleship.IMove.getShotResults()</t>
  </si>
  <si>
    <t>battleship.IMove.getShots()</t>
  </si>
  <si>
    <t>battleship.IMove.processEnemyFire(boolean)</t>
  </si>
  <si>
    <t>battleship.IMove.readMove(int, Scanner)</t>
  </si>
  <si>
    <t>battleship.IMove.toString()</t>
  </si>
  <si>
    <t>battleship.IPosition.adjacentPositions()</t>
  </si>
  <si>
    <t>battleship.IPosition.equals(Object)</t>
  </si>
  <si>
    <t>battleship.IPosition.getClassicColumn()</t>
  </si>
  <si>
    <t>battleship.IPosition.getClassicRow()</t>
  </si>
  <si>
    <t>battleship.IPosition.getColumn()</t>
  </si>
  <si>
    <t>battleship.IPosition.getRow()</t>
  </si>
  <si>
    <t>battleship.IPosition.isAdjacentTo(IPosition)</t>
  </si>
  <si>
    <t>battleship.IPosition.isHit()</t>
  </si>
  <si>
    <t>battleship.IPosition.isInside()</t>
  </si>
  <si>
    <t>battleship.IPosition.isOccupied()</t>
  </si>
  <si>
    <t>battleship.IPosition.occupy()</t>
  </si>
  <si>
    <t>battleship.IPosition.shoot()</t>
  </si>
  <si>
    <t>battleship.IShip.getAdjacentPositions()</t>
  </si>
  <si>
    <t>battleship.IShip.getBearing()</t>
  </si>
  <si>
    <t>battleship.IShip.getBottomMostPos()</t>
  </si>
  <si>
    <t>battleship.IShip.getCategory()</t>
  </si>
  <si>
    <t>battleship.IShip.getLeftMostPos()</t>
  </si>
  <si>
    <t>battleship.IShip.getPosition()</t>
  </si>
  <si>
    <t>battleship.IShip.getPositions()</t>
  </si>
  <si>
    <t>battleship.IShip.getRightMostPos()</t>
  </si>
  <si>
    <t>battleship.IShip.getSize()</t>
  </si>
  <si>
    <t>battleship.IShip.getTopMostPos()</t>
  </si>
  <si>
    <t>battleship.IShip.occupies(IPosition)</t>
  </si>
  <si>
    <t>battleship.IShip.shoot(IPosition)</t>
  </si>
  <si>
    <t>battleship.IShip.sink()</t>
  </si>
  <si>
    <t>battleship.IShip.stillFloating()</t>
  </si>
  <si>
    <t>battleship.IShip.tooCloseTo(IPosition)</t>
  </si>
  <si>
    <t>battleship.IShip.tooCloseTo(IShip)</t>
  </si>
  <si>
    <t>battleship.Main.main(String[])</t>
  </si>
  <si>
    <t>battleship.Move.Move(int, List&lt;IPosition&gt;, List&lt;ShotResult&gt;)</t>
  </si>
  <si>
    <t>battleship.Move.getNumber()</t>
  </si>
  <si>
    <t>battleship.Move.getShotResults()</t>
  </si>
  <si>
    <t>battleship.Move.getShots()</t>
  </si>
  <si>
    <t>battleship.Move.processEnemyFire(boolean)</t>
  </si>
  <si>
    <t>battleship.Move.toString()</t>
  </si>
  <si>
    <t>battleship.PdfExporter.checkPagination(PDDocument, PdfState, float)</t>
  </si>
  <si>
    <t>battleship.PdfExporter.exportGameReport(IGame, String)</t>
  </si>
  <si>
    <t>battleship.PdfExporter.printMoveSection(PDDocument, PdfState, String, List&lt;IMove&gt;)</t>
  </si>
  <si>
    <t>battleship.PdfExporter.PdfState.PdfState(PDPage, PDPageContentStream, float)</t>
  </si>
  <si>
    <t>battleship.Position.Position(char, int)</t>
  </si>
  <si>
    <t>battleship.Position.Position(int, int)</t>
  </si>
  <si>
    <t>battleship.Position.adjacentPositions()</t>
  </si>
  <si>
    <t>battleship.Position.equals(Object)</t>
  </si>
  <si>
    <t>battleship.Position.getClassicColumn()</t>
  </si>
  <si>
    <t>battleship.Position.getClassicRow()</t>
  </si>
  <si>
    <t>battleship.Position.getColumn()</t>
  </si>
  <si>
    <t>battleship.Position.getRow()</t>
  </si>
  <si>
    <t>battleship.Position.hashCode()</t>
  </si>
  <si>
    <t>battleship.Position.isAdjacentTo(IPosition)</t>
  </si>
  <si>
    <t>battleship.Position.isHit()</t>
  </si>
  <si>
    <t>battleship.Position.isInside()</t>
  </si>
  <si>
    <t>battleship.Position.isOccupied()</t>
  </si>
  <si>
    <t>battleship.Position.occupy()</t>
  </si>
  <si>
    <t>battleship.Position.randomPosition()</t>
  </si>
  <si>
    <t>battleship.Position.shoot()</t>
  </si>
  <si>
    <t>battleship.Position.toString()</t>
  </si>
  <si>
    <t>battleship.Scoreboard.displayScoreboard(int)</t>
  </si>
  <si>
    <t>battleship.Scoreboard.interactiveDisplay(Scanner)</t>
  </si>
  <si>
    <t>battleship.Scoreboard.loadResults()</t>
  </si>
  <si>
    <t>battleship.Scoreboard.saveResult(GameResult)</t>
  </si>
  <si>
    <t>battleship.Ship.Ship(String, Compass, IPosition, int)</t>
  </si>
  <si>
    <t>battleship.Ship.buildShip(String, Compass, Position)</t>
  </si>
  <si>
    <t>battleship.Ship.getAdjacentPositions()</t>
  </si>
  <si>
    <t>battleship.Ship.getBearing()</t>
  </si>
  <si>
    <t>battleship.Ship.getBottomMostPos()</t>
  </si>
  <si>
    <t>battleship.Ship.getCategory()</t>
  </si>
  <si>
    <t>battleship.Ship.getLeftMostPos()</t>
  </si>
  <si>
    <t>battleship.Ship.getPosition()</t>
  </si>
  <si>
    <t>battleship.Ship.getPositions()</t>
  </si>
  <si>
    <t>battleship.Ship.getRightMostPos()</t>
  </si>
  <si>
    <t>battleship.Ship.getSize()</t>
  </si>
  <si>
    <t>battleship.Ship.getTopMostPos()</t>
  </si>
  <si>
    <t>battleship.Ship.occupies(IPosition)</t>
  </si>
  <si>
    <t>battleship.Ship.shoot(IPosition)</t>
  </si>
  <si>
    <t>battleship.Ship.sink()</t>
  </si>
  <si>
    <t>battleship.Ship.stillFloating()</t>
  </si>
  <si>
    <t>battleship.Ship.toString()</t>
  </si>
  <si>
    <t>battleship.Ship.tooCloseTo(IPosition)</t>
  </si>
  <si>
    <t>battleship.Ship.tooCloseTo(IShip)</t>
  </si>
  <si>
    <t>battleship.Tasks.askPlayerName(Scanner)</t>
  </si>
  <si>
    <t>battleship.Tasks.buildFleet(Scanner)</t>
  </si>
  <si>
    <t>battleship.Tasks.menu()</t>
  </si>
  <si>
    <t>battleship.Tasks.menuHelp()</t>
  </si>
  <si>
    <t>battleship.Tasks.readClassicPosition(Scanner)</t>
  </si>
  <si>
    <t>battleship.Tasks.readPosition(Scanner)</t>
  </si>
  <si>
    <t>battleship.Tasks.readShip(Scanner)</t>
  </si>
  <si>
    <t>Mêtodo</t>
  </si>
  <si>
    <t>Classe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</si>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</sst>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88AE-B437-4D79-92E0-1F2D5F2497F4}">
  <sheetPr filterMode="1"/>
  <dimension ref="A1:U193"/>
  <sheetViews>
    <sheetView topLeftCell="A188" workbookViewId="0">
      <selection sqref="A1:B193"/>
    </sheetView>
  </sheetViews>
  <sheetFormatPr defaultRowHeight="14.4" x14ac:dyDescent="0.3"/>
  <cols>
    <col min="1" max="1" width="51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 t="s">
        <v>21</v>
      </c>
      <c r="B2">
        <v>1</v>
      </c>
      <c r="C2">
        <v>0</v>
      </c>
      <c r="D2">
        <v>0.6</v>
      </c>
      <c r="E2">
        <v>5</v>
      </c>
      <c r="F2">
        <v>0</v>
      </c>
      <c r="G2">
        <v>0</v>
      </c>
      <c r="H2">
        <v>6</v>
      </c>
      <c r="I2">
        <v>301.13690000000003</v>
      </c>
      <c r="J2">
        <v>1.4999999999999999E-2</v>
      </c>
      <c r="K2">
        <v>14</v>
      </c>
      <c r="L2">
        <v>12</v>
      </c>
      <c r="M2">
        <v>50.189500000000002</v>
      </c>
      <c r="N2">
        <v>0</v>
      </c>
      <c r="O2">
        <v>0</v>
      </c>
      <c r="P2">
        <v>11</v>
      </c>
      <c r="Q2">
        <v>65.386899999999997</v>
      </c>
      <c r="R2">
        <v>0</v>
      </c>
      <c r="S2">
        <v>2</v>
      </c>
      <c r="T2">
        <v>0</v>
      </c>
      <c r="U2">
        <v>2</v>
      </c>
    </row>
    <row r="3" spans="1:21" x14ac:dyDescent="0.3">
      <c r="A3" t="s">
        <v>22</v>
      </c>
      <c r="B3">
        <v>2</v>
      </c>
      <c r="C3">
        <v>1</v>
      </c>
      <c r="D3">
        <v>1</v>
      </c>
      <c r="E3">
        <v>1</v>
      </c>
      <c r="F3">
        <v>1</v>
      </c>
      <c r="G3">
        <v>0</v>
      </c>
      <c r="H3">
        <v>7.5</v>
      </c>
      <c r="I3">
        <v>247.5</v>
      </c>
      <c r="J3">
        <v>1.3100000000000001E-2</v>
      </c>
      <c r="K3">
        <v>11</v>
      </c>
      <c r="L3">
        <v>8</v>
      </c>
      <c r="M3">
        <v>33</v>
      </c>
      <c r="N3">
        <v>1</v>
      </c>
      <c r="O3">
        <v>0</v>
      </c>
      <c r="P3">
        <v>6</v>
      </c>
      <c r="Q3">
        <v>72.299599999999998</v>
      </c>
      <c r="R3">
        <v>1</v>
      </c>
      <c r="S3">
        <v>1</v>
      </c>
      <c r="T3">
        <v>0</v>
      </c>
      <c r="U3">
        <v>0</v>
      </c>
    </row>
    <row r="4" spans="1:21" x14ac:dyDescent="0.3">
      <c r="A4" t="s">
        <v>23</v>
      </c>
      <c r="B4">
        <v>10</v>
      </c>
      <c r="C4">
        <v>10</v>
      </c>
      <c r="D4">
        <v>0.5</v>
      </c>
      <c r="E4">
        <v>10</v>
      </c>
      <c r="F4">
        <v>2</v>
      </c>
      <c r="G4">
        <v>4</v>
      </c>
      <c r="H4">
        <v>27.5</v>
      </c>
      <c r="I4">
        <v>18919.4997</v>
      </c>
      <c r="J4">
        <v>0.23669999999999999</v>
      </c>
      <c r="K4">
        <v>119</v>
      </c>
      <c r="L4">
        <v>55</v>
      </c>
      <c r="M4">
        <v>687.98180000000002</v>
      </c>
      <c r="N4">
        <v>0</v>
      </c>
      <c r="O4">
        <v>3</v>
      </c>
      <c r="P4">
        <v>43</v>
      </c>
      <c r="Q4">
        <v>44.1935</v>
      </c>
      <c r="R4">
        <v>5</v>
      </c>
      <c r="S4">
        <v>19</v>
      </c>
      <c r="T4">
        <v>3</v>
      </c>
      <c r="U4">
        <v>2</v>
      </c>
    </row>
    <row r="5" spans="1:21" x14ac:dyDescent="0.3">
      <c r="A5" t="s">
        <v>24</v>
      </c>
      <c r="B5">
        <v>2</v>
      </c>
      <c r="C5">
        <v>1</v>
      </c>
      <c r="D5">
        <v>0.45450000000000002</v>
      </c>
      <c r="E5">
        <v>10</v>
      </c>
      <c r="F5">
        <v>1</v>
      </c>
      <c r="G5">
        <v>4</v>
      </c>
      <c r="H5">
        <v>16.714300000000001</v>
      </c>
      <c r="I5">
        <v>8124.3706000000002</v>
      </c>
      <c r="J5">
        <v>0.13469999999999999</v>
      </c>
      <c r="K5">
        <v>88</v>
      </c>
      <c r="L5">
        <v>46</v>
      </c>
      <c r="M5">
        <v>486.07350000000002</v>
      </c>
      <c r="N5">
        <v>0.28570000000000001</v>
      </c>
      <c r="O5">
        <v>0</v>
      </c>
      <c r="P5">
        <v>30</v>
      </c>
      <c r="Q5">
        <v>48.872999999999998</v>
      </c>
      <c r="R5">
        <v>1</v>
      </c>
      <c r="S5">
        <v>17</v>
      </c>
      <c r="T5">
        <v>0</v>
      </c>
      <c r="U5">
        <v>4</v>
      </c>
    </row>
    <row r="6" spans="1:21" hidden="1" x14ac:dyDescent="0.3">
      <c r="A6" t="s">
        <v>25</v>
      </c>
      <c r="B6">
        <v>9</v>
      </c>
      <c r="C6">
        <v>5</v>
      </c>
      <c r="D6">
        <v>0.5</v>
      </c>
      <c r="E6">
        <v>6</v>
      </c>
      <c r="F6">
        <v>0</v>
      </c>
      <c r="G6">
        <v>1</v>
      </c>
      <c r="H6">
        <v>27</v>
      </c>
      <c r="I6">
        <v>12198.390299999999</v>
      </c>
      <c r="J6">
        <v>0.17660000000000001</v>
      </c>
      <c r="K6">
        <v>93</v>
      </c>
      <c r="L6">
        <v>29</v>
      </c>
      <c r="M6">
        <v>451.79219999999998</v>
      </c>
      <c r="N6">
        <v>0</v>
      </c>
      <c r="O6">
        <v>1</v>
      </c>
      <c r="P6">
        <v>27</v>
      </c>
      <c r="Q6">
        <v>49.8962</v>
      </c>
      <c r="R6">
        <v>1</v>
      </c>
      <c r="S6">
        <v>10</v>
      </c>
      <c r="T6">
        <v>4</v>
      </c>
      <c r="U6">
        <v>2</v>
      </c>
    </row>
    <row r="7" spans="1:21" hidden="1" x14ac:dyDescent="0.3">
      <c r="A7" t="s">
        <v>26</v>
      </c>
      <c r="B7">
        <v>9</v>
      </c>
      <c r="C7">
        <v>5</v>
      </c>
      <c r="D7">
        <v>0.5</v>
      </c>
      <c r="E7">
        <v>6</v>
      </c>
      <c r="F7">
        <v>0</v>
      </c>
      <c r="G7">
        <v>1</v>
      </c>
      <c r="H7">
        <v>27</v>
      </c>
      <c r="I7">
        <v>12198.390299999999</v>
      </c>
      <c r="J7">
        <v>0.17660000000000001</v>
      </c>
      <c r="K7">
        <v>93</v>
      </c>
      <c r="L7">
        <v>29</v>
      </c>
      <c r="M7">
        <v>451.79219999999998</v>
      </c>
      <c r="N7">
        <v>0</v>
      </c>
      <c r="O7">
        <v>1</v>
      </c>
      <c r="P7">
        <v>27</v>
      </c>
      <c r="Q7">
        <v>49.8962</v>
      </c>
      <c r="R7">
        <v>1</v>
      </c>
      <c r="S7">
        <v>10</v>
      </c>
      <c r="T7">
        <v>4</v>
      </c>
      <c r="U7">
        <v>2</v>
      </c>
    </row>
    <row r="8" spans="1:21" hidden="1" x14ac:dyDescent="0.3">
      <c r="A8" t="s">
        <v>27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8</v>
      </c>
      <c r="J8">
        <v>1.2999999999999999E-3</v>
      </c>
      <c r="K8">
        <v>4</v>
      </c>
      <c r="L8">
        <v>4</v>
      </c>
      <c r="M8">
        <v>8</v>
      </c>
      <c r="N8">
        <v>1</v>
      </c>
      <c r="O8">
        <v>0</v>
      </c>
      <c r="P8">
        <v>9</v>
      </c>
      <c r="Q8">
        <v>72.860699999999994</v>
      </c>
      <c r="R8">
        <v>0</v>
      </c>
      <c r="S8">
        <v>2</v>
      </c>
      <c r="T8">
        <v>0</v>
      </c>
      <c r="U8">
        <v>1</v>
      </c>
    </row>
    <row r="9" spans="1:21" hidden="1" x14ac:dyDescent="0.3">
      <c r="A9" t="s">
        <v>28</v>
      </c>
      <c r="B9">
        <v>6</v>
      </c>
      <c r="C9">
        <v>1</v>
      </c>
      <c r="D9">
        <v>0</v>
      </c>
      <c r="E9">
        <v>0</v>
      </c>
      <c r="F9">
        <v>0</v>
      </c>
      <c r="G9">
        <v>0</v>
      </c>
      <c r="H9">
        <v>5.0909000000000004</v>
      </c>
      <c r="I9">
        <v>615.63260000000002</v>
      </c>
      <c r="J9">
        <v>2.41E-2</v>
      </c>
      <c r="K9">
        <v>29</v>
      </c>
      <c r="L9">
        <v>18</v>
      </c>
      <c r="M9">
        <v>120.9278</v>
      </c>
      <c r="N9">
        <v>1</v>
      </c>
      <c r="O9">
        <v>0</v>
      </c>
      <c r="P9">
        <v>28</v>
      </c>
      <c r="Q9">
        <v>53.632300000000001</v>
      </c>
      <c r="R9">
        <v>1</v>
      </c>
      <c r="S9">
        <v>6</v>
      </c>
      <c r="T9">
        <v>0</v>
      </c>
      <c r="U9">
        <v>1</v>
      </c>
    </row>
    <row r="10" spans="1:21" hidden="1" x14ac:dyDescent="0.3">
      <c r="A10" t="s">
        <v>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1.5</v>
      </c>
      <c r="I10">
        <v>12</v>
      </c>
      <c r="J10">
        <v>1.6999999999999999E-3</v>
      </c>
      <c r="K10">
        <v>4</v>
      </c>
      <c r="L10">
        <v>4</v>
      </c>
      <c r="M10">
        <v>8</v>
      </c>
      <c r="N10">
        <v>1</v>
      </c>
      <c r="O10">
        <v>0</v>
      </c>
      <c r="P10">
        <v>9</v>
      </c>
      <c r="Q10">
        <v>72.860699999999994</v>
      </c>
      <c r="R10">
        <v>0</v>
      </c>
      <c r="S10">
        <v>1</v>
      </c>
      <c r="T10">
        <v>0</v>
      </c>
      <c r="U10">
        <v>0</v>
      </c>
    </row>
    <row r="11" spans="1:21" hidden="1" x14ac:dyDescent="0.3">
      <c r="A11" t="s">
        <v>30</v>
      </c>
      <c r="B11">
        <v>1</v>
      </c>
      <c r="C11">
        <v>0</v>
      </c>
      <c r="D11">
        <v>0.5</v>
      </c>
      <c r="E11">
        <v>1</v>
      </c>
      <c r="F11">
        <v>0</v>
      </c>
      <c r="G11">
        <v>1</v>
      </c>
      <c r="H11">
        <v>4.6666999999999996</v>
      </c>
      <c r="I11">
        <v>186.02799999999999</v>
      </c>
      <c r="J11">
        <v>1.09E-2</v>
      </c>
      <c r="K11">
        <v>12</v>
      </c>
      <c r="L11">
        <v>10</v>
      </c>
      <c r="M11">
        <v>39.863100000000003</v>
      </c>
      <c r="N11">
        <v>0</v>
      </c>
      <c r="O11">
        <v>0</v>
      </c>
      <c r="P11">
        <v>10</v>
      </c>
      <c r="Q11">
        <v>67.045400000000001</v>
      </c>
      <c r="R11">
        <v>0</v>
      </c>
      <c r="S11">
        <v>3</v>
      </c>
      <c r="T11">
        <v>0</v>
      </c>
      <c r="U11">
        <v>0</v>
      </c>
    </row>
    <row r="12" spans="1:21" hidden="1" x14ac:dyDescent="0.3">
      <c r="A12" t="s">
        <v>31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1.5</v>
      </c>
      <c r="I12">
        <v>17.4145</v>
      </c>
      <c r="J12">
        <v>2.2000000000000001E-3</v>
      </c>
      <c r="K12">
        <v>5</v>
      </c>
      <c r="L12">
        <v>5</v>
      </c>
      <c r="M12">
        <v>11.6096</v>
      </c>
      <c r="N12">
        <v>1</v>
      </c>
      <c r="O12">
        <v>0</v>
      </c>
      <c r="P12">
        <v>10</v>
      </c>
      <c r="Q12">
        <v>70.894199999999998</v>
      </c>
      <c r="R12">
        <v>0</v>
      </c>
      <c r="S12">
        <v>1</v>
      </c>
      <c r="T12">
        <v>0</v>
      </c>
      <c r="U12">
        <v>0</v>
      </c>
    </row>
    <row r="13" spans="1:21" hidden="1" x14ac:dyDescent="0.3">
      <c r="A13" t="s">
        <v>32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33</v>
      </c>
      <c r="J13" t="s">
        <v>33</v>
      </c>
      <c r="K13">
        <v>0</v>
      </c>
      <c r="L13">
        <v>0</v>
      </c>
      <c r="M13" t="s">
        <v>33</v>
      </c>
      <c r="N13">
        <v>0</v>
      </c>
      <c r="O13">
        <v>0</v>
      </c>
      <c r="P13">
        <v>0</v>
      </c>
      <c r="Q13">
        <v>0</v>
      </c>
      <c r="R13">
        <v>-1</v>
      </c>
      <c r="S13">
        <v>0</v>
      </c>
      <c r="T13">
        <v>0</v>
      </c>
      <c r="U13">
        <v>1</v>
      </c>
    </row>
    <row r="14" spans="1:21" hidden="1" x14ac:dyDescent="0.3">
      <c r="A14" t="s">
        <v>34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33</v>
      </c>
      <c r="J14" t="s">
        <v>33</v>
      </c>
      <c r="K14">
        <v>0</v>
      </c>
      <c r="L14">
        <v>0</v>
      </c>
      <c r="M14" t="s">
        <v>33</v>
      </c>
      <c r="N14">
        <v>0</v>
      </c>
      <c r="O14">
        <v>0</v>
      </c>
      <c r="P14">
        <v>0</v>
      </c>
      <c r="Q14">
        <v>0</v>
      </c>
      <c r="R14">
        <v>-1</v>
      </c>
      <c r="S14">
        <v>0</v>
      </c>
      <c r="T14">
        <v>0</v>
      </c>
      <c r="U14">
        <v>0</v>
      </c>
    </row>
    <row r="15" spans="1:21" x14ac:dyDescent="0.3">
      <c r="A15" t="s">
        <v>35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4.7549000000000001</v>
      </c>
      <c r="J15">
        <v>8.9999999999999998E-4</v>
      </c>
      <c r="K15">
        <v>3</v>
      </c>
      <c r="L15">
        <v>3</v>
      </c>
      <c r="M15">
        <v>4.7549000000000001</v>
      </c>
      <c r="N15">
        <v>1</v>
      </c>
      <c r="O15">
        <v>0</v>
      </c>
      <c r="P15">
        <v>7</v>
      </c>
      <c r="Q15">
        <v>77.349400000000003</v>
      </c>
      <c r="R15">
        <v>0</v>
      </c>
      <c r="S15">
        <v>1</v>
      </c>
      <c r="T15">
        <v>0</v>
      </c>
      <c r="U15">
        <v>0</v>
      </c>
    </row>
    <row r="16" spans="1:21" x14ac:dyDescent="0.3">
      <c r="A16" t="s">
        <v>36</v>
      </c>
      <c r="B16">
        <v>4</v>
      </c>
      <c r="C16">
        <v>3</v>
      </c>
      <c r="D16">
        <v>0.25</v>
      </c>
      <c r="E16">
        <v>2</v>
      </c>
      <c r="F16">
        <v>1</v>
      </c>
      <c r="G16">
        <v>0</v>
      </c>
      <c r="H16">
        <v>10.2857</v>
      </c>
      <c r="I16">
        <v>1092.3242</v>
      </c>
      <c r="J16">
        <v>3.5400000000000001E-2</v>
      </c>
      <c r="K16">
        <v>25</v>
      </c>
      <c r="L16">
        <v>19</v>
      </c>
      <c r="M16">
        <v>106.1982</v>
      </c>
      <c r="N16">
        <v>0.5</v>
      </c>
      <c r="O16">
        <v>0</v>
      </c>
      <c r="P16">
        <v>23</v>
      </c>
      <c r="Q16">
        <v>55.927599999999998</v>
      </c>
      <c r="R16">
        <v>1</v>
      </c>
      <c r="S16">
        <v>4</v>
      </c>
      <c r="T16">
        <v>0</v>
      </c>
      <c r="U16">
        <v>1</v>
      </c>
    </row>
    <row r="17" spans="1:21" x14ac:dyDescent="0.3">
      <c r="A17" t="s">
        <v>37</v>
      </c>
      <c r="B17">
        <v>3</v>
      </c>
      <c r="C17">
        <v>2</v>
      </c>
      <c r="D17">
        <v>0.66669999999999996</v>
      </c>
      <c r="E17">
        <v>3</v>
      </c>
      <c r="F17">
        <v>1</v>
      </c>
      <c r="G17">
        <v>0</v>
      </c>
      <c r="H17">
        <v>10.2143</v>
      </c>
      <c r="I17">
        <v>1103.6351999999999</v>
      </c>
      <c r="J17">
        <v>3.56E-2</v>
      </c>
      <c r="K17">
        <v>25</v>
      </c>
      <c r="L17">
        <v>20</v>
      </c>
      <c r="M17">
        <v>108.04819999999999</v>
      </c>
      <c r="N17">
        <v>1</v>
      </c>
      <c r="O17">
        <v>1</v>
      </c>
      <c r="P17">
        <v>16</v>
      </c>
      <c r="Q17">
        <v>59.347499999999997</v>
      </c>
      <c r="R17">
        <v>1</v>
      </c>
      <c r="S17">
        <v>3</v>
      </c>
      <c r="T17">
        <v>1</v>
      </c>
      <c r="U17">
        <v>1</v>
      </c>
    </row>
    <row r="18" spans="1:21" x14ac:dyDescent="0.3">
      <c r="A18" t="s">
        <v>38</v>
      </c>
      <c r="B18">
        <v>4</v>
      </c>
      <c r="C18">
        <v>3</v>
      </c>
      <c r="D18">
        <v>0.75</v>
      </c>
      <c r="E18">
        <v>3</v>
      </c>
      <c r="F18">
        <v>1</v>
      </c>
      <c r="G18">
        <v>1</v>
      </c>
      <c r="H18">
        <v>14.375</v>
      </c>
      <c r="I18">
        <v>2597.3573000000001</v>
      </c>
      <c r="J18">
        <v>6.3E-2</v>
      </c>
      <c r="K18">
        <v>38</v>
      </c>
      <c r="L18">
        <v>27</v>
      </c>
      <c r="M18">
        <v>180.6857</v>
      </c>
      <c r="N18">
        <v>0</v>
      </c>
      <c r="O18">
        <v>1</v>
      </c>
      <c r="P18">
        <v>27</v>
      </c>
      <c r="Q18">
        <v>52.798400000000001</v>
      </c>
      <c r="R18">
        <v>2</v>
      </c>
      <c r="S18">
        <v>5</v>
      </c>
      <c r="T18">
        <v>1</v>
      </c>
      <c r="U18">
        <v>0</v>
      </c>
    </row>
    <row r="19" spans="1:21" x14ac:dyDescent="0.3">
      <c r="A19" t="s">
        <v>39</v>
      </c>
      <c r="B19">
        <v>3</v>
      </c>
      <c r="C19">
        <v>2</v>
      </c>
      <c r="D19">
        <v>1</v>
      </c>
      <c r="E19">
        <v>2</v>
      </c>
      <c r="F19">
        <v>1</v>
      </c>
      <c r="G19">
        <v>0</v>
      </c>
      <c r="H19">
        <v>5.8333000000000004</v>
      </c>
      <c r="I19">
        <v>232.535</v>
      </c>
      <c r="J19">
        <v>1.26E-2</v>
      </c>
      <c r="K19">
        <v>12</v>
      </c>
      <c r="L19">
        <v>10</v>
      </c>
      <c r="M19">
        <v>39.863100000000003</v>
      </c>
      <c r="N19">
        <v>1</v>
      </c>
      <c r="O19">
        <v>1</v>
      </c>
      <c r="P19">
        <v>19</v>
      </c>
      <c r="Q19">
        <v>60.816899999999997</v>
      </c>
      <c r="R19">
        <v>0</v>
      </c>
      <c r="S19">
        <v>3</v>
      </c>
      <c r="T19">
        <v>1</v>
      </c>
      <c r="U19">
        <v>0</v>
      </c>
    </row>
    <row r="20" spans="1:21" x14ac:dyDescent="0.3">
      <c r="A20" t="s">
        <v>40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4.7549000000000001</v>
      </c>
      <c r="J20">
        <v>8.9999999999999998E-4</v>
      </c>
      <c r="K20">
        <v>3</v>
      </c>
      <c r="L20">
        <v>3</v>
      </c>
      <c r="M20">
        <v>4.7549000000000001</v>
      </c>
      <c r="N20">
        <v>1</v>
      </c>
      <c r="O20">
        <v>0</v>
      </c>
      <c r="P20">
        <v>10</v>
      </c>
      <c r="Q20">
        <v>73.970399999999998</v>
      </c>
      <c r="R20">
        <v>0</v>
      </c>
      <c r="S20">
        <v>1</v>
      </c>
      <c r="T20">
        <v>0</v>
      </c>
      <c r="U20">
        <v>0</v>
      </c>
    </row>
    <row r="21" spans="1:21" x14ac:dyDescent="0.3">
      <c r="A21" t="s">
        <v>41</v>
      </c>
      <c r="B21">
        <v>3</v>
      </c>
      <c r="C21">
        <v>2</v>
      </c>
      <c r="D21">
        <v>1</v>
      </c>
      <c r="E21">
        <v>3</v>
      </c>
      <c r="F21">
        <v>1</v>
      </c>
      <c r="G21">
        <v>0</v>
      </c>
      <c r="H21">
        <v>8</v>
      </c>
      <c r="I21">
        <v>562.59220000000005</v>
      </c>
      <c r="J21">
        <v>2.2700000000000001E-2</v>
      </c>
      <c r="K21">
        <v>18</v>
      </c>
      <c r="L21">
        <v>15</v>
      </c>
      <c r="M21">
        <v>70.323999999999998</v>
      </c>
      <c r="N21">
        <v>1</v>
      </c>
      <c r="O21">
        <v>1</v>
      </c>
      <c r="P21">
        <v>21</v>
      </c>
      <c r="Q21">
        <v>58.09</v>
      </c>
      <c r="R21">
        <v>0</v>
      </c>
      <c r="S21">
        <v>4</v>
      </c>
      <c r="T21">
        <v>1</v>
      </c>
      <c r="U21">
        <v>1</v>
      </c>
    </row>
    <row r="22" spans="1:21" x14ac:dyDescent="0.3">
      <c r="A22" t="s">
        <v>42</v>
      </c>
      <c r="B22">
        <v>3</v>
      </c>
      <c r="C22">
        <v>2</v>
      </c>
      <c r="D22">
        <v>1</v>
      </c>
      <c r="E22">
        <v>2</v>
      </c>
      <c r="F22">
        <v>1</v>
      </c>
      <c r="G22">
        <v>0</v>
      </c>
      <c r="H22">
        <v>6.6666999999999996</v>
      </c>
      <c r="I22">
        <v>299.81740000000002</v>
      </c>
      <c r="J22">
        <v>1.49E-2</v>
      </c>
      <c r="K22">
        <v>13</v>
      </c>
      <c r="L22">
        <v>11</v>
      </c>
      <c r="M22">
        <v>44.9726</v>
      </c>
      <c r="N22">
        <v>1</v>
      </c>
      <c r="O22">
        <v>1</v>
      </c>
      <c r="P22">
        <v>19</v>
      </c>
      <c r="Q22">
        <v>60.450099999999999</v>
      </c>
      <c r="R22">
        <v>0</v>
      </c>
      <c r="S22">
        <v>3</v>
      </c>
      <c r="T22">
        <v>1</v>
      </c>
      <c r="U22">
        <v>0</v>
      </c>
    </row>
    <row r="23" spans="1:21" x14ac:dyDescent="0.3">
      <c r="A23" t="s">
        <v>43</v>
      </c>
      <c r="B23">
        <v>4</v>
      </c>
      <c r="C23">
        <v>0</v>
      </c>
      <c r="D23">
        <v>0.25</v>
      </c>
      <c r="E23">
        <v>4</v>
      </c>
      <c r="F23">
        <v>0</v>
      </c>
      <c r="G23">
        <v>1</v>
      </c>
      <c r="H23">
        <v>14.4</v>
      </c>
      <c r="I23">
        <v>1589.2056</v>
      </c>
      <c r="J23">
        <v>4.5400000000000003E-2</v>
      </c>
      <c r="K23">
        <v>27</v>
      </c>
      <c r="L23">
        <v>17</v>
      </c>
      <c r="M23">
        <v>110.36150000000001</v>
      </c>
      <c r="N23">
        <v>0</v>
      </c>
      <c r="O23">
        <v>0</v>
      </c>
      <c r="P23">
        <v>12</v>
      </c>
      <c r="Q23">
        <v>61.978499999999997</v>
      </c>
      <c r="R23">
        <v>0</v>
      </c>
      <c r="S23">
        <v>2</v>
      </c>
      <c r="T23">
        <v>0</v>
      </c>
      <c r="U23">
        <v>1</v>
      </c>
    </row>
    <row r="24" spans="1:21" x14ac:dyDescent="0.3">
      <c r="A24" t="s">
        <v>44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4.7549000000000001</v>
      </c>
      <c r="J24">
        <v>8.9999999999999998E-4</v>
      </c>
      <c r="K24">
        <v>3</v>
      </c>
      <c r="L24">
        <v>3</v>
      </c>
      <c r="M24">
        <v>4.7549000000000001</v>
      </c>
      <c r="N24">
        <v>1</v>
      </c>
      <c r="O24">
        <v>0</v>
      </c>
      <c r="P24">
        <v>7</v>
      </c>
      <c r="Q24">
        <v>77.349400000000003</v>
      </c>
      <c r="R24">
        <v>0</v>
      </c>
      <c r="S24">
        <v>1</v>
      </c>
      <c r="T24">
        <v>0</v>
      </c>
      <c r="U24">
        <v>0</v>
      </c>
    </row>
    <row r="25" spans="1:21" x14ac:dyDescent="0.3">
      <c r="A25" t="s">
        <v>45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>
        <v>4</v>
      </c>
      <c r="M25">
        <v>8</v>
      </c>
      <c r="N25">
        <v>0</v>
      </c>
      <c r="O25">
        <v>0</v>
      </c>
      <c r="P25">
        <v>7</v>
      </c>
      <c r="Q25">
        <v>75.241600000000005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46</v>
      </c>
      <c r="B26">
        <v>2</v>
      </c>
      <c r="C26">
        <v>1</v>
      </c>
      <c r="D26">
        <v>1</v>
      </c>
      <c r="E26">
        <v>1</v>
      </c>
      <c r="F26">
        <v>0</v>
      </c>
      <c r="G26">
        <v>1</v>
      </c>
      <c r="H26">
        <v>3.75</v>
      </c>
      <c r="I26">
        <v>137.02950000000001</v>
      </c>
      <c r="J26">
        <v>8.8999999999999999E-3</v>
      </c>
      <c r="K26">
        <v>11</v>
      </c>
      <c r="L26">
        <v>10</v>
      </c>
      <c r="M26">
        <v>36.541200000000003</v>
      </c>
      <c r="N26">
        <v>0</v>
      </c>
      <c r="O26">
        <v>1</v>
      </c>
      <c r="P26">
        <v>11</v>
      </c>
      <c r="Q26">
        <v>66.292599999999993</v>
      </c>
      <c r="R26">
        <v>0</v>
      </c>
      <c r="S26">
        <v>3</v>
      </c>
      <c r="T26">
        <v>1</v>
      </c>
      <c r="U26">
        <v>1</v>
      </c>
    </row>
    <row r="27" spans="1:21" x14ac:dyDescent="0.3">
      <c r="A27" t="s">
        <v>47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4.5</v>
      </c>
      <c r="I27">
        <v>121.5</v>
      </c>
      <c r="J27">
        <v>8.2000000000000007E-3</v>
      </c>
      <c r="K27">
        <v>9</v>
      </c>
      <c r="L27">
        <v>8</v>
      </c>
      <c r="M27">
        <v>27</v>
      </c>
      <c r="N27">
        <v>0</v>
      </c>
      <c r="O27">
        <v>0</v>
      </c>
      <c r="P27">
        <v>11</v>
      </c>
      <c r="Q27">
        <v>67.375399999999999</v>
      </c>
      <c r="R27">
        <v>0</v>
      </c>
      <c r="S27">
        <v>1</v>
      </c>
      <c r="T27">
        <v>0</v>
      </c>
      <c r="U27">
        <v>1</v>
      </c>
    </row>
    <row r="28" spans="1:21" x14ac:dyDescent="0.3">
      <c r="A28" t="s">
        <v>48</v>
      </c>
      <c r="B28">
        <v>1</v>
      </c>
      <c r="C28">
        <v>0</v>
      </c>
      <c r="D28">
        <v>0.5</v>
      </c>
      <c r="E28">
        <v>2</v>
      </c>
      <c r="F28">
        <v>0</v>
      </c>
      <c r="G28">
        <v>1</v>
      </c>
      <c r="H28">
        <v>3.5</v>
      </c>
      <c r="I28">
        <v>157.4041</v>
      </c>
      <c r="J28">
        <v>9.7000000000000003E-3</v>
      </c>
      <c r="K28">
        <v>13</v>
      </c>
      <c r="L28">
        <v>11</v>
      </c>
      <c r="M28">
        <v>44.9726</v>
      </c>
      <c r="N28">
        <v>0</v>
      </c>
      <c r="O28">
        <v>0</v>
      </c>
      <c r="P28">
        <v>14</v>
      </c>
      <c r="Q28">
        <v>63.490900000000003</v>
      </c>
      <c r="R28">
        <v>0</v>
      </c>
      <c r="S28">
        <v>1</v>
      </c>
      <c r="T28">
        <v>0</v>
      </c>
      <c r="U28">
        <v>0</v>
      </c>
    </row>
    <row r="29" spans="1:21" x14ac:dyDescent="0.3">
      <c r="A29" t="s">
        <v>49</v>
      </c>
      <c r="B29">
        <v>3</v>
      </c>
      <c r="C29">
        <v>2</v>
      </c>
      <c r="D29">
        <v>1</v>
      </c>
      <c r="E29">
        <v>1</v>
      </c>
      <c r="F29">
        <v>1</v>
      </c>
      <c r="G29">
        <v>0</v>
      </c>
      <c r="H29">
        <v>6.125</v>
      </c>
      <c r="I29">
        <v>317.83530000000002</v>
      </c>
      <c r="J29">
        <v>1.55E-2</v>
      </c>
      <c r="K29">
        <v>15</v>
      </c>
      <c r="L29">
        <v>11</v>
      </c>
      <c r="M29">
        <v>51.891500000000001</v>
      </c>
      <c r="N29">
        <v>1</v>
      </c>
      <c r="O29">
        <v>1</v>
      </c>
      <c r="P29">
        <v>20</v>
      </c>
      <c r="Q29">
        <v>59.5152</v>
      </c>
      <c r="R29">
        <v>0</v>
      </c>
      <c r="S29">
        <v>3</v>
      </c>
      <c r="T29">
        <v>1</v>
      </c>
      <c r="U29">
        <v>1</v>
      </c>
    </row>
    <row r="30" spans="1:21" hidden="1" x14ac:dyDescent="0.3">
      <c r="A30" t="s">
        <v>50</v>
      </c>
      <c r="B30">
        <v>9</v>
      </c>
      <c r="C30">
        <v>5</v>
      </c>
      <c r="D30">
        <v>0.5</v>
      </c>
      <c r="E30">
        <v>6</v>
      </c>
      <c r="F30">
        <v>0</v>
      </c>
      <c r="G30">
        <v>1</v>
      </c>
      <c r="H30">
        <v>27</v>
      </c>
      <c r="I30">
        <v>12198.390299999999</v>
      </c>
      <c r="J30">
        <v>0.17660000000000001</v>
      </c>
      <c r="K30">
        <v>93</v>
      </c>
      <c r="L30">
        <v>29</v>
      </c>
      <c r="M30">
        <v>451.79219999999998</v>
      </c>
      <c r="N30">
        <v>0</v>
      </c>
      <c r="O30">
        <v>1</v>
      </c>
      <c r="P30">
        <v>27</v>
      </c>
      <c r="Q30">
        <v>49.8962</v>
      </c>
      <c r="R30">
        <v>1</v>
      </c>
      <c r="S30">
        <v>10</v>
      </c>
      <c r="T30">
        <v>4</v>
      </c>
      <c r="U30">
        <v>2</v>
      </c>
    </row>
    <row r="31" spans="1:21" hidden="1" x14ac:dyDescent="0.3">
      <c r="A31" t="s">
        <v>51</v>
      </c>
      <c r="B31">
        <v>5</v>
      </c>
      <c r="C31">
        <v>1</v>
      </c>
      <c r="D31">
        <v>0.2</v>
      </c>
      <c r="E31">
        <v>1</v>
      </c>
      <c r="F31">
        <v>0</v>
      </c>
      <c r="G31">
        <v>1</v>
      </c>
      <c r="H31">
        <v>8.125</v>
      </c>
      <c r="I31">
        <v>982.53859999999997</v>
      </c>
      <c r="J31">
        <v>3.2899999999999999E-2</v>
      </c>
      <c r="K31">
        <v>29</v>
      </c>
      <c r="L31">
        <v>18</v>
      </c>
      <c r="M31">
        <v>120.9278</v>
      </c>
      <c r="N31">
        <v>0</v>
      </c>
      <c r="O31">
        <v>0</v>
      </c>
      <c r="P31">
        <v>23</v>
      </c>
      <c r="Q31">
        <v>55.520400000000002</v>
      </c>
      <c r="R31">
        <v>1</v>
      </c>
      <c r="S31">
        <v>6</v>
      </c>
      <c r="T31">
        <v>0</v>
      </c>
      <c r="U31">
        <v>2</v>
      </c>
    </row>
    <row r="32" spans="1:21" hidden="1" x14ac:dyDescent="0.3">
      <c r="A32" t="s">
        <v>52</v>
      </c>
      <c r="B32">
        <v>2</v>
      </c>
      <c r="C32">
        <v>1</v>
      </c>
      <c r="D32">
        <v>0.75</v>
      </c>
      <c r="E32">
        <v>4</v>
      </c>
      <c r="F32">
        <v>0</v>
      </c>
      <c r="G32">
        <v>0</v>
      </c>
      <c r="H32">
        <v>15.166700000000001</v>
      </c>
      <c r="I32">
        <v>2512.6491000000001</v>
      </c>
      <c r="J32">
        <v>6.1600000000000002E-2</v>
      </c>
      <c r="K32">
        <v>39</v>
      </c>
      <c r="L32">
        <v>19</v>
      </c>
      <c r="M32">
        <v>165.66919999999999</v>
      </c>
      <c r="N32">
        <v>0</v>
      </c>
      <c r="O32">
        <v>1</v>
      </c>
      <c r="P32">
        <v>12</v>
      </c>
      <c r="Q32">
        <v>60.838700000000003</v>
      </c>
      <c r="R32">
        <v>1</v>
      </c>
      <c r="S32">
        <v>2</v>
      </c>
      <c r="T32">
        <v>1</v>
      </c>
      <c r="U32">
        <v>1</v>
      </c>
    </row>
    <row r="33" spans="1:21" hidden="1" x14ac:dyDescent="0.3">
      <c r="A33" t="s">
        <v>53</v>
      </c>
      <c r="B33">
        <v>2</v>
      </c>
      <c r="C33">
        <v>1</v>
      </c>
      <c r="D33">
        <v>0.75</v>
      </c>
      <c r="E33">
        <v>4</v>
      </c>
      <c r="F33">
        <v>0</v>
      </c>
      <c r="G33">
        <v>0</v>
      </c>
      <c r="H33">
        <v>15</v>
      </c>
      <c r="I33">
        <v>2564.5039000000002</v>
      </c>
      <c r="J33">
        <v>6.25E-2</v>
      </c>
      <c r="K33">
        <v>41</v>
      </c>
      <c r="L33">
        <v>18</v>
      </c>
      <c r="M33">
        <v>170.96690000000001</v>
      </c>
      <c r="N33">
        <v>0</v>
      </c>
      <c r="O33">
        <v>1</v>
      </c>
      <c r="P33">
        <v>12</v>
      </c>
      <c r="Q33">
        <v>60.747900000000001</v>
      </c>
      <c r="R33">
        <v>1</v>
      </c>
      <c r="S33">
        <v>2</v>
      </c>
      <c r="T33">
        <v>1</v>
      </c>
      <c r="U33">
        <v>1</v>
      </c>
    </row>
    <row r="34" spans="1:21" hidden="1" x14ac:dyDescent="0.3">
      <c r="A34" t="s">
        <v>54</v>
      </c>
      <c r="B34">
        <v>3</v>
      </c>
      <c r="C34">
        <v>2</v>
      </c>
      <c r="D34">
        <v>0.75</v>
      </c>
      <c r="E34">
        <v>4</v>
      </c>
      <c r="F34">
        <v>0</v>
      </c>
      <c r="G34">
        <v>0</v>
      </c>
      <c r="H34">
        <v>14.857100000000001</v>
      </c>
      <c r="I34">
        <v>2568.4600999999998</v>
      </c>
      <c r="J34">
        <v>6.25E-2</v>
      </c>
      <c r="K34">
        <v>40</v>
      </c>
      <c r="L34">
        <v>20</v>
      </c>
      <c r="M34">
        <v>172.87710000000001</v>
      </c>
      <c r="N34">
        <v>0</v>
      </c>
      <c r="O34">
        <v>1</v>
      </c>
      <c r="P34">
        <v>13</v>
      </c>
      <c r="Q34">
        <v>59.899500000000003</v>
      </c>
      <c r="R34">
        <v>1</v>
      </c>
      <c r="S34">
        <v>3</v>
      </c>
      <c r="T34">
        <v>2</v>
      </c>
      <c r="U34">
        <v>1</v>
      </c>
    </row>
    <row r="35" spans="1:21" hidden="1" x14ac:dyDescent="0.3">
      <c r="A35" t="s">
        <v>55</v>
      </c>
      <c r="B35">
        <v>2</v>
      </c>
      <c r="C35">
        <v>1</v>
      </c>
      <c r="D35">
        <v>0.75</v>
      </c>
      <c r="E35">
        <v>4</v>
      </c>
      <c r="F35">
        <v>0</v>
      </c>
      <c r="G35">
        <v>0</v>
      </c>
      <c r="H35">
        <v>18.2</v>
      </c>
      <c r="I35">
        <v>2959.8128000000002</v>
      </c>
      <c r="J35">
        <v>6.8699999999999997E-2</v>
      </c>
      <c r="K35">
        <v>39</v>
      </c>
      <c r="L35">
        <v>18</v>
      </c>
      <c r="M35">
        <v>162.62710000000001</v>
      </c>
      <c r="N35">
        <v>0</v>
      </c>
      <c r="O35">
        <v>1</v>
      </c>
      <c r="P35">
        <v>12</v>
      </c>
      <c r="Q35">
        <v>60.894500000000001</v>
      </c>
      <c r="R35">
        <v>1</v>
      </c>
      <c r="S35">
        <v>2</v>
      </c>
      <c r="T35">
        <v>1</v>
      </c>
      <c r="U35">
        <v>1</v>
      </c>
    </row>
    <row r="36" spans="1:21" x14ac:dyDescent="0.3">
      <c r="A36" t="s">
        <v>56</v>
      </c>
      <c r="B36">
        <v>1</v>
      </c>
      <c r="C36">
        <v>0</v>
      </c>
      <c r="D36">
        <v>1</v>
      </c>
      <c r="E36">
        <v>1</v>
      </c>
      <c r="F36">
        <v>0</v>
      </c>
      <c r="G36">
        <v>0</v>
      </c>
      <c r="H36">
        <v>2.5</v>
      </c>
      <c r="I36">
        <v>280</v>
      </c>
      <c r="J36">
        <v>1.43E-2</v>
      </c>
      <c r="K36">
        <v>28</v>
      </c>
      <c r="L36">
        <v>16</v>
      </c>
      <c r="M36">
        <v>112</v>
      </c>
      <c r="N36">
        <v>1</v>
      </c>
      <c r="O36">
        <v>0</v>
      </c>
      <c r="P36">
        <v>14</v>
      </c>
      <c r="Q36">
        <v>60.649799999999999</v>
      </c>
      <c r="R36">
        <v>0</v>
      </c>
      <c r="S36">
        <v>10</v>
      </c>
      <c r="T36">
        <v>0</v>
      </c>
      <c r="U36">
        <v>1</v>
      </c>
    </row>
    <row r="37" spans="1:21" x14ac:dyDescent="0.3">
      <c r="A37" t="s">
        <v>57</v>
      </c>
      <c r="B37">
        <v>18</v>
      </c>
      <c r="C37">
        <v>17</v>
      </c>
      <c r="D37">
        <v>0.5</v>
      </c>
      <c r="E37">
        <v>8</v>
      </c>
      <c r="F37">
        <v>3</v>
      </c>
      <c r="G37">
        <v>0</v>
      </c>
      <c r="H37">
        <v>40.363599999999998</v>
      </c>
      <c r="I37">
        <v>30098.391199999998</v>
      </c>
      <c r="J37">
        <v>0.32250000000000001</v>
      </c>
      <c r="K37">
        <v>135</v>
      </c>
      <c r="L37">
        <v>46</v>
      </c>
      <c r="M37">
        <v>745.68089999999995</v>
      </c>
      <c r="N37">
        <v>1</v>
      </c>
      <c r="O37">
        <v>2</v>
      </c>
      <c r="P37">
        <v>43</v>
      </c>
      <c r="Q37">
        <v>43.867899999999999</v>
      </c>
      <c r="R37">
        <v>4</v>
      </c>
      <c r="S37">
        <v>22</v>
      </c>
      <c r="T37">
        <v>9</v>
      </c>
      <c r="U37">
        <v>4</v>
      </c>
    </row>
    <row r="38" spans="1:21" x14ac:dyDescent="0.3">
      <c r="A38" t="s">
        <v>58</v>
      </c>
      <c r="B38">
        <v>3</v>
      </c>
      <c r="C38">
        <v>2</v>
      </c>
      <c r="D38">
        <v>0.4</v>
      </c>
      <c r="E38">
        <v>4</v>
      </c>
      <c r="F38">
        <v>1</v>
      </c>
      <c r="G38">
        <v>0</v>
      </c>
      <c r="H38">
        <v>12.833299999999999</v>
      </c>
      <c r="I38">
        <v>2533.5369999999998</v>
      </c>
      <c r="J38">
        <v>6.1899999999999997E-2</v>
      </c>
      <c r="K38">
        <v>42</v>
      </c>
      <c r="L38">
        <v>26</v>
      </c>
      <c r="M38">
        <v>197.41849999999999</v>
      </c>
      <c r="N38">
        <v>1</v>
      </c>
      <c r="O38">
        <v>1</v>
      </c>
      <c r="P38">
        <v>30</v>
      </c>
      <c r="Q38">
        <v>51.564500000000002</v>
      </c>
      <c r="R38">
        <v>1</v>
      </c>
      <c r="S38">
        <v>8</v>
      </c>
      <c r="T38">
        <v>1</v>
      </c>
      <c r="U38">
        <v>1</v>
      </c>
    </row>
    <row r="39" spans="1:21" x14ac:dyDescent="0.3">
      <c r="A39" t="s">
        <v>59</v>
      </c>
      <c r="B39">
        <v>3</v>
      </c>
      <c r="C39">
        <v>2</v>
      </c>
      <c r="D39">
        <v>0.4</v>
      </c>
      <c r="E39">
        <v>4</v>
      </c>
      <c r="F39">
        <v>1</v>
      </c>
      <c r="G39">
        <v>0</v>
      </c>
      <c r="H39">
        <v>12.833299999999999</v>
      </c>
      <c r="I39">
        <v>2533.5369999999998</v>
      </c>
      <c r="J39">
        <v>6.1899999999999997E-2</v>
      </c>
      <c r="K39">
        <v>42</v>
      </c>
      <c r="L39">
        <v>26</v>
      </c>
      <c r="M39">
        <v>197.41849999999999</v>
      </c>
      <c r="N39">
        <v>1</v>
      </c>
      <c r="O39">
        <v>1</v>
      </c>
      <c r="P39">
        <v>22</v>
      </c>
      <c r="Q39">
        <v>54.502800000000001</v>
      </c>
      <c r="R39">
        <v>1</v>
      </c>
      <c r="S39">
        <v>8</v>
      </c>
      <c r="T39">
        <v>1</v>
      </c>
      <c r="U39">
        <v>1</v>
      </c>
    </row>
    <row r="40" spans="1:21" x14ac:dyDescent="0.3">
      <c r="A40" t="s">
        <v>60</v>
      </c>
      <c r="B40">
        <v>6</v>
      </c>
      <c r="C40">
        <v>6</v>
      </c>
      <c r="D40">
        <v>0.6</v>
      </c>
      <c r="E40">
        <v>4</v>
      </c>
      <c r="F40">
        <v>2</v>
      </c>
      <c r="G40">
        <v>0</v>
      </c>
      <c r="H40">
        <v>24.7273</v>
      </c>
      <c r="I40">
        <v>7607.8576999999996</v>
      </c>
      <c r="J40">
        <v>0.12889999999999999</v>
      </c>
      <c r="K40">
        <v>64</v>
      </c>
      <c r="L40">
        <v>28</v>
      </c>
      <c r="M40">
        <v>307.67070000000001</v>
      </c>
      <c r="N40">
        <v>1</v>
      </c>
      <c r="O40">
        <v>0</v>
      </c>
      <c r="P40">
        <v>33</v>
      </c>
      <c r="Q40">
        <v>49.219200000000001</v>
      </c>
      <c r="R40">
        <v>2</v>
      </c>
      <c r="S40">
        <v>8</v>
      </c>
      <c r="T40">
        <v>0</v>
      </c>
      <c r="U40">
        <v>2</v>
      </c>
    </row>
    <row r="41" spans="1:21" x14ac:dyDescent="0.3">
      <c r="A41" t="s">
        <v>61</v>
      </c>
      <c r="B41">
        <v>5</v>
      </c>
      <c r="C41">
        <v>4</v>
      </c>
      <c r="D41">
        <v>0.6</v>
      </c>
      <c r="E41">
        <v>4</v>
      </c>
      <c r="F41">
        <v>1</v>
      </c>
      <c r="G41">
        <v>0</v>
      </c>
      <c r="H41">
        <v>28.928599999999999</v>
      </c>
      <c r="I41">
        <v>6579.2542999999996</v>
      </c>
      <c r="J41">
        <v>0.11700000000000001</v>
      </c>
      <c r="K41">
        <v>51</v>
      </c>
      <c r="L41">
        <v>22</v>
      </c>
      <c r="M41">
        <v>227.43100000000001</v>
      </c>
      <c r="N41">
        <v>1</v>
      </c>
      <c r="O41">
        <v>0</v>
      </c>
      <c r="P41">
        <v>19</v>
      </c>
      <c r="Q41">
        <v>55.3919</v>
      </c>
      <c r="R41">
        <v>0</v>
      </c>
      <c r="S41">
        <v>4</v>
      </c>
      <c r="T41">
        <v>0</v>
      </c>
      <c r="U41">
        <v>2</v>
      </c>
    </row>
    <row r="42" spans="1:21" x14ac:dyDescent="0.3">
      <c r="A42" t="s">
        <v>62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4.7549000000000001</v>
      </c>
      <c r="J42">
        <v>8.9999999999999998E-4</v>
      </c>
      <c r="K42">
        <v>3</v>
      </c>
      <c r="L42">
        <v>3</v>
      </c>
      <c r="M42">
        <v>4.7549000000000001</v>
      </c>
      <c r="N42">
        <v>1</v>
      </c>
      <c r="O42">
        <v>0</v>
      </c>
      <c r="P42">
        <v>5</v>
      </c>
      <c r="Q42">
        <v>80.537099999999995</v>
      </c>
      <c r="R42">
        <v>0</v>
      </c>
      <c r="S42">
        <v>1</v>
      </c>
      <c r="T42">
        <v>0</v>
      </c>
      <c r="U42">
        <v>0</v>
      </c>
    </row>
    <row r="43" spans="1:21" x14ac:dyDescent="0.3">
      <c r="A43" t="s">
        <v>63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4.7549000000000001</v>
      </c>
      <c r="J43">
        <v>8.9999999999999998E-4</v>
      </c>
      <c r="K43">
        <v>3</v>
      </c>
      <c r="L43">
        <v>3</v>
      </c>
      <c r="M43">
        <v>4.7549000000000001</v>
      </c>
      <c r="N43">
        <v>1</v>
      </c>
      <c r="O43">
        <v>0</v>
      </c>
      <c r="P43">
        <v>5</v>
      </c>
      <c r="Q43">
        <v>80.537099999999995</v>
      </c>
      <c r="R43">
        <v>0</v>
      </c>
      <c r="S43">
        <v>1</v>
      </c>
      <c r="T43">
        <v>0</v>
      </c>
      <c r="U43">
        <v>0</v>
      </c>
    </row>
    <row r="44" spans="1:21" x14ac:dyDescent="0.3">
      <c r="A44" t="s">
        <v>64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23.2193</v>
      </c>
      <c r="J44">
        <v>2.7000000000000001E-3</v>
      </c>
      <c r="K44">
        <v>5</v>
      </c>
      <c r="L44">
        <v>5</v>
      </c>
      <c r="M44">
        <v>11.6096</v>
      </c>
      <c r="N44">
        <v>1</v>
      </c>
      <c r="O44">
        <v>0</v>
      </c>
      <c r="P44">
        <v>5</v>
      </c>
      <c r="Q44">
        <v>77.460800000000006</v>
      </c>
      <c r="R44">
        <v>0</v>
      </c>
      <c r="S44">
        <v>1</v>
      </c>
      <c r="T44">
        <v>0</v>
      </c>
      <c r="U44">
        <v>0</v>
      </c>
    </row>
    <row r="45" spans="1:21" x14ac:dyDescent="0.3">
      <c r="A45" t="s">
        <v>65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23.2193</v>
      </c>
      <c r="J45">
        <v>2.7000000000000001E-3</v>
      </c>
      <c r="K45">
        <v>5</v>
      </c>
      <c r="L45">
        <v>5</v>
      </c>
      <c r="M45">
        <v>11.6096</v>
      </c>
      <c r="N45">
        <v>1</v>
      </c>
      <c r="O45">
        <v>0</v>
      </c>
      <c r="P45">
        <v>5</v>
      </c>
      <c r="Q45">
        <v>77.460800000000006</v>
      </c>
      <c r="R45">
        <v>0</v>
      </c>
      <c r="S45">
        <v>1</v>
      </c>
      <c r="T45">
        <v>0</v>
      </c>
      <c r="U45">
        <v>0</v>
      </c>
    </row>
    <row r="46" spans="1:21" x14ac:dyDescent="0.3">
      <c r="A46" t="s">
        <v>66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4.7549000000000001</v>
      </c>
      <c r="J46">
        <v>8.9999999999999998E-4</v>
      </c>
      <c r="K46">
        <v>3</v>
      </c>
      <c r="L46">
        <v>3</v>
      </c>
      <c r="M46">
        <v>4.7549000000000001</v>
      </c>
      <c r="N46">
        <v>1</v>
      </c>
      <c r="O46">
        <v>0</v>
      </c>
      <c r="P46">
        <v>5</v>
      </c>
      <c r="Q46">
        <v>80.537099999999995</v>
      </c>
      <c r="R46">
        <v>0</v>
      </c>
      <c r="S46">
        <v>1</v>
      </c>
      <c r="T46">
        <v>0</v>
      </c>
      <c r="U46">
        <v>0</v>
      </c>
    </row>
    <row r="47" spans="1:21" x14ac:dyDescent="0.3">
      <c r="A47" t="s">
        <v>67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4.7549000000000001</v>
      </c>
      <c r="J47">
        <v>8.9999999999999998E-4</v>
      </c>
      <c r="K47">
        <v>3</v>
      </c>
      <c r="L47">
        <v>3</v>
      </c>
      <c r="M47">
        <v>4.7549000000000001</v>
      </c>
      <c r="N47">
        <v>1</v>
      </c>
      <c r="O47">
        <v>0</v>
      </c>
      <c r="P47">
        <v>5</v>
      </c>
      <c r="Q47">
        <v>80.537099999999995</v>
      </c>
      <c r="R47">
        <v>0</v>
      </c>
      <c r="S47">
        <v>1</v>
      </c>
      <c r="T47">
        <v>0</v>
      </c>
      <c r="U47">
        <v>0</v>
      </c>
    </row>
    <row r="48" spans="1:21" x14ac:dyDescent="0.3">
      <c r="A48" t="s">
        <v>68</v>
      </c>
      <c r="B48">
        <v>1</v>
      </c>
      <c r="C48">
        <v>0</v>
      </c>
      <c r="D48">
        <v>1</v>
      </c>
      <c r="E48">
        <v>2</v>
      </c>
      <c r="F48">
        <v>0</v>
      </c>
      <c r="G48">
        <v>0</v>
      </c>
      <c r="H48">
        <v>2.5</v>
      </c>
      <c r="I48">
        <v>49.128700000000002</v>
      </c>
      <c r="J48">
        <v>4.4999999999999997E-3</v>
      </c>
      <c r="K48">
        <v>7</v>
      </c>
      <c r="L48">
        <v>7</v>
      </c>
      <c r="M48">
        <v>19.651499999999999</v>
      </c>
      <c r="N48">
        <v>1</v>
      </c>
      <c r="O48">
        <v>0</v>
      </c>
      <c r="P48">
        <v>6</v>
      </c>
      <c r="Q48">
        <v>74.071600000000004</v>
      </c>
      <c r="R48">
        <v>0</v>
      </c>
      <c r="S48">
        <v>2</v>
      </c>
      <c r="T48">
        <v>0</v>
      </c>
      <c r="U48">
        <v>0</v>
      </c>
    </row>
    <row r="49" spans="1:21" x14ac:dyDescent="0.3">
      <c r="A49" t="s">
        <v>69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23.2193</v>
      </c>
      <c r="J49">
        <v>2.7000000000000001E-3</v>
      </c>
      <c r="K49">
        <v>5</v>
      </c>
      <c r="L49">
        <v>5</v>
      </c>
      <c r="M49">
        <v>11.6096</v>
      </c>
      <c r="N49">
        <v>1</v>
      </c>
      <c r="O49">
        <v>0</v>
      </c>
      <c r="P49">
        <v>5</v>
      </c>
      <c r="Q49">
        <v>77.460800000000006</v>
      </c>
      <c r="R49">
        <v>0</v>
      </c>
      <c r="S49">
        <v>1</v>
      </c>
      <c r="T49">
        <v>0</v>
      </c>
      <c r="U49">
        <v>0</v>
      </c>
    </row>
    <row r="50" spans="1:21" x14ac:dyDescent="0.3">
      <c r="A50" t="s">
        <v>70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23.2193</v>
      </c>
      <c r="J50">
        <v>2.7000000000000001E-3</v>
      </c>
      <c r="K50">
        <v>5</v>
      </c>
      <c r="L50">
        <v>5</v>
      </c>
      <c r="M50">
        <v>11.6096</v>
      </c>
      <c r="N50">
        <v>1</v>
      </c>
      <c r="O50">
        <v>0</v>
      </c>
      <c r="P50">
        <v>5</v>
      </c>
      <c r="Q50">
        <v>77.460800000000006</v>
      </c>
      <c r="R50">
        <v>0</v>
      </c>
      <c r="S50">
        <v>1</v>
      </c>
      <c r="T50">
        <v>0</v>
      </c>
      <c r="U50">
        <v>0</v>
      </c>
    </row>
    <row r="51" spans="1:21" x14ac:dyDescent="0.3">
      <c r="A51" t="s">
        <v>71</v>
      </c>
      <c r="B51">
        <v>3</v>
      </c>
      <c r="C51">
        <v>2</v>
      </c>
      <c r="D51">
        <v>0.71430000000000005</v>
      </c>
      <c r="E51">
        <v>7</v>
      </c>
      <c r="F51">
        <v>0</v>
      </c>
      <c r="G51">
        <v>1</v>
      </c>
      <c r="H51">
        <v>14.166700000000001</v>
      </c>
      <c r="I51">
        <v>2821.6772999999998</v>
      </c>
      <c r="J51">
        <v>6.6600000000000006E-2</v>
      </c>
      <c r="K51">
        <v>41</v>
      </c>
      <c r="L51">
        <v>29</v>
      </c>
      <c r="M51">
        <v>199.1772</v>
      </c>
      <c r="N51">
        <v>0</v>
      </c>
      <c r="O51">
        <v>1</v>
      </c>
      <c r="P51">
        <v>38</v>
      </c>
      <c r="Q51">
        <v>49.2943</v>
      </c>
      <c r="R51">
        <v>1</v>
      </c>
      <c r="S51">
        <v>8</v>
      </c>
      <c r="T51">
        <v>1</v>
      </c>
      <c r="U51">
        <v>1</v>
      </c>
    </row>
    <row r="52" spans="1:21" x14ac:dyDescent="0.3">
      <c r="A52" t="s">
        <v>72</v>
      </c>
      <c r="B52">
        <v>6</v>
      </c>
      <c r="C52">
        <v>5</v>
      </c>
      <c r="D52">
        <v>0.44440000000000002</v>
      </c>
      <c r="E52">
        <v>9</v>
      </c>
      <c r="F52">
        <v>1</v>
      </c>
      <c r="G52">
        <v>0</v>
      </c>
      <c r="H52">
        <v>17.968800000000002</v>
      </c>
      <c r="I52">
        <v>5318.4359999999997</v>
      </c>
      <c r="J52">
        <v>0.1016</v>
      </c>
      <c r="K52">
        <v>56</v>
      </c>
      <c r="L52">
        <v>39</v>
      </c>
      <c r="M52">
        <v>295.98250000000002</v>
      </c>
      <c r="N52">
        <v>0</v>
      </c>
      <c r="O52">
        <v>1</v>
      </c>
      <c r="P52">
        <v>28</v>
      </c>
      <c r="Q52">
        <v>50.896999999999998</v>
      </c>
      <c r="R52">
        <v>2</v>
      </c>
      <c r="S52">
        <v>9</v>
      </c>
      <c r="T52">
        <v>1</v>
      </c>
      <c r="U52">
        <v>1</v>
      </c>
    </row>
    <row r="53" spans="1:21" x14ac:dyDescent="0.3">
      <c r="A53" t="s">
        <v>73</v>
      </c>
      <c r="B53">
        <v>1</v>
      </c>
      <c r="C53">
        <v>0</v>
      </c>
      <c r="D53">
        <v>0.66669999999999996</v>
      </c>
      <c r="E53">
        <v>3</v>
      </c>
      <c r="F53">
        <v>0</v>
      </c>
      <c r="G53">
        <v>1</v>
      </c>
      <c r="H53">
        <v>5.8333000000000004</v>
      </c>
      <c r="I53">
        <v>245</v>
      </c>
      <c r="J53">
        <v>1.3100000000000001E-2</v>
      </c>
      <c r="K53">
        <v>14</v>
      </c>
      <c r="L53">
        <v>8</v>
      </c>
      <c r="M53">
        <v>42</v>
      </c>
      <c r="N53">
        <v>0</v>
      </c>
      <c r="O53">
        <v>0</v>
      </c>
      <c r="P53">
        <v>7</v>
      </c>
      <c r="Q53">
        <v>70.198999999999998</v>
      </c>
      <c r="R53">
        <v>0</v>
      </c>
      <c r="S53">
        <v>1</v>
      </c>
      <c r="T53">
        <v>0</v>
      </c>
      <c r="U53">
        <v>0</v>
      </c>
    </row>
    <row r="54" spans="1:21" x14ac:dyDescent="0.3">
      <c r="A54" t="s">
        <v>74</v>
      </c>
      <c r="B54">
        <v>1</v>
      </c>
      <c r="C54">
        <v>0</v>
      </c>
      <c r="D54">
        <v>0.33329999999999999</v>
      </c>
      <c r="E54">
        <v>1</v>
      </c>
      <c r="F54">
        <v>0</v>
      </c>
      <c r="G54">
        <v>1</v>
      </c>
      <c r="H54">
        <v>4.5</v>
      </c>
      <c r="I54">
        <v>325.52879999999999</v>
      </c>
      <c r="J54">
        <v>1.5800000000000002E-2</v>
      </c>
      <c r="K54">
        <v>19</v>
      </c>
      <c r="L54">
        <v>14</v>
      </c>
      <c r="M54">
        <v>72.339699999999993</v>
      </c>
      <c r="N54">
        <v>0.66669999999999996</v>
      </c>
      <c r="O54">
        <v>0</v>
      </c>
      <c r="P54">
        <v>7</v>
      </c>
      <c r="Q54">
        <v>68.56</v>
      </c>
      <c r="R54">
        <v>0</v>
      </c>
      <c r="S54">
        <v>5</v>
      </c>
      <c r="T54">
        <v>0</v>
      </c>
      <c r="U54">
        <v>2</v>
      </c>
    </row>
    <row r="55" spans="1:21" x14ac:dyDescent="0.3">
      <c r="A55" t="s">
        <v>75</v>
      </c>
      <c r="B55">
        <v>20</v>
      </c>
      <c r="C55">
        <v>19</v>
      </c>
      <c r="D55">
        <v>0.5</v>
      </c>
      <c r="E55">
        <v>12</v>
      </c>
      <c r="F55">
        <v>3</v>
      </c>
      <c r="G55">
        <v>1</v>
      </c>
      <c r="H55">
        <v>45.268300000000004</v>
      </c>
      <c r="I55">
        <v>61319.141199999998</v>
      </c>
      <c r="J55">
        <v>0.51829999999999998</v>
      </c>
      <c r="K55">
        <v>221</v>
      </c>
      <c r="L55">
        <v>70</v>
      </c>
      <c r="M55">
        <v>1354.5715</v>
      </c>
      <c r="N55">
        <v>0.85709999999999997</v>
      </c>
      <c r="O55">
        <v>2</v>
      </c>
      <c r="P55">
        <v>70</v>
      </c>
      <c r="Q55">
        <v>37.420499999999997</v>
      </c>
      <c r="R55">
        <v>2</v>
      </c>
      <c r="S55">
        <v>28</v>
      </c>
      <c r="T55">
        <v>12</v>
      </c>
      <c r="U55">
        <v>4</v>
      </c>
    </row>
    <row r="56" spans="1:21" x14ac:dyDescent="0.3">
      <c r="A56" t="s">
        <v>76</v>
      </c>
      <c r="B56">
        <v>3</v>
      </c>
      <c r="C56">
        <v>2</v>
      </c>
      <c r="D56">
        <v>0.5</v>
      </c>
      <c r="E56">
        <v>5</v>
      </c>
      <c r="F56">
        <v>0</v>
      </c>
      <c r="G56">
        <v>0</v>
      </c>
      <c r="H56">
        <v>10.833299999999999</v>
      </c>
      <c r="I56">
        <v>2515.4220999999998</v>
      </c>
      <c r="J56">
        <v>6.1699999999999998E-2</v>
      </c>
      <c r="K56">
        <v>50</v>
      </c>
      <c r="L56">
        <v>25</v>
      </c>
      <c r="M56">
        <v>232.19280000000001</v>
      </c>
      <c r="N56">
        <v>1</v>
      </c>
      <c r="O56">
        <v>0</v>
      </c>
      <c r="P56">
        <v>11</v>
      </c>
      <c r="Q56">
        <v>60.572200000000002</v>
      </c>
      <c r="R56">
        <v>0</v>
      </c>
      <c r="S56">
        <v>9</v>
      </c>
      <c r="T56">
        <v>0</v>
      </c>
      <c r="U56">
        <v>1</v>
      </c>
    </row>
    <row r="57" spans="1:21" x14ac:dyDescent="0.3">
      <c r="A57" t="s">
        <v>77</v>
      </c>
      <c r="B57">
        <v>1</v>
      </c>
      <c r="C57">
        <v>0</v>
      </c>
      <c r="D57">
        <v>0.33329999999999999</v>
      </c>
      <c r="E57">
        <v>1</v>
      </c>
      <c r="F57">
        <v>0</v>
      </c>
      <c r="G57">
        <v>1</v>
      </c>
      <c r="H57">
        <v>4.5</v>
      </c>
      <c r="I57">
        <v>325.52879999999999</v>
      </c>
      <c r="J57">
        <v>1.5800000000000002E-2</v>
      </c>
      <c r="K57">
        <v>19</v>
      </c>
      <c r="L57">
        <v>14</v>
      </c>
      <c r="M57">
        <v>72.339699999999993</v>
      </c>
      <c r="N57">
        <v>0.66669999999999996</v>
      </c>
      <c r="O57">
        <v>0</v>
      </c>
      <c r="P57">
        <v>7</v>
      </c>
      <c r="Q57">
        <v>68.56</v>
      </c>
      <c r="R57">
        <v>0</v>
      </c>
      <c r="S57">
        <v>5</v>
      </c>
      <c r="T57">
        <v>0</v>
      </c>
      <c r="U57">
        <v>2</v>
      </c>
    </row>
    <row r="58" spans="1:21" x14ac:dyDescent="0.3">
      <c r="A58" t="s">
        <v>78</v>
      </c>
      <c r="B58">
        <v>10</v>
      </c>
      <c r="C58">
        <v>10</v>
      </c>
      <c r="D58">
        <v>0.5625</v>
      </c>
      <c r="E58">
        <v>14</v>
      </c>
      <c r="F58">
        <v>2</v>
      </c>
      <c r="G58">
        <v>1</v>
      </c>
      <c r="H58">
        <v>43.421100000000003</v>
      </c>
      <c r="I58">
        <v>29011.7968</v>
      </c>
      <c r="J58">
        <v>0.31469999999999998</v>
      </c>
      <c r="K58">
        <v>119</v>
      </c>
      <c r="L58">
        <v>49</v>
      </c>
      <c r="M58">
        <v>668.15049999999997</v>
      </c>
      <c r="N58">
        <v>0.8</v>
      </c>
      <c r="O58">
        <v>2</v>
      </c>
      <c r="P58">
        <v>46</v>
      </c>
      <c r="Q58">
        <v>43.639800000000001</v>
      </c>
      <c r="R58">
        <v>2</v>
      </c>
      <c r="S58">
        <v>15</v>
      </c>
      <c r="T58">
        <v>6</v>
      </c>
      <c r="U58">
        <v>0</v>
      </c>
    </row>
    <row r="59" spans="1:21" x14ac:dyDescent="0.3">
      <c r="A59" t="s">
        <v>79</v>
      </c>
      <c r="B59">
        <v>10</v>
      </c>
      <c r="C59">
        <v>10</v>
      </c>
      <c r="D59">
        <v>0.5625</v>
      </c>
      <c r="E59">
        <v>14</v>
      </c>
      <c r="F59">
        <v>2</v>
      </c>
      <c r="G59">
        <v>1</v>
      </c>
      <c r="H59">
        <v>43.421100000000003</v>
      </c>
      <c r="I59">
        <v>29011.7968</v>
      </c>
      <c r="J59">
        <v>0.31469999999999998</v>
      </c>
      <c r="K59">
        <v>119</v>
      </c>
      <c r="L59">
        <v>49</v>
      </c>
      <c r="M59">
        <v>668.15049999999997</v>
      </c>
      <c r="N59">
        <v>0.8</v>
      </c>
      <c r="O59">
        <v>2</v>
      </c>
      <c r="P59">
        <v>42</v>
      </c>
      <c r="Q59">
        <v>44.5017</v>
      </c>
      <c r="R59">
        <v>2</v>
      </c>
      <c r="S59">
        <v>15</v>
      </c>
      <c r="T59">
        <v>6</v>
      </c>
      <c r="U59">
        <v>0</v>
      </c>
    </row>
    <row r="60" spans="1:21" x14ac:dyDescent="0.3">
      <c r="A60" t="s">
        <v>80</v>
      </c>
      <c r="B60">
        <v>12</v>
      </c>
      <c r="C60">
        <v>13</v>
      </c>
      <c r="D60">
        <v>0.1905</v>
      </c>
      <c r="E60">
        <v>18</v>
      </c>
      <c r="F60">
        <v>2</v>
      </c>
      <c r="G60">
        <v>0</v>
      </c>
      <c r="H60">
        <v>45.9</v>
      </c>
      <c r="I60">
        <v>31453.795699999999</v>
      </c>
      <c r="J60">
        <v>0.33210000000000001</v>
      </c>
      <c r="K60">
        <v>118</v>
      </c>
      <c r="L60">
        <v>56</v>
      </c>
      <c r="M60">
        <v>685.26790000000005</v>
      </c>
      <c r="N60">
        <v>1</v>
      </c>
      <c r="O60">
        <v>1</v>
      </c>
      <c r="P60">
        <v>50</v>
      </c>
      <c r="Q60">
        <v>42.749000000000002</v>
      </c>
      <c r="R60">
        <v>4</v>
      </c>
      <c r="S60">
        <v>8</v>
      </c>
      <c r="T60">
        <v>2</v>
      </c>
      <c r="U60">
        <v>1</v>
      </c>
    </row>
    <row r="61" spans="1:21" x14ac:dyDescent="0.3">
      <c r="A61" t="s">
        <v>81</v>
      </c>
      <c r="B61">
        <v>12</v>
      </c>
      <c r="C61">
        <v>13</v>
      </c>
      <c r="D61">
        <v>0.1905</v>
      </c>
      <c r="E61">
        <v>18</v>
      </c>
      <c r="F61">
        <v>2</v>
      </c>
      <c r="G61">
        <v>0</v>
      </c>
      <c r="H61">
        <v>45.9</v>
      </c>
      <c r="I61">
        <v>31453.795699999999</v>
      </c>
      <c r="J61">
        <v>0.33210000000000001</v>
      </c>
      <c r="K61">
        <v>118</v>
      </c>
      <c r="L61">
        <v>56</v>
      </c>
      <c r="M61">
        <v>685.26790000000005</v>
      </c>
      <c r="N61">
        <v>1</v>
      </c>
      <c r="O61">
        <v>1</v>
      </c>
      <c r="P61">
        <v>52</v>
      </c>
      <c r="Q61">
        <v>42.377400000000002</v>
      </c>
      <c r="R61">
        <v>4</v>
      </c>
      <c r="S61">
        <v>8</v>
      </c>
      <c r="T61">
        <v>2</v>
      </c>
      <c r="U61">
        <v>1</v>
      </c>
    </row>
    <row r="62" spans="1:21" x14ac:dyDescent="0.3">
      <c r="A62" t="s">
        <v>82</v>
      </c>
      <c r="B62">
        <v>3</v>
      </c>
      <c r="C62">
        <v>2</v>
      </c>
      <c r="D62">
        <v>1</v>
      </c>
      <c r="E62">
        <v>2</v>
      </c>
      <c r="F62">
        <v>1</v>
      </c>
      <c r="G62">
        <v>0</v>
      </c>
      <c r="H62">
        <v>5.25</v>
      </c>
      <c r="I62">
        <v>348.69</v>
      </c>
      <c r="J62">
        <v>1.6500000000000001E-2</v>
      </c>
      <c r="K62">
        <v>17</v>
      </c>
      <c r="L62">
        <v>15</v>
      </c>
      <c r="M62">
        <v>66.417100000000005</v>
      </c>
      <c r="N62">
        <v>1</v>
      </c>
      <c r="O62">
        <v>1</v>
      </c>
      <c r="P62">
        <v>8</v>
      </c>
      <c r="Q62">
        <v>67.411799999999999</v>
      </c>
      <c r="R62">
        <v>0</v>
      </c>
      <c r="S62">
        <v>3</v>
      </c>
      <c r="T62">
        <v>1</v>
      </c>
      <c r="U62">
        <v>1</v>
      </c>
    </row>
    <row r="63" spans="1:21" x14ac:dyDescent="0.3">
      <c r="A63" t="s">
        <v>83</v>
      </c>
      <c r="B63">
        <v>3</v>
      </c>
      <c r="C63">
        <v>2</v>
      </c>
      <c r="D63">
        <v>1</v>
      </c>
      <c r="E63">
        <v>2</v>
      </c>
      <c r="F63">
        <v>1</v>
      </c>
      <c r="G63">
        <v>0</v>
      </c>
      <c r="H63">
        <v>5.25</v>
      </c>
      <c r="I63">
        <v>348.69</v>
      </c>
      <c r="J63">
        <v>1.6500000000000001E-2</v>
      </c>
      <c r="K63">
        <v>17</v>
      </c>
      <c r="L63">
        <v>15</v>
      </c>
      <c r="M63">
        <v>66.417100000000005</v>
      </c>
      <c r="N63">
        <v>1</v>
      </c>
      <c r="O63">
        <v>1</v>
      </c>
      <c r="P63">
        <v>14</v>
      </c>
      <c r="Q63">
        <v>62.110199999999999</v>
      </c>
      <c r="R63">
        <v>0</v>
      </c>
      <c r="S63">
        <v>3</v>
      </c>
      <c r="T63">
        <v>1</v>
      </c>
      <c r="U63">
        <v>1</v>
      </c>
    </row>
    <row r="64" spans="1:21" x14ac:dyDescent="0.3">
      <c r="A64" t="s">
        <v>84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0</v>
      </c>
      <c r="N64">
        <v>0</v>
      </c>
      <c r="O64">
        <v>0</v>
      </c>
      <c r="P64">
        <v>3</v>
      </c>
      <c r="Q64" t="s">
        <v>85</v>
      </c>
      <c r="R64">
        <v>0</v>
      </c>
      <c r="S64">
        <v>0</v>
      </c>
      <c r="T64">
        <v>0</v>
      </c>
      <c r="U64">
        <v>0</v>
      </c>
    </row>
    <row r="65" spans="1:21" x14ac:dyDescent="0.3">
      <c r="A65" t="s">
        <v>86</v>
      </c>
      <c r="B65">
        <v>1</v>
      </c>
      <c r="C65">
        <v>0</v>
      </c>
      <c r="D65">
        <v>1</v>
      </c>
      <c r="E65">
        <v>1</v>
      </c>
      <c r="F65">
        <v>0</v>
      </c>
      <c r="G65">
        <v>0</v>
      </c>
      <c r="H65">
        <v>2.5</v>
      </c>
      <c r="I65">
        <v>134.43610000000001</v>
      </c>
      <c r="J65">
        <v>8.6999999999999994E-3</v>
      </c>
      <c r="K65">
        <v>15</v>
      </c>
      <c r="L65">
        <v>12</v>
      </c>
      <c r="M65">
        <v>53.7744</v>
      </c>
      <c r="N65">
        <v>1</v>
      </c>
      <c r="O65">
        <v>0</v>
      </c>
      <c r="P65">
        <v>13</v>
      </c>
      <c r="Q65">
        <v>63.627099999999999</v>
      </c>
      <c r="R65">
        <v>0</v>
      </c>
      <c r="S65">
        <v>7</v>
      </c>
      <c r="T65">
        <v>0</v>
      </c>
      <c r="U65">
        <v>3</v>
      </c>
    </row>
    <row r="66" spans="1:21" x14ac:dyDescent="0.3">
      <c r="A66" t="s">
        <v>87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4.7549000000000001</v>
      </c>
      <c r="J66">
        <v>8.9999999999999998E-4</v>
      </c>
      <c r="K66">
        <v>3</v>
      </c>
      <c r="L66">
        <v>3</v>
      </c>
      <c r="M66">
        <v>4.7549000000000001</v>
      </c>
      <c r="N66">
        <v>1</v>
      </c>
      <c r="O66">
        <v>0</v>
      </c>
      <c r="P66">
        <v>1</v>
      </c>
      <c r="Q66">
        <v>95.784400000000005</v>
      </c>
      <c r="R66">
        <v>0</v>
      </c>
      <c r="S66">
        <v>1</v>
      </c>
      <c r="T66">
        <v>0</v>
      </c>
      <c r="U66">
        <v>0</v>
      </c>
    </row>
    <row r="67" spans="1:21" x14ac:dyDescent="0.3">
      <c r="A67" t="s">
        <v>88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4.7549000000000001</v>
      </c>
      <c r="J67">
        <v>8.9999999999999998E-4</v>
      </c>
      <c r="K67">
        <v>3</v>
      </c>
      <c r="L67">
        <v>3</v>
      </c>
      <c r="M67">
        <v>4.7549000000000001</v>
      </c>
      <c r="N67">
        <v>1</v>
      </c>
      <c r="O67">
        <v>0</v>
      </c>
      <c r="P67">
        <v>1</v>
      </c>
      <c r="Q67">
        <v>95.784400000000005</v>
      </c>
      <c r="R67">
        <v>0</v>
      </c>
      <c r="S67">
        <v>1</v>
      </c>
      <c r="T67">
        <v>0</v>
      </c>
      <c r="U67">
        <v>0</v>
      </c>
    </row>
    <row r="68" spans="1:21" x14ac:dyDescent="0.3">
      <c r="A68" t="s">
        <v>89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1.5</v>
      </c>
      <c r="I68">
        <v>12</v>
      </c>
      <c r="J68">
        <v>1.6999999999999999E-3</v>
      </c>
      <c r="K68">
        <v>4</v>
      </c>
      <c r="L68">
        <v>4</v>
      </c>
      <c r="M68">
        <v>8</v>
      </c>
      <c r="N68">
        <v>1</v>
      </c>
      <c r="O68">
        <v>0</v>
      </c>
      <c r="P68">
        <v>1</v>
      </c>
      <c r="Q68">
        <v>93.676599999999993</v>
      </c>
      <c r="R68">
        <v>0</v>
      </c>
      <c r="S68">
        <v>1</v>
      </c>
      <c r="T68">
        <v>0</v>
      </c>
      <c r="U68">
        <v>0</v>
      </c>
    </row>
    <row r="69" spans="1:21" x14ac:dyDescent="0.3">
      <c r="A69" t="s">
        <v>90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1.5</v>
      </c>
      <c r="I69">
        <v>12</v>
      </c>
      <c r="J69">
        <v>1.6999999999999999E-3</v>
      </c>
      <c r="K69">
        <v>4</v>
      </c>
      <c r="L69">
        <v>4</v>
      </c>
      <c r="M69">
        <v>8</v>
      </c>
      <c r="N69">
        <v>1</v>
      </c>
      <c r="O69">
        <v>0</v>
      </c>
      <c r="P69">
        <v>1</v>
      </c>
      <c r="Q69">
        <v>93.676599999999993</v>
      </c>
      <c r="R69">
        <v>0</v>
      </c>
      <c r="S69">
        <v>1</v>
      </c>
      <c r="T69">
        <v>0</v>
      </c>
      <c r="U69">
        <v>0</v>
      </c>
    </row>
    <row r="70" spans="1:21" x14ac:dyDescent="0.3">
      <c r="A70" t="s">
        <v>91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1.5</v>
      </c>
      <c r="I70">
        <v>17.4145</v>
      </c>
      <c r="J70">
        <v>2.2000000000000001E-3</v>
      </c>
      <c r="K70">
        <v>5</v>
      </c>
      <c r="L70">
        <v>5</v>
      </c>
      <c r="M70">
        <v>11.6096</v>
      </c>
      <c r="N70">
        <v>1</v>
      </c>
      <c r="O70">
        <v>0</v>
      </c>
      <c r="P70">
        <v>1</v>
      </c>
      <c r="Q70">
        <v>92.708200000000005</v>
      </c>
      <c r="R70">
        <v>0</v>
      </c>
      <c r="S70">
        <v>2</v>
      </c>
      <c r="T70">
        <v>0</v>
      </c>
      <c r="U70">
        <v>1</v>
      </c>
    </row>
    <row r="71" spans="1:21" x14ac:dyDescent="0.3">
      <c r="A71" t="s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1.5</v>
      </c>
      <c r="I71">
        <v>17.4145</v>
      </c>
      <c r="J71">
        <v>2.2000000000000001E-3</v>
      </c>
      <c r="K71">
        <v>5</v>
      </c>
      <c r="L71">
        <v>5</v>
      </c>
      <c r="M71">
        <v>11.6096</v>
      </c>
      <c r="N71">
        <v>1</v>
      </c>
      <c r="O71">
        <v>0</v>
      </c>
      <c r="P71">
        <v>1</v>
      </c>
      <c r="Q71">
        <v>92.708200000000005</v>
      </c>
      <c r="R71">
        <v>0</v>
      </c>
      <c r="S71">
        <v>2</v>
      </c>
      <c r="T71">
        <v>0</v>
      </c>
      <c r="U71">
        <v>1</v>
      </c>
    </row>
    <row r="72" spans="1:21" x14ac:dyDescent="0.3">
      <c r="A72" t="s">
        <v>93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</v>
      </c>
      <c r="I72">
        <v>31.019600000000001</v>
      </c>
      <c r="J72">
        <v>3.3E-3</v>
      </c>
      <c r="K72">
        <v>6</v>
      </c>
      <c r="L72">
        <v>6</v>
      </c>
      <c r="M72">
        <v>15.5098</v>
      </c>
      <c r="N72">
        <v>1</v>
      </c>
      <c r="O72">
        <v>0</v>
      </c>
      <c r="P72">
        <v>1</v>
      </c>
      <c r="Q72">
        <v>91.765000000000001</v>
      </c>
      <c r="R72">
        <v>0</v>
      </c>
      <c r="S72">
        <v>2</v>
      </c>
      <c r="T72">
        <v>0</v>
      </c>
      <c r="U72">
        <v>1</v>
      </c>
    </row>
    <row r="73" spans="1:21" x14ac:dyDescent="0.3">
      <c r="A73" t="s">
        <v>94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</v>
      </c>
      <c r="I73">
        <v>31.019600000000001</v>
      </c>
      <c r="J73">
        <v>3.3E-3</v>
      </c>
      <c r="K73">
        <v>6</v>
      </c>
      <c r="L73">
        <v>6</v>
      </c>
      <c r="M73">
        <v>15.5098</v>
      </c>
      <c r="N73">
        <v>1</v>
      </c>
      <c r="O73">
        <v>0</v>
      </c>
      <c r="P73">
        <v>1</v>
      </c>
      <c r="Q73">
        <v>91.765000000000001</v>
      </c>
      <c r="R73">
        <v>0</v>
      </c>
      <c r="S73">
        <v>2</v>
      </c>
      <c r="T73">
        <v>0</v>
      </c>
      <c r="U73">
        <v>1</v>
      </c>
    </row>
    <row r="74" spans="1:21" hidden="1" x14ac:dyDescent="0.3">
      <c r="A74" t="s">
        <v>95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>
        <v>1</v>
      </c>
      <c r="P74">
        <v>0</v>
      </c>
      <c r="Q74">
        <v>0</v>
      </c>
      <c r="R74" t="s">
        <v>96</v>
      </c>
      <c r="S74" t="s">
        <v>96</v>
      </c>
      <c r="T74">
        <v>4</v>
      </c>
      <c r="U74">
        <v>1</v>
      </c>
    </row>
    <row r="75" spans="1:21" hidden="1" x14ac:dyDescent="0.3">
      <c r="A75" t="s">
        <v>97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33</v>
      </c>
      <c r="J75" t="s">
        <v>33</v>
      </c>
      <c r="K75">
        <v>0</v>
      </c>
      <c r="L75">
        <v>0</v>
      </c>
      <c r="M75" t="s">
        <v>33</v>
      </c>
      <c r="N75">
        <v>0</v>
      </c>
      <c r="O75">
        <v>1</v>
      </c>
      <c r="P75">
        <v>0</v>
      </c>
      <c r="Q75">
        <v>0</v>
      </c>
      <c r="R75" t="s">
        <v>96</v>
      </c>
      <c r="S75" t="s">
        <v>96</v>
      </c>
      <c r="T75">
        <v>4</v>
      </c>
      <c r="U75">
        <v>0</v>
      </c>
    </row>
    <row r="76" spans="1:21" hidden="1" x14ac:dyDescent="0.3">
      <c r="A76" t="s">
        <v>98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33</v>
      </c>
      <c r="J76" t="s">
        <v>33</v>
      </c>
      <c r="K76">
        <v>0</v>
      </c>
      <c r="L76">
        <v>0</v>
      </c>
      <c r="M76" t="s">
        <v>33</v>
      </c>
      <c r="N76">
        <v>0</v>
      </c>
      <c r="O76">
        <v>1</v>
      </c>
      <c r="P76">
        <v>0</v>
      </c>
      <c r="Q76">
        <v>0</v>
      </c>
      <c r="R76" t="s">
        <v>96</v>
      </c>
      <c r="S76" t="s">
        <v>96</v>
      </c>
      <c r="T76">
        <v>4</v>
      </c>
      <c r="U76">
        <v>0</v>
      </c>
    </row>
    <row r="77" spans="1:21" hidden="1" x14ac:dyDescent="0.3">
      <c r="A77" t="s">
        <v>99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33</v>
      </c>
      <c r="J77" t="s">
        <v>33</v>
      </c>
      <c r="K77">
        <v>0</v>
      </c>
      <c r="L77">
        <v>0</v>
      </c>
      <c r="M77" t="s">
        <v>33</v>
      </c>
      <c r="N77">
        <v>0</v>
      </c>
      <c r="O77">
        <v>1</v>
      </c>
      <c r="P77">
        <v>0</v>
      </c>
      <c r="Q77">
        <v>0</v>
      </c>
      <c r="R77" t="s">
        <v>96</v>
      </c>
      <c r="S77" t="s">
        <v>96</v>
      </c>
      <c r="T77">
        <v>4</v>
      </c>
      <c r="U77">
        <v>1</v>
      </c>
    </row>
    <row r="78" spans="1:21" hidden="1" x14ac:dyDescent="0.3">
      <c r="A78" t="s">
        <v>100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33</v>
      </c>
      <c r="J78" t="s">
        <v>33</v>
      </c>
      <c r="K78">
        <v>0</v>
      </c>
      <c r="L78">
        <v>0</v>
      </c>
      <c r="M78" t="s">
        <v>33</v>
      </c>
      <c r="N78">
        <v>0</v>
      </c>
      <c r="O78">
        <v>1</v>
      </c>
      <c r="P78">
        <v>0</v>
      </c>
      <c r="Q78">
        <v>0</v>
      </c>
      <c r="R78" t="s">
        <v>96</v>
      </c>
      <c r="S78" t="s">
        <v>96</v>
      </c>
      <c r="T78">
        <v>4</v>
      </c>
      <c r="U78">
        <v>0</v>
      </c>
    </row>
    <row r="79" spans="1:21" hidden="1" x14ac:dyDescent="0.3">
      <c r="A79" t="s">
        <v>101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0</v>
      </c>
      <c r="R79" t="s">
        <v>96</v>
      </c>
      <c r="S79" t="s">
        <v>96</v>
      </c>
      <c r="T79">
        <v>4</v>
      </c>
      <c r="U79">
        <v>0</v>
      </c>
    </row>
    <row r="80" spans="1:21" hidden="1" x14ac:dyDescent="0.3">
      <c r="A80" t="s">
        <v>102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33</v>
      </c>
      <c r="J80" t="s">
        <v>33</v>
      </c>
      <c r="K80">
        <v>0</v>
      </c>
      <c r="L80">
        <v>0</v>
      </c>
      <c r="M80" t="s">
        <v>33</v>
      </c>
      <c r="N80">
        <v>0</v>
      </c>
      <c r="O80">
        <v>1</v>
      </c>
      <c r="P80">
        <v>0</v>
      </c>
      <c r="Q80">
        <v>0</v>
      </c>
      <c r="R80" t="s">
        <v>96</v>
      </c>
      <c r="S80" t="s">
        <v>96</v>
      </c>
      <c r="T80">
        <v>4</v>
      </c>
      <c r="U80">
        <v>1</v>
      </c>
    </row>
    <row r="81" spans="1:21" hidden="1" x14ac:dyDescent="0.3">
      <c r="A81" t="s">
        <v>103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96</v>
      </c>
      <c r="S81" t="s">
        <v>96</v>
      </c>
      <c r="T81">
        <v>0</v>
      </c>
      <c r="U81">
        <v>1</v>
      </c>
    </row>
    <row r="82" spans="1:21" hidden="1" x14ac:dyDescent="0.3">
      <c r="A82" t="s">
        <v>104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96</v>
      </c>
      <c r="S82" t="s">
        <v>96</v>
      </c>
      <c r="T82">
        <v>0</v>
      </c>
      <c r="U82">
        <v>2</v>
      </c>
    </row>
    <row r="83" spans="1:21" hidden="1" x14ac:dyDescent="0.3">
      <c r="A83" t="s">
        <v>105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t="s">
        <v>33</v>
      </c>
      <c r="J83" t="s">
        <v>33</v>
      </c>
      <c r="K83">
        <v>0</v>
      </c>
      <c r="L83">
        <v>0</v>
      </c>
      <c r="M83" t="s">
        <v>33</v>
      </c>
      <c r="N83">
        <v>0</v>
      </c>
      <c r="O83">
        <v>0</v>
      </c>
      <c r="P83">
        <v>0</v>
      </c>
      <c r="Q83">
        <v>0</v>
      </c>
      <c r="R83" t="s">
        <v>96</v>
      </c>
      <c r="S83" t="s">
        <v>96</v>
      </c>
      <c r="T83">
        <v>0</v>
      </c>
      <c r="U83">
        <v>0</v>
      </c>
    </row>
    <row r="84" spans="1:21" hidden="1" x14ac:dyDescent="0.3">
      <c r="A84" t="s">
        <v>106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t="s">
        <v>33</v>
      </c>
      <c r="J84" t="s">
        <v>33</v>
      </c>
      <c r="K84">
        <v>0</v>
      </c>
      <c r="L84">
        <v>0</v>
      </c>
      <c r="M84" t="s">
        <v>33</v>
      </c>
      <c r="N84">
        <v>0</v>
      </c>
      <c r="O84">
        <v>0</v>
      </c>
      <c r="P84">
        <v>0</v>
      </c>
      <c r="Q84">
        <v>0</v>
      </c>
      <c r="R84" t="s">
        <v>96</v>
      </c>
      <c r="S84" t="s">
        <v>96</v>
      </c>
      <c r="T84">
        <v>0</v>
      </c>
      <c r="U84">
        <v>0</v>
      </c>
    </row>
    <row r="85" spans="1:21" hidden="1" x14ac:dyDescent="0.3">
      <c r="A85" t="s">
        <v>107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96</v>
      </c>
      <c r="S85" t="s">
        <v>96</v>
      </c>
      <c r="T85">
        <v>0</v>
      </c>
      <c r="U85">
        <v>0</v>
      </c>
    </row>
    <row r="86" spans="1:21" hidden="1" x14ac:dyDescent="0.3">
      <c r="A86" t="s">
        <v>108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96</v>
      </c>
      <c r="S86" t="s">
        <v>96</v>
      </c>
      <c r="T86">
        <v>0</v>
      </c>
      <c r="U86">
        <v>0</v>
      </c>
    </row>
    <row r="87" spans="1:21" hidden="1" x14ac:dyDescent="0.3">
      <c r="A87" t="s">
        <v>109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33</v>
      </c>
      <c r="J87" t="s">
        <v>33</v>
      </c>
      <c r="K87">
        <v>0</v>
      </c>
      <c r="L87">
        <v>0</v>
      </c>
      <c r="M87" t="s">
        <v>33</v>
      </c>
      <c r="N87">
        <v>0</v>
      </c>
      <c r="O87">
        <v>0</v>
      </c>
      <c r="P87">
        <v>0</v>
      </c>
      <c r="Q87">
        <v>0</v>
      </c>
      <c r="R87" t="s">
        <v>96</v>
      </c>
      <c r="S87" t="s">
        <v>96</v>
      </c>
      <c r="T87">
        <v>0</v>
      </c>
      <c r="U87">
        <v>0</v>
      </c>
    </row>
    <row r="88" spans="1:21" hidden="1" x14ac:dyDescent="0.3">
      <c r="A88" t="s">
        <v>110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t="s">
        <v>33</v>
      </c>
      <c r="J88" t="s">
        <v>33</v>
      </c>
      <c r="K88">
        <v>0</v>
      </c>
      <c r="L88">
        <v>0</v>
      </c>
      <c r="M88" t="s">
        <v>33</v>
      </c>
      <c r="N88">
        <v>0</v>
      </c>
      <c r="O88">
        <v>0</v>
      </c>
      <c r="P88">
        <v>0</v>
      </c>
      <c r="Q88">
        <v>0</v>
      </c>
      <c r="R88" t="s">
        <v>96</v>
      </c>
      <c r="S88" t="s">
        <v>96</v>
      </c>
      <c r="T88">
        <v>0</v>
      </c>
      <c r="U88">
        <v>0</v>
      </c>
    </row>
    <row r="89" spans="1:21" hidden="1" x14ac:dyDescent="0.3">
      <c r="A89" t="s">
        <v>111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96</v>
      </c>
      <c r="S89" t="s">
        <v>96</v>
      </c>
      <c r="T89">
        <v>0</v>
      </c>
      <c r="U89">
        <v>0</v>
      </c>
    </row>
    <row r="90" spans="1:21" hidden="1" x14ac:dyDescent="0.3">
      <c r="A90" t="s">
        <v>112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96</v>
      </c>
      <c r="S90" t="s">
        <v>96</v>
      </c>
      <c r="T90">
        <v>0</v>
      </c>
      <c r="U90">
        <v>0</v>
      </c>
    </row>
    <row r="91" spans="1:21" hidden="1" x14ac:dyDescent="0.3">
      <c r="A91" t="s">
        <v>113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96</v>
      </c>
      <c r="S91" t="s">
        <v>96</v>
      </c>
      <c r="T91">
        <v>0</v>
      </c>
      <c r="U91">
        <v>0</v>
      </c>
    </row>
    <row r="92" spans="1:21" hidden="1" x14ac:dyDescent="0.3">
      <c r="A92" t="s">
        <v>114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96</v>
      </c>
      <c r="S92" t="s">
        <v>96</v>
      </c>
      <c r="T92">
        <v>0</v>
      </c>
      <c r="U92">
        <v>0</v>
      </c>
    </row>
    <row r="93" spans="1:21" hidden="1" x14ac:dyDescent="0.3">
      <c r="A93" t="s">
        <v>115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</v>
      </c>
      <c r="L93">
        <v>2</v>
      </c>
      <c r="M93">
        <v>3</v>
      </c>
      <c r="N93">
        <v>0</v>
      </c>
      <c r="O93">
        <v>0</v>
      </c>
      <c r="P93">
        <v>0</v>
      </c>
      <c r="Q93">
        <v>0</v>
      </c>
      <c r="R93" t="s">
        <v>96</v>
      </c>
      <c r="S93" t="s">
        <v>96</v>
      </c>
      <c r="T93">
        <v>0</v>
      </c>
      <c r="U93">
        <v>2</v>
      </c>
    </row>
    <row r="94" spans="1:21" hidden="1" x14ac:dyDescent="0.3">
      <c r="A94" t="s">
        <v>116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</v>
      </c>
      <c r="L94">
        <v>2</v>
      </c>
      <c r="M94">
        <v>3</v>
      </c>
      <c r="N94">
        <v>0</v>
      </c>
      <c r="O94">
        <v>0</v>
      </c>
      <c r="P94">
        <v>0</v>
      </c>
      <c r="Q94">
        <v>0</v>
      </c>
      <c r="R94" t="s">
        <v>96</v>
      </c>
      <c r="S94" t="s">
        <v>96</v>
      </c>
      <c r="T94">
        <v>0</v>
      </c>
      <c r="U94">
        <v>2</v>
      </c>
    </row>
    <row r="95" spans="1:21" hidden="1" x14ac:dyDescent="0.3">
      <c r="A95" t="s">
        <v>117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t="s">
        <v>33</v>
      </c>
      <c r="J95" t="s">
        <v>33</v>
      </c>
      <c r="K95">
        <v>0</v>
      </c>
      <c r="L95">
        <v>0</v>
      </c>
      <c r="M95" t="s">
        <v>33</v>
      </c>
      <c r="N95">
        <v>0</v>
      </c>
      <c r="O95">
        <v>0</v>
      </c>
      <c r="P95">
        <v>0</v>
      </c>
      <c r="Q95">
        <v>0</v>
      </c>
      <c r="R95" t="s">
        <v>96</v>
      </c>
      <c r="S95" t="s">
        <v>96</v>
      </c>
      <c r="T95">
        <v>0</v>
      </c>
      <c r="U95">
        <v>0</v>
      </c>
    </row>
    <row r="96" spans="1:21" hidden="1" x14ac:dyDescent="0.3">
      <c r="A96" t="s">
        <v>118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33</v>
      </c>
      <c r="J96" t="s">
        <v>33</v>
      </c>
      <c r="K96">
        <v>0</v>
      </c>
      <c r="L96">
        <v>0</v>
      </c>
      <c r="M96" t="s">
        <v>33</v>
      </c>
      <c r="N96">
        <v>0</v>
      </c>
      <c r="O96">
        <v>0</v>
      </c>
      <c r="P96">
        <v>0</v>
      </c>
      <c r="Q96">
        <v>0</v>
      </c>
      <c r="R96" t="s">
        <v>96</v>
      </c>
      <c r="S96" t="s">
        <v>96</v>
      </c>
      <c r="T96">
        <v>0</v>
      </c>
      <c r="U96">
        <v>1</v>
      </c>
    </row>
    <row r="97" spans="1:21" hidden="1" x14ac:dyDescent="0.3">
      <c r="A97" t="s">
        <v>119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33</v>
      </c>
      <c r="J97" t="s">
        <v>33</v>
      </c>
      <c r="K97">
        <v>0</v>
      </c>
      <c r="L97">
        <v>0</v>
      </c>
      <c r="M97" t="s">
        <v>33</v>
      </c>
      <c r="N97">
        <v>0</v>
      </c>
      <c r="O97">
        <v>0</v>
      </c>
      <c r="P97">
        <v>4</v>
      </c>
      <c r="Q97" t="s">
        <v>85</v>
      </c>
      <c r="R97">
        <v>-1</v>
      </c>
      <c r="S97">
        <v>0</v>
      </c>
      <c r="T97">
        <v>0</v>
      </c>
      <c r="U97">
        <v>4</v>
      </c>
    </row>
    <row r="98" spans="1:21" hidden="1" x14ac:dyDescent="0.3">
      <c r="A98" t="s">
        <v>120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33</v>
      </c>
      <c r="J98" t="s">
        <v>33</v>
      </c>
      <c r="K98">
        <v>0</v>
      </c>
      <c r="L98">
        <v>0</v>
      </c>
      <c r="M98" t="s">
        <v>33</v>
      </c>
      <c r="N98">
        <v>0</v>
      </c>
      <c r="O98">
        <v>0</v>
      </c>
      <c r="P98">
        <v>1</v>
      </c>
      <c r="Q98" t="s">
        <v>85</v>
      </c>
      <c r="R98">
        <v>-1</v>
      </c>
      <c r="S98">
        <v>0</v>
      </c>
      <c r="T98">
        <v>0</v>
      </c>
      <c r="U98">
        <v>0</v>
      </c>
    </row>
    <row r="99" spans="1:21" hidden="1" x14ac:dyDescent="0.3">
      <c r="A99" t="s">
        <v>121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33</v>
      </c>
      <c r="J99" t="s">
        <v>33</v>
      </c>
      <c r="K99">
        <v>0</v>
      </c>
      <c r="L99">
        <v>0</v>
      </c>
      <c r="M99" t="s">
        <v>33</v>
      </c>
      <c r="N99">
        <v>0</v>
      </c>
      <c r="O99">
        <v>0</v>
      </c>
      <c r="P99">
        <v>1</v>
      </c>
      <c r="Q99" t="s">
        <v>85</v>
      </c>
      <c r="R99">
        <v>-1</v>
      </c>
      <c r="S99">
        <v>0</v>
      </c>
      <c r="T99">
        <v>0</v>
      </c>
      <c r="U99">
        <v>0</v>
      </c>
    </row>
    <row r="100" spans="1:21" hidden="1" x14ac:dyDescent="0.3">
      <c r="A100" t="s">
        <v>122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33</v>
      </c>
      <c r="J100" t="s">
        <v>33</v>
      </c>
      <c r="K100">
        <v>0</v>
      </c>
      <c r="L100">
        <v>0</v>
      </c>
      <c r="M100" t="s">
        <v>33</v>
      </c>
      <c r="N100">
        <v>0</v>
      </c>
      <c r="O100">
        <v>0</v>
      </c>
      <c r="P100">
        <v>1</v>
      </c>
      <c r="Q100" t="s">
        <v>85</v>
      </c>
      <c r="R100">
        <v>-1</v>
      </c>
      <c r="S100">
        <v>0</v>
      </c>
      <c r="T100">
        <v>0</v>
      </c>
      <c r="U100">
        <v>0</v>
      </c>
    </row>
    <row r="101" spans="1:21" hidden="1" x14ac:dyDescent="0.3">
      <c r="A101" t="s">
        <v>123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33</v>
      </c>
      <c r="J101" t="s">
        <v>33</v>
      </c>
      <c r="K101">
        <v>0</v>
      </c>
      <c r="L101">
        <v>0</v>
      </c>
      <c r="M101" t="s">
        <v>33</v>
      </c>
      <c r="N101">
        <v>0</v>
      </c>
      <c r="O101">
        <v>0</v>
      </c>
      <c r="P101">
        <v>1</v>
      </c>
      <c r="Q101" t="s">
        <v>85</v>
      </c>
      <c r="R101">
        <v>-1</v>
      </c>
      <c r="S101">
        <v>0</v>
      </c>
      <c r="T101">
        <v>0</v>
      </c>
      <c r="U101">
        <v>0</v>
      </c>
    </row>
    <row r="102" spans="1:21" hidden="1" x14ac:dyDescent="0.3">
      <c r="A102" t="s">
        <v>124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 t="s">
        <v>96</v>
      </c>
      <c r="S102" t="s">
        <v>96</v>
      </c>
      <c r="T102">
        <v>1</v>
      </c>
      <c r="U102">
        <v>0</v>
      </c>
    </row>
    <row r="103" spans="1:21" hidden="1" x14ac:dyDescent="0.3">
      <c r="A103" t="s">
        <v>125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33</v>
      </c>
      <c r="J103" t="s">
        <v>33</v>
      </c>
      <c r="K103">
        <v>0</v>
      </c>
      <c r="L103">
        <v>0</v>
      </c>
      <c r="M103" t="s">
        <v>33</v>
      </c>
      <c r="N103">
        <v>0</v>
      </c>
      <c r="O103">
        <v>1</v>
      </c>
      <c r="P103">
        <v>0</v>
      </c>
      <c r="Q103">
        <v>0</v>
      </c>
      <c r="R103" t="s">
        <v>96</v>
      </c>
      <c r="S103" t="s">
        <v>96</v>
      </c>
      <c r="T103">
        <v>1</v>
      </c>
      <c r="U103">
        <v>0</v>
      </c>
    </row>
    <row r="104" spans="1:21" hidden="1" x14ac:dyDescent="0.3">
      <c r="A104" t="s">
        <v>126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s">
        <v>33</v>
      </c>
      <c r="J104" t="s">
        <v>33</v>
      </c>
      <c r="K104">
        <v>0</v>
      </c>
      <c r="L104">
        <v>0</v>
      </c>
      <c r="M104" t="s">
        <v>33</v>
      </c>
      <c r="N104">
        <v>0</v>
      </c>
      <c r="O104">
        <v>1</v>
      </c>
      <c r="P104">
        <v>0</v>
      </c>
      <c r="Q104">
        <v>0</v>
      </c>
      <c r="R104" t="s">
        <v>96</v>
      </c>
      <c r="S104" t="s">
        <v>96</v>
      </c>
      <c r="T104">
        <v>1</v>
      </c>
      <c r="U104">
        <v>0</v>
      </c>
    </row>
    <row r="105" spans="1:21" hidden="1" x14ac:dyDescent="0.3">
      <c r="A105" t="s">
        <v>127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 t="s">
        <v>96</v>
      </c>
      <c r="S105" t="s">
        <v>96</v>
      </c>
      <c r="T105">
        <v>1</v>
      </c>
      <c r="U105">
        <v>1</v>
      </c>
    </row>
    <row r="106" spans="1:21" hidden="1" x14ac:dyDescent="0.3">
      <c r="A106" t="s">
        <v>128</v>
      </c>
      <c r="B106">
        <v>2</v>
      </c>
      <c r="C106">
        <v>1</v>
      </c>
      <c r="D106">
        <v>1</v>
      </c>
      <c r="E106">
        <v>2</v>
      </c>
      <c r="F106">
        <v>0</v>
      </c>
      <c r="G106">
        <v>0</v>
      </c>
      <c r="H106">
        <v>6.75</v>
      </c>
      <c r="I106">
        <v>827.71119999999996</v>
      </c>
      <c r="J106">
        <v>2.9399999999999999E-2</v>
      </c>
      <c r="K106">
        <v>30</v>
      </c>
      <c r="L106">
        <v>17</v>
      </c>
      <c r="M106">
        <v>122.62390000000001</v>
      </c>
      <c r="N106">
        <v>0</v>
      </c>
      <c r="O106">
        <v>1</v>
      </c>
      <c r="P106">
        <v>10</v>
      </c>
      <c r="Q106">
        <v>63.484099999999998</v>
      </c>
      <c r="R106">
        <v>1</v>
      </c>
      <c r="S106">
        <v>7</v>
      </c>
      <c r="T106">
        <v>1</v>
      </c>
      <c r="U106">
        <v>2</v>
      </c>
    </row>
    <row r="107" spans="1:21" hidden="1" x14ac:dyDescent="0.3">
      <c r="A107" t="s">
        <v>129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33</v>
      </c>
      <c r="J107" t="s">
        <v>33</v>
      </c>
      <c r="K107">
        <v>0</v>
      </c>
      <c r="L107">
        <v>0</v>
      </c>
      <c r="M107" t="s">
        <v>33</v>
      </c>
      <c r="N107">
        <v>0</v>
      </c>
      <c r="O107">
        <v>1</v>
      </c>
      <c r="P107">
        <v>0</v>
      </c>
      <c r="Q107">
        <v>0</v>
      </c>
      <c r="R107" t="s">
        <v>96</v>
      </c>
      <c r="S107" t="s">
        <v>96</v>
      </c>
      <c r="T107">
        <v>1</v>
      </c>
      <c r="U107">
        <v>0</v>
      </c>
    </row>
    <row r="108" spans="1:21" hidden="1" x14ac:dyDescent="0.3">
      <c r="A108" t="s">
        <v>130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s">
        <v>33</v>
      </c>
      <c r="J108" t="s">
        <v>33</v>
      </c>
      <c r="K108">
        <v>0</v>
      </c>
      <c r="L108">
        <v>0</v>
      </c>
      <c r="M108" t="s">
        <v>33</v>
      </c>
      <c r="N108">
        <v>0</v>
      </c>
      <c r="O108">
        <v>0</v>
      </c>
      <c r="P108">
        <v>0</v>
      </c>
      <c r="Q108">
        <v>0</v>
      </c>
      <c r="R108" t="s">
        <v>96</v>
      </c>
      <c r="S108" t="s">
        <v>96</v>
      </c>
      <c r="T108">
        <v>0</v>
      </c>
      <c r="U108">
        <v>0</v>
      </c>
    </row>
    <row r="109" spans="1:21" hidden="1" x14ac:dyDescent="0.3">
      <c r="A109" t="s">
        <v>131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96</v>
      </c>
      <c r="S109" t="s">
        <v>96</v>
      </c>
      <c r="T109">
        <v>0</v>
      </c>
      <c r="U109">
        <v>1</v>
      </c>
    </row>
    <row r="110" spans="1:21" hidden="1" x14ac:dyDescent="0.3">
      <c r="A110" t="s">
        <v>132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96</v>
      </c>
      <c r="S110" t="s">
        <v>96</v>
      </c>
      <c r="T110">
        <v>0</v>
      </c>
      <c r="U110">
        <v>0</v>
      </c>
    </row>
    <row r="111" spans="1:21" hidden="1" x14ac:dyDescent="0.3">
      <c r="A111" t="s">
        <v>133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96</v>
      </c>
      <c r="S111" t="s">
        <v>96</v>
      </c>
      <c r="T111">
        <v>0</v>
      </c>
      <c r="U111">
        <v>0</v>
      </c>
    </row>
    <row r="112" spans="1:21" hidden="1" x14ac:dyDescent="0.3">
      <c r="A112" t="s">
        <v>134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96</v>
      </c>
      <c r="S112" t="s">
        <v>96</v>
      </c>
      <c r="T112">
        <v>0</v>
      </c>
      <c r="U112">
        <v>0</v>
      </c>
    </row>
    <row r="113" spans="1:21" hidden="1" x14ac:dyDescent="0.3">
      <c r="A113" t="s">
        <v>135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96</v>
      </c>
      <c r="S113" t="s">
        <v>96</v>
      </c>
      <c r="T113">
        <v>0</v>
      </c>
      <c r="U113">
        <v>0</v>
      </c>
    </row>
    <row r="114" spans="1:21" hidden="1" x14ac:dyDescent="0.3">
      <c r="A114" t="s">
        <v>136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96</v>
      </c>
      <c r="S114" t="s">
        <v>96</v>
      </c>
      <c r="T114">
        <v>0</v>
      </c>
      <c r="U114">
        <v>1</v>
      </c>
    </row>
    <row r="115" spans="1:21" hidden="1" x14ac:dyDescent="0.3">
      <c r="A115" t="s">
        <v>137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96</v>
      </c>
      <c r="S115" t="s">
        <v>96</v>
      </c>
      <c r="T115">
        <v>0</v>
      </c>
      <c r="U115">
        <v>0</v>
      </c>
    </row>
    <row r="116" spans="1:21" hidden="1" x14ac:dyDescent="0.3">
      <c r="A116" t="s">
        <v>138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96</v>
      </c>
      <c r="S116" t="s">
        <v>96</v>
      </c>
      <c r="T116">
        <v>0</v>
      </c>
      <c r="U116">
        <v>0</v>
      </c>
    </row>
    <row r="117" spans="1:21" hidden="1" x14ac:dyDescent="0.3">
      <c r="A117" t="s">
        <v>139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96</v>
      </c>
      <c r="S117" t="s">
        <v>96</v>
      </c>
      <c r="T117">
        <v>0</v>
      </c>
      <c r="U117">
        <v>0</v>
      </c>
    </row>
    <row r="118" spans="1:21" hidden="1" x14ac:dyDescent="0.3">
      <c r="A118" t="s">
        <v>140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96</v>
      </c>
      <c r="S118" t="s">
        <v>96</v>
      </c>
      <c r="T118">
        <v>0</v>
      </c>
      <c r="U118">
        <v>0</v>
      </c>
    </row>
    <row r="119" spans="1:21" hidden="1" x14ac:dyDescent="0.3">
      <c r="A119" t="s">
        <v>141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96</v>
      </c>
      <c r="S119" t="s">
        <v>96</v>
      </c>
      <c r="T119">
        <v>0</v>
      </c>
      <c r="U119">
        <v>0</v>
      </c>
    </row>
    <row r="120" spans="1:21" hidden="1" x14ac:dyDescent="0.3">
      <c r="A120" t="s">
        <v>142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s">
        <v>33</v>
      </c>
      <c r="J120" t="s">
        <v>33</v>
      </c>
      <c r="K120">
        <v>0</v>
      </c>
      <c r="L120">
        <v>0</v>
      </c>
      <c r="M120" t="s">
        <v>33</v>
      </c>
      <c r="N120">
        <v>0</v>
      </c>
      <c r="O120">
        <v>0</v>
      </c>
      <c r="P120">
        <v>0</v>
      </c>
      <c r="Q120">
        <v>0</v>
      </c>
      <c r="R120" t="s">
        <v>96</v>
      </c>
      <c r="S120" t="s">
        <v>96</v>
      </c>
      <c r="T120">
        <v>0</v>
      </c>
      <c r="U120">
        <v>0</v>
      </c>
    </row>
    <row r="121" spans="1:21" hidden="1" x14ac:dyDescent="0.3">
      <c r="A121" t="s">
        <v>143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t="s">
        <v>33</v>
      </c>
      <c r="J121" t="s">
        <v>33</v>
      </c>
      <c r="K121">
        <v>0</v>
      </c>
      <c r="L121">
        <v>0</v>
      </c>
      <c r="M121" t="s">
        <v>33</v>
      </c>
      <c r="N121">
        <v>0</v>
      </c>
      <c r="O121">
        <v>0</v>
      </c>
      <c r="P121">
        <v>0</v>
      </c>
      <c r="Q121">
        <v>0</v>
      </c>
      <c r="R121" t="s">
        <v>96</v>
      </c>
      <c r="S121" t="s">
        <v>96</v>
      </c>
      <c r="T121">
        <v>0</v>
      </c>
      <c r="U121">
        <v>0</v>
      </c>
    </row>
    <row r="122" spans="1:21" hidden="1" x14ac:dyDescent="0.3">
      <c r="A122" t="s">
        <v>144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96</v>
      </c>
      <c r="S122" t="s">
        <v>96</v>
      </c>
      <c r="T122">
        <v>0</v>
      </c>
      <c r="U122">
        <v>0</v>
      </c>
    </row>
    <row r="123" spans="1:21" hidden="1" x14ac:dyDescent="0.3">
      <c r="A123" t="s">
        <v>145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t="s">
        <v>33</v>
      </c>
      <c r="J123" t="s">
        <v>33</v>
      </c>
      <c r="K123">
        <v>0</v>
      </c>
      <c r="L123">
        <v>0</v>
      </c>
      <c r="M123" t="s">
        <v>33</v>
      </c>
      <c r="N123">
        <v>0</v>
      </c>
      <c r="O123">
        <v>0</v>
      </c>
      <c r="P123">
        <v>0</v>
      </c>
      <c r="Q123">
        <v>0</v>
      </c>
      <c r="R123" t="s">
        <v>96</v>
      </c>
      <c r="S123" t="s">
        <v>96</v>
      </c>
      <c r="T123">
        <v>0</v>
      </c>
      <c r="U123">
        <v>0</v>
      </c>
    </row>
    <row r="124" spans="1:21" hidden="1" x14ac:dyDescent="0.3">
      <c r="A124" t="s">
        <v>146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96</v>
      </c>
      <c r="S124" t="s">
        <v>96</v>
      </c>
      <c r="T124">
        <v>0</v>
      </c>
      <c r="U124">
        <v>0</v>
      </c>
    </row>
    <row r="125" spans="1:21" hidden="1" x14ac:dyDescent="0.3">
      <c r="A125" t="s">
        <v>147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t="s">
        <v>33</v>
      </c>
      <c r="J125" t="s">
        <v>33</v>
      </c>
      <c r="K125">
        <v>0</v>
      </c>
      <c r="L125">
        <v>0</v>
      </c>
      <c r="M125" t="s">
        <v>33</v>
      </c>
      <c r="N125">
        <v>0</v>
      </c>
      <c r="O125">
        <v>0</v>
      </c>
      <c r="P125">
        <v>0</v>
      </c>
      <c r="Q125">
        <v>0</v>
      </c>
      <c r="R125" t="s">
        <v>96</v>
      </c>
      <c r="S125" t="s">
        <v>96</v>
      </c>
      <c r="T125">
        <v>0</v>
      </c>
      <c r="U125">
        <v>0</v>
      </c>
    </row>
    <row r="126" spans="1:21" hidden="1" x14ac:dyDescent="0.3">
      <c r="A126" t="s">
        <v>148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33</v>
      </c>
      <c r="J126" t="s">
        <v>33</v>
      </c>
      <c r="K126">
        <v>0</v>
      </c>
      <c r="L126">
        <v>0</v>
      </c>
      <c r="M126" t="s">
        <v>33</v>
      </c>
      <c r="N126">
        <v>0</v>
      </c>
      <c r="O126">
        <v>0</v>
      </c>
      <c r="P126">
        <v>0</v>
      </c>
      <c r="Q126">
        <v>0</v>
      </c>
      <c r="R126" t="s">
        <v>96</v>
      </c>
      <c r="S126" t="s">
        <v>96</v>
      </c>
      <c r="T126">
        <v>0</v>
      </c>
      <c r="U126">
        <v>0</v>
      </c>
    </row>
    <row r="127" spans="1:21" hidden="1" x14ac:dyDescent="0.3">
      <c r="A127" t="s">
        <v>149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96</v>
      </c>
      <c r="S127" t="s">
        <v>96</v>
      </c>
      <c r="T127">
        <v>0</v>
      </c>
      <c r="U127">
        <v>0</v>
      </c>
    </row>
    <row r="128" spans="1:21" hidden="1" x14ac:dyDescent="0.3">
      <c r="A128" t="s">
        <v>150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s">
        <v>33</v>
      </c>
      <c r="J128" t="s">
        <v>33</v>
      </c>
      <c r="K128">
        <v>0</v>
      </c>
      <c r="L128">
        <v>0</v>
      </c>
      <c r="M128" t="s">
        <v>33</v>
      </c>
      <c r="N128">
        <v>0</v>
      </c>
      <c r="O128">
        <v>0</v>
      </c>
      <c r="P128">
        <v>0</v>
      </c>
      <c r="Q128">
        <v>0</v>
      </c>
      <c r="R128" t="s">
        <v>96</v>
      </c>
      <c r="S128" t="s">
        <v>96</v>
      </c>
      <c r="T128">
        <v>0</v>
      </c>
      <c r="U128">
        <v>0</v>
      </c>
    </row>
    <row r="129" spans="1:21" hidden="1" x14ac:dyDescent="0.3">
      <c r="A129" t="s">
        <v>151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96</v>
      </c>
      <c r="S129" t="s">
        <v>96</v>
      </c>
      <c r="T129">
        <v>0</v>
      </c>
      <c r="U129">
        <v>0</v>
      </c>
    </row>
    <row r="130" spans="1:21" hidden="1" x14ac:dyDescent="0.3">
      <c r="A130" t="s">
        <v>152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96</v>
      </c>
      <c r="S130" t="s">
        <v>96</v>
      </c>
      <c r="T130">
        <v>0</v>
      </c>
      <c r="U130">
        <v>1</v>
      </c>
    </row>
    <row r="131" spans="1:21" hidden="1" x14ac:dyDescent="0.3">
      <c r="A131" t="s">
        <v>153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96</v>
      </c>
      <c r="S131" t="s">
        <v>96</v>
      </c>
      <c r="T131">
        <v>0</v>
      </c>
      <c r="U131">
        <v>1</v>
      </c>
    </row>
    <row r="132" spans="1:21" hidden="1" x14ac:dyDescent="0.3">
      <c r="A132" t="s">
        <v>154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96</v>
      </c>
      <c r="S132" t="s">
        <v>96</v>
      </c>
      <c r="T132">
        <v>0</v>
      </c>
      <c r="U132">
        <v>0</v>
      </c>
    </row>
    <row r="133" spans="1:21" hidden="1" x14ac:dyDescent="0.3">
      <c r="A133" t="s">
        <v>155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96</v>
      </c>
      <c r="S133" t="s">
        <v>96</v>
      </c>
      <c r="T133">
        <v>0</v>
      </c>
      <c r="U133">
        <v>0</v>
      </c>
    </row>
    <row r="134" spans="1:21" hidden="1" x14ac:dyDescent="0.3">
      <c r="A134" t="s">
        <v>156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96</v>
      </c>
      <c r="S134" t="s">
        <v>96</v>
      </c>
      <c r="T134">
        <v>0</v>
      </c>
      <c r="U134">
        <v>1</v>
      </c>
    </row>
    <row r="135" spans="1:21" hidden="1" x14ac:dyDescent="0.3">
      <c r="A135" t="s">
        <v>157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96</v>
      </c>
      <c r="S135" t="s">
        <v>96</v>
      </c>
      <c r="T135">
        <v>0</v>
      </c>
      <c r="U135">
        <v>1</v>
      </c>
    </row>
    <row r="136" spans="1:21" x14ac:dyDescent="0.3">
      <c r="A136" t="s">
        <v>158</v>
      </c>
      <c r="B136">
        <v>1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4</v>
      </c>
      <c r="L136">
        <v>4</v>
      </c>
      <c r="M136">
        <v>8</v>
      </c>
      <c r="N136">
        <v>0</v>
      </c>
      <c r="O136">
        <v>0</v>
      </c>
      <c r="P136">
        <v>10</v>
      </c>
      <c r="Q136">
        <v>71.8626</v>
      </c>
      <c r="R136">
        <v>0</v>
      </c>
      <c r="S136">
        <v>0</v>
      </c>
      <c r="T136">
        <v>0</v>
      </c>
      <c r="U136">
        <v>1</v>
      </c>
    </row>
    <row r="137" spans="1:21" x14ac:dyDescent="0.3">
      <c r="A137" t="s">
        <v>159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1.5</v>
      </c>
      <c r="I137">
        <v>52.303800000000003</v>
      </c>
      <c r="J137">
        <v>4.7000000000000002E-3</v>
      </c>
      <c r="K137">
        <v>11</v>
      </c>
      <c r="L137">
        <v>9</v>
      </c>
      <c r="M137">
        <v>34.869199999999999</v>
      </c>
      <c r="N137">
        <v>1</v>
      </c>
      <c r="O137">
        <v>0</v>
      </c>
      <c r="P137">
        <v>6</v>
      </c>
      <c r="Q137">
        <v>72.302000000000007</v>
      </c>
      <c r="R137">
        <v>0</v>
      </c>
      <c r="S137">
        <v>6</v>
      </c>
      <c r="T137">
        <v>0</v>
      </c>
      <c r="U137">
        <v>3</v>
      </c>
    </row>
    <row r="138" spans="1:21" x14ac:dyDescent="0.3">
      <c r="A138" t="s">
        <v>160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</v>
      </c>
      <c r="I138">
        <v>23.2193</v>
      </c>
      <c r="J138">
        <v>2.7000000000000001E-3</v>
      </c>
      <c r="K138">
        <v>5</v>
      </c>
      <c r="L138">
        <v>5</v>
      </c>
      <c r="M138">
        <v>11.6096</v>
      </c>
      <c r="N138">
        <v>1</v>
      </c>
      <c r="O138">
        <v>0</v>
      </c>
      <c r="P138">
        <v>4</v>
      </c>
      <c r="Q138">
        <v>79.574799999999996</v>
      </c>
      <c r="R138">
        <v>0</v>
      </c>
      <c r="S138">
        <v>1</v>
      </c>
      <c r="T138">
        <v>0</v>
      </c>
      <c r="U138">
        <v>0</v>
      </c>
    </row>
    <row r="139" spans="1:21" x14ac:dyDescent="0.3">
      <c r="A139" t="s">
        <v>161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1.5</v>
      </c>
      <c r="I139">
        <v>12</v>
      </c>
      <c r="J139">
        <v>1.6999999999999999E-3</v>
      </c>
      <c r="K139">
        <v>4</v>
      </c>
      <c r="L139">
        <v>4</v>
      </c>
      <c r="M139">
        <v>8</v>
      </c>
      <c r="N139">
        <v>1</v>
      </c>
      <c r="O139">
        <v>0</v>
      </c>
      <c r="P139">
        <v>4</v>
      </c>
      <c r="Q139">
        <v>80.543199999999999</v>
      </c>
      <c r="R139">
        <v>0</v>
      </c>
      <c r="S139">
        <v>1</v>
      </c>
      <c r="T139">
        <v>0</v>
      </c>
      <c r="U139">
        <v>0</v>
      </c>
    </row>
    <row r="140" spans="1:21" x14ac:dyDescent="0.3">
      <c r="A140" t="s">
        <v>162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1.5</v>
      </c>
      <c r="I140">
        <v>12</v>
      </c>
      <c r="J140">
        <v>1.6999999999999999E-3</v>
      </c>
      <c r="K140">
        <v>4</v>
      </c>
      <c r="L140">
        <v>4</v>
      </c>
      <c r="M140">
        <v>8</v>
      </c>
      <c r="N140">
        <v>1</v>
      </c>
      <c r="O140">
        <v>0</v>
      </c>
      <c r="P140">
        <v>4</v>
      </c>
      <c r="Q140">
        <v>80.543199999999999</v>
      </c>
      <c r="R140">
        <v>0</v>
      </c>
      <c r="S140">
        <v>1</v>
      </c>
      <c r="T140">
        <v>0</v>
      </c>
      <c r="U140">
        <v>0</v>
      </c>
    </row>
    <row r="141" spans="1:21" x14ac:dyDescent="0.3">
      <c r="A141" t="s">
        <v>163</v>
      </c>
      <c r="B141">
        <v>38</v>
      </c>
      <c r="C141">
        <v>40</v>
      </c>
      <c r="D141">
        <v>0.45450000000000002</v>
      </c>
      <c r="E141">
        <v>22</v>
      </c>
      <c r="F141">
        <v>4</v>
      </c>
      <c r="G141">
        <v>5</v>
      </c>
      <c r="H141">
        <v>76.2273</v>
      </c>
      <c r="I141">
        <v>186561.87779999999</v>
      </c>
      <c r="J141">
        <v>1.0883</v>
      </c>
      <c r="K141">
        <v>370</v>
      </c>
      <c r="L141">
        <v>98</v>
      </c>
      <c r="M141">
        <v>2447.4425999999999</v>
      </c>
      <c r="N141">
        <v>0.2</v>
      </c>
      <c r="O141">
        <v>1</v>
      </c>
      <c r="P141">
        <v>132</v>
      </c>
      <c r="Q141">
        <v>29.525400000000001</v>
      </c>
      <c r="R141">
        <v>5</v>
      </c>
      <c r="S141">
        <v>31</v>
      </c>
      <c r="T141">
        <v>5</v>
      </c>
      <c r="U141">
        <v>1</v>
      </c>
    </row>
    <row r="142" spans="1:21" x14ac:dyDescent="0.3">
      <c r="A142" t="s">
        <v>164</v>
      </c>
      <c r="B142">
        <v>1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1.5</v>
      </c>
      <c r="I142">
        <v>62.269799999999996</v>
      </c>
      <c r="J142">
        <v>5.1999999999999998E-3</v>
      </c>
      <c r="K142">
        <v>12</v>
      </c>
      <c r="L142">
        <v>11</v>
      </c>
      <c r="M142">
        <v>41.513199999999998</v>
      </c>
      <c r="N142">
        <v>1</v>
      </c>
      <c r="O142">
        <v>0</v>
      </c>
      <c r="P142">
        <v>8</v>
      </c>
      <c r="Q142">
        <v>69.007300000000001</v>
      </c>
      <c r="R142">
        <v>0</v>
      </c>
      <c r="S142">
        <v>3</v>
      </c>
      <c r="T142">
        <v>0</v>
      </c>
      <c r="U142">
        <v>0</v>
      </c>
    </row>
    <row r="143" spans="1:21" x14ac:dyDescent="0.3">
      <c r="A143" t="s">
        <v>165</v>
      </c>
      <c r="B143">
        <v>2</v>
      </c>
      <c r="C143">
        <v>1</v>
      </c>
      <c r="D143">
        <v>1</v>
      </c>
      <c r="E143">
        <v>2</v>
      </c>
      <c r="F143">
        <v>1</v>
      </c>
      <c r="G143">
        <v>1</v>
      </c>
      <c r="H143">
        <v>12.857100000000001</v>
      </c>
      <c r="I143">
        <v>1524.0397</v>
      </c>
      <c r="J143">
        <v>4.41E-2</v>
      </c>
      <c r="K143">
        <v>29</v>
      </c>
      <c r="L143">
        <v>17</v>
      </c>
      <c r="M143">
        <v>118.5364</v>
      </c>
      <c r="N143">
        <v>0</v>
      </c>
      <c r="O143">
        <v>0</v>
      </c>
      <c r="P143">
        <v>13</v>
      </c>
      <c r="Q143">
        <v>61.099899999999998</v>
      </c>
      <c r="R143">
        <v>1</v>
      </c>
      <c r="S143">
        <v>6</v>
      </c>
      <c r="T143">
        <v>0</v>
      </c>
      <c r="U143">
        <v>3</v>
      </c>
    </row>
    <row r="144" spans="1:21" x14ac:dyDescent="0.3">
      <c r="A144" t="s">
        <v>166</v>
      </c>
      <c r="B144">
        <v>2</v>
      </c>
      <c r="C144">
        <v>1</v>
      </c>
      <c r="D144">
        <v>0.26319999999999999</v>
      </c>
      <c r="E144">
        <v>18</v>
      </c>
      <c r="F144">
        <v>0</v>
      </c>
      <c r="G144">
        <v>5</v>
      </c>
      <c r="H144">
        <v>29</v>
      </c>
      <c r="I144">
        <v>15830.8495</v>
      </c>
      <c r="J144">
        <v>0.2102</v>
      </c>
      <c r="K144">
        <v>94</v>
      </c>
      <c r="L144">
        <v>56</v>
      </c>
      <c r="M144">
        <v>545.89139999999998</v>
      </c>
      <c r="N144">
        <v>0</v>
      </c>
      <c r="O144">
        <v>0</v>
      </c>
      <c r="P144">
        <v>34</v>
      </c>
      <c r="Q144">
        <v>47.338900000000002</v>
      </c>
      <c r="R144">
        <v>1</v>
      </c>
      <c r="S144">
        <v>14</v>
      </c>
      <c r="T144">
        <v>0</v>
      </c>
      <c r="U144">
        <v>2</v>
      </c>
    </row>
    <row r="145" spans="1:21" x14ac:dyDescent="0.3">
      <c r="A145" t="s">
        <v>167</v>
      </c>
      <c r="B145">
        <v>9</v>
      </c>
      <c r="C145">
        <v>9</v>
      </c>
      <c r="D145">
        <v>0.35</v>
      </c>
      <c r="E145">
        <v>19</v>
      </c>
      <c r="F145">
        <v>1</v>
      </c>
      <c r="G145">
        <v>4</v>
      </c>
      <c r="H145">
        <v>58.8</v>
      </c>
      <c r="I145">
        <v>80893.950100000002</v>
      </c>
      <c r="J145">
        <v>0.62350000000000005</v>
      </c>
      <c r="K145">
        <v>217</v>
      </c>
      <c r="L145">
        <v>81</v>
      </c>
      <c r="M145">
        <v>1375.7474999999999</v>
      </c>
      <c r="N145">
        <v>0</v>
      </c>
      <c r="O145">
        <v>2</v>
      </c>
      <c r="P145">
        <v>71</v>
      </c>
      <c r="Q145">
        <v>37.346699999999998</v>
      </c>
      <c r="R145">
        <v>3</v>
      </c>
      <c r="S145">
        <v>21</v>
      </c>
      <c r="T145">
        <v>2</v>
      </c>
      <c r="U145">
        <v>4</v>
      </c>
    </row>
    <row r="146" spans="1:21" x14ac:dyDescent="0.3">
      <c r="A146" t="s">
        <v>168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30</v>
      </c>
      <c r="J146">
        <v>3.2000000000000002E-3</v>
      </c>
      <c r="K146">
        <v>10</v>
      </c>
      <c r="L146">
        <v>8</v>
      </c>
      <c r="M146">
        <v>30</v>
      </c>
      <c r="N146">
        <v>1</v>
      </c>
      <c r="O146">
        <v>0</v>
      </c>
      <c r="P146">
        <v>5</v>
      </c>
      <c r="Q146">
        <v>74.409899999999993</v>
      </c>
      <c r="R146">
        <v>0</v>
      </c>
      <c r="S146">
        <v>6</v>
      </c>
      <c r="T146">
        <v>0</v>
      </c>
      <c r="U146">
        <v>3</v>
      </c>
    </row>
    <row r="147" spans="1:21" x14ac:dyDescent="0.3">
      <c r="A147" t="s">
        <v>169</v>
      </c>
      <c r="B147">
        <v>1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3.3332999999999999</v>
      </c>
      <c r="I147">
        <v>260.45940000000002</v>
      </c>
      <c r="J147">
        <v>1.3599999999999999E-2</v>
      </c>
      <c r="K147">
        <v>20</v>
      </c>
      <c r="L147">
        <v>15</v>
      </c>
      <c r="M147">
        <v>78.137799999999999</v>
      </c>
      <c r="N147">
        <v>1</v>
      </c>
      <c r="O147">
        <v>0</v>
      </c>
      <c r="P147">
        <v>13</v>
      </c>
      <c r="Q147">
        <v>62.451999999999998</v>
      </c>
      <c r="R147">
        <v>0</v>
      </c>
      <c r="S147">
        <v>6</v>
      </c>
      <c r="T147">
        <v>0</v>
      </c>
      <c r="U147">
        <v>2</v>
      </c>
    </row>
    <row r="148" spans="1:21" x14ac:dyDescent="0.3">
      <c r="A148" t="s">
        <v>170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1.7142999999999999</v>
      </c>
      <c r="I148">
        <v>85.421000000000006</v>
      </c>
      <c r="J148">
        <v>6.4999999999999997E-3</v>
      </c>
      <c r="K148">
        <v>15</v>
      </c>
      <c r="L148">
        <v>10</v>
      </c>
      <c r="M148">
        <v>49.828899999999997</v>
      </c>
      <c r="N148">
        <v>1</v>
      </c>
      <c r="O148">
        <v>0</v>
      </c>
      <c r="P148">
        <v>13</v>
      </c>
      <c r="Q148">
        <v>63.865699999999997</v>
      </c>
      <c r="R148">
        <v>0</v>
      </c>
      <c r="S148">
        <v>6</v>
      </c>
      <c r="T148">
        <v>0</v>
      </c>
      <c r="U148">
        <v>2</v>
      </c>
    </row>
    <row r="149" spans="1:21" x14ac:dyDescent="0.3">
      <c r="A149" t="s">
        <v>171</v>
      </c>
      <c r="B149">
        <v>3</v>
      </c>
      <c r="C149">
        <v>2</v>
      </c>
      <c r="D149">
        <v>0.25</v>
      </c>
      <c r="E149">
        <v>1</v>
      </c>
      <c r="F149">
        <v>1</v>
      </c>
      <c r="G149">
        <v>0</v>
      </c>
      <c r="H149">
        <v>19.5</v>
      </c>
      <c r="I149">
        <v>4434.9047</v>
      </c>
      <c r="J149">
        <v>0.09</v>
      </c>
      <c r="K149">
        <v>51</v>
      </c>
      <c r="L149">
        <v>22</v>
      </c>
      <c r="M149">
        <v>227.43100000000001</v>
      </c>
      <c r="N149">
        <v>1</v>
      </c>
      <c r="O149">
        <v>1</v>
      </c>
      <c r="P149">
        <v>31</v>
      </c>
      <c r="Q149">
        <v>50.822800000000001</v>
      </c>
      <c r="R149">
        <v>2</v>
      </c>
      <c r="S149">
        <v>6</v>
      </c>
      <c r="T149">
        <v>1</v>
      </c>
      <c r="U149">
        <v>0</v>
      </c>
    </row>
    <row r="150" spans="1:21" x14ac:dyDescent="0.3">
      <c r="A150" t="s">
        <v>172</v>
      </c>
      <c r="B150">
        <v>4</v>
      </c>
      <c r="C150">
        <v>3</v>
      </c>
      <c r="D150">
        <v>0.5</v>
      </c>
      <c r="E150">
        <v>2</v>
      </c>
      <c r="F150">
        <v>1</v>
      </c>
      <c r="G150">
        <v>0</v>
      </c>
      <c r="H150">
        <v>7.5</v>
      </c>
      <c r="I150">
        <v>780</v>
      </c>
      <c r="J150">
        <v>2.8199999999999999E-2</v>
      </c>
      <c r="K150">
        <v>26</v>
      </c>
      <c r="L150">
        <v>16</v>
      </c>
      <c r="M150">
        <v>104</v>
      </c>
      <c r="N150">
        <v>1</v>
      </c>
      <c r="O150">
        <v>0</v>
      </c>
      <c r="P150">
        <v>18</v>
      </c>
      <c r="Q150">
        <v>58.3078</v>
      </c>
      <c r="R150">
        <v>1</v>
      </c>
      <c r="S150">
        <v>4</v>
      </c>
      <c r="T150">
        <v>0</v>
      </c>
      <c r="U150">
        <v>1</v>
      </c>
    </row>
    <row r="151" spans="1:21" x14ac:dyDescent="0.3">
      <c r="A151" t="s">
        <v>173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31.019600000000001</v>
      </c>
      <c r="J151">
        <v>3.3E-3</v>
      </c>
      <c r="K151">
        <v>6</v>
      </c>
      <c r="L151">
        <v>6</v>
      </c>
      <c r="M151">
        <v>15.5098</v>
      </c>
      <c r="N151">
        <v>1</v>
      </c>
      <c r="O151">
        <v>0</v>
      </c>
      <c r="P151">
        <v>8</v>
      </c>
      <c r="Q151">
        <v>72.064999999999998</v>
      </c>
      <c r="R151">
        <v>0</v>
      </c>
      <c r="S151">
        <v>1</v>
      </c>
      <c r="T151">
        <v>0</v>
      </c>
      <c r="U151">
        <v>0</v>
      </c>
    </row>
    <row r="152" spans="1:21" x14ac:dyDescent="0.3">
      <c r="A152" t="s">
        <v>174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36.189500000000002</v>
      </c>
      <c r="J152">
        <v>3.5999999999999999E-3</v>
      </c>
      <c r="K152">
        <v>7</v>
      </c>
      <c r="L152">
        <v>6</v>
      </c>
      <c r="M152">
        <v>18.0947</v>
      </c>
      <c r="N152">
        <v>1</v>
      </c>
      <c r="O152">
        <v>0</v>
      </c>
      <c r="P152">
        <v>8</v>
      </c>
      <c r="Q152">
        <v>71.510599999999997</v>
      </c>
      <c r="R152">
        <v>0</v>
      </c>
      <c r="S152">
        <v>1</v>
      </c>
      <c r="T152">
        <v>0</v>
      </c>
      <c r="U152">
        <v>0</v>
      </c>
    </row>
    <row r="153" spans="1:21" x14ac:dyDescent="0.3">
      <c r="A153" t="s">
        <v>175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1.5</v>
      </c>
      <c r="I153">
        <v>12</v>
      </c>
      <c r="J153">
        <v>1.6999999999999999E-3</v>
      </c>
      <c r="K153">
        <v>4</v>
      </c>
      <c r="L153">
        <v>4</v>
      </c>
      <c r="M153">
        <v>8</v>
      </c>
      <c r="N153">
        <v>1</v>
      </c>
      <c r="O153">
        <v>0</v>
      </c>
      <c r="P153">
        <v>9</v>
      </c>
      <c r="Q153">
        <v>72.860699999999994</v>
      </c>
      <c r="R153">
        <v>0</v>
      </c>
      <c r="S153">
        <v>1</v>
      </c>
      <c r="T153">
        <v>0</v>
      </c>
      <c r="U153">
        <v>0</v>
      </c>
    </row>
    <row r="154" spans="1:21" x14ac:dyDescent="0.3">
      <c r="A154" t="s">
        <v>176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1.5</v>
      </c>
      <c r="I154">
        <v>12</v>
      </c>
      <c r="J154">
        <v>1.6999999999999999E-3</v>
      </c>
      <c r="K154">
        <v>4</v>
      </c>
      <c r="L154">
        <v>4</v>
      </c>
      <c r="M154">
        <v>8</v>
      </c>
      <c r="N154">
        <v>1</v>
      </c>
      <c r="O154">
        <v>0</v>
      </c>
      <c r="P154">
        <v>9</v>
      </c>
      <c r="Q154">
        <v>72.860699999999994</v>
      </c>
      <c r="R154">
        <v>0</v>
      </c>
      <c r="S154">
        <v>1</v>
      </c>
      <c r="T154">
        <v>0</v>
      </c>
      <c r="U154">
        <v>0</v>
      </c>
    </row>
    <row r="155" spans="1:21" x14ac:dyDescent="0.3">
      <c r="A155" t="s">
        <v>177</v>
      </c>
      <c r="B155">
        <v>1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2</v>
      </c>
      <c r="I155">
        <v>48</v>
      </c>
      <c r="J155">
        <v>4.4000000000000003E-3</v>
      </c>
      <c r="K155">
        <v>8</v>
      </c>
      <c r="L155">
        <v>8</v>
      </c>
      <c r="M155">
        <v>24</v>
      </c>
      <c r="N155">
        <v>1</v>
      </c>
      <c r="O155">
        <v>0</v>
      </c>
      <c r="P155">
        <v>9</v>
      </c>
      <c r="Q155">
        <v>69.519900000000007</v>
      </c>
      <c r="R155">
        <v>0</v>
      </c>
      <c r="S155">
        <v>4</v>
      </c>
      <c r="T155">
        <v>0</v>
      </c>
      <c r="U155">
        <v>0</v>
      </c>
    </row>
    <row r="156" spans="1:21" x14ac:dyDescent="0.3">
      <c r="A156" t="s">
        <v>178</v>
      </c>
      <c r="B156">
        <v>2</v>
      </c>
      <c r="C156">
        <v>1</v>
      </c>
      <c r="D156">
        <v>0.66669999999999996</v>
      </c>
      <c r="E156">
        <v>3</v>
      </c>
      <c r="F156">
        <v>0</v>
      </c>
      <c r="G156">
        <v>0</v>
      </c>
      <c r="H156">
        <v>7.5</v>
      </c>
      <c r="I156">
        <v>571.10320000000002</v>
      </c>
      <c r="J156">
        <v>2.29E-2</v>
      </c>
      <c r="K156">
        <v>20</v>
      </c>
      <c r="L156">
        <v>14</v>
      </c>
      <c r="M156">
        <v>76.147099999999995</v>
      </c>
      <c r="N156">
        <v>1</v>
      </c>
      <c r="O156">
        <v>0</v>
      </c>
      <c r="P156">
        <v>11</v>
      </c>
      <c r="Q156">
        <v>64.020399999999995</v>
      </c>
      <c r="R156">
        <v>0</v>
      </c>
      <c r="S156">
        <v>3</v>
      </c>
      <c r="T156">
        <v>0</v>
      </c>
      <c r="U156">
        <v>1</v>
      </c>
    </row>
    <row r="157" spans="1:21" x14ac:dyDescent="0.3">
      <c r="A157" t="s">
        <v>179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1.5</v>
      </c>
      <c r="I157">
        <v>12</v>
      </c>
      <c r="J157">
        <v>1.6999999999999999E-3</v>
      </c>
      <c r="K157">
        <v>4</v>
      </c>
      <c r="L157">
        <v>4</v>
      </c>
      <c r="M157">
        <v>8</v>
      </c>
      <c r="N157">
        <v>1</v>
      </c>
      <c r="O157">
        <v>0</v>
      </c>
      <c r="P157">
        <v>9</v>
      </c>
      <c r="Q157">
        <v>72.860699999999994</v>
      </c>
      <c r="R157">
        <v>0</v>
      </c>
      <c r="S157">
        <v>1</v>
      </c>
      <c r="T157">
        <v>0</v>
      </c>
      <c r="U157">
        <v>0</v>
      </c>
    </row>
    <row r="158" spans="1:21" x14ac:dyDescent="0.3">
      <c r="A158" t="s">
        <v>180</v>
      </c>
      <c r="B158">
        <v>4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5</v>
      </c>
      <c r="I158">
        <v>237.74440000000001</v>
      </c>
      <c r="J158">
        <v>1.2800000000000001E-2</v>
      </c>
      <c r="K158">
        <v>15</v>
      </c>
      <c r="L158">
        <v>9</v>
      </c>
      <c r="M158">
        <v>47.548900000000003</v>
      </c>
      <c r="N158">
        <v>0.66669999999999996</v>
      </c>
      <c r="O158">
        <v>0</v>
      </c>
      <c r="P158">
        <v>10</v>
      </c>
      <c r="Q158">
        <v>66.291499999999999</v>
      </c>
      <c r="R158">
        <v>0</v>
      </c>
      <c r="S158">
        <v>3</v>
      </c>
      <c r="T158">
        <v>0</v>
      </c>
      <c r="U158">
        <v>0</v>
      </c>
    </row>
    <row r="159" spans="1:21" x14ac:dyDescent="0.3">
      <c r="A159" t="s">
        <v>181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1.5</v>
      </c>
      <c r="I159">
        <v>12</v>
      </c>
      <c r="J159">
        <v>1.6999999999999999E-3</v>
      </c>
      <c r="K159">
        <v>4</v>
      </c>
      <c r="L159">
        <v>4</v>
      </c>
      <c r="M159">
        <v>8</v>
      </c>
      <c r="N159">
        <v>1</v>
      </c>
      <c r="O159">
        <v>0</v>
      </c>
      <c r="P159">
        <v>9</v>
      </c>
      <c r="Q159">
        <v>72.860699999999994</v>
      </c>
      <c r="R159">
        <v>0</v>
      </c>
      <c r="S159">
        <v>1</v>
      </c>
      <c r="T159">
        <v>0</v>
      </c>
      <c r="U159">
        <v>0</v>
      </c>
    </row>
    <row r="160" spans="1:21" x14ac:dyDescent="0.3">
      <c r="A160" t="s">
        <v>182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8</v>
      </c>
      <c r="J160">
        <v>1.2999999999999999E-3</v>
      </c>
      <c r="K160">
        <v>4</v>
      </c>
      <c r="L160">
        <v>4</v>
      </c>
      <c r="M160">
        <v>8</v>
      </c>
      <c r="N160">
        <v>1</v>
      </c>
      <c r="O160">
        <v>0</v>
      </c>
      <c r="P160">
        <v>7</v>
      </c>
      <c r="Q160">
        <v>75.241600000000005</v>
      </c>
      <c r="R160">
        <v>0</v>
      </c>
      <c r="S160">
        <v>1</v>
      </c>
      <c r="T160">
        <v>0</v>
      </c>
      <c r="U160">
        <v>0</v>
      </c>
    </row>
    <row r="161" spans="1:21" x14ac:dyDescent="0.3">
      <c r="A161" t="s">
        <v>183</v>
      </c>
      <c r="B161">
        <v>1</v>
      </c>
      <c r="C161">
        <v>0</v>
      </c>
      <c r="D161">
        <v>1</v>
      </c>
      <c r="E161">
        <v>1</v>
      </c>
      <c r="F161">
        <v>0</v>
      </c>
      <c r="G161">
        <v>1</v>
      </c>
      <c r="H161">
        <v>4.6666999999999996</v>
      </c>
      <c r="I161">
        <v>248.03729999999999</v>
      </c>
      <c r="J161">
        <v>1.32E-2</v>
      </c>
      <c r="K161">
        <v>16</v>
      </c>
      <c r="L161">
        <v>10</v>
      </c>
      <c r="M161">
        <v>53.150799999999997</v>
      </c>
      <c r="N161">
        <v>0</v>
      </c>
      <c r="O161">
        <v>0</v>
      </c>
      <c r="P161">
        <v>7</v>
      </c>
      <c r="Q161">
        <v>69.491699999999994</v>
      </c>
      <c r="R161">
        <v>0</v>
      </c>
      <c r="S161">
        <v>3</v>
      </c>
      <c r="T161">
        <v>0</v>
      </c>
      <c r="U161">
        <v>0</v>
      </c>
    </row>
    <row r="162" spans="1:21" x14ac:dyDescent="0.3">
      <c r="A162" t="s">
        <v>184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8</v>
      </c>
      <c r="J162">
        <v>1.2999999999999999E-3</v>
      </c>
      <c r="K162">
        <v>4</v>
      </c>
      <c r="L162">
        <v>4</v>
      </c>
      <c r="M162">
        <v>8</v>
      </c>
      <c r="N162">
        <v>1</v>
      </c>
      <c r="O162">
        <v>0</v>
      </c>
      <c r="P162">
        <v>7</v>
      </c>
      <c r="Q162">
        <v>75.241600000000005</v>
      </c>
      <c r="R162">
        <v>0</v>
      </c>
      <c r="S162">
        <v>1</v>
      </c>
      <c r="T162">
        <v>0</v>
      </c>
      <c r="U162">
        <v>0</v>
      </c>
    </row>
    <row r="163" spans="1:21" x14ac:dyDescent="0.3">
      <c r="A163" t="s">
        <v>185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</v>
      </c>
      <c r="I163">
        <v>63.398499999999999</v>
      </c>
      <c r="J163">
        <v>5.3E-3</v>
      </c>
      <c r="K163">
        <v>10</v>
      </c>
      <c r="L163">
        <v>9</v>
      </c>
      <c r="M163">
        <v>31.699300000000001</v>
      </c>
      <c r="N163">
        <v>1</v>
      </c>
      <c r="O163">
        <v>0</v>
      </c>
      <c r="P163">
        <v>11</v>
      </c>
      <c r="Q163">
        <v>66.840599999999995</v>
      </c>
      <c r="R163">
        <v>0</v>
      </c>
      <c r="S163">
        <v>2</v>
      </c>
      <c r="T163">
        <v>0</v>
      </c>
      <c r="U163">
        <v>0</v>
      </c>
    </row>
    <row r="164" spans="1:21" x14ac:dyDescent="0.3">
      <c r="A164" t="s">
        <v>186</v>
      </c>
      <c r="B164">
        <v>5</v>
      </c>
      <c r="C164">
        <v>5</v>
      </c>
      <c r="D164">
        <v>0.5</v>
      </c>
      <c r="E164">
        <v>19</v>
      </c>
      <c r="F164">
        <v>1</v>
      </c>
      <c r="G164">
        <v>2</v>
      </c>
      <c r="H164">
        <v>25.2</v>
      </c>
      <c r="I164">
        <v>14131.9557</v>
      </c>
      <c r="J164">
        <v>0.1948</v>
      </c>
      <c r="K164">
        <v>97</v>
      </c>
      <c r="L164">
        <v>55</v>
      </c>
      <c r="M164">
        <v>560.79190000000006</v>
      </c>
      <c r="N164">
        <v>0.2</v>
      </c>
      <c r="O164">
        <v>0</v>
      </c>
      <c r="P164">
        <v>44</v>
      </c>
      <c r="Q164">
        <v>44.6905</v>
      </c>
      <c r="R164">
        <v>1</v>
      </c>
      <c r="S164">
        <v>13</v>
      </c>
      <c r="T164">
        <v>0</v>
      </c>
      <c r="U164">
        <v>1</v>
      </c>
    </row>
    <row r="165" spans="1:21" x14ac:dyDescent="0.3">
      <c r="A165" t="s">
        <v>187</v>
      </c>
      <c r="B165">
        <v>3</v>
      </c>
      <c r="C165">
        <v>2</v>
      </c>
      <c r="D165">
        <v>0.4</v>
      </c>
      <c r="E165">
        <v>4</v>
      </c>
      <c r="F165">
        <v>2</v>
      </c>
      <c r="G165">
        <v>1</v>
      </c>
      <c r="H165">
        <v>8.8000000000000007</v>
      </c>
      <c r="I165">
        <v>1198.2242000000001</v>
      </c>
      <c r="J165">
        <v>3.7600000000000001E-2</v>
      </c>
      <c r="K165">
        <v>31</v>
      </c>
      <c r="L165">
        <v>21</v>
      </c>
      <c r="M165">
        <v>136.1618</v>
      </c>
      <c r="N165">
        <v>0</v>
      </c>
      <c r="O165">
        <v>0</v>
      </c>
      <c r="P165">
        <v>17</v>
      </c>
      <c r="Q165">
        <v>58.072200000000002</v>
      </c>
      <c r="R165">
        <v>1</v>
      </c>
      <c r="S165">
        <v>4</v>
      </c>
      <c r="T165">
        <v>0</v>
      </c>
      <c r="U165">
        <v>1</v>
      </c>
    </row>
    <row r="166" spans="1:21" x14ac:dyDescent="0.3">
      <c r="A166" t="s">
        <v>188</v>
      </c>
      <c r="B166">
        <v>3</v>
      </c>
      <c r="C166">
        <v>2</v>
      </c>
      <c r="D166">
        <v>1</v>
      </c>
      <c r="E166">
        <v>4</v>
      </c>
      <c r="F166">
        <v>1</v>
      </c>
      <c r="G166">
        <v>2</v>
      </c>
      <c r="H166">
        <v>7.5833000000000004</v>
      </c>
      <c r="I166">
        <v>805.33630000000005</v>
      </c>
      <c r="J166">
        <v>2.8899999999999999E-2</v>
      </c>
      <c r="K166">
        <v>25</v>
      </c>
      <c r="L166">
        <v>19</v>
      </c>
      <c r="M166">
        <v>106.1982</v>
      </c>
      <c r="N166">
        <v>0.5</v>
      </c>
      <c r="O166">
        <v>0</v>
      </c>
      <c r="P166">
        <v>15</v>
      </c>
      <c r="Q166">
        <v>60.015799999999999</v>
      </c>
      <c r="R166">
        <v>2</v>
      </c>
      <c r="S166">
        <v>5</v>
      </c>
      <c r="T166">
        <v>0</v>
      </c>
      <c r="U166">
        <v>0</v>
      </c>
    </row>
    <row r="167" spans="1:21" x14ac:dyDescent="0.3">
      <c r="A167" t="s">
        <v>189</v>
      </c>
      <c r="B167">
        <v>2</v>
      </c>
      <c r="C167">
        <v>1</v>
      </c>
      <c r="D167">
        <v>0.75</v>
      </c>
      <c r="E167">
        <v>7</v>
      </c>
      <c r="F167">
        <v>0</v>
      </c>
      <c r="G167">
        <v>2</v>
      </c>
      <c r="H167">
        <v>9</v>
      </c>
      <c r="I167">
        <v>1170.2518</v>
      </c>
      <c r="J167">
        <v>3.6999999999999998E-2</v>
      </c>
      <c r="K167">
        <v>28</v>
      </c>
      <c r="L167">
        <v>25</v>
      </c>
      <c r="M167">
        <v>130.02799999999999</v>
      </c>
      <c r="N167">
        <v>0.4</v>
      </c>
      <c r="O167">
        <v>0</v>
      </c>
      <c r="P167">
        <v>17</v>
      </c>
      <c r="Q167">
        <v>58.2639</v>
      </c>
      <c r="R167">
        <v>1</v>
      </c>
      <c r="S167">
        <v>8</v>
      </c>
      <c r="T167">
        <v>0</v>
      </c>
      <c r="U167">
        <v>1</v>
      </c>
    </row>
    <row r="168" spans="1:21" x14ac:dyDescent="0.3">
      <c r="A168" t="s">
        <v>190</v>
      </c>
      <c r="B168">
        <v>1</v>
      </c>
      <c r="C168">
        <v>0</v>
      </c>
      <c r="D168">
        <v>1</v>
      </c>
      <c r="E168">
        <v>1</v>
      </c>
      <c r="F168">
        <v>0</v>
      </c>
      <c r="G168">
        <v>0</v>
      </c>
      <c r="H168">
        <v>3.75</v>
      </c>
      <c r="I168">
        <v>475.16759999999999</v>
      </c>
      <c r="J168">
        <v>2.0299999999999999E-2</v>
      </c>
      <c r="K168">
        <v>31</v>
      </c>
      <c r="L168">
        <v>17</v>
      </c>
      <c r="M168">
        <v>126.71129999999999</v>
      </c>
      <c r="N168">
        <v>1</v>
      </c>
      <c r="O168">
        <v>0</v>
      </c>
      <c r="P168">
        <v>19</v>
      </c>
      <c r="Q168">
        <v>57.398499999999999</v>
      </c>
      <c r="R168">
        <v>0</v>
      </c>
      <c r="S168">
        <v>9</v>
      </c>
      <c r="T168">
        <v>0</v>
      </c>
      <c r="U168">
        <v>4</v>
      </c>
    </row>
    <row r="169" spans="1:21" x14ac:dyDescent="0.3">
      <c r="A169" t="s">
        <v>191</v>
      </c>
      <c r="B169">
        <v>7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13.5</v>
      </c>
      <c r="I169">
        <v>3154.0862000000002</v>
      </c>
      <c r="J169">
        <v>7.17E-2</v>
      </c>
      <c r="K169">
        <v>55</v>
      </c>
      <c r="L169">
        <v>19</v>
      </c>
      <c r="M169">
        <v>233.636</v>
      </c>
      <c r="N169">
        <v>1</v>
      </c>
      <c r="O169">
        <v>0</v>
      </c>
      <c r="P169">
        <v>36</v>
      </c>
      <c r="Q169">
        <v>49.212899999999998</v>
      </c>
      <c r="R169">
        <v>1</v>
      </c>
      <c r="S169">
        <v>9</v>
      </c>
      <c r="T169">
        <v>0</v>
      </c>
      <c r="U169">
        <v>3</v>
      </c>
    </row>
    <row r="170" spans="1:21" x14ac:dyDescent="0.3">
      <c r="A170" t="s">
        <v>192</v>
      </c>
      <c r="B170">
        <v>5</v>
      </c>
      <c r="C170">
        <v>4</v>
      </c>
      <c r="D170">
        <v>0.5</v>
      </c>
      <c r="E170">
        <v>3</v>
      </c>
      <c r="F170">
        <v>1</v>
      </c>
      <c r="G170">
        <v>0</v>
      </c>
      <c r="H170">
        <v>11</v>
      </c>
      <c r="I170">
        <v>988.44330000000002</v>
      </c>
      <c r="J170">
        <v>3.3099999999999997E-2</v>
      </c>
      <c r="K170">
        <v>23</v>
      </c>
      <c r="L170">
        <v>15</v>
      </c>
      <c r="M170">
        <v>89.858500000000006</v>
      </c>
      <c r="N170">
        <v>1</v>
      </c>
      <c r="O170">
        <v>2</v>
      </c>
      <c r="P170">
        <v>19</v>
      </c>
      <c r="Q170">
        <v>58.239199999999997</v>
      </c>
      <c r="R170">
        <v>1</v>
      </c>
      <c r="S170">
        <v>4</v>
      </c>
      <c r="T170">
        <v>2</v>
      </c>
      <c r="U170">
        <v>0</v>
      </c>
    </row>
    <row r="171" spans="1:21" x14ac:dyDescent="0.3">
      <c r="A171" t="s">
        <v>193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4.7549000000000001</v>
      </c>
      <c r="J171">
        <v>8.9999999999999998E-4</v>
      </c>
      <c r="K171">
        <v>3</v>
      </c>
      <c r="L171">
        <v>3</v>
      </c>
      <c r="M171">
        <v>4.7549000000000001</v>
      </c>
      <c r="N171">
        <v>1</v>
      </c>
      <c r="O171">
        <v>0</v>
      </c>
      <c r="P171">
        <v>15</v>
      </c>
      <c r="Q171">
        <v>70.129199999999997</v>
      </c>
      <c r="R171">
        <v>0</v>
      </c>
      <c r="S171">
        <v>1</v>
      </c>
      <c r="T171">
        <v>0</v>
      </c>
      <c r="U171">
        <v>0</v>
      </c>
    </row>
    <row r="172" spans="1:21" x14ac:dyDescent="0.3">
      <c r="A172" t="s">
        <v>194</v>
      </c>
      <c r="B172">
        <v>3</v>
      </c>
      <c r="C172">
        <v>2</v>
      </c>
      <c r="D172">
        <v>0.5</v>
      </c>
      <c r="E172">
        <v>2</v>
      </c>
      <c r="F172">
        <v>1</v>
      </c>
      <c r="G172">
        <v>0</v>
      </c>
      <c r="H172">
        <v>13.5</v>
      </c>
      <c r="I172">
        <v>1566</v>
      </c>
      <c r="J172">
        <v>4.4999999999999998E-2</v>
      </c>
      <c r="K172">
        <v>29</v>
      </c>
      <c r="L172">
        <v>16</v>
      </c>
      <c r="M172">
        <v>116</v>
      </c>
      <c r="N172">
        <v>1</v>
      </c>
      <c r="O172">
        <v>1</v>
      </c>
      <c r="P172">
        <v>19</v>
      </c>
      <c r="Q172">
        <v>57.502200000000002</v>
      </c>
      <c r="R172">
        <v>0</v>
      </c>
      <c r="S172">
        <v>2</v>
      </c>
      <c r="T172">
        <v>1</v>
      </c>
      <c r="U172">
        <v>0</v>
      </c>
    </row>
    <row r="173" spans="1:21" x14ac:dyDescent="0.3">
      <c r="A173" t="s">
        <v>195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4.7549000000000001</v>
      </c>
      <c r="J173">
        <v>8.9999999999999998E-4</v>
      </c>
      <c r="K173">
        <v>3</v>
      </c>
      <c r="L173">
        <v>3</v>
      </c>
      <c r="M173">
        <v>4.7549000000000001</v>
      </c>
      <c r="N173">
        <v>1</v>
      </c>
      <c r="O173">
        <v>0</v>
      </c>
      <c r="P173">
        <v>15</v>
      </c>
      <c r="Q173">
        <v>70.129199999999997</v>
      </c>
      <c r="R173">
        <v>0</v>
      </c>
      <c r="S173">
        <v>1</v>
      </c>
      <c r="T173">
        <v>0</v>
      </c>
      <c r="U173">
        <v>0</v>
      </c>
    </row>
    <row r="174" spans="1:21" x14ac:dyDescent="0.3">
      <c r="A174" t="s">
        <v>196</v>
      </c>
      <c r="B174">
        <v>3</v>
      </c>
      <c r="C174">
        <v>2</v>
      </c>
      <c r="D174">
        <v>0.5</v>
      </c>
      <c r="E174">
        <v>2</v>
      </c>
      <c r="F174">
        <v>1</v>
      </c>
      <c r="G174">
        <v>0</v>
      </c>
      <c r="H174">
        <v>12.375</v>
      </c>
      <c r="I174">
        <v>1402.0853999999999</v>
      </c>
      <c r="J174">
        <v>4.1799999999999997E-2</v>
      </c>
      <c r="K174">
        <v>29</v>
      </c>
      <c r="L174">
        <v>15</v>
      </c>
      <c r="M174">
        <v>113.2998</v>
      </c>
      <c r="N174">
        <v>1</v>
      </c>
      <c r="O174">
        <v>1</v>
      </c>
      <c r="P174">
        <v>19</v>
      </c>
      <c r="Q174">
        <v>57.581899999999997</v>
      </c>
      <c r="R174">
        <v>0</v>
      </c>
      <c r="S174">
        <v>2</v>
      </c>
      <c r="T174">
        <v>1</v>
      </c>
      <c r="U174">
        <v>0</v>
      </c>
    </row>
    <row r="175" spans="1:21" x14ac:dyDescent="0.3">
      <c r="A175" t="s">
        <v>197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4.7549000000000001</v>
      </c>
      <c r="J175">
        <v>8.9999999999999998E-4</v>
      </c>
      <c r="K175">
        <v>3</v>
      </c>
      <c r="L175">
        <v>3</v>
      </c>
      <c r="M175">
        <v>4.7549000000000001</v>
      </c>
      <c r="N175">
        <v>1</v>
      </c>
      <c r="O175">
        <v>0</v>
      </c>
      <c r="P175">
        <v>15</v>
      </c>
      <c r="Q175">
        <v>70.129199999999997</v>
      </c>
      <c r="R175">
        <v>0</v>
      </c>
      <c r="S175">
        <v>1</v>
      </c>
      <c r="T175">
        <v>0</v>
      </c>
      <c r="U175">
        <v>0</v>
      </c>
    </row>
    <row r="176" spans="1:21" x14ac:dyDescent="0.3">
      <c r="A176" t="s">
        <v>198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4.7549000000000001</v>
      </c>
      <c r="J176">
        <v>8.9999999999999998E-4</v>
      </c>
      <c r="K176">
        <v>3</v>
      </c>
      <c r="L176">
        <v>3</v>
      </c>
      <c r="M176">
        <v>4.7549000000000001</v>
      </c>
      <c r="N176">
        <v>1</v>
      </c>
      <c r="O176">
        <v>0</v>
      </c>
      <c r="P176">
        <v>9</v>
      </c>
      <c r="Q176">
        <v>74.968599999999995</v>
      </c>
      <c r="R176">
        <v>0</v>
      </c>
      <c r="S176">
        <v>1</v>
      </c>
      <c r="T176">
        <v>0</v>
      </c>
      <c r="U176">
        <v>0</v>
      </c>
    </row>
    <row r="177" spans="1:21" x14ac:dyDescent="0.3">
      <c r="A177" t="s">
        <v>199</v>
      </c>
      <c r="B177">
        <v>3</v>
      </c>
      <c r="C177">
        <v>2</v>
      </c>
      <c r="D177">
        <v>0.5</v>
      </c>
      <c r="E177">
        <v>2</v>
      </c>
      <c r="F177">
        <v>1</v>
      </c>
      <c r="G177">
        <v>0</v>
      </c>
      <c r="H177">
        <v>13.5</v>
      </c>
      <c r="I177">
        <v>1566</v>
      </c>
      <c r="J177">
        <v>4.4999999999999998E-2</v>
      </c>
      <c r="K177">
        <v>29</v>
      </c>
      <c r="L177">
        <v>16</v>
      </c>
      <c r="M177">
        <v>116</v>
      </c>
      <c r="N177">
        <v>1</v>
      </c>
      <c r="O177">
        <v>1</v>
      </c>
      <c r="P177">
        <v>19</v>
      </c>
      <c r="Q177">
        <v>57.502200000000002</v>
      </c>
      <c r="R177">
        <v>0</v>
      </c>
      <c r="S177">
        <v>2</v>
      </c>
      <c r="T177">
        <v>1</v>
      </c>
      <c r="U177">
        <v>0</v>
      </c>
    </row>
    <row r="178" spans="1:21" x14ac:dyDescent="0.3">
      <c r="A178" t="s">
        <v>200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4.7549000000000001</v>
      </c>
      <c r="J178">
        <v>8.9999999999999998E-4</v>
      </c>
      <c r="K178">
        <v>3</v>
      </c>
      <c r="L178">
        <v>3</v>
      </c>
      <c r="M178">
        <v>4.7549000000000001</v>
      </c>
      <c r="N178">
        <v>1</v>
      </c>
      <c r="O178">
        <v>0</v>
      </c>
      <c r="P178">
        <v>9</v>
      </c>
      <c r="Q178">
        <v>74.968599999999995</v>
      </c>
      <c r="R178">
        <v>0</v>
      </c>
      <c r="S178">
        <v>1</v>
      </c>
      <c r="T178">
        <v>0</v>
      </c>
      <c r="U178">
        <v>0</v>
      </c>
    </row>
    <row r="179" spans="1:21" x14ac:dyDescent="0.3">
      <c r="A179" t="s">
        <v>201</v>
      </c>
      <c r="B179">
        <v>3</v>
      </c>
      <c r="C179">
        <v>2</v>
      </c>
      <c r="D179">
        <v>0.5</v>
      </c>
      <c r="E179">
        <v>2</v>
      </c>
      <c r="F179">
        <v>1</v>
      </c>
      <c r="G179">
        <v>0</v>
      </c>
      <c r="H179">
        <v>12.375</v>
      </c>
      <c r="I179">
        <v>1402.0853999999999</v>
      </c>
      <c r="J179">
        <v>4.1799999999999997E-2</v>
      </c>
      <c r="K179">
        <v>29</v>
      </c>
      <c r="L179">
        <v>15</v>
      </c>
      <c r="M179">
        <v>113.2998</v>
      </c>
      <c r="N179">
        <v>1</v>
      </c>
      <c r="O179">
        <v>1</v>
      </c>
      <c r="P179">
        <v>19</v>
      </c>
      <c r="Q179">
        <v>57.581899999999997</v>
      </c>
      <c r="R179">
        <v>0</v>
      </c>
      <c r="S179">
        <v>2</v>
      </c>
      <c r="T179">
        <v>1</v>
      </c>
      <c r="U179">
        <v>0</v>
      </c>
    </row>
    <row r="180" spans="1:21" x14ac:dyDescent="0.3">
      <c r="A180" t="s">
        <v>202</v>
      </c>
      <c r="B180">
        <v>3</v>
      </c>
      <c r="C180">
        <v>2</v>
      </c>
      <c r="D180">
        <v>0.5</v>
      </c>
      <c r="E180">
        <v>2</v>
      </c>
      <c r="F180">
        <v>1</v>
      </c>
      <c r="G180">
        <v>0</v>
      </c>
      <c r="H180">
        <v>10.5</v>
      </c>
      <c r="I180">
        <v>1089.1259</v>
      </c>
      <c r="J180">
        <v>3.5299999999999998E-2</v>
      </c>
      <c r="K180">
        <v>24</v>
      </c>
      <c r="L180">
        <v>20</v>
      </c>
      <c r="M180">
        <v>103.72629999999999</v>
      </c>
      <c r="N180">
        <v>1</v>
      </c>
      <c r="O180">
        <v>1</v>
      </c>
      <c r="P180">
        <v>20</v>
      </c>
      <c r="Q180">
        <v>57.377699999999997</v>
      </c>
      <c r="R180">
        <v>0</v>
      </c>
      <c r="S180">
        <v>2</v>
      </c>
      <c r="T180">
        <v>1</v>
      </c>
      <c r="U180">
        <v>1</v>
      </c>
    </row>
    <row r="181" spans="1:21" x14ac:dyDescent="0.3">
      <c r="A181" t="s">
        <v>203</v>
      </c>
      <c r="B181">
        <v>3</v>
      </c>
      <c r="C181">
        <v>2</v>
      </c>
      <c r="D181">
        <v>0.25</v>
      </c>
      <c r="E181">
        <v>3</v>
      </c>
      <c r="F181">
        <v>1</v>
      </c>
      <c r="G181">
        <v>0</v>
      </c>
      <c r="H181">
        <v>10</v>
      </c>
      <c r="I181">
        <v>629.07479999999998</v>
      </c>
      <c r="J181">
        <v>2.4500000000000001E-2</v>
      </c>
      <c r="K181">
        <v>17</v>
      </c>
      <c r="L181">
        <v>13</v>
      </c>
      <c r="M181">
        <v>62.907499999999999</v>
      </c>
      <c r="N181">
        <v>1</v>
      </c>
      <c r="O181">
        <v>1</v>
      </c>
      <c r="P181">
        <v>21</v>
      </c>
      <c r="Q181">
        <v>58.459000000000003</v>
      </c>
      <c r="R181">
        <v>1</v>
      </c>
      <c r="S181">
        <v>2</v>
      </c>
      <c r="T181">
        <v>1</v>
      </c>
      <c r="U181">
        <v>1</v>
      </c>
    </row>
    <row r="182" spans="1:21" x14ac:dyDescent="0.3">
      <c r="A182" t="s">
        <v>204</v>
      </c>
      <c r="B182">
        <v>2</v>
      </c>
      <c r="C182">
        <v>1</v>
      </c>
      <c r="D182">
        <v>0.5</v>
      </c>
      <c r="E182">
        <v>1</v>
      </c>
      <c r="F182">
        <v>0</v>
      </c>
      <c r="G182">
        <v>0</v>
      </c>
      <c r="H182">
        <v>2.5</v>
      </c>
      <c r="I182">
        <v>38.7744</v>
      </c>
      <c r="J182">
        <v>3.8E-3</v>
      </c>
      <c r="K182">
        <v>6</v>
      </c>
      <c r="L182">
        <v>6</v>
      </c>
      <c r="M182">
        <v>15.5098</v>
      </c>
      <c r="N182">
        <v>1</v>
      </c>
      <c r="O182">
        <v>1</v>
      </c>
      <c r="P182">
        <v>13</v>
      </c>
      <c r="Q182">
        <v>67.372200000000007</v>
      </c>
      <c r="R182">
        <v>0</v>
      </c>
      <c r="S182">
        <v>1</v>
      </c>
      <c r="T182">
        <v>1</v>
      </c>
      <c r="U182">
        <v>0</v>
      </c>
    </row>
    <row r="183" spans="1:21" x14ac:dyDescent="0.3">
      <c r="A183" t="s">
        <v>205</v>
      </c>
      <c r="B183">
        <v>3</v>
      </c>
      <c r="C183">
        <v>2</v>
      </c>
      <c r="D183">
        <v>0.5</v>
      </c>
      <c r="E183">
        <v>2</v>
      </c>
      <c r="F183">
        <v>1</v>
      </c>
      <c r="G183">
        <v>0</v>
      </c>
      <c r="H183">
        <v>9.75</v>
      </c>
      <c r="I183">
        <v>797.05529999999999</v>
      </c>
      <c r="J183">
        <v>2.87E-2</v>
      </c>
      <c r="K183">
        <v>20</v>
      </c>
      <c r="L183">
        <v>17</v>
      </c>
      <c r="M183">
        <v>81.749300000000005</v>
      </c>
      <c r="N183">
        <v>1</v>
      </c>
      <c r="O183">
        <v>1</v>
      </c>
      <c r="P183">
        <v>18</v>
      </c>
      <c r="Q183">
        <v>59.106499999999997</v>
      </c>
      <c r="R183">
        <v>0</v>
      </c>
      <c r="S183">
        <v>1</v>
      </c>
      <c r="T183">
        <v>1</v>
      </c>
      <c r="U183">
        <v>0</v>
      </c>
    </row>
    <row r="184" spans="1:21" x14ac:dyDescent="0.3">
      <c r="A184" t="s">
        <v>206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1.1667000000000001</v>
      </c>
      <c r="I184">
        <v>31.5</v>
      </c>
      <c r="J184">
        <v>3.3E-3</v>
      </c>
      <c r="K184">
        <v>9</v>
      </c>
      <c r="L184">
        <v>8</v>
      </c>
      <c r="M184">
        <v>27</v>
      </c>
      <c r="N184">
        <v>1</v>
      </c>
      <c r="O184">
        <v>0</v>
      </c>
      <c r="P184">
        <v>10</v>
      </c>
      <c r="Q184">
        <v>68.278400000000005</v>
      </c>
      <c r="R184">
        <v>0</v>
      </c>
      <c r="S184">
        <v>3</v>
      </c>
      <c r="T184">
        <v>0</v>
      </c>
      <c r="U184">
        <v>0</v>
      </c>
    </row>
    <row r="185" spans="1:21" x14ac:dyDescent="0.3">
      <c r="A185" t="s">
        <v>207</v>
      </c>
      <c r="B185">
        <v>3</v>
      </c>
      <c r="C185">
        <v>2</v>
      </c>
      <c r="D185">
        <v>0.5</v>
      </c>
      <c r="E185">
        <v>2</v>
      </c>
      <c r="F185">
        <v>1</v>
      </c>
      <c r="G185">
        <v>0</v>
      </c>
      <c r="H185">
        <v>11.25</v>
      </c>
      <c r="I185">
        <v>1235.3393000000001</v>
      </c>
      <c r="J185">
        <v>3.8399999999999997E-2</v>
      </c>
      <c r="K185">
        <v>25</v>
      </c>
      <c r="L185">
        <v>21</v>
      </c>
      <c r="M185">
        <v>109.8079</v>
      </c>
      <c r="N185">
        <v>1</v>
      </c>
      <c r="O185">
        <v>1</v>
      </c>
      <c r="P185">
        <v>20</v>
      </c>
      <c r="Q185">
        <v>57.205500000000001</v>
      </c>
      <c r="R185">
        <v>0</v>
      </c>
      <c r="S185">
        <v>2</v>
      </c>
      <c r="T185">
        <v>1</v>
      </c>
      <c r="U185">
        <v>1</v>
      </c>
    </row>
    <row r="186" spans="1:21" x14ac:dyDescent="0.3">
      <c r="A186" t="s">
        <v>208</v>
      </c>
      <c r="B186">
        <v>3</v>
      </c>
      <c r="C186">
        <v>3</v>
      </c>
      <c r="D186">
        <v>0.6</v>
      </c>
      <c r="E186">
        <v>4</v>
      </c>
      <c r="F186">
        <v>1</v>
      </c>
      <c r="G186">
        <v>0</v>
      </c>
      <c r="H186">
        <v>8.4</v>
      </c>
      <c r="I186">
        <v>686.69380000000001</v>
      </c>
      <c r="J186">
        <v>2.5899999999999999E-2</v>
      </c>
      <c r="K186">
        <v>20</v>
      </c>
      <c r="L186">
        <v>17</v>
      </c>
      <c r="M186">
        <v>81.749300000000005</v>
      </c>
      <c r="N186">
        <v>0</v>
      </c>
      <c r="O186">
        <v>1</v>
      </c>
      <c r="P186">
        <v>21</v>
      </c>
      <c r="Q186">
        <v>57.6462</v>
      </c>
      <c r="R186">
        <v>0</v>
      </c>
      <c r="S186">
        <v>2</v>
      </c>
      <c r="T186">
        <v>1</v>
      </c>
      <c r="U186">
        <v>1</v>
      </c>
    </row>
    <row r="187" spans="1:21" x14ac:dyDescent="0.3">
      <c r="A187" t="s">
        <v>209</v>
      </c>
      <c r="B187">
        <v>3</v>
      </c>
      <c r="C187">
        <v>2</v>
      </c>
      <c r="D187">
        <v>0.5</v>
      </c>
      <c r="E187">
        <v>6</v>
      </c>
      <c r="F187">
        <v>1</v>
      </c>
      <c r="G187">
        <v>1</v>
      </c>
      <c r="H187">
        <v>9.5</v>
      </c>
      <c r="I187">
        <v>1398.0318</v>
      </c>
      <c r="J187">
        <v>4.1700000000000001E-2</v>
      </c>
      <c r="K187">
        <v>33</v>
      </c>
      <c r="L187">
        <v>22</v>
      </c>
      <c r="M187">
        <v>147.16120000000001</v>
      </c>
      <c r="N187">
        <v>0.5</v>
      </c>
      <c r="O187">
        <v>1</v>
      </c>
      <c r="P187">
        <v>19</v>
      </c>
      <c r="Q187">
        <v>56.781999999999996</v>
      </c>
      <c r="R187">
        <v>1</v>
      </c>
      <c r="S187">
        <v>4</v>
      </c>
      <c r="T187">
        <v>1</v>
      </c>
      <c r="U187">
        <v>1</v>
      </c>
    </row>
    <row r="188" spans="1:21" x14ac:dyDescent="0.3">
      <c r="A188" t="s">
        <v>210</v>
      </c>
      <c r="B188">
        <v>4</v>
      </c>
      <c r="C188">
        <v>5</v>
      </c>
      <c r="D188">
        <v>0.375</v>
      </c>
      <c r="E188">
        <v>7</v>
      </c>
      <c r="F188">
        <v>2</v>
      </c>
      <c r="G188">
        <v>1</v>
      </c>
      <c r="H188">
        <v>20.125</v>
      </c>
      <c r="I188">
        <v>4771.3662999999997</v>
      </c>
      <c r="J188">
        <v>9.4500000000000001E-2</v>
      </c>
      <c r="K188">
        <v>47</v>
      </c>
      <c r="L188">
        <v>33</v>
      </c>
      <c r="M188">
        <v>237.0865</v>
      </c>
      <c r="N188">
        <v>0.5</v>
      </c>
      <c r="O188">
        <v>1</v>
      </c>
      <c r="P188">
        <v>25</v>
      </c>
      <c r="Q188">
        <v>52.690899999999999</v>
      </c>
      <c r="R188">
        <v>2</v>
      </c>
      <c r="S188">
        <v>7</v>
      </c>
      <c r="T188">
        <v>1</v>
      </c>
      <c r="U188">
        <v>1</v>
      </c>
    </row>
    <row r="189" spans="1:21" x14ac:dyDescent="0.3">
      <c r="A189" t="s">
        <v>211</v>
      </c>
      <c r="B189">
        <v>29</v>
      </c>
      <c r="C189">
        <v>19</v>
      </c>
      <c r="D189">
        <v>0.3125</v>
      </c>
      <c r="E189">
        <v>29</v>
      </c>
      <c r="F189">
        <v>2</v>
      </c>
      <c r="G189">
        <v>2</v>
      </c>
      <c r="H189">
        <v>100.1</v>
      </c>
      <c r="I189">
        <v>190025.48860000001</v>
      </c>
      <c r="J189">
        <v>1.1017999999999999</v>
      </c>
      <c r="K189">
        <v>291</v>
      </c>
      <c r="L189">
        <v>92</v>
      </c>
      <c r="M189">
        <v>1898.3565000000001</v>
      </c>
      <c r="N189">
        <v>0.77780000000000005</v>
      </c>
      <c r="O189">
        <v>2</v>
      </c>
      <c r="P189">
        <v>122</v>
      </c>
      <c r="Q189">
        <v>31.0806</v>
      </c>
      <c r="R189">
        <v>5</v>
      </c>
      <c r="S189">
        <v>24</v>
      </c>
      <c r="T189">
        <v>2</v>
      </c>
      <c r="U189">
        <v>0</v>
      </c>
    </row>
    <row r="190" spans="1:21" x14ac:dyDescent="0.3">
      <c r="A190" t="s">
        <v>212</v>
      </c>
      <c r="B190">
        <v>1</v>
      </c>
      <c r="C190">
        <v>0</v>
      </c>
      <c r="D190">
        <v>1</v>
      </c>
      <c r="E190">
        <v>1</v>
      </c>
      <c r="F190">
        <v>0</v>
      </c>
      <c r="G190">
        <v>1</v>
      </c>
      <c r="H190">
        <v>3.7037</v>
      </c>
      <c r="I190">
        <v>1229.3746000000001</v>
      </c>
      <c r="J190">
        <v>3.8300000000000001E-2</v>
      </c>
      <c r="K190">
        <v>67</v>
      </c>
      <c r="L190">
        <v>31</v>
      </c>
      <c r="M190">
        <v>331.93119999999999</v>
      </c>
      <c r="N190">
        <v>0.91669999999999996</v>
      </c>
      <c r="O190">
        <v>0</v>
      </c>
      <c r="P190">
        <v>19</v>
      </c>
      <c r="Q190">
        <v>54.461399999999998</v>
      </c>
      <c r="R190">
        <v>0</v>
      </c>
      <c r="S190">
        <v>12</v>
      </c>
      <c r="T190">
        <v>0</v>
      </c>
      <c r="U190">
        <v>0</v>
      </c>
    </row>
    <row r="191" spans="1:21" x14ac:dyDescent="0.3">
      <c r="A191" t="s">
        <v>213</v>
      </c>
      <c r="B191">
        <v>8</v>
      </c>
      <c r="C191">
        <v>7</v>
      </c>
      <c r="D191">
        <v>0.375</v>
      </c>
      <c r="E191">
        <v>8</v>
      </c>
      <c r="F191">
        <v>1</v>
      </c>
      <c r="G191">
        <v>0</v>
      </c>
      <c r="H191">
        <v>24.285699999999999</v>
      </c>
      <c r="I191">
        <v>8772.2394999999997</v>
      </c>
      <c r="J191">
        <v>0.14180000000000001</v>
      </c>
      <c r="K191">
        <v>71</v>
      </c>
      <c r="L191">
        <v>34</v>
      </c>
      <c r="M191">
        <v>361.2099</v>
      </c>
      <c r="N191">
        <v>0</v>
      </c>
      <c r="O191">
        <v>0</v>
      </c>
      <c r="P191">
        <v>28</v>
      </c>
      <c r="Q191">
        <v>50.244399999999999</v>
      </c>
      <c r="R191">
        <v>1</v>
      </c>
      <c r="S191">
        <v>8</v>
      </c>
      <c r="T191">
        <v>0</v>
      </c>
      <c r="U191">
        <v>1</v>
      </c>
    </row>
    <row r="192" spans="1:21" x14ac:dyDescent="0.3">
      <c r="A192" t="s">
        <v>214</v>
      </c>
      <c r="B192">
        <v>1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6</v>
      </c>
      <c r="I192">
        <v>344.15640000000002</v>
      </c>
      <c r="J192">
        <v>1.6400000000000001E-2</v>
      </c>
      <c r="K192">
        <v>16</v>
      </c>
      <c r="L192">
        <v>12</v>
      </c>
      <c r="M192">
        <v>57.359400000000001</v>
      </c>
      <c r="N192">
        <v>0</v>
      </c>
      <c r="O192">
        <v>0</v>
      </c>
      <c r="P192">
        <v>12</v>
      </c>
      <c r="Q192">
        <v>64.164100000000005</v>
      </c>
      <c r="R192">
        <v>0</v>
      </c>
      <c r="S192">
        <v>3</v>
      </c>
      <c r="T192">
        <v>0</v>
      </c>
      <c r="U192">
        <v>1</v>
      </c>
    </row>
    <row r="193" spans="1:21" x14ac:dyDescent="0.3">
      <c r="A193" t="s">
        <v>215</v>
      </c>
      <c r="B193">
        <v>1</v>
      </c>
      <c r="C193">
        <v>0</v>
      </c>
      <c r="D193">
        <v>0.8</v>
      </c>
      <c r="E193">
        <v>4</v>
      </c>
      <c r="F193">
        <v>0</v>
      </c>
      <c r="G193">
        <v>0</v>
      </c>
      <c r="H193">
        <v>7.8571</v>
      </c>
      <c r="I193">
        <v>720.80129999999997</v>
      </c>
      <c r="J193">
        <v>2.6800000000000001E-2</v>
      </c>
      <c r="K193">
        <v>22</v>
      </c>
      <c r="L193">
        <v>18</v>
      </c>
      <c r="M193">
        <v>91.738399999999999</v>
      </c>
      <c r="N193">
        <v>0</v>
      </c>
      <c r="O193">
        <v>0</v>
      </c>
      <c r="P193">
        <v>14</v>
      </c>
      <c r="Q193">
        <v>61.281199999999998</v>
      </c>
      <c r="R193">
        <v>0</v>
      </c>
      <c r="S193">
        <v>5</v>
      </c>
      <c r="T193">
        <v>0</v>
      </c>
      <c r="U193">
        <v>1</v>
      </c>
    </row>
  </sheetData>
  <autoFilter ref="A1:U193" xr:uid="{492388AE-B437-4D79-92E0-1F2D5F2497F4}">
    <filterColumn colId="0">
      <filters>
        <filter val="battleship.BoardWindow.close()"/>
        <filter val="battleship.BoardWindow.createBoardPanel(char[][], List&lt;IPosition&gt;)"/>
        <filter val="battleship.BoardWindow.show(char[][], char[][], List&lt;IPosition&gt;, List&lt;IPosition&gt;)"/>
        <filter val="battleship.Fleet.addShip(IShip)"/>
        <filter val="battleship.Fleet.colisionRisk(IShip)"/>
        <filter val="battleship.Fleet.createRandom()"/>
        <filter val="battleship.Fleet.Fleet()"/>
        <filter val="battleship.Fleet.getFloatingShips()"/>
        <filter val="battleship.Fleet.getShips()"/>
        <filter val="battleship.Fleet.getShipsLike(String)"/>
        <filter val="battleship.Fleet.getSunkShips()"/>
        <filter val="battleship.Fleet.isInsideBoard(IShip)"/>
        <filter val="battleship.Fleet.printAllShips()"/>
        <filter val="battleship.Fleet.printFloatingShips()"/>
        <filter val="battleship.Fleet.printShips(List&lt;IShip&gt;)"/>
        <filter val="battleship.Fleet.printShipsByCategory(String)"/>
        <filter val="battleship.Fleet.printStatus()"/>
        <filter val="battleship.Fleet.shipAt(IPosition)"/>
        <filter val="battleship.Game.buildMap(IFleet, List&lt;IMove&gt;, boolean, boolean)"/>
        <filter val="battleship.Game.fireShots(List&lt;IPosition&gt;)"/>
        <filter val="battleship.Game.fireShotsAtAlien(List&lt;IPosition&gt;)"/>
        <filter val="battleship.Game.fireSingleShot(IPosition, boolean)"/>
        <filter val="battleship.Game.fireSingleShotAtAlien(IPosition, boolean)"/>
        <filter val="battleship.Game.Game(IFleet)"/>
        <filter val="battleship.Game.getAlienFleet()"/>
        <filter val="battleship.Game.getAlienMoves()"/>
        <filter val="battleship.Game.getHits()"/>
        <filter val="battleship.Game.getInvalidShots()"/>
        <filter val="battleship.Game.getMyFleet()"/>
        <filter val="battleship.Game.getMyMoves()"/>
        <filter val="battleship.Game.getRemainingShips()"/>
        <filter val="battleship.Game.getRepeatedShots()"/>
        <filter val="battleship.Game.getSunkShips()"/>
        <filter val="battleship.Game.jsonShots(List&lt;IPosition&gt;)"/>
        <filter val="battleship.Game.jsonToShots(String)"/>
        <filter val="battleship.Game.over()"/>
        <filter val="battleship.Game.printAlienBoard(boolean, boolean)"/>
        <filter val="battleship.Game.printBoard(IFleet, List&lt;IMove&gt;, boolean, boolean)"/>
        <filter val="battleship.Game.printBothBoards(boolean)"/>
        <filter val="battleship.Game.printMyBoard(boolean, boolean)"/>
        <filter val="battleship.Game.randomEnemyFire()"/>
        <filter val="battleship.Game.randomPlayerFire()"/>
        <filter val="battleship.Game.readAlienFire(Scanner)"/>
        <filter val="battleship.Game.readEnemyFire(Scanner)"/>
        <filter val="battleship.Game.repeatedShot(IPosition)"/>
        <filter val="battleship.Game.repeatedShotAtAlien(IPosition)"/>
        <filter val="battleship.GameResult.GameResult()"/>
        <filter val="battleship.GameResult.GameResult(String, int, boolean)"/>
        <filter val="battleship.GameResult.getDate()"/>
        <filter val="battleship.GameResult.getPlayerName()"/>
        <filter val="battleship.GameResult.getTotalMoves()"/>
        <filter val="battleship.GameResult.isPlayerWon()"/>
        <filter val="battleship.GameResult.setDate(LocalDateTime)"/>
        <filter val="battleship.GameResult.setPlayerName(String)"/>
        <filter val="battleship.GameResult.setPlayerWon(boolean)"/>
        <filter val="battleship.GameResult.setTotalMoves(int)"/>
        <filter val="battleship.Main.main(String[])"/>
        <filter val="battleship.Move.getNumber()"/>
        <filter val="battleship.Move.getShotResults()"/>
        <filter val="battleship.Move.getShots()"/>
        <filter val="battleship.Move.Move(int, List&lt;IPosition&gt;, List&lt;ShotResult&gt;)"/>
        <filter val="battleship.Move.processEnemyFire(boolean)"/>
        <filter val="battleship.Move.toString()"/>
        <filter val="battleship.PdfExporter.checkPagination(PDDocument, PdfState, float)"/>
        <filter val="battleship.PdfExporter.exportGameReport(IGame, String)"/>
        <filter val="battleship.PdfExporter.PdfState.PdfState(PDPage, PDPageContentStream, float)"/>
        <filter val="battleship.PdfExporter.printMoveSection(PDDocument, PdfState, String, List&lt;IMove&gt;)"/>
        <filter val="battleship.Position.adjacentPositions()"/>
        <filter val="battleship.Position.equals(Object)"/>
        <filter val="battleship.Position.getClassicColumn()"/>
        <filter val="battleship.Position.getClassicRow()"/>
        <filter val="battleship.Position.getColumn()"/>
        <filter val="battleship.Position.getRow()"/>
        <filter val="battleship.Position.hashCode()"/>
        <filter val="battleship.Position.isAdjacentTo(IPosition)"/>
        <filter val="battleship.Position.isHit()"/>
        <filter val="battleship.Position.isInside()"/>
        <filter val="battleship.Position.isOccupied()"/>
        <filter val="battleship.Position.occupy()"/>
        <filter val="battleship.Position.Position(char, int)"/>
        <filter val="battleship.Position.Position(int, int)"/>
        <filter val="battleship.Position.randomPosition()"/>
        <filter val="battleship.Position.shoot()"/>
        <filter val="battleship.Position.toString()"/>
        <filter val="battleship.Scoreboard.displayScoreboard(int)"/>
        <filter val="battleship.Scoreboard.interactiveDisplay(Scanner)"/>
        <filter val="battleship.Scoreboard.loadResults()"/>
        <filter val="battleship.Scoreboard.saveResult(GameResult)"/>
        <filter val="battleship.Ship.buildShip(String, Compass, Position)"/>
        <filter val="battleship.Ship.getAdjacentPositions()"/>
        <filter val="battleship.Ship.getBearing()"/>
        <filter val="battleship.Ship.getBottomMostPos()"/>
        <filter val="battleship.Ship.getCategory()"/>
        <filter val="battleship.Ship.getLeftMostPos()"/>
        <filter val="battleship.Ship.getPosition()"/>
        <filter val="battleship.Ship.getPositions()"/>
        <filter val="battleship.Ship.getRightMostPos()"/>
        <filter val="battleship.Ship.getSize()"/>
        <filter val="battleship.Ship.getTopMostPos()"/>
        <filter val="battleship.Ship.occupies(IPosition)"/>
        <filter val="battleship.Ship.Ship(String, Compass, IPosition, int)"/>
        <filter val="battleship.Ship.shoot(IPosition)"/>
        <filter val="battleship.Ship.sink()"/>
        <filter val="battleship.Ship.stillFloating()"/>
        <filter val="battleship.Ship.tooCloseTo(IPosition)"/>
        <filter val="battleship.Ship.tooCloseTo(IShip)"/>
        <filter val="battleship.Ship.toString()"/>
        <filter val="battleship.Tasks.askPlayerName(Scanner)"/>
        <filter val="battleship.Tasks.buildFleet(Scanner)"/>
        <filter val="battleship.Tasks.menu()"/>
        <filter val="battleship.Tasks.menuHelp()"/>
        <filter val="battleship.Tasks.readClassicPosition(Scanner)"/>
        <filter val="battleship.Tasks.readPosition(Scanner)"/>
        <filter val="battleship.Tasks.readShip(Scanner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CEC3-6ABB-478E-BCEF-2B1E918FC840}">
  <dimension ref="A1:D89"/>
  <sheetViews>
    <sheetView tabSelected="1" workbookViewId="0">
      <selection activeCell="C13" sqref="C13"/>
    </sheetView>
  </sheetViews>
  <sheetFormatPr defaultRowHeight="14.4" x14ac:dyDescent="0.3"/>
  <cols>
    <col min="1" max="1" width="17.33203125" style="3" customWidth="1"/>
    <col min="2" max="2" width="22.6640625" style="3" customWidth="1"/>
    <col min="3" max="3" width="19.77734375" style="3" customWidth="1"/>
    <col min="4" max="4" width="70" style="3" bestFit="1" customWidth="1"/>
    <col min="5" max="16384" width="8.88671875" style="2"/>
  </cols>
  <sheetData>
    <row r="1" spans="1:4" ht="21" x14ac:dyDescent="0.4">
      <c r="A1" s="1" t="s">
        <v>217</v>
      </c>
      <c r="B1" s="1" t="s">
        <v>216</v>
      </c>
      <c r="C1" s="1" t="s">
        <v>1</v>
      </c>
      <c r="D1" s="1" t="s">
        <v>218</v>
      </c>
    </row>
    <row r="2" spans="1:4" x14ac:dyDescent="0.3">
      <c r="A2" s="3" t="str">
        <f>_xlfn.TEXTBEFORE(_xlfn.TEXTAFTER(D2,"." ),".")</f>
        <v>Move</v>
      </c>
      <c r="B2" s="3" t="str">
        <f>_xlfn.TEXTBEFORE(_xlfn.TEXTAFTER(D2,".",-1),"(")</f>
        <v>processEnemyFire</v>
      </c>
      <c r="C2" s="3">
        <v>38</v>
      </c>
      <c r="D2" s="3" t="s">
        <v>163</v>
      </c>
    </row>
    <row r="3" spans="1:4" x14ac:dyDescent="0.3">
      <c r="A3" s="3" t="str">
        <f>_xlfn.TEXTBEFORE(_xlfn.TEXTAFTER(D3,"." ),".")</f>
        <v>Tasks</v>
      </c>
      <c r="B3" s="3" t="str">
        <f>_xlfn.TEXTBEFORE(_xlfn.TEXTAFTER(D3,".",-1),"(")</f>
        <v>menu</v>
      </c>
      <c r="C3" s="3">
        <v>29</v>
      </c>
      <c r="D3" s="3" t="s">
        <v>211</v>
      </c>
    </row>
    <row r="4" spans="1:4" x14ac:dyDescent="0.3">
      <c r="A4" s="3" t="str">
        <f>_xlfn.TEXTBEFORE(_xlfn.TEXTAFTER(D4,"." ),".")</f>
        <v>Game</v>
      </c>
      <c r="B4" s="3" t="str">
        <f>_xlfn.TEXTBEFORE(_xlfn.TEXTAFTER(D4,".",-1),"(")</f>
        <v>printBoard</v>
      </c>
      <c r="C4" s="3">
        <v>20</v>
      </c>
      <c r="D4" s="3" t="s">
        <v>75</v>
      </c>
    </row>
    <row r="5" spans="1:4" x14ac:dyDescent="0.3">
      <c r="A5" s="3" t="str">
        <f>_xlfn.TEXTBEFORE(_xlfn.TEXTAFTER(D5,"." ),".")</f>
        <v>Game</v>
      </c>
      <c r="B5" s="3" t="str">
        <f>_xlfn.TEXTBEFORE(_xlfn.TEXTAFTER(D5,".",-1),"(")</f>
        <v>buildMap</v>
      </c>
      <c r="C5" s="3">
        <v>18</v>
      </c>
      <c r="D5" s="3" t="s">
        <v>57</v>
      </c>
    </row>
    <row r="6" spans="1:4" x14ac:dyDescent="0.3">
      <c r="A6" s="3" t="str">
        <f>_xlfn.TEXTBEFORE(_xlfn.TEXTAFTER(D6,"." ),".")</f>
        <v>Game</v>
      </c>
      <c r="B6" s="3" t="str">
        <f>_xlfn.TEXTBEFORE(_xlfn.TEXTAFTER(D6,".",-1),"(")</f>
        <v>readAlienFire</v>
      </c>
      <c r="C6" s="3">
        <v>12</v>
      </c>
      <c r="D6" s="3" t="s">
        <v>80</v>
      </c>
    </row>
    <row r="7" spans="1:4" x14ac:dyDescent="0.3">
      <c r="A7" s="3" t="str">
        <f>_xlfn.TEXTBEFORE(_xlfn.TEXTAFTER(D7,"." ),".")</f>
        <v>Game</v>
      </c>
      <c r="B7" s="3" t="str">
        <f>_xlfn.TEXTBEFORE(_xlfn.TEXTAFTER(D7,".",-1),"(")</f>
        <v>readEnemyFire</v>
      </c>
      <c r="C7" s="3">
        <v>12</v>
      </c>
      <c r="D7" s="3" t="s">
        <v>81</v>
      </c>
    </row>
    <row r="8" spans="1:4" x14ac:dyDescent="0.3">
      <c r="A8" s="3" t="str">
        <f>_xlfn.TEXTBEFORE(_xlfn.TEXTAFTER(D8,"." ),".")</f>
        <v>BoardWindow</v>
      </c>
      <c r="B8" s="3" t="str">
        <f>_xlfn.TEXTBEFORE(_xlfn.TEXTAFTER(D8,".",-1),"(")</f>
        <v>createBoardPanel</v>
      </c>
      <c r="C8" s="3">
        <v>10</v>
      </c>
      <c r="D8" s="3" t="s">
        <v>23</v>
      </c>
    </row>
    <row r="9" spans="1:4" x14ac:dyDescent="0.3">
      <c r="A9" s="3" t="str">
        <f>_xlfn.TEXTBEFORE(_xlfn.TEXTAFTER(D9,"." ),".")</f>
        <v>Game</v>
      </c>
      <c r="B9" s="3" t="str">
        <f>_xlfn.TEXTBEFORE(_xlfn.TEXTAFTER(D9,".",-1),"(")</f>
        <v>randomEnemyFire</v>
      </c>
      <c r="C9" s="3">
        <v>10</v>
      </c>
      <c r="D9" s="3" t="s">
        <v>78</v>
      </c>
    </row>
    <row r="10" spans="1:4" x14ac:dyDescent="0.3">
      <c r="A10" s="3" t="str">
        <f>_xlfn.TEXTBEFORE(_xlfn.TEXTAFTER(D10,"." ),".")</f>
        <v>Game</v>
      </c>
      <c r="B10" s="3" t="str">
        <f>_xlfn.TEXTBEFORE(_xlfn.TEXTAFTER(D10,".",-1),"(")</f>
        <v>randomPlayerFire</v>
      </c>
      <c r="C10" s="3">
        <v>10</v>
      </c>
      <c r="D10" s="3" t="s">
        <v>79</v>
      </c>
    </row>
    <row r="11" spans="1:4" x14ac:dyDescent="0.3">
      <c r="A11" s="3" t="str">
        <f>_xlfn.TEXTBEFORE(_xlfn.TEXTAFTER(D11,"." ),".")</f>
        <v>PdfExporter</v>
      </c>
      <c r="B11" s="3" t="str">
        <f>_xlfn.TEXTBEFORE(_xlfn.TEXTAFTER(D11,".",-1),"(")</f>
        <v>printMoveSection</v>
      </c>
      <c r="C11" s="3">
        <v>9</v>
      </c>
      <c r="D11" s="3" t="s">
        <v>167</v>
      </c>
    </row>
    <row r="12" spans="1:4" x14ac:dyDescent="0.3">
      <c r="A12" s="3" t="str">
        <f>_xlfn.TEXTBEFORE(_xlfn.TEXTAFTER(D12,"." ),".")</f>
        <v>Tasks</v>
      </c>
      <c r="B12" s="3" t="str">
        <f>_xlfn.TEXTBEFORE(_xlfn.TEXTAFTER(D12,".",-1),"(")</f>
        <v>readClassicPosition</v>
      </c>
      <c r="C12" s="3">
        <v>8</v>
      </c>
      <c r="D12" s="3" t="s">
        <v>213</v>
      </c>
    </row>
    <row r="13" spans="1:4" x14ac:dyDescent="0.3">
      <c r="A13" s="3" t="str">
        <f>_xlfn.TEXTBEFORE(_xlfn.TEXTAFTER(D13,"." ),".")</f>
        <v>Ship</v>
      </c>
      <c r="B13" s="3" t="str">
        <f>_xlfn.TEXTBEFORE(_xlfn.TEXTAFTER(D13,".",-1),"(")</f>
        <v>buildShip</v>
      </c>
      <c r="C13" s="3">
        <v>7</v>
      </c>
      <c r="D13" s="3" t="s">
        <v>191</v>
      </c>
    </row>
    <row r="14" spans="1:4" x14ac:dyDescent="0.3">
      <c r="A14" s="3" t="str">
        <f>_xlfn.TEXTBEFORE(_xlfn.TEXTAFTER(D14,"." ),".")</f>
        <v>Game</v>
      </c>
      <c r="B14" s="3" t="str">
        <f>_xlfn.TEXTBEFORE(_xlfn.TEXTAFTER(D14,".",-1),"(")</f>
        <v>fireSingleShot</v>
      </c>
      <c r="C14" s="3">
        <v>6</v>
      </c>
      <c r="D14" s="3" t="s">
        <v>60</v>
      </c>
    </row>
    <row r="15" spans="1:4" x14ac:dyDescent="0.3">
      <c r="A15" s="3" t="str">
        <f>_xlfn.TEXTBEFORE(_xlfn.TEXTAFTER(D15,"." ),".")</f>
        <v>Game</v>
      </c>
      <c r="B15" s="3" t="str">
        <f>_xlfn.TEXTBEFORE(_xlfn.TEXTAFTER(D15,".",-1),"(")</f>
        <v>jsonToShots</v>
      </c>
      <c r="C15" s="3">
        <v>6</v>
      </c>
      <c r="D15" s="3" t="s">
        <v>72</v>
      </c>
    </row>
    <row r="16" spans="1:4" x14ac:dyDescent="0.3">
      <c r="A16" s="3" t="str">
        <f>_xlfn.TEXTBEFORE(_xlfn.TEXTAFTER(D16,"." ),".")</f>
        <v>Game</v>
      </c>
      <c r="B16" s="3" t="str">
        <f>_xlfn.TEXTBEFORE(_xlfn.TEXTAFTER(D16,".",-1),"(")</f>
        <v>fireSingleShotAtAlien</v>
      </c>
      <c r="C16" s="3">
        <v>5</v>
      </c>
      <c r="D16" s="3" t="s">
        <v>61</v>
      </c>
    </row>
    <row r="17" spans="1:4" x14ac:dyDescent="0.3">
      <c r="A17" s="3" t="str">
        <f>_xlfn.TEXTBEFORE(_xlfn.TEXTAFTER(D17,"." ),".")</f>
        <v>Scoreboard</v>
      </c>
      <c r="B17" s="3" t="str">
        <f>_xlfn.TEXTBEFORE(_xlfn.TEXTAFTER(D17,".",-1),"(")</f>
        <v>displayScoreboard</v>
      </c>
      <c r="C17" s="3">
        <v>5</v>
      </c>
      <c r="D17" s="3" t="s">
        <v>186</v>
      </c>
    </row>
    <row r="18" spans="1:4" x14ac:dyDescent="0.3">
      <c r="A18" s="3" t="str">
        <f>_xlfn.TEXTBEFORE(_xlfn.TEXTAFTER(D18,"." ),".")</f>
        <v>Ship</v>
      </c>
      <c r="B18" s="3" t="str">
        <f>_xlfn.TEXTBEFORE(_xlfn.TEXTAFTER(D18,".",-1),"(")</f>
        <v>getAdjacentPositions</v>
      </c>
      <c r="C18" s="3">
        <v>5</v>
      </c>
      <c r="D18" s="3" t="s">
        <v>192</v>
      </c>
    </row>
    <row r="19" spans="1:4" x14ac:dyDescent="0.3">
      <c r="A19" s="3" t="str">
        <f>_xlfn.TEXTBEFORE(_xlfn.TEXTAFTER(D19,"." ),".")</f>
        <v>Fleet</v>
      </c>
      <c r="B19" s="3" t="str">
        <f>_xlfn.TEXTBEFORE(_xlfn.TEXTAFTER(D19,".",-1),"(")</f>
        <v>addShip</v>
      </c>
      <c r="C19" s="3">
        <v>4</v>
      </c>
      <c r="D19" s="3" t="s">
        <v>36</v>
      </c>
    </row>
    <row r="20" spans="1:4" x14ac:dyDescent="0.3">
      <c r="A20" s="3" t="str">
        <f>_xlfn.TEXTBEFORE(_xlfn.TEXTAFTER(D20,"." ),".")</f>
        <v>Fleet</v>
      </c>
      <c r="B20" s="3" t="str">
        <f>_xlfn.TEXTBEFORE(_xlfn.TEXTAFTER(D20,".",-1),"(")</f>
        <v>createRandom</v>
      </c>
      <c r="C20" s="3">
        <v>4</v>
      </c>
      <c r="D20" s="3" t="s">
        <v>38</v>
      </c>
    </row>
    <row r="21" spans="1:4" x14ac:dyDescent="0.3">
      <c r="A21" s="3" t="str">
        <f>_xlfn.TEXTBEFORE(_xlfn.TEXTAFTER(D21,"." ),".")</f>
        <v>Fleet</v>
      </c>
      <c r="B21" s="3" t="str">
        <f>_xlfn.TEXTBEFORE(_xlfn.TEXTAFTER(D21,".",-1),"(")</f>
        <v>isInsideBoard</v>
      </c>
      <c r="C21" s="3">
        <v>4</v>
      </c>
      <c r="D21" s="3" t="s">
        <v>43</v>
      </c>
    </row>
    <row r="22" spans="1:4" x14ac:dyDescent="0.3">
      <c r="A22" s="3" t="str">
        <f>_xlfn.TEXTBEFORE(_xlfn.TEXTAFTER(D22,"." ),".")</f>
        <v>Position</v>
      </c>
      <c r="B22" s="3" t="str">
        <f>_xlfn.TEXTBEFORE(_xlfn.TEXTAFTER(D22,".",-1),"(")</f>
        <v>equals</v>
      </c>
      <c r="C22" s="3">
        <v>4</v>
      </c>
      <c r="D22" s="3" t="s">
        <v>172</v>
      </c>
    </row>
    <row r="23" spans="1:4" x14ac:dyDescent="0.3">
      <c r="A23" s="3" t="str">
        <f>_xlfn.TEXTBEFORE(_xlfn.TEXTAFTER(D23,"." ),".")</f>
        <v>Tasks</v>
      </c>
      <c r="B23" s="3" t="str">
        <f>_xlfn.TEXTBEFORE(_xlfn.TEXTAFTER(D23,".",-1),"(")</f>
        <v>buildFleet</v>
      </c>
      <c r="C23" s="3">
        <v>4</v>
      </c>
      <c r="D23" s="3" t="s">
        <v>210</v>
      </c>
    </row>
    <row r="24" spans="1:4" x14ac:dyDescent="0.3">
      <c r="A24" s="3" t="str">
        <f>_xlfn.TEXTBEFORE(_xlfn.TEXTAFTER(D24,"." ),".")</f>
        <v>Fleet</v>
      </c>
      <c r="B24" s="3" t="str">
        <f>_xlfn.TEXTBEFORE(_xlfn.TEXTAFTER(D24,".",-1),"(")</f>
        <v>colisionRisk</v>
      </c>
      <c r="C24" s="3">
        <v>3</v>
      </c>
      <c r="D24" s="3" t="s">
        <v>37</v>
      </c>
    </row>
    <row r="25" spans="1:4" x14ac:dyDescent="0.3">
      <c r="A25" s="3" t="str">
        <f>_xlfn.TEXTBEFORE(_xlfn.TEXTAFTER(D25,"." ),".")</f>
        <v>Fleet</v>
      </c>
      <c r="B25" s="3" t="str">
        <f>_xlfn.TEXTBEFORE(_xlfn.TEXTAFTER(D25,".",-1),"(")</f>
        <v>getFloatingShips</v>
      </c>
      <c r="C25" s="3">
        <v>3</v>
      </c>
      <c r="D25" s="3" t="s">
        <v>39</v>
      </c>
    </row>
    <row r="26" spans="1:4" x14ac:dyDescent="0.3">
      <c r="A26" s="3" t="str">
        <f>_xlfn.TEXTBEFORE(_xlfn.TEXTAFTER(D26,"." ),".")</f>
        <v>Fleet</v>
      </c>
      <c r="B26" s="3" t="str">
        <f>_xlfn.TEXTBEFORE(_xlfn.TEXTAFTER(D26,".",-1),"(")</f>
        <v>getShipsLike</v>
      </c>
      <c r="C26" s="3">
        <v>3</v>
      </c>
      <c r="D26" s="3" t="s">
        <v>41</v>
      </c>
    </row>
    <row r="27" spans="1:4" x14ac:dyDescent="0.3">
      <c r="A27" s="3" t="str">
        <f>_xlfn.TEXTBEFORE(_xlfn.TEXTAFTER(D27,"." ),".")</f>
        <v>Fleet</v>
      </c>
      <c r="B27" s="3" t="str">
        <f>_xlfn.TEXTBEFORE(_xlfn.TEXTAFTER(D27,".",-1),"(")</f>
        <v>getSunkShips</v>
      </c>
      <c r="C27" s="3">
        <v>3</v>
      </c>
      <c r="D27" s="3" t="s">
        <v>42</v>
      </c>
    </row>
    <row r="28" spans="1:4" x14ac:dyDescent="0.3">
      <c r="A28" s="3" t="str">
        <f>_xlfn.TEXTBEFORE(_xlfn.TEXTAFTER(D28,"." ),".")</f>
        <v>Fleet</v>
      </c>
      <c r="B28" s="3" t="str">
        <f>_xlfn.TEXTBEFORE(_xlfn.TEXTAFTER(D28,".",-1),"(")</f>
        <v>shipAt</v>
      </c>
      <c r="C28" s="3">
        <v>3</v>
      </c>
      <c r="D28" s="3" t="s">
        <v>49</v>
      </c>
    </row>
    <row r="29" spans="1:4" x14ac:dyDescent="0.3">
      <c r="A29" s="3" t="str">
        <f>_xlfn.TEXTBEFORE(_xlfn.TEXTAFTER(D29,"." ),".")</f>
        <v>Game</v>
      </c>
      <c r="B29" s="3" t="str">
        <f>_xlfn.TEXTBEFORE(_xlfn.TEXTAFTER(D29,".",-1),"(")</f>
        <v>fireShots</v>
      </c>
      <c r="C29" s="3">
        <v>3</v>
      </c>
      <c r="D29" s="3" t="s">
        <v>58</v>
      </c>
    </row>
    <row r="30" spans="1:4" x14ac:dyDescent="0.3">
      <c r="A30" s="3" t="str">
        <f>_xlfn.TEXTBEFORE(_xlfn.TEXTAFTER(D30,"." ),".")</f>
        <v>Game</v>
      </c>
      <c r="B30" s="3" t="str">
        <f>_xlfn.TEXTBEFORE(_xlfn.TEXTAFTER(D30,".",-1),"(")</f>
        <v>fireShotsAtAlien</v>
      </c>
      <c r="C30" s="3">
        <v>3</v>
      </c>
      <c r="D30" s="3" t="s">
        <v>59</v>
      </c>
    </row>
    <row r="31" spans="1:4" x14ac:dyDescent="0.3">
      <c r="A31" s="3" t="str">
        <f>_xlfn.TEXTBEFORE(_xlfn.TEXTAFTER(D31,"." ),".")</f>
        <v>Game</v>
      </c>
      <c r="B31" s="3" t="str">
        <f>_xlfn.TEXTBEFORE(_xlfn.TEXTAFTER(D31,".",-1),"(")</f>
        <v>jsonShots</v>
      </c>
      <c r="C31" s="3">
        <v>3</v>
      </c>
      <c r="D31" s="3" t="s">
        <v>71</v>
      </c>
    </row>
    <row r="32" spans="1:4" x14ac:dyDescent="0.3">
      <c r="A32" s="3" t="str">
        <f>_xlfn.TEXTBEFORE(_xlfn.TEXTAFTER(D32,"." ),".")</f>
        <v>Game</v>
      </c>
      <c r="B32" s="3" t="str">
        <f>_xlfn.TEXTBEFORE(_xlfn.TEXTAFTER(D32,".",-1),"(")</f>
        <v>printBothBoards</v>
      </c>
      <c r="C32" s="3">
        <v>3</v>
      </c>
      <c r="D32" s="3" t="s">
        <v>76</v>
      </c>
    </row>
    <row r="33" spans="1:4" x14ac:dyDescent="0.3">
      <c r="A33" s="3" t="str">
        <f>_xlfn.TEXTBEFORE(_xlfn.TEXTAFTER(D33,"." ),".")</f>
        <v>Game</v>
      </c>
      <c r="B33" s="3" t="str">
        <f>_xlfn.TEXTBEFORE(_xlfn.TEXTAFTER(D33,".",-1),"(")</f>
        <v>repeatedShot</v>
      </c>
      <c r="C33" s="3">
        <v>3</v>
      </c>
      <c r="D33" s="3" t="s">
        <v>82</v>
      </c>
    </row>
    <row r="34" spans="1:4" x14ac:dyDescent="0.3">
      <c r="A34" s="3" t="str">
        <f>_xlfn.TEXTBEFORE(_xlfn.TEXTAFTER(D34,"." ),".")</f>
        <v>Game</v>
      </c>
      <c r="B34" s="3" t="str">
        <f>_xlfn.TEXTBEFORE(_xlfn.TEXTAFTER(D34,".",-1),"(")</f>
        <v>repeatedShotAtAlien</v>
      </c>
      <c r="C34" s="3">
        <v>3</v>
      </c>
      <c r="D34" s="3" t="s">
        <v>83</v>
      </c>
    </row>
    <row r="35" spans="1:4" x14ac:dyDescent="0.3">
      <c r="A35" s="3" t="str">
        <f>_xlfn.TEXTBEFORE(_xlfn.TEXTAFTER(D35,"." ),".")</f>
        <v>Position</v>
      </c>
      <c r="B35" s="3" t="str">
        <f>_xlfn.TEXTBEFORE(_xlfn.TEXTAFTER(D35,".",-1),"(")</f>
        <v>adjacentPositions</v>
      </c>
      <c r="C35" s="3">
        <v>3</v>
      </c>
      <c r="D35" s="3" t="s">
        <v>171</v>
      </c>
    </row>
    <row r="36" spans="1:4" x14ac:dyDescent="0.3">
      <c r="A36" s="3" t="str">
        <f>_xlfn.TEXTBEFORE(_xlfn.TEXTAFTER(D36,"." ),".")</f>
        <v>Scoreboard</v>
      </c>
      <c r="B36" s="3" t="str">
        <f>_xlfn.TEXTBEFORE(_xlfn.TEXTAFTER(D36,".",-1),"(")</f>
        <v>interactiveDisplay</v>
      </c>
      <c r="C36" s="3">
        <v>3</v>
      </c>
      <c r="D36" s="3" t="s">
        <v>187</v>
      </c>
    </row>
    <row r="37" spans="1:4" x14ac:dyDescent="0.3">
      <c r="A37" s="3" t="str">
        <f>_xlfn.TEXTBEFORE(_xlfn.TEXTAFTER(D37,"." ),".")</f>
        <v>Scoreboard</v>
      </c>
      <c r="B37" s="3" t="str">
        <f>_xlfn.TEXTBEFORE(_xlfn.TEXTAFTER(D37,".",-1),"(")</f>
        <v>loadResults</v>
      </c>
      <c r="C37" s="3">
        <v>3</v>
      </c>
      <c r="D37" s="3" t="s">
        <v>188</v>
      </c>
    </row>
    <row r="38" spans="1:4" x14ac:dyDescent="0.3">
      <c r="A38" s="3" t="str">
        <f>_xlfn.TEXTBEFORE(_xlfn.TEXTAFTER(D38,"." ),".")</f>
        <v>Ship</v>
      </c>
      <c r="B38" s="3" t="str">
        <f>_xlfn.TEXTBEFORE(_xlfn.TEXTAFTER(D38,".",-1),"(")</f>
        <v>getBottomMostPos</v>
      </c>
      <c r="C38" s="3">
        <v>3</v>
      </c>
      <c r="D38" s="3" t="s">
        <v>194</v>
      </c>
    </row>
    <row r="39" spans="1:4" x14ac:dyDescent="0.3">
      <c r="A39" s="3" t="str">
        <f>_xlfn.TEXTBEFORE(_xlfn.TEXTAFTER(D39,"." ),".")</f>
        <v>Ship</v>
      </c>
      <c r="B39" s="3" t="str">
        <f>_xlfn.TEXTBEFORE(_xlfn.TEXTAFTER(D39,".",-1),"(")</f>
        <v>getLeftMostPos</v>
      </c>
      <c r="C39" s="3">
        <v>3</v>
      </c>
      <c r="D39" s="3" t="s">
        <v>196</v>
      </c>
    </row>
    <row r="40" spans="1:4" x14ac:dyDescent="0.3">
      <c r="A40" s="3" t="str">
        <f>_xlfn.TEXTBEFORE(_xlfn.TEXTAFTER(D40,"." ),".")</f>
        <v>Ship</v>
      </c>
      <c r="B40" s="3" t="str">
        <f>_xlfn.TEXTBEFORE(_xlfn.TEXTAFTER(D40,".",-1),"(")</f>
        <v>getRightMostPos</v>
      </c>
      <c r="C40" s="3">
        <v>3</v>
      </c>
      <c r="D40" s="3" t="s">
        <v>199</v>
      </c>
    </row>
    <row r="41" spans="1:4" x14ac:dyDescent="0.3">
      <c r="A41" s="3" t="str">
        <f>_xlfn.TEXTBEFORE(_xlfn.TEXTAFTER(D41,"." ),".")</f>
        <v>Ship</v>
      </c>
      <c r="B41" s="3" t="str">
        <f>_xlfn.TEXTBEFORE(_xlfn.TEXTAFTER(D41,".",-1),"(")</f>
        <v>getTopMostPos</v>
      </c>
      <c r="C41" s="3">
        <v>3</v>
      </c>
      <c r="D41" s="3" t="s">
        <v>201</v>
      </c>
    </row>
    <row r="42" spans="1:4" x14ac:dyDescent="0.3">
      <c r="A42" s="3" t="str">
        <f>_xlfn.TEXTBEFORE(_xlfn.TEXTAFTER(D42,"." ),".")</f>
        <v>Ship</v>
      </c>
      <c r="B42" s="3" t="str">
        <f>_xlfn.TEXTBEFORE(_xlfn.TEXTAFTER(D42,".",-1),"(")</f>
        <v>occupies</v>
      </c>
      <c r="C42" s="3">
        <v>3</v>
      </c>
      <c r="D42" s="3" t="s">
        <v>202</v>
      </c>
    </row>
    <row r="43" spans="1:4" x14ac:dyDescent="0.3">
      <c r="A43" s="3" t="str">
        <f>_xlfn.TEXTBEFORE(_xlfn.TEXTAFTER(D43,"." ),".")</f>
        <v>Ship</v>
      </c>
      <c r="B43" s="3" t="str">
        <f>_xlfn.TEXTBEFORE(_xlfn.TEXTAFTER(D43,".",-1),"(")</f>
        <v>shoot</v>
      </c>
      <c r="C43" s="3">
        <v>3</v>
      </c>
      <c r="D43" s="3" t="s">
        <v>203</v>
      </c>
    </row>
    <row r="44" spans="1:4" x14ac:dyDescent="0.3">
      <c r="A44" s="3" t="str">
        <f>_xlfn.TEXTBEFORE(_xlfn.TEXTAFTER(D44,"." ),".")</f>
        <v>Ship</v>
      </c>
      <c r="B44" s="3" t="str">
        <f>_xlfn.TEXTBEFORE(_xlfn.TEXTAFTER(D44,".",-1),"(")</f>
        <v>stillFloating</v>
      </c>
      <c r="C44" s="3">
        <v>3</v>
      </c>
      <c r="D44" s="3" t="s">
        <v>205</v>
      </c>
    </row>
    <row r="45" spans="1:4" x14ac:dyDescent="0.3">
      <c r="A45" s="3" t="str">
        <f>_xlfn.TEXTBEFORE(_xlfn.TEXTAFTER(D45,"." ),".")</f>
        <v>Ship</v>
      </c>
      <c r="B45" s="3" t="str">
        <f>_xlfn.TEXTBEFORE(_xlfn.TEXTAFTER(D45,".",-1),"(")</f>
        <v>tooCloseTo</v>
      </c>
      <c r="C45" s="3">
        <v>3</v>
      </c>
      <c r="D45" s="3" t="s">
        <v>207</v>
      </c>
    </row>
    <row r="46" spans="1:4" x14ac:dyDescent="0.3">
      <c r="A46" s="3" t="str">
        <f>_xlfn.TEXTBEFORE(_xlfn.TEXTAFTER(D46,"." ),".")</f>
        <v>Ship</v>
      </c>
      <c r="B46" s="3" t="str">
        <f>_xlfn.TEXTBEFORE(_xlfn.TEXTAFTER(D46,".",-1),"(")</f>
        <v>tooCloseTo</v>
      </c>
      <c r="C46" s="3">
        <v>3</v>
      </c>
      <c r="D46" s="3" t="s">
        <v>208</v>
      </c>
    </row>
    <row r="47" spans="1:4" x14ac:dyDescent="0.3">
      <c r="A47" s="3" t="str">
        <f>_xlfn.TEXTBEFORE(_xlfn.TEXTAFTER(D47,"." ),".")</f>
        <v>Tasks</v>
      </c>
      <c r="B47" s="3" t="str">
        <f>_xlfn.TEXTBEFORE(_xlfn.TEXTAFTER(D47,".",-1),"(")</f>
        <v>askPlayerName</v>
      </c>
      <c r="C47" s="3">
        <v>3</v>
      </c>
      <c r="D47" s="3" t="s">
        <v>209</v>
      </c>
    </row>
    <row r="48" spans="1:4" x14ac:dyDescent="0.3">
      <c r="A48" s="3" t="str">
        <f>_xlfn.TEXTBEFORE(_xlfn.TEXTAFTER(D48,"." ),".")</f>
        <v>BoardWindow</v>
      </c>
      <c r="B48" s="3" t="str">
        <f>_xlfn.TEXTBEFORE(_xlfn.TEXTAFTER(D48,".",-1),"(")</f>
        <v>close</v>
      </c>
      <c r="C48" s="3">
        <v>2</v>
      </c>
      <c r="D48" s="3" t="s">
        <v>22</v>
      </c>
    </row>
    <row r="49" spans="1:4" x14ac:dyDescent="0.3">
      <c r="A49" s="3" t="str">
        <f>_xlfn.TEXTBEFORE(_xlfn.TEXTAFTER(D49,"." ),".")</f>
        <v>BoardWindow</v>
      </c>
      <c r="B49" s="3" t="str">
        <f>_xlfn.TEXTBEFORE(_xlfn.TEXTAFTER(D49,".",-1),"(")</f>
        <v>show</v>
      </c>
      <c r="C49" s="3">
        <v>2</v>
      </c>
      <c r="D49" s="3" t="s">
        <v>24</v>
      </c>
    </row>
    <row r="50" spans="1:4" x14ac:dyDescent="0.3">
      <c r="A50" s="3" t="str">
        <f>_xlfn.TEXTBEFORE(_xlfn.TEXTAFTER(D50,"." ),".")</f>
        <v>Fleet</v>
      </c>
      <c r="B50" s="3" t="str">
        <f>_xlfn.TEXTBEFORE(_xlfn.TEXTAFTER(D50,".",-1),"(")</f>
        <v>printShips</v>
      </c>
      <c r="C50" s="3">
        <v>2</v>
      </c>
      <c r="D50" s="3" t="s">
        <v>46</v>
      </c>
    </row>
    <row r="51" spans="1:4" x14ac:dyDescent="0.3">
      <c r="A51" s="3" t="str">
        <f>_xlfn.TEXTBEFORE(_xlfn.TEXTAFTER(D51,"." ),".")</f>
        <v>PdfExporter</v>
      </c>
      <c r="B51" s="3" t="str">
        <f>_xlfn.TEXTBEFORE(_xlfn.TEXTAFTER(D51,".",-1),"(")</f>
        <v>checkPagination</v>
      </c>
      <c r="C51" s="3">
        <v>2</v>
      </c>
      <c r="D51" s="3" t="s">
        <v>165</v>
      </c>
    </row>
    <row r="52" spans="1:4" x14ac:dyDescent="0.3">
      <c r="A52" s="3" t="str">
        <f>_xlfn.TEXTBEFORE(_xlfn.TEXTAFTER(D52,"." ),".")</f>
        <v>PdfExporter</v>
      </c>
      <c r="B52" s="3" t="str">
        <f>_xlfn.TEXTBEFORE(_xlfn.TEXTAFTER(D52,".",-1),"(")</f>
        <v>exportGameReport</v>
      </c>
      <c r="C52" s="3">
        <v>2</v>
      </c>
      <c r="D52" s="3" t="s">
        <v>166</v>
      </c>
    </row>
    <row r="53" spans="1:4" x14ac:dyDescent="0.3">
      <c r="A53" s="3" t="str">
        <f>_xlfn.TEXTBEFORE(_xlfn.TEXTAFTER(D53,"." ),".")</f>
        <v>Position</v>
      </c>
      <c r="B53" s="3" t="str">
        <f>_xlfn.TEXTBEFORE(_xlfn.TEXTAFTER(D53,".",-1),"(")</f>
        <v>isAdjacentTo</v>
      </c>
      <c r="C53" s="3">
        <v>2</v>
      </c>
      <c r="D53" s="3" t="s">
        <v>178</v>
      </c>
    </row>
    <row r="54" spans="1:4" x14ac:dyDescent="0.3">
      <c r="A54" s="3" t="str">
        <f>_xlfn.TEXTBEFORE(_xlfn.TEXTAFTER(D54,"." ),".")</f>
        <v>Scoreboard</v>
      </c>
      <c r="B54" s="3" t="str">
        <f>_xlfn.TEXTBEFORE(_xlfn.TEXTAFTER(D54,".",-1),"(")</f>
        <v>saveResult</v>
      </c>
      <c r="C54" s="3">
        <v>2</v>
      </c>
      <c r="D54" s="3" t="s">
        <v>189</v>
      </c>
    </row>
    <row r="55" spans="1:4" x14ac:dyDescent="0.3">
      <c r="A55" s="3" t="str">
        <f>_xlfn.TEXTBEFORE(_xlfn.TEXTAFTER(D55,"." ),".")</f>
        <v>Ship</v>
      </c>
      <c r="B55" s="3" t="str">
        <f>_xlfn.TEXTBEFORE(_xlfn.TEXTAFTER(D55,".",-1),"(")</f>
        <v>sink</v>
      </c>
      <c r="C55" s="3">
        <v>2</v>
      </c>
      <c r="D55" s="3" t="s">
        <v>204</v>
      </c>
    </row>
    <row r="56" spans="1:4" x14ac:dyDescent="0.3">
      <c r="A56" s="3" t="str">
        <f>_xlfn.TEXTBEFORE(_xlfn.TEXTAFTER(D56,"." ),".")</f>
        <v>Fleet</v>
      </c>
      <c r="B56" s="3" t="str">
        <f>_xlfn.TEXTBEFORE(_xlfn.TEXTAFTER(D56,".",-1),"(")</f>
        <v>printAllShips</v>
      </c>
      <c r="C56" s="3">
        <v>1</v>
      </c>
      <c r="D56" s="3" t="s">
        <v>44</v>
      </c>
    </row>
    <row r="57" spans="1:4" x14ac:dyDescent="0.3">
      <c r="A57" s="3" t="str">
        <f>_xlfn.TEXTBEFORE(_xlfn.TEXTAFTER(D57,"." ),".")</f>
        <v>Fleet</v>
      </c>
      <c r="B57" s="3" t="str">
        <f>_xlfn.TEXTBEFORE(_xlfn.TEXTAFTER(D57,".",-1),"(")</f>
        <v>printFloatingShips</v>
      </c>
      <c r="C57" s="3">
        <v>1</v>
      </c>
      <c r="D57" s="3" t="s">
        <v>45</v>
      </c>
    </row>
    <row r="58" spans="1:4" x14ac:dyDescent="0.3">
      <c r="A58" s="3" t="str">
        <f>_xlfn.TEXTBEFORE(_xlfn.TEXTAFTER(D58,"." ),".")</f>
        <v>Fleet</v>
      </c>
      <c r="B58" s="3" t="str">
        <f>_xlfn.TEXTBEFORE(_xlfn.TEXTAFTER(D58,".",-1),"(")</f>
        <v>printShipsByCategory</v>
      </c>
      <c r="C58" s="3">
        <v>1</v>
      </c>
      <c r="D58" s="3" t="s">
        <v>47</v>
      </c>
    </row>
    <row r="59" spans="1:4" x14ac:dyDescent="0.3">
      <c r="A59" s="3" t="str">
        <f>_xlfn.TEXTBEFORE(_xlfn.TEXTAFTER(D59,"." ),".")</f>
        <v>Fleet</v>
      </c>
      <c r="B59" s="3" t="str">
        <f>_xlfn.TEXTBEFORE(_xlfn.TEXTAFTER(D59,".",-1),"(")</f>
        <v>printStatus</v>
      </c>
      <c r="C59" s="3">
        <v>1</v>
      </c>
      <c r="D59" s="3" t="s">
        <v>48</v>
      </c>
    </row>
    <row r="60" spans="1:4" x14ac:dyDescent="0.3">
      <c r="A60" s="3" t="str">
        <f>_xlfn.TEXTBEFORE(_xlfn.TEXTAFTER(D60,"." ),".")</f>
        <v>Game</v>
      </c>
      <c r="B60" s="3" t="str">
        <f>_xlfn.TEXTBEFORE(_xlfn.TEXTAFTER(D60,".",-1),"(")</f>
        <v>getAlienFleet</v>
      </c>
      <c r="C60" s="3">
        <v>1</v>
      </c>
      <c r="D60" s="3" t="s">
        <v>62</v>
      </c>
    </row>
    <row r="61" spans="1:4" x14ac:dyDescent="0.3">
      <c r="A61" s="3" t="str">
        <f>_xlfn.TEXTBEFORE(_xlfn.TEXTAFTER(D61,"." ),".")</f>
        <v>Game</v>
      </c>
      <c r="B61" s="3" t="str">
        <f>_xlfn.TEXTBEFORE(_xlfn.TEXTAFTER(D61,".",-1),"(")</f>
        <v>getMyMoves</v>
      </c>
      <c r="C61" s="3">
        <v>1</v>
      </c>
      <c r="D61" s="3" t="s">
        <v>67</v>
      </c>
    </row>
    <row r="62" spans="1:4" x14ac:dyDescent="0.3">
      <c r="A62" s="3" t="str">
        <f>_xlfn.TEXTBEFORE(_xlfn.TEXTAFTER(D62,"." ),".")</f>
        <v>Game</v>
      </c>
      <c r="B62" s="3" t="str">
        <f>_xlfn.TEXTBEFORE(_xlfn.TEXTAFTER(D62,".",-1),"(")</f>
        <v>getRemainingShips</v>
      </c>
      <c r="C62" s="3">
        <v>1</v>
      </c>
      <c r="D62" s="3" t="s">
        <v>68</v>
      </c>
    </row>
    <row r="63" spans="1:4" x14ac:dyDescent="0.3">
      <c r="A63" s="3" t="str">
        <f>_xlfn.TEXTBEFORE(_xlfn.TEXTAFTER(D63,"." ),".")</f>
        <v>Game</v>
      </c>
      <c r="B63" s="3" t="str">
        <f>_xlfn.TEXTBEFORE(_xlfn.TEXTAFTER(D63,".",-1),"(")</f>
        <v>over</v>
      </c>
      <c r="C63" s="3">
        <v>1</v>
      </c>
      <c r="D63" s="3" t="s">
        <v>73</v>
      </c>
    </row>
    <row r="64" spans="1:4" x14ac:dyDescent="0.3">
      <c r="A64" s="3" t="str">
        <f>_xlfn.TEXTBEFORE(_xlfn.TEXTAFTER(D64,"." ),".")</f>
        <v>Game</v>
      </c>
      <c r="B64" s="3" t="str">
        <f>_xlfn.TEXTBEFORE(_xlfn.TEXTAFTER(D64,".",-1),"(")</f>
        <v>printAlienBoard</v>
      </c>
      <c r="C64" s="3">
        <v>1</v>
      </c>
      <c r="D64" s="3" t="s">
        <v>74</v>
      </c>
    </row>
    <row r="65" spans="1:4" x14ac:dyDescent="0.3">
      <c r="A65" s="3" t="str">
        <f>_xlfn.TEXTBEFORE(_xlfn.TEXTAFTER(D65,"." ),".")</f>
        <v>Game</v>
      </c>
      <c r="B65" s="3" t="str">
        <f>_xlfn.TEXTBEFORE(_xlfn.TEXTAFTER(D65,".",-1),"(")</f>
        <v>printMyBoard</v>
      </c>
      <c r="C65" s="3">
        <v>1</v>
      </c>
      <c r="D65" s="3" t="s">
        <v>77</v>
      </c>
    </row>
    <row r="66" spans="1:4" x14ac:dyDescent="0.3">
      <c r="A66" s="3" t="str">
        <f>_xlfn.TEXTBEFORE(_xlfn.TEXTAFTER(D66,"." ),".")</f>
        <v>GameResult</v>
      </c>
      <c r="B66" s="3" t="str">
        <f>_xlfn.TEXTBEFORE(_xlfn.TEXTAFTER(D66,".",-1),"(")</f>
        <v>GameResult</v>
      </c>
      <c r="C66" s="3">
        <v>1</v>
      </c>
      <c r="D66" s="3" t="s">
        <v>84</v>
      </c>
    </row>
    <row r="67" spans="1:4" x14ac:dyDescent="0.3">
      <c r="A67" s="3" t="str">
        <f>_xlfn.TEXTBEFORE(_xlfn.TEXTAFTER(D67,"." ),".")</f>
        <v>GameResult</v>
      </c>
      <c r="B67" s="3" t="str">
        <f>_xlfn.TEXTBEFORE(_xlfn.TEXTAFTER(D67,".",-1),"(")</f>
        <v>GameResult</v>
      </c>
      <c r="C67" s="3">
        <v>1</v>
      </c>
      <c r="D67" s="3" t="s">
        <v>86</v>
      </c>
    </row>
    <row r="68" spans="1:4" x14ac:dyDescent="0.3">
      <c r="A68" s="3" t="str">
        <f>_xlfn.TEXTBEFORE(_xlfn.TEXTAFTER(D68,"." ),".")</f>
        <v>GameResult</v>
      </c>
      <c r="B68" s="3" t="str">
        <f>_xlfn.TEXTBEFORE(_xlfn.TEXTAFTER(D68,".",-1),"(")</f>
        <v>getDate</v>
      </c>
      <c r="C68" s="3">
        <v>1</v>
      </c>
      <c r="D68" s="3" t="s">
        <v>87</v>
      </c>
    </row>
    <row r="69" spans="1:4" x14ac:dyDescent="0.3">
      <c r="A69" s="3" t="str">
        <f>_xlfn.TEXTBEFORE(_xlfn.TEXTAFTER(D69,"." ),".")</f>
        <v>GameResult</v>
      </c>
      <c r="B69" s="3" t="str">
        <f>_xlfn.TEXTBEFORE(_xlfn.TEXTAFTER(D69,".",-1),"(")</f>
        <v>getPlayerName</v>
      </c>
      <c r="C69" s="3">
        <v>1</v>
      </c>
      <c r="D69" s="3" t="s">
        <v>88</v>
      </c>
    </row>
    <row r="70" spans="1:4" x14ac:dyDescent="0.3">
      <c r="A70" s="3" t="str">
        <f>_xlfn.TEXTBEFORE(_xlfn.TEXTAFTER(D70,"." ),".")</f>
        <v>GameResult</v>
      </c>
      <c r="B70" s="3" t="str">
        <f>_xlfn.TEXTBEFORE(_xlfn.TEXTAFTER(D70,".",-1),"(")</f>
        <v>getTotalMoves</v>
      </c>
      <c r="C70" s="3">
        <v>1</v>
      </c>
      <c r="D70" s="3" t="s">
        <v>89</v>
      </c>
    </row>
    <row r="71" spans="1:4" x14ac:dyDescent="0.3">
      <c r="A71" s="3" t="str">
        <f>_xlfn.TEXTBEFORE(_xlfn.TEXTAFTER(D71,"." ),".")</f>
        <v>GameResult</v>
      </c>
      <c r="B71" s="3" t="str">
        <f>_xlfn.TEXTBEFORE(_xlfn.TEXTAFTER(D71,".",-1),"(")</f>
        <v>isPlayerWon</v>
      </c>
      <c r="C71" s="3">
        <v>1</v>
      </c>
      <c r="D71" s="3" t="s">
        <v>90</v>
      </c>
    </row>
    <row r="72" spans="1:4" x14ac:dyDescent="0.3">
      <c r="A72" s="3" t="str">
        <f>_xlfn.TEXTBEFORE(_xlfn.TEXTAFTER(D72,"." ),".")</f>
        <v>GameResult</v>
      </c>
      <c r="B72" s="3" t="str">
        <f>_xlfn.TEXTBEFORE(_xlfn.TEXTAFTER(D72,".",-1),"(")</f>
        <v>setDate</v>
      </c>
      <c r="C72" s="3">
        <v>1</v>
      </c>
      <c r="D72" s="3" t="s">
        <v>91</v>
      </c>
    </row>
    <row r="73" spans="1:4" x14ac:dyDescent="0.3">
      <c r="A73" s="3" t="str">
        <f>_xlfn.TEXTBEFORE(_xlfn.TEXTAFTER(D73,"." ),".")</f>
        <v>GameResult</v>
      </c>
      <c r="B73" s="3" t="str">
        <f>_xlfn.TEXTBEFORE(_xlfn.TEXTAFTER(D73,".",-1),"(")</f>
        <v>setPlayerName</v>
      </c>
      <c r="C73" s="3">
        <v>1</v>
      </c>
      <c r="D73" s="3" t="s">
        <v>92</v>
      </c>
    </row>
    <row r="74" spans="1:4" x14ac:dyDescent="0.3">
      <c r="A74" s="3" t="str">
        <f>_xlfn.TEXTBEFORE(_xlfn.TEXTAFTER(D74,"." ),".")</f>
        <v>GameResult</v>
      </c>
      <c r="B74" s="3" t="str">
        <f>_xlfn.TEXTBEFORE(_xlfn.TEXTAFTER(D74,".",-1),"(")</f>
        <v>setPlayerWon</v>
      </c>
      <c r="C74" s="3">
        <v>1</v>
      </c>
      <c r="D74" s="3" t="s">
        <v>93</v>
      </c>
    </row>
    <row r="75" spans="1:4" x14ac:dyDescent="0.3">
      <c r="A75" s="3" t="str">
        <f>_xlfn.TEXTBEFORE(_xlfn.TEXTAFTER(D75,"." ),".")</f>
        <v>GameResult</v>
      </c>
      <c r="B75" s="3" t="str">
        <f>_xlfn.TEXTBEFORE(_xlfn.TEXTAFTER(D75,".",-1),"(")</f>
        <v>setTotalMoves</v>
      </c>
      <c r="C75" s="3">
        <v>1</v>
      </c>
      <c r="D75" s="3" t="s">
        <v>94</v>
      </c>
    </row>
    <row r="76" spans="1:4" x14ac:dyDescent="0.3">
      <c r="A76" s="3" t="str">
        <f>_xlfn.TEXTBEFORE(_xlfn.TEXTAFTER(D76,"." ),".")</f>
        <v>Main</v>
      </c>
      <c r="B76" s="3" t="str">
        <f>_xlfn.TEXTBEFORE(_xlfn.TEXTAFTER(D76,".",-1),"(")</f>
        <v>main</v>
      </c>
      <c r="C76" s="3">
        <v>1</v>
      </c>
      <c r="D76" s="3" t="s">
        <v>158</v>
      </c>
    </row>
    <row r="77" spans="1:4" x14ac:dyDescent="0.3">
      <c r="A77" s="3" t="str">
        <f>_xlfn.TEXTBEFORE(_xlfn.TEXTAFTER(D77,"." ),".")</f>
        <v>Move</v>
      </c>
      <c r="B77" s="3" t="str">
        <f>_xlfn.TEXTBEFORE(_xlfn.TEXTAFTER(D77,".",-1),"(")</f>
        <v>getNumber</v>
      </c>
      <c r="C77" s="3">
        <v>1</v>
      </c>
      <c r="D77" s="3" t="s">
        <v>160</v>
      </c>
    </row>
    <row r="78" spans="1:4" x14ac:dyDescent="0.3">
      <c r="A78" s="3" t="str">
        <f>_xlfn.TEXTBEFORE(_xlfn.TEXTAFTER(D78,"." ),".")</f>
        <v>Move</v>
      </c>
      <c r="B78" s="3" t="str">
        <f>_xlfn.TEXTBEFORE(_xlfn.TEXTAFTER(D78,".",-1),"(")</f>
        <v>getShotResults</v>
      </c>
      <c r="C78" s="3">
        <v>1</v>
      </c>
      <c r="D78" s="3" t="s">
        <v>161</v>
      </c>
    </row>
    <row r="79" spans="1:4" x14ac:dyDescent="0.3">
      <c r="A79" s="3" t="str">
        <f>_xlfn.TEXTBEFORE(_xlfn.TEXTAFTER(D79,"." ),".")</f>
        <v>Move</v>
      </c>
      <c r="B79" s="3" t="str">
        <f>_xlfn.TEXTBEFORE(_xlfn.TEXTAFTER(D79,".",-1),"(")</f>
        <v>toString</v>
      </c>
      <c r="C79" s="3">
        <v>1</v>
      </c>
      <c r="D79" s="3" t="s">
        <v>164</v>
      </c>
    </row>
    <row r="80" spans="1:4" x14ac:dyDescent="0.3">
      <c r="A80" s="3" t="str">
        <f>_xlfn.TEXTBEFORE(_xlfn.TEXTAFTER(D80,"." ),".")</f>
        <v>PdfExporter</v>
      </c>
      <c r="B80" s="3" t="str">
        <f>_xlfn.TEXTBEFORE(_xlfn.TEXTAFTER(D80,".",-1),"(")</f>
        <v>PdfState</v>
      </c>
      <c r="C80" s="3">
        <v>1</v>
      </c>
      <c r="D80" s="3" t="s">
        <v>168</v>
      </c>
    </row>
    <row r="81" spans="1:4" x14ac:dyDescent="0.3">
      <c r="A81" s="3" t="str">
        <f>_xlfn.TEXTBEFORE(_xlfn.TEXTAFTER(D81,"." ),".")</f>
        <v>Position</v>
      </c>
      <c r="B81" s="3" t="str">
        <f>_xlfn.TEXTBEFORE(_xlfn.TEXTAFTER(D81,".",-1),"(")</f>
        <v>Position</v>
      </c>
      <c r="C81" s="3">
        <v>1</v>
      </c>
      <c r="D81" s="3" t="s">
        <v>169</v>
      </c>
    </row>
    <row r="82" spans="1:4" x14ac:dyDescent="0.3">
      <c r="A82" s="3" t="str">
        <f>_xlfn.TEXTBEFORE(_xlfn.TEXTAFTER(D82,"." ),".")</f>
        <v>Position</v>
      </c>
      <c r="B82" s="3" t="str">
        <f>_xlfn.TEXTBEFORE(_xlfn.TEXTAFTER(D82,".",-1),"(")</f>
        <v>getClassicColumn</v>
      </c>
      <c r="C82" s="3">
        <v>1</v>
      </c>
      <c r="D82" s="3" t="s">
        <v>173</v>
      </c>
    </row>
    <row r="83" spans="1:4" x14ac:dyDescent="0.3">
      <c r="A83" s="3" t="str">
        <f>_xlfn.TEXTBEFORE(_xlfn.TEXTAFTER(D83,"." ),".")</f>
        <v>Position</v>
      </c>
      <c r="B83" s="3" t="str">
        <f>_xlfn.TEXTBEFORE(_xlfn.TEXTAFTER(D83,".",-1),"(")</f>
        <v>randomPosition</v>
      </c>
      <c r="C83" s="3">
        <v>1</v>
      </c>
      <c r="D83" s="3" t="s">
        <v>183</v>
      </c>
    </row>
    <row r="84" spans="1:4" x14ac:dyDescent="0.3">
      <c r="A84" s="3" t="str">
        <f>_xlfn.TEXTBEFORE(_xlfn.TEXTAFTER(D84,"." ),".")</f>
        <v>Position</v>
      </c>
      <c r="B84" s="3" t="str">
        <f>_xlfn.TEXTBEFORE(_xlfn.TEXTAFTER(D84,".",-1),"(")</f>
        <v>toString</v>
      </c>
      <c r="C84" s="3">
        <v>1</v>
      </c>
      <c r="D84" s="3" t="s">
        <v>185</v>
      </c>
    </row>
    <row r="85" spans="1:4" x14ac:dyDescent="0.3">
      <c r="A85" s="3" t="str">
        <f>_xlfn.TEXTBEFORE(_xlfn.TEXTAFTER(D85,"." ),".")</f>
        <v>Ship</v>
      </c>
      <c r="B85" s="3" t="str">
        <f>_xlfn.TEXTBEFORE(_xlfn.TEXTAFTER(D85,".",-1),"(")</f>
        <v>getPosition</v>
      </c>
      <c r="C85" s="3">
        <v>1</v>
      </c>
      <c r="D85" s="3" t="s">
        <v>197</v>
      </c>
    </row>
    <row r="86" spans="1:4" x14ac:dyDescent="0.3">
      <c r="A86" s="3" t="str">
        <f>_xlfn.TEXTBEFORE(_xlfn.TEXTAFTER(D86,"." ),".")</f>
        <v>Ship</v>
      </c>
      <c r="B86" s="3" t="str">
        <f>_xlfn.TEXTBEFORE(_xlfn.TEXTAFTER(D86,".",-1),"(")</f>
        <v>toString</v>
      </c>
      <c r="C86" s="3">
        <v>1</v>
      </c>
      <c r="D86" s="3" t="s">
        <v>206</v>
      </c>
    </row>
    <row r="87" spans="1:4" x14ac:dyDescent="0.3">
      <c r="A87" s="3" t="str">
        <f>_xlfn.TEXTBEFORE(_xlfn.TEXTAFTER(D87,"." ),".")</f>
        <v>Tasks</v>
      </c>
      <c r="B87" s="3" t="str">
        <f>_xlfn.TEXTBEFORE(_xlfn.TEXTAFTER(D87,".",-1),"(")</f>
        <v>menuHelp</v>
      </c>
      <c r="C87" s="3">
        <v>1</v>
      </c>
      <c r="D87" s="3" t="s">
        <v>212</v>
      </c>
    </row>
    <row r="88" spans="1:4" x14ac:dyDescent="0.3">
      <c r="A88" s="3" t="str">
        <f>_xlfn.TEXTBEFORE(_xlfn.TEXTAFTER(D88,"." ),".")</f>
        <v>Tasks</v>
      </c>
      <c r="B88" s="3" t="str">
        <f>_xlfn.TEXTBEFORE(_xlfn.TEXTAFTER(D88,".",-1),"(")</f>
        <v>readPosition</v>
      </c>
      <c r="C88" s="3">
        <v>1</v>
      </c>
      <c r="D88" s="3" t="s">
        <v>214</v>
      </c>
    </row>
    <row r="89" spans="1:4" x14ac:dyDescent="0.3">
      <c r="A89" s="3" t="str">
        <f>_xlfn.TEXTBEFORE(_xlfn.TEXTAFTER(D89,"." ),".")</f>
        <v>Tasks</v>
      </c>
      <c r="B89" s="3" t="str">
        <f>_xlfn.TEXTBEFORE(_xlfn.TEXTAFTER(D89,".",-1),"(")</f>
        <v>readShip</v>
      </c>
      <c r="C89" s="3">
        <v>1</v>
      </c>
      <c r="D89" s="3" t="s">
        <v>215</v>
      </c>
    </row>
  </sheetData>
  <autoFilter ref="A1:D89" xr:uid="{3B19CEC3-6ABB-478E-BCEF-2B1E918FC840}">
    <sortState xmlns:xlrd2="http://schemas.microsoft.com/office/spreadsheetml/2017/richdata2" ref="A2:D89">
      <sortCondition descending="1" ref="C1:C89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Battleship2-method_2</vt:lpstr>
      <vt:lpstr>CC_porMetodo_semCoverage</vt:lpstr>
      <vt:lpstr>'Battleship2-method_2'!Criterios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Universidade</dc:creator>
  <cp:lastModifiedBy>Tiago Bensusan</cp:lastModifiedBy>
  <dcterms:created xsi:type="dcterms:W3CDTF">2026-04-17T18:54:30Z</dcterms:created>
  <dcterms:modified xsi:type="dcterms:W3CDTF">2026-04-17T18:54:56Z</dcterms:modified>
</cp:coreProperties>
</file>