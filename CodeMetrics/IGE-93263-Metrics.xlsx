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iogosoares/Downloads/"/>
    </mc:Choice>
  </mc:AlternateContent>
  <xr:revisionPtr revIDLastSave="0" documentId="13_ncr:1_{EB1C02B3-1F73-C74D-A244-B8319CDDAE3B}" xr6:coauthVersionLast="47" xr6:coauthVersionMax="47" xr10:uidLastSave="{00000000-0000-0000-0000-000000000000}"/>
  <bookViews>
    <workbookView xWindow="2220" yWindow="480" windowWidth="51180" windowHeight="27080" tabRatio="500" firstSheet="1" activeTab="8" xr2:uid="{00000000-000D-0000-FFFF-FFFF00000000}"/>
  </bookViews>
  <sheets>
    <sheet name="MethodData" sheetId="1" r:id="rId1"/>
    <sheet name="IGE-93263-Metrics" sheetId="2" r:id="rId2"/>
    <sheet name="System" sheetId="3" r:id="rId3"/>
    <sheet name="Package" sheetId="4" r:id="rId4"/>
    <sheet name="Class" sheetId="5" r:id="rId5"/>
    <sheet name="Method" sheetId="6" r:id="rId6"/>
    <sheet name="Graficos" sheetId="7" r:id="rId7"/>
    <sheet name="Todas Métricas Norm" sheetId="10" r:id="rId8"/>
    <sheet name="3 Métricas Norm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0" i="11" l="1"/>
  <c r="C190" i="11"/>
  <c r="B190" i="11"/>
  <c r="A190" i="11"/>
  <c r="D189" i="11"/>
  <c r="C189" i="11"/>
  <c r="B189" i="11"/>
  <c r="A189" i="11"/>
  <c r="D188" i="11"/>
  <c r="C188" i="11"/>
  <c r="B188" i="11"/>
  <c r="A188" i="11"/>
  <c r="D187" i="11"/>
  <c r="C187" i="11"/>
  <c r="B187" i="11"/>
  <c r="A187" i="11"/>
  <c r="D186" i="11"/>
  <c r="C186" i="11"/>
  <c r="B186" i="11"/>
  <c r="A186" i="11"/>
  <c r="D185" i="11"/>
  <c r="C185" i="11"/>
  <c r="B185" i="11"/>
  <c r="A185" i="11"/>
  <c r="D184" i="11"/>
  <c r="C184" i="11"/>
  <c r="B184" i="11"/>
  <c r="A184" i="11"/>
  <c r="D183" i="11"/>
  <c r="C183" i="11"/>
  <c r="B183" i="11"/>
  <c r="A183" i="11"/>
  <c r="D182" i="11"/>
  <c r="C182" i="11"/>
  <c r="B182" i="11"/>
  <c r="A182" i="11"/>
  <c r="D181" i="11"/>
  <c r="C181" i="11"/>
  <c r="B181" i="11"/>
  <c r="A181" i="11"/>
  <c r="D180" i="11"/>
  <c r="C180" i="11"/>
  <c r="B180" i="11"/>
  <c r="A180" i="11"/>
  <c r="D179" i="11"/>
  <c r="C179" i="11"/>
  <c r="B179" i="11"/>
  <c r="A179" i="11"/>
  <c r="D178" i="11"/>
  <c r="C178" i="11"/>
  <c r="B178" i="11"/>
  <c r="A178" i="11"/>
  <c r="D177" i="11"/>
  <c r="C177" i="11"/>
  <c r="B177" i="11"/>
  <c r="A177" i="11"/>
  <c r="D176" i="11"/>
  <c r="C176" i="11"/>
  <c r="B176" i="11"/>
  <c r="A176" i="11"/>
  <c r="D175" i="11"/>
  <c r="C175" i="11"/>
  <c r="B175" i="11"/>
  <c r="A175" i="11"/>
  <c r="D174" i="11"/>
  <c r="C174" i="11"/>
  <c r="B174" i="11"/>
  <c r="A174" i="11"/>
  <c r="D173" i="11"/>
  <c r="C173" i="11"/>
  <c r="B173" i="11"/>
  <c r="A173" i="11"/>
  <c r="D172" i="11"/>
  <c r="C172" i="11"/>
  <c r="B172" i="11"/>
  <c r="A172" i="11"/>
  <c r="D171" i="11"/>
  <c r="C171" i="11"/>
  <c r="B171" i="11"/>
  <c r="A171" i="11"/>
  <c r="D170" i="11"/>
  <c r="C170" i="11"/>
  <c r="B170" i="11"/>
  <c r="A170" i="11"/>
  <c r="D169" i="11"/>
  <c r="C169" i="11"/>
  <c r="B169" i="11"/>
  <c r="A169" i="11"/>
  <c r="D168" i="11"/>
  <c r="C168" i="11"/>
  <c r="B168" i="11"/>
  <c r="A168" i="11"/>
  <c r="D167" i="11"/>
  <c r="C167" i="11"/>
  <c r="B167" i="11"/>
  <c r="A167" i="11"/>
  <c r="D166" i="11"/>
  <c r="C166" i="11"/>
  <c r="B166" i="11"/>
  <c r="A166" i="11"/>
  <c r="D165" i="11"/>
  <c r="C165" i="11"/>
  <c r="B165" i="11"/>
  <c r="A165" i="11"/>
  <c r="D164" i="11"/>
  <c r="C164" i="11"/>
  <c r="B164" i="11"/>
  <c r="A164" i="11"/>
  <c r="D163" i="11"/>
  <c r="C163" i="11"/>
  <c r="B163" i="11"/>
  <c r="A163" i="11"/>
  <c r="D162" i="11"/>
  <c r="C162" i="11"/>
  <c r="B162" i="11"/>
  <c r="A162" i="11"/>
  <c r="D161" i="11"/>
  <c r="C161" i="11"/>
  <c r="B161" i="11"/>
  <c r="A161" i="11"/>
  <c r="D160" i="11"/>
  <c r="C160" i="11"/>
  <c r="B160" i="11"/>
  <c r="A160" i="11"/>
  <c r="D159" i="11"/>
  <c r="C159" i="11"/>
  <c r="B159" i="11"/>
  <c r="A159" i="11"/>
  <c r="D158" i="11"/>
  <c r="C158" i="11"/>
  <c r="B158" i="11"/>
  <c r="A158" i="11"/>
  <c r="D157" i="11"/>
  <c r="C157" i="11"/>
  <c r="B157" i="11"/>
  <c r="A157" i="11"/>
  <c r="D156" i="11"/>
  <c r="C156" i="11"/>
  <c r="B156" i="11"/>
  <c r="A156" i="11"/>
  <c r="D155" i="11"/>
  <c r="C155" i="11"/>
  <c r="B155" i="11"/>
  <c r="A155" i="11"/>
  <c r="D154" i="11"/>
  <c r="C154" i="11"/>
  <c r="B154" i="11"/>
  <c r="A154" i="11"/>
  <c r="D153" i="11"/>
  <c r="C153" i="11"/>
  <c r="B153" i="11"/>
  <c r="A153" i="11"/>
  <c r="D152" i="11"/>
  <c r="C152" i="11"/>
  <c r="B152" i="11"/>
  <c r="A152" i="11"/>
  <c r="D151" i="11"/>
  <c r="C151" i="11"/>
  <c r="B151" i="11"/>
  <c r="A151" i="11"/>
  <c r="D150" i="11"/>
  <c r="C150" i="11"/>
  <c r="B150" i="11"/>
  <c r="A150" i="11"/>
  <c r="D149" i="11"/>
  <c r="C149" i="11"/>
  <c r="B149" i="11"/>
  <c r="A149" i="11"/>
  <c r="D148" i="11"/>
  <c r="C148" i="11"/>
  <c r="B148" i="11"/>
  <c r="A148" i="11"/>
  <c r="D147" i="11"/>
  <c r="C147" i="11"/>
  <c r="B147" i="11"/>
  <c r="A147" i="11"/>
  <c r="D146" i="11"/>
  <c r="C146" i="11"/>
  <c r="B146" i="11"/>
  <c r="A146" i="11"/>
  <c r="D145" i="11"/>
  <c r="C145" i="11"/>
  <c r="B145" i="11"/>
  <c r="A145" i="11"/>
  <c r="D144" i="11"/>
  <c r="C144" i="11"/>
  <c r="B144" i="11"/>
  <c r="A144" i="11"/>
  <c r="D143" i="11"/>
  <c r="C143" i="11"/>
  <c r="B143" i="11"/>
  <c r="A143" i="11"/>
  <c r="D142" i="11"/>
  <c r="C142" i="11"/>
  <c r="B142" i="11"/>
  <c r="A142" i="11"/>
  <c r="D141" i="11"/>
  <c r="C141" i="11"/>
  <c r="B141" i="11"/>
  <c r="A141" i="11"/>
  <c r="D140" i="11"/>
  <c r="C140" i="11"/>
  <c r="B140" i="11"/>
  <c r="A140" i="11"/>
  <c r="D139" i="11"/>
  <c r="C139" i="11"/>
  <c r="B139" i="11"/>
  <c r="A139" i="11"/>
  <c r="D138" i="11"/>
  <c r="C138" i="11"/>
  <c r="B138" i="11"/>
  <c r="A138" i="11"/>
  <c r="D137" i="11"/>
  <c r="C137" i="11"/>
  <c r="B137" i="11"/>
  <c r="A137" i="11"/>
  <c r="D136" i="11"/>
  <c r="C136" i="11"/>
  <c r="B136" i="11"/>
  <c r="A136" i="11"/>
  <c r="D135" i="11"/>
  <c r="C135" i="11"/>
  <c r="B135" i="11"/>
  <c r="A135" i="11"/>
  <c r="D134" i="11"/>
  <c r="C134" i="11"/>
  <c r="B134" i="11"/>
  <c r="A134" i="11"/>
  <c r="D133" i="11"/>
  <c r="C133" i="11"/>
  <c r="B133" i="11"/>
  <c r="A133" i="11"/>
  <c r="D132" i="11"/>
  <c r="C132" i="11"/>
  <c r="B132" i="11"/>
  <c r="A132" i="11"/>
  <c r="D131" i="11"/>
  <c r="C131" i="11"/>
  <c r="B131" i="11"/>
  <c r="A131" i="11"/>
  <c r="D130" i="11"/>
  <c r="C130" i="11"/>
  <c r="B130" i="11"/>
  <c r="A130" i="11"/>
  <c r="D129" i="11"/>
  <c r="C129" i="11"/>
  <c r="B129" i="11"/>
  <c r="A129" i="11"/>
  <c r="D128" i="11"/>
  <c r="C128" i="11"/>
  <c r="B128" i="11"/>
  <c r="A128" i="11"/>
  <c r="D127" i="11"/>
  <c r="C127" i="11"/>
  <c r="B127" i="11"/>
  <c r="A127" i="11"/>
  <c r="D126" i="11"/>
  <c r="C126" i="11"/>
  <c r="B126" i="11"/>
  <c r="A126" i="11"/>
  <c r="D125" i="11"/>
  <c r="C125" i="11"/>
  <c r="B125" i="11"/>
  <c r="A125" i="11"/>
  <c r="D124" i="11"/>
  <c r="C124" i="11"/>
  <c r="B124" i="11"/>
  <c r="A124" i="11"/>
  <c r="D123" i="11"/>
  <c r="C123" i="11"/>
  <c r="B123" i="11"/>
  <c r="A123" i="11"/>
  <c r="D122" i="11"/>
  <c r="C122" i="11"/>
  <c r="B122" i="11"/>
  <c r="A122" i="11"/>
  <c r="D121" i="11"/>
  <c r="C121" i="11"/>
  <c r="B121" i="11"/>
  <c r="A121" i="11"/>
  <c r="D120" i="11"/>
  <c r="C120" i="11"/>
  <c r="B120" i="11"/>
  <c r="A120" i="11"/>
  <c r="D119" i="11"/>
  <c r="C119" i="11"/>
  <c r="B119" i="11"/>
  <c r="A119" i="11"/>
  <c r="D118" i="11"/>
  <c r="C118" i="11"/>
  <c r="B118" i="11"/>
  <c r="A118" i="11"/>
  <c r="D117" i="11"/>
  <c r="C117" i="11"/>
  <c r="B117" i="11"/>
  <c r="A117" i="11"/>
  <c r="D116" i="11"/>
  <c r="C116" i="11"/>
  <c r="B116" i="11"/>
  <c r="A116" i="11"/>
  <c r="D115" i="11"/>
  <c r="C115" i="11"/>
  <c r="B115" i="11"/>
  <c r="A115" i="11"/>
  <c r="D114" i="11"/>
  <c r="C114" i="11"/>
  <c r="B114" i="11"/>
  <c r="A114" i="11"/>
  <c r="D113" i="11"/>
  <c r="C113" i="11"/>
  <c r="B113" i="11"/>
  <c r="A113" i="11"/>
  <c r="D112" i="11"/>
  <c r="C112" i="11"/>
  <c r="B112" i="11"/>
  <c r="A112" i="11"/>
  <c r="D111" i="11"/>
  <c r="C111" i="11"/>
  <c r="B111" i="11"/>
  <c r="A111" i="11"/>
  <c r="D110" i="11"/>
  <c r="C110" i="11"/>
  <c r="B110" i="11"/>
  <c r="A110" i="11"/>
  <c r="D109" i="11"/>
  <c r="C109" i="11"/>
  <c r="B109" i="11"/>
  <c r="A109" i="11"/>
  <c r="D108" i="11"/>
  <c r="C108" i="11"/>
  <c r="B108" i="11"/>
  <c r="A108" i="11"/>
  <c r="D107" i="11"/>
  <c r="C107" i="11"/>
  <c r="B107" i="11"/>
  <c r="A107" i="11"/>
  <c r="D106" i="11"/>
  <c r="C106" i="11"/>
  <c r="B106" i="11"/>
  <c r="A106" i="11"/>
  <c r="D105" i="11"/>
  <c r="C105" i="11"/>
  <c r="B105" i="11"/>
  <c r="A105" i="11"/>
  <c r="D104" i="11"/>
  <c r="C104" i="11"/>
  <c r="B104" i="11"/>
  <c r="A104" i="11"/>
  <c r="D103" i="11"/>
  <c r="C103" i="11"/>
  <c r="B103" i="11"/>
  <c r="A103" i="11"/>
  <c r="D102" i="11"/>
  <c r="C102" i="11"/>
  <c r="B102" i="11"/>
  <c r="A102" i="11"/>
  <c r="D101" i="11"/>
  <c r="C101" i="11"/>
  <c r="B101" i="11"/>
  <c r="A101" i="11"/>
  <c r="D100" i="11"/>
  <c r="C100" i="11"/>
  <c r="B100" i="11"/>
  <c r="A100" i="11"/>
  <c r="D99" i="11"/>
  <c r="C99" i="11"/>
  <c r="B99" i="11"/>
  <c r="A99" i="11"/>
  <c r="D98" i="11"/>
  <c r="C98" i="11"/>
  <c r="B98" i="11"/>
  <c r="A98" i="11"/>
  <c r="D97" i="11"/>
  <c r="C97" i="11"/>
  <c r="B97" i="11"/>
  <c r="A97" i="11"/>
  <c r="D96" i="11"/>
  <c r="C96" i="11"/>
  <c r="B96" i="11"/>
  <c r="A96" i="11"/>
  <c r="D95" i="11"/>
  <c r="C95" i="11"/>
  <c r="B95" i="11"/>
  <c r="A95" i="11"/>
  <c r="D94" i="11"/>
  <c r="C94" i="11"/>
  <c r="B94" i="11"/>
  <c r="A94" i="11"/>
  <c r="D93" i="11"/>
  <c r="C93" i="11"/>
  <c r="B93" i="11"/>
  <c r="A93" i="11"/>
  <c r="D92" i="11"/>
  <c r="C92" i="11"/>
  <c r="B92" i="11"/>
  <c r="A92" i="11"/>
  <c r="D91" i="11"/>
  <c r="C91" i="11"/>
  <c r="B91" i="11"/>
  <c r="A91" i="11"/>
  <c r="D90" i="11"/>
  <c r="C90" i="11"/>
  <c r="B90" i="11"/>
  <c r="A90" i="11"/>
  <c r="D89" i="11"/>
  <c r="C89" i="11"/>
  <c r="B89" i="11"/>
  <c r="A89" i="11"/>
  <c r="D88" i="11"/>
  <c r="C88" i="11"/>
  <c r="B88" i="11"/>
  <c r="A88" i="11"/>
  <c r="D87" i="11"/>
  <c r="C87" i="11"/>
  <c r="B87" i="11"/>
  <c r="A87" i="11"/>
  <c r="D86" i="11"/>
  <c r="C86" i="11"/>
  <c r="B86" i="11"/>
  <c r="A86" i="11"/>
  <c r="D85" i="11"/>
  <c r="C85" i="11"/>
  <c r="B85" i="11"/>
  <c r="A85" i="11"/>
  <c r="D84" i="11"/>
  <c r="C84" i="11"/>
  <c r="B84" i="11"/>
  <c r="A84" i="11"/>
  <c r="D83" i="11"/>
  <c r="C83" i="11"/>
  <c r="B83" i="11"/>
  <c r="A83" i="11"/>
  <c r="D82" i="11"/>
  <c r="C82" i="11"/>
  <c r="B82" i="11"/>
  <c r="A82" i="11"/>
  <c r="D81" i="11"/>
  <c r="C81" i="11"/>
  <c r="B81" i="11"/>
  <c r="A81" i="11"/>
  <c r="D80" i="11"/>
  <c r="C80" i="11"/>
  <c r="B80" i="11"/>
  <c r="A80" i="11"/>
  <c r="D79" i="11"/>
  <c r="C79" i="11"/>
  <c r="B79" i="11"/>
  <c r="A79" i="11"/>
  <c r="D78" i="11"/>
  <c r="C78" i="11"/>
  <c r="B78" i="11"/>
  <c r="A78" i="11"/>
  <c r="D77" i="11"/>
  <c r="C77" i="11"/>
  <c r="B77" i="11"/>
  <c r="A77" i="11"/>
  <c r="D76" i="11"/>
  <c r="C76" i="11"/>
  <c r="B76" i="11"/>
  <c r="A76" i="11"/>
  <c r="D75" i="11"/>
  <c r="C75" i="11"/>
  <c r="B75" i="11"/>
  <c r="A75" i="11"/>
  <c r="D74" i="11"/>
  <c r="C74" i="11"/>
  <c r="B74" i="11"/>
  <c r="A74" i="11"/>
  <c r="D73" i="11"/>
  <c r="C73" i="11"/>
  <c r="B73" i="11"/>
  <c r="A73" i="11"/>
  <c r="D72" i="11"/>
  <c r="C72" i="11"/>
  <c r="B72" i="11"/>
  <c r="A72" i="11"/>
  <c r="D71" i="11"/>
  <c r="C71" i="11"/>
  <c r="B71" i="11"/>
  <c r="A71" i="11"/>
  <c r="D70" i="11"/>
  <c r="C70" i="11"/>
  <c r="B70" i="11"/>
  <c r="A70" i="11"/>
  <c r="D69" i="11"/>
  <c r="C69" i="11"/>
  <c r="B69" i="11"/>
  <c r="A69" i="11"/>
  <c r="D68" i="11"/>
  <c r="C68" i="11"/>
  <c r="B68" i="11"/>
  <c r="A68" i="11"/>
  <c r="D67" i="11"/>
  <c r="C67" i="11"/>
  <c r="B67" i="11"/>
  <c r="A67" i="11"/>
  <c r="D66" i="11"/>
  <c r="C66" i="11"/>
  <c r="B66" i="11"/>
  <c r="A66" i="11"/>
  <c r="D65" i="11"/>
  <c r="C65" i="11"/>
  <c r="B65" i="11"/>
  <c r="A65" i="11"/>
  <c r="D64" i="11"/>
  <c r="C64" i="11"/>
  <c r="B64" i="11"/>
  <c r="A64" i="11"/>
  <c r="D63" i="11"/>
  <c r="C63" i="11"/>
  <c r="B63" i="11"/>
  <c r="A63" i="11"/>
  <c r="D62" i="11"/>
  <c r="C62" i="11"/>
  <c r="B62" i="11"/>
  <c r="A62" i="11"/>
  <c r="D61" i="11"/>
  <c r="C61" i="11"/>
  <c r="B61" i="11"/>
  <c r="A61" i="11"/>
  <c r="D60" i="11"/>
  <c r="C60" i="11"/>
  <c r="B60" i="11"/>
  <c r="A60" i="11"/>
  <c r="D59" i="11"/>
  <c r="C59" i="11"/>
  <c r="B59" i="11"/>
  <c r="A59" i="11"/>
  <c r="D58" i="11"/>
  <c r="C58" i="11"/>
  <c r="B58" i="11"/>
  <c r="A58" i="11"/>
  <c r="D57" i="11"/>
  <c r="C57" i="11"/>
  <c r="B57" i="11"/>
  <c r="A57" i="11"/>
  <c r="D56" i="11"/>
  <c r="C56" i="11"/>
  <c r="B56" i="11"/>
  <c r="A56" i="11"/>
  <c r="D55" i="11"/>
  <c r="C55" i="11"/>
  <c r="B55" i="11"/>
  <c r="A55" i="11"/>
  <c r="D54" i="11"/>
  <c r="C54" i="11"/>
  <c r="B54" i="11"/>
  <c r="A54" i="11"/>
  <c r="D53" i="11"/>
  <c r="C53" i="11"/>
  <c r="B53" i="11"/>
  <c r="A53" i="11"/>
  <c r="D52" i="11"/>
  <c r="C52" i="11"/>
  <c r="B52" i="11"/>
  <c r="A52" i="11"/>
  <c r="D51" i="11"/>
  <c r="C51" i="11"/>
  <c r="B51" i="11"/>
  <c r="A51" i="11"/>
  <c r="D50" i="11"/>
  <c r="C50" i="11"/>
  <c r="B50" i="11"/>
  <c r="A50" i="11"/>
  <c r="D49" i="11"/>
  <c r="C49" i="11"/>
  <c r="B49" i="11"/>
  <c r="A49" i="11"/>
  <c r="D48" i="11"/>
  <c r="C48" i="11"/>
  <c r="B48" i="11"/>
  <c r="A48" i="11"/>
  <c r="D47" i="11"/>
  <c r="C47" i="11"/>
  <c r="B47" i="11"/>
  <c r="A47" i="11"/>
  <c r="D46" i="11"/>
  <c r="C46" i="11"/>
  <c r="B46" i="11"/>
  <c r="A46" i="11"/>
  <c r="D45" i="11"/>
  <c r="C45" i="11"/>
  <c r="B45" i="11"/>
  <c r="A45" i="11"/>
  <c r="D44" i="11"/>
  <c r="C44" i="11"/>
  <c r="B44" i="11"/>
  <c r="A44" i="11"/>
  <c r="D43" i="11"/>
  <c r="C43" i="11"/>
  <c r="B43" i="11"/>
  <c r="A43" i="11"/>
  <c r="D42" i="11"/>
  <c r="C42" i="11"/>
  <c r="B42" i="11"/>
  <c r="A42" i="11"/>
  <c r="D41" i="11"/>
  <c r="C41" i="11"/>
  <c r="B41" i="11"/>
  <c r="A41" i="11"/>
  <c r="D40" i="11"/>
  <c r="C40" i="11"/>
  <c r="B40" i="11"/>
  <c r="A40" i="11"/>
  <c r="D39" i="11"/>
  <c r="C39" i="11"/>
  <c r="B39" i="11"/>
  <c r="A39" i="11"/>
  <c r="D38" i="11"/>
  <c r="C38" i="11"/>
  <c r="B38" i="11"/>
  <c r="A38" i="11"/>
  <c r="D37" i="11"/>
  <c r="C37" i="11"/>
  <c r="B37" i="11"/>
  <c r="A37" i="11"/>
  <c r="D36" i="11"/>
  <c r="C36" i="11"/>
  <c r="B36" i="11"/>
  <c r="A36" i="11"/>
  <c r="D35" i="11"/>
  <c r="C35" i="11"/>
  <c r="B35" i="11"/>
  <c r="A35" i="11"/>
  <c r="D34" i="11"/>
  <c r="C34" i="11"/>
  <c r="B34" i="11"/>
  <c r="A34" i="11"/>
  <c r="D33" i="11"/>
  <c r="C33" i="11"/>
  <c r="B33" i="11"/>
  <c r="A33" i="11"/>
  <c r="D32" i="11"/>
  <c r="C32" i="11"/>
  <c r="B32" i="11"/>
  <c r="A32" i="11"/>
  <c r="D31" i="11"/>
  <c r="C31" i="11"/>
  <c r="B31" i="11"/>
  <c r="A31" i="11"/>
  <c r="D30" i="11"/>
  <c r="C30" i="11"/>
  <c r="B30" i="11"/>
  <c r="A30" i="11"/>
  <c r="D29" i="11"/>
  <c r="C29" i="11"/>
  <c r="B29" i="11"/>
  <c r="A29" i="11"/>
  <c r="D28" i="11"/>
  <c r="C28" i="11"/>
  <c r="B28" i="11"/>
  <c r="A28" i="11"/>
  <c r="D27" i="11"/>
  <c r="C27" i="11"/>
  <c r="B27" i="11"/>
  <c r="A27" i="11"/>
  <c r="D26" i="11"/>
  <c r="C26" i="11"/>
  <c r="B26" i="11"/>
  <c r="A26" i="11"/>
  <c r="D25" i="11"/>
  <c r="C25" i="11"/>
  <c r="B25" i="11"/>
  <c r="A25" i="11"/>
  <c r="D24" i="11"/>
  <c r="C24" i="11"/>
  <c r="B24" i="11"/>
  <c r="A24" i="11"/>
  <c r="D23" i="11"/>
  <c r="C23" i="11"/>
  <c r="B23" i="11"/>
  <c r="A23" i="11"/>
  <c r="D22" i="11"/>
  <c r="C22" i="11"/>
  <c r="B22" i="11"/>
  <c r="A22" i="11"/>
  <c r="D21" i="11"/>
  <c r="C21" i="11"/>
  <c r="B21" i="11"/>
  <c r="A21" i="11"/>
  <c r="D20" i="11"/>
  <c r="C20" i="11"/>
  <c r="B20" i="11"/>
  <c r="A20" i="11"/>
  <c r="D19" i="11"/>
  <c r="C19" i="11"/>
  <c r="B19" i="11"/>
  <c r="A19" i="11"/>
  <c r="D18" i="11"/>
  <c r="C18" i="11"/>
  <c r="B18" i="11"/>
  <c r="A18" i="11"/>
  <c r="D17" i="11"/>
  <c r="C17" i="11"/>
  <c r="B17" i="11"/>
  <c r="A17" i="11"/>
  <c r="D16" i="11"/>
  <c r="C16" i="11"/>
  <c r="B16" i="11"/>
  <c r="A16" i="11"/>
  <c r="D15" i="11"/>
  <c r="C15" i="11"/>
  <c r="B15" i="11"/>
  <c r="A15" i="11"/>
  <c r="D14" i="11"/>
  <c r="C14" i="11"/>
  <c r="B14" i="11"/>
  <c r="A14" i="11"/>
  <c r="D13" i="11"/>
  <c r="C13" i="11"/>
  <c r="B13" i="11"/>
  <c r="A13" i="11"/>
  <c r="D12" i="11"/>
  <c r="C12" i="11"/>
  <c r="B12" i="11"/>
  <c r="A12" i="11"/>
  <c r="D11" i="11"/>
  <c r="C11" i="11"/>
  <c r="B11" i="11"/>
  <c r="A11" i="11"/>
  <c r="D10" i="11"/>
  <c r="C10" i="11"/>
  <c r="B10" i="11"/>
  <c r="A10" i="11"/>
  <c r="D9" i="11"/>
  <c r="C9" i="11"/>
  <c r="B9" i="11"/>
  <c r="A9" i="11"/>
  <c r="D8" i="11"/>
  <c r="C8" i="11"/>
  <c r="B8" i="11"/>
  <c r="A8" i="11"/>
  <c r="D7" i="11"/>
  <c r="C7" i="11"/>
  <c r="B7" i="11"/>
  <c r="A7" i="11"/>
  <c r="D6" i="11"/>
  <c r="C6" i="11"/>
  <c r="B6" i="11"/>
  <c r="A6" i="11"/>
  <c r="D5" i="11"/>
  <c r="C5" i="11"/>
  <c r="B5" i="11"/>
  <c r="A5" i="11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U13" i="10"/>
  <c r="T13" i="10"/>
  <c r="S13" i="10"/>
  <c r="R13" i="10"/>
  <c r="Q13" i="10"/>
  <c r="P13" i="10"/>
  <c r="O13" i="10"/>
  <c r="N13" i="10"/>
  <c r="N3" i="10" s="1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U8" i="10"/>
  <c r="T8" i="10"/>
  <c r="S8" i="10"/>
  <c r="R8" i="10"/>
  <c r="Q8" i="10"/>
  <c r="P8" i="10"/>
  <c r="O8" i="10"/>
  <c r="N8" i="10"/>
  <c r="N2" i="10" s="1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U6" i="10"/>
  <c r="T6" i="10"/>
  <c r="S6" i="10"/>
  <c r="R6" i="10"/>
  <c r="R2" i="10" s="1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U5" i="10"/>
  <c r="U3" i="10" s="1"/>
  <c r="T5" i="10"/>
  <c r="T2" i="10" s="1"/>
  <c r="S5" i="10"/>
  <c r="R5" i="10"/>
  <c r="Q5" i="10"/>
  <c r="P5" i="10"/>
  <c r="O5" i="10"/>
  <c r="N5" i="10"/>
  <c r="M5" i="10"/>
  <c r="M3" i="10" s="1"/>
  <c r="L5" i="10"/>
  <c r="L2" i="10" s="1"/>
  <c r="K5" i="10"/>
  <c r="K2" i="10" s="1"/>
  <c r="J5" i="10"/>
  <c r="J3" i="10" s="1"/>
  <c r="I5" i="10"/>
  <c r="H5" i="10"/>
  <c r="G5" i="10"/>
  <c r="F5" i="10"/>
  <c r="E5" i="10"/>
  <c r="D5" i="10"/>
  <c r="C5" i="10"/>
  <c r="C2" i="10" s="1"/>
  <c r="B5" i="10"/>
  <c r="B2" i="10" s="1"/>
  <c r="A5" i="10"/>
  <c r="T3" i="10"/>
  <c r="AO36" i="10" s="1"/>
  <c r="H3" i="10"/>
  <c r="AC80" i="10" s="1"/>
  <c r="D3" i="10"/>
  <c r="Y87" i="10" s="1"/>
  <c r="C3" i="10"/>
  <c r="B3" i="10"/>
  <c r="W85" i="10" s="1"/>
  <c r="J2" i="10"/>
  <c r="H2" i="10"/>
  <c r="D2" i="10"/>
  <c r="AP184" i="10" l="1"/>
  <c r="AP180" i="10"/>
  <c r="AP168" i="10"/>
  <c r="AP163" i="10"/>
  <c r="AP158" i="10"/>
  <c r="AP148" i="10"/>
  <c r="AP128" i="10"/>
  <c r="AP123" i="10"/>
  <c r="AP118" i="10"/>
  <c r="AP176" i="10"/>
  <c r="AP189" i="10"/>
  <c r="AP181" i="10"/>
  <c r="AP152" i="10"/>
  <c r="AP183" i="10"/>
  <c r="AP175" i="10"/>
  <c r="AP171" i="10"/>
  <c r="AP159" i="10"/>
  <c r="AP130" i="10"/>
  <c r="AP144" i="10"/>
  <c r="AP135" i="10"/>
  <c r="AP170" i="10"/>
  <c r="AP164" i="10"/>
  <c r="AP140" i="10"/>
  <c r="AP179" i="10"/>
  <c r="AP151" i="10"/>
  <c r="AP132" i="10"/>
  <c r="AP108" i="10"/>
  <c r="AP103" i="10"/>
  <c r="AP98" i="10"/>
  <c r="AP88" i="10"/>
  <c r="AP68" i="10"/>
  <c r="AP63" i="10"/>
  <c r="AP58" i="10"/>
  <c r="AP53" i="10"/>
  <c r="AP147" i="10"/>
  <c r="AP112" i="10"/>
  <c r="AP92" i="10"/>
  <c r="AP87" i="10"/>
  <c r="AP172" i="10"/>
  <c r="AP161" i="10"/>
  <c r="AP160" i="10"/>
  <c r="AP136" i="10"/>
  <c r="AP104" i="10"/>
  <c r="AP99" i="10"/>
  <c r="AP94" i="10"/>
  <c r="AP89" i="10"/>
  <c r="AP84" i="10"/>
  <c r="AP74" i="10"/>
  <c r="AP134" i="10"/>
  <c r="AP117" i="10"/>
  <c r="AP101" i="10"/>
  <c r="AP46" i="10"/>
  <c r="AP150" i="10"/>
  <c r="AP47" i="10"/>
  <c r="AP27" i="10"/>
  <c r="AP22" i="10"/>
  <c r="AP17" i="10"/>
  <c r="AP12" i="10"/>
  <c r="AP7" i="10"/>
  <c r="AP188" i="10"/>
  <c r="AP67" i="10"/>
  <c r="AP66" i="10"/>
  <c r="AP65" i="10"/>
  <c r="AP64" i="10"/>
  <c r="AP62" i="10"/>
  <c r="AP60" i="10"/>
  <c r="AP55" i="10"/>
  <c r="AP54" i="10"/>
  <c r="AP52" i="10"/>
  <c r="AP82" i="10"/>
  <c r="AP145" i="10"/>
  <c r="AP125" i="10"/>
  <c r="AP124" i="10"/>
  <c r="AP114" i="10"/>
  <c r="AP111" i="10"/>
  <c r="AP90" i="10"/>
  <c r="AP174" i="10"/>
  <c r="AP146" i="10"/>
  <c r="AP100" i="10"/>
  <c r="AP178" i="10"/>
  <c r="AP122" i="10"/>
  <c r="AP105" i="10"/>
  <c r="AP76" i="10"/>
  <c r="AP173" i="10"/>
  <c r="AP120" i="10"/>
  <c r="AP110" i="10"/>
  <c r="AP81" i="10"/>
  <c r="AP41" i="10"/>
  <c r="AP9" i="10"/>
  <c r="AP14" i="10"/>
  <c r="AP40" i="10"/>
  <c r="AP44" i="10"/>
  <c r="AP38" i="10"/>
  <c r="AP35" i="10"/>
  <c r="AP26" i="10"/>
  <c r="AP29" i="10"/>
  <c r="AP69" i="10"/>
  <c r="AP49" i="10"/>
  <c r="AP31" i="10"/>
  <c r="AP48" i="10"/>
  <c r="AP34" i="10"/>
  <c r="AP25" i="10"/>
  <c r="AP10" i="10"/>
  <c r="AP36" i="10"/>
  <c r="AP80" i="10"/>
  <c r="AP39" i="10"/>
  <c r="AP33" i="10"/>
  <c r="AP21" i="10"/>
  <c r="AP18" i="10"/>
  <c r="AP15" i="10"/>
  <c r="AP6" i="10"/>
  <c r="AI186" i="10"/>
  <c r="AI181" i="10"/>
  <c r="AI176" i="10"/>
  <c r="AI171" i="10"/>
  <c r="AI190" i="10"/>
  <c r="AI185" i="10"/>
  <c r="AI188" i="10"/>
  <c r="AI182" i="10"/>
  <c r="AI178" i="10"/>
  <c r="AI166" i="10"/>
  <c r="AI161" i="10"/>
  <c r="AI156" i="10"/>
  <c r="AI151" i="10"/>
  <c r="AI146" i="10"/>
  <c r="AI141" i="10"/>
  <c r="AI136" i="10"/>
  <c r="AI131" i="10"/>
  <c r="AI126" i="10"/>
  <c r="AI183" i="10"/>
  <c r="AI168" i="10"/>
  <c r="AI163" i="10"/>
  <c r="AI158" i="10"/>
  <c r="AI153" i="10"/>
  <c r="AI148" i="10"/>
  <c r="AI160" i="10"/>
  <c r="AI152" i="10"/>
  <c r="AI127" i="10"/>
  <c r="AI177" i="10"/>
  <c r="AI149" i="10"/>
  <c r="AI132" i="10"/>
  <c r="AI128" i="10"/>
  <c r="AI189" i="10"/>
  <c r="AI172" i="10"/>
  <c r="AI165" i="10"/>
  <c r="AI157" i="10"/>
  <c r="AI154" i="10"/>
  <c r="AI137" i="10"/>
  <c r="AI184" i="10"/>
  <c r="AI170" i="10"/>
  <c r="AI175" i="10"/>
  <c r="AI164" i="10"/>
  <c r="AI138" i="10"/>
  <c r="AI133" i="10"/>
  <c r="AI125" i="10"/>
  <c r="AI120" i="10"/>
  <c r="AI115" i="10"/>
  <c r="AI111" i="10"/>
  <c r="AI106" i="10"/>
  <c r="AI101" i="10"/>
  <c r="AI96" i="10"/>
  <c r="AI91" i="10"/>
  <c r="AI86" i="10"/>
  <c r="AI81" i="10"/>
  <c r="AI76" i="10"/>
  <c r="AI71" i="10"/>
  <c r="AI179" i="10"/>
  <c r="AI150" i="10"/>
  <c r="AI145" i="10"/>
  <c r="AI135" i="10"/>
  <c r="AI121" i="10"/>
  <c r="AI116" i="10"/>
  <c r="AI159" i="10"/>
  <c r="AI187" i="10"/>
  <c r="AI173" i="10"/>
  <c r="AI169" i="10"/>
  <c r="AI139" i="10"/>
  <c r="AI129" i="10"/>
  <c r="AI124" i="10"/>
  <c r="AI119" i="10"/>
  <c r="AI114" i="10"/>
  <c r="AI113" i="10"/>
  <c r="AI143" i="10"/>
  <c r="AI130" i="10"/>
  <c r="AI123" i="10"/>
  <c r="AI103" i="10"/>
  <c r="AI100" i="10"/>
  <c r="AI85" i="10"/>
  <c r="AI51" i="10"/>
  <c r="AI46" i="10"/>
  <c r="AI41" i="10"/>
  <c r="AI36" i="10"/>
  <c r="AI31" i="10"/>
  <c r="AI26" i="10"/>
  <c r="AI21" i="10"/>
  <c r="AI16" i="10"/>
  <c r="AI11" i="10"/>
  <c r="AI6" i="10"/>
  <c r="AI97" i="10"/>
  <c r="AI162" i="10"/>
  <c r="AI140" i="10"/>
  <c r="AI122" i="10"/>
  <c r="AI108" i="10"/>
  <c r="AI105" i="10"/>
  <c r="AI87" i="10"/>
  <c r="AI73" i="10"/>
  <c r="AI69" i="10"/>
  <c r="AI94" i="10"/>
  <c r="AI70" i="10"/>
  <c r="AI180" i="10"/>
  <c r="AI147" i="10"/>
  <c r="AI144" i="10"/>
  <c r="AI110" i="10"/>
  <c r="AI92" i="10"/>
  <c r="AI89" i="10"/>
  <c r="AI78" i="10"/>
  <c r="AI50" i="10"/>
  <c r="AI45" i="10"/>
  <c r="AI40" i="10"/>
  <c r="AI35" i="10"/>
  <c r="AI30" i="10"/>
  <c r="AI25" i="10"/>
  <c r="AI20" i="10"/>
  <c r="AI15" i="10"/>
  <c r="AI10" i="10"/>
  <c r="AI5" i="10"/>
  <c r="AI83" i="10"/>
  <c r="AI102" i="10"/>
  <c r="AI99" i="10"/>
  <c r="AI118" i="10"/>
  <c r="AI107" i="10"/>
  <c r="AI104" i="10"/>
  <c r="AI155" i="10"/>
  <c r="AI134" i="10"/>
  <c r="AI117" i="10"/>
  <c r="AI112" i="10"/>
  <c r="AI109" i="10"/>
  <c r="AI174" i="10"/>
  <c r="AI142" i="10"/>
  <c r="AI167" i="10"/>
  <c r="AI93" i="10"/>
  <c r="AI90" i="10"/>
  <c r="AI77" i="10"/>
  <c r="AI75" i="10"/>
  <c r="AI66" i="10"/>
  <c r="AI65" i="10"/>
  <c r="AI64" i="10"/>
  <c r="AI63" i="10"/>
  <c r="AI61" i="10"/>
  <c r="AI60" i="10"/>
  <c r="AI59" i="10"/>
  <c r="AI58" i="10"/>
  <c r="AI56" i="10"/>
  <c r="AI55" i="10"/>
  <c r="AI54" i="10"/>
  <c r="AI53" i="10"/>
  <c r="AI47" i="10"/>
  <c r="AI42" i="10"/>
  <c r="AI37" i="10"/>
  <c r="AI32" i="10"/>
  <c r="AI27" i="10"/>
  <c r="AI22" i="10"/>
  <c r="AI17" i="10"/>
  <c r="AI12" i="10"/>
  <c r="AI7" i="10"/>
  <c r="AI98" i="10"/>
  <c r="AI95" i="10"/>
  <c r="AI84" i="10"/>
  <c r="AI74" i="10"/>
  <c r="AI72" i="10"/>
  <c r="AI13" i="10"/>
  <c r="AI62" i="10"/>
  <c r="AI52" i="10"/>
  <c r="AI18" i="10"/>
  <c r="AI9" i="10"/>
  <c r="AI44" i="10"/>
  <c r="AI80" i="10"/>
  <c r="AI39" i="10"/>
  <c r="AI33" i="10"/>
  <c r="AI24" i="10"/>
  <c r="AI82" i="10"/>
  <c r="AI38" i="10"/>
  <c r="AI29" i="10"/>
  <c r="AI49" i="10"/>
  <c r="AI23" i="10"/>
  <c r="AI14" i="10"/>
  <c r="AI68" i="10"/>
  <c r="AI8" i="10"/>
  <c r="AI79" i="10"/>
  <c r="AI67" i="10"/>
  <c r="AI57" i="10"/>
  <c r="AI48" i="10"/>
  <c r="AI43" i="10"/>
  <c r="AI34" i="10"/>
  <c r="AI88" i="10"/>
  <c r="AI28" i="10"/>
  <c r="AI19" i="10"/>
  <c r="X13" i="10"/>
  <c r="AE188" i="10"/>
  <c r="AE183" i="10"/>
  <c r="AE178" i="10"/>
  <c r="AE173" i="10"/>
  <c r="AE187" i="10"/>
  <c r="AE190" i="10"/>
  <c r="AE185" i="10"/>
  <c r="AE176" i="10"/>
  <c r="AE181" i="10"/>
  <c r="AE177" i="10"/>
  <c r="AE168" i="10"/>
  <c r="AE163" i="10"/>
  <c r="AE158" i="10"/>
  <c r="AE153" i="10"/>
  <c r="AE148" i="10"/>
  <c r="AE143" i="10"/>
  <c r="AE138" i="10"/>
  <c r="AE133" i="10"/>
  <c r="AE128" i="10"/>
  <c r="AE182" i="10"/>
  <c r="AE179" i="10"/>
  <c r="AE165" i="10"/>
  <c r="AE160" i="10"/>
  <c r="AE155" i="10"/>
  <c r="AE150" i="10"/>
  <c r="AE180" i="10"/>
  <c r="AE161" i="10"/>
  <c r="AE144" i="10"/>
  <c r="AE135" i="10"/>
  <c r="AE126" i="10"/>
  <c r="AE169" i="10"/>
  <c r="AE152" i="10"/>
  <c r="AE140" i="10"/>
  <c r="AE131" i="10"/>
  <c r="AE166" i="10"/>
  <c r="AE145" i="10"/>
  <c r="AE189" i="10"/>
  <c r="AE162" i="10"/>
  <c r="AE154" i="10"/>
  <c r="AE184" i="10"/>
  <c r="AE146" i="10"/>
  <c r="AE136" i="10"/>
  <c r="AE134" i="10"/>
  <c r="AE127" i="10"/>
  <c r="AE157" i="10"/>
  <c r="AE156" i="10"/>
  <c r="AE142" i="10"/>
  <c r="AE113" i="10"/>
  <c r="AE108" i="10"/>
  <c r="AE103" i="10"/>
  <c r="AE98" i="10"/>
  <c r="AE93" i="10"/>
  <c r="AE88" i="10"/>
  <c r="AE83" i="10"/>
  <c r="AE78" i="10"/>
  <c r="AE73" i="10"/>
  <c r="AE68" i="10"/>
  <c r="AE175" i="10"/>
  <c r="AE174" i="10"/>
  <c r="AE170" i="10"/>
  <c r="AE139" i="10"/>
  <c r="AE129" i="10"/>
  <c r="AE124" i="10"/>
  <c r="AE119" i="10"/>
  <c r="AE114" i="10"/>
  <c r="AE171" i="10"/>
  <c r="AE164" i="10"/>
  <c r="AE147" i="10"/>
  <c r="AE130" i="10"/>
  <c r="AE122" i="10"/>
  <c r="AE117" i="10"/>
  <c r="AE101" i="10"/>
  <c r="AE77" i="10"/>
  <c r="AE48" i="10"/>
  <c r="AE43" i="10"/>
  <c r="AE38" i="10"/>
  <c r="AE33" i="10"/>
  <c r="AE28" i="10"/>
  <c r="AE23" i="10"/>
  <c r="AE18" i="10"/>
  <c r="AE13" i="10"/>
  <c r="AE8" i="10"/>
  <c r="AE92" i="10"/>
  <c r="AE80" i="10"/>
  <c r="AE137" i="10"/>
  <c r="AE106" i="10"/>
  <c r="AE82" i="10"/>
  <c r="AE72" i="10"/>
  <c r="AE63" i="10"/>
  <c r="AE58" i="10"/>
  <c r="AE53" i="10"/>
  <c r="AE123" i="10"/>
  <c r="AE111" i="10"/>
  <c r="AE90" i="10"/>
  <c r="AE87" i="10"/>
  <c r="AE75" i="10"/>
  <c r="AE67" i="10"/>
  <c r="AE66" i="10"/>
  <c r="AE65" i="10"/>
  <c r="AE64" i="10"/>
  <c r="AE62" i="10"/>
  <c r="AE61" i="10"/>
  <c r="AE60" i="10"/>
  <c r="AE59" i="10"/>
  <c r="AE57" i="10"/>
  <c r="AE56" i="10"/>
  <c r="AE55" i="10"/>
  <c r="AE54" i="10"/>
  <c r="AE52" i="10"/>
  <c r="AE47" i="10"/>
  <c r="AE42" i="10"/>
  <c r="AE37" i="10"/>
  <c r="AE32" i="10"/>
  <c r="AE27" i="10"/>
  <c r="AE22" i="10"/>
  <c r="AE17" i="10"/>
  <c r="AE12" i="10"/>
  <c r="AE7" i="10"/>
  <c r="AE141" i="10"/>
  <c r="AE95" i="10"/>
  <c r="AE121" i="10"/>
  <c r="AE120" i="10"/>
  <c r="AE100" i="10"/>
  <c r="AE97" i="10"/>
  <c r="AE85" i="10"/>
  <c r="AE132" i="10"/>
  <c r="AE105" i="10"/>
  <c r="AE102" i="10"/>
  <c r="AE89" i="10"/>
  <c r="AE172" i="10"/>
  <c r="AE151" i="10"/>
  <c r="AE110" i="10"/>
  <c r="AE107" i="10"/>
  <c r="AE94" i="10"/>
  <c r="AE186" i="10"/>
  <c r="AE159" i="10"/>
  <c r="AE118" i="10"/>
  <c r="AE112" i="10"/>
  <c r="AE99" i="10"/>
  <c r="AE149" i="10"/>
  <c r="AE104" i="10"/>
  <c r="AE91" i="10"/>
  <c r="AE86" i="10"/>
  <c r="AE79" i="10"/>
  <c r="AE49" i="10"/>
  <c r="AE44" i="10"/>
  <c r="AE39" i="10"/>
  <c r="AE34" i="10"/>
  <c r="AE29" i="10"/>
  <c r="AE24" i="10"/>
  <c r="AE19" i="10"/>
  <c r="AE14" i="10"/>
  <c r="AE9" i="10"/>
  <c r="AE167" i="10"/>
  <c r="AE125" i="10"/>
  <c r="AE116" i="10"/>
  <c r="AE115" i="10"/>
  <c r="AE109" i="10"/>
  <c r="AE96" i="10"/>
  <c r="AE70" i="10"/>
  <c r="AE5" i="10"/>
  <c r="AE74" i="10"/>
  <c r="AE10" i="10"/>
  <c r="AE71" i="10"/>
  <c r="AE40" i="10"/>
  <c r="AE31" i="10"/>
  <c r="AE84" i="10"/>
  <c r="AE46" i="10"/>
  <c r="AE25" i="10"/>
  <c r="AE16" i="10"/>
  <c r="AE36" i="10"/>
  <c r="AE81" i="10"/>
  <c r="AE76" i="10"/>
  <c r="AE51" i="10"/>
  <c r="AE45" i="10"/>
  <c r="AE30" i="10"/>
  <c r="AE21" i="10"/>
  <c r="AE15" i="10"/>
  <c r="AE6" i="10"/>
  <c r="AE41" i="10"/>
  <c r="AE69" i="10"/>
  <c r="AE50" i="10"/>
  <c r="AE35" i="10"/>
  <c r="AE26" i="10"/>
  <c r="AE20" i="10"/>
  <c r="AE11" i="10"/>
  <c r="G3" i="10"/>
  <c r="G2" i="10"/>
  <c r="Q3" i="10"/>
  <c r="Q2" i="10"/>
  <c r="Y9" i="10"/>
  <c r="X15" i="10"/>
  <c r="AC17" i="10"/>
  <c r="Y18" i="10"/>
  <c r="AO21" i="10"/>
  <c r="X24" i="10"/>
  <c r="X27" i="10"/>
  <c r="W30" i="10"/>
  <c r="AO30" i="10"/>
  <c r="X33" i="10"/>
  <c r="W39" i="10"/>
  <c r="AC41" i="10"/>
  <c r="AC57" i="10"/>
  <c r="Y60" i="10"/>
  <c r="W61" i="10"/>
  <c r="AC67" i="10"/>
  <c r="Y77" i="10"/>
  <c r="AO80" i="10"/>
  <c r="U2" i="10"/>
  <c r="AP187" i="10" s="1"/>
  <c r="R3" i="10"/>
  <c r="AC6" i="10"/>
  <c r="Y24" i="10"/>
  <c r="X30" i="10"/>
  <c r="AC32" i="10"/>
  <c r="Y33" i="10"/>
  <c r="X39" i="10"/>
  <c r="X42" i="10"/>
  <c r="W45" i="10"/>
  <c r="X52" i="10"/>
  <c r="Y61" i="10"/>
  <c r="W62" i="10"/>
  <c r="AC78" i="10"/>
  <c r="Y82" i="10"/>
  <c r="W187" i="10"/>
  <c r="W182" i="10"/>
  <c r="W177" i="10"/>
  <c r="W172" i="10"/>
  <c r="W186" i="10"/>
  <c r="W189" i="10"/>
  <c r="W190" i="10"/>
  <c r="W178" i="10"/>
  <c r="W167" i="10"/>
  <c r="W162" i="10"/>
  <c r="W157" i="10"/>
  <c r="W152" i="10"/>
  <c r="W147" i="10"/>
  <c r="W142" i="10"/>
  <c r="W137" i="10"/>
  <c r="W132" i="10"/>
  <c r="W127" i="10"/>
  <c r="W183" i="10"/>
  <c r="W188" i="10"/>
  <c r="W185" i="10"/>
  <c r="W181" i="10"/>
  <c r="W169" i="10"/>
  <c r="W164" i="10"/>
  <c r="W159" i="10"/>
  <c r="W154" i="10"/>
  <c r="W149" i="10"/>
  <c r="W175" i="10"/>
  <c r="W171" i="10"/>
  <c r="W165" i="10"/>
  <c r="W151" i="10"/>
  <c r="W146" i="10"/>
  <c r="W128" i="10"/>
  <c r="W170" i="10"/>
  <c r="W156" i="10"/>
  <c r="W180" i="10"/>
  <c r="W158" i="10"/>
  <c r="W161" i="10"/>
  <c r="W160" i="10"/>
  <c r="W148" i="10"/>
  <c r="W141" i="10"/>
  <c r="W135" i="10"/>
  <c r="W125" i="10"/>
  <c r="W120" i="10"/>
  <c r="W115" i="10"/>
  <c r="W173" i="10"/>
  <c r="W168" i="10"/>
  <c r="W155" i="10"/>
  <c r="W144" i="10"/>
  <c r="W112" i="10"/>
  <c r="W107" i="10"/>
  <c r="W102" i="10"/>
  <c r="W97" i="10"/>
  <c r="W92" i="10"/>
  <c r="W87" i="10"/>
  <c r="W82" i="10"/>
  <c r="W77" i="10"/>
  <c r="W72" i="10"/>
  <c r="W184" i="10"/>
  <c r="W130" i="10"/>
  <c r="W126" i="10"/>
  <c r="W121" i="10"/>
  <c r="W116" i="10"/>
  <c r="W174" i="10"/>
  <c r="W163" i="10"/>
  <c r="W143" i="10"/>
  <c r="W140" i="10"/>
  <c r="W153" i="10"/>
  <c r="W133" i="10"/>
  <c r="W131" i="10"/>
  <c r="W124" i="10"/>
  <c r="W119" i="10"/>
  <c r="W176" i="10"/>
  <c r="W145" i="10"/>
  <c r="W139" i="10"/>
  <c r="W134" i="10"/>
  <c r="W110" i="10"/>
  <c r="W89" i="10"/>
  <c r="W78" i="10"/>
  <c r="W73" i="10"/>
  <c r="W52" i="10"/>
  <c r="W47" i="10"/>
  <c r="W42" i="10"/>
  <c r="W37" i="10"/>
  <c r="W32" i="10"/>
  <c r="W27" i="10"/>
  <c r="W22" i="10"/>
  <c r="W17" i="10"/>
  <c r="W12" i="10"/>
  <c r="W7" i="10"/>
  <c r="W104" i="10"/>
  <c r="W86" i="10"/>
  <c r="W118" i="10"/>
  <c r="W117" i="10"/>
  <c r="W94" i="10"/>
  <c r="W83" i="10"/>
  <c r="W76" i="10"/>
  <c r="W69" i="10"/>
  <c r="W74" i="10"/>
  <c r="W99" i="10"/>
  <c r="W91" i="10"/>
  <c r="W81" i="10"/>
  <c r="W51" i="10"/>
  <c r="W46" i="10"/>
  <c r="W41" i="10"/>
  <c r="W36" i="10"/>
  <c r="W31" i="10"/>
  <c r="W26" i="10"/>
  <c r="W21" i="10"/>
  <c r="W16" i="10"/>
  <c r="W11" i="10"/>
  <c r="W6" i="10"/>
  <c r="W136" i="10"/>
  <c r="W96" i="10"/>
  <c r="W70" i="10"/>
  <c r="W129" i="10"/>
  <c r="W109" i="10"/>
  <c r="W101" i="10"/>
  <c r="W88" i="10"/>
  <c r="W166" i="10"/>
  <c r="W150" i="10"/>
  <c r="W106" i="10"/>
  <c r="W93" i="10"/>
  <c r="W84" i="10"/>
  <c r="W179" i="10"/>
  <c r="W123" i="10"/>
  <c r="W122" i="10"/>
  <c r="W114" i="10"/>
  <c r="W111" i="10"/>
  <c r="W98" i="10"/>
  <c r="W90" i="10"/>
  <c r="W138" i="10"/>
  <c r="W103" i="10"/>
  <c r="W95" i="10"/>
  <c r="W108" i="10"/>
  <c r="W100" i="10"/>
  <c r="W80" i="10"/>
  <c r="W48" i="10"/>
  <c r="W43" i="10"/>
  <c r="W38" i="10"/>
  <c r="W33" i="10"/>
  <c r="W28" i="10"/>
  <c r="W23" i="10"/>
  <c r="W18" i="10"/>
  <c r="W13" i="10"/>
  <c r="W8" i="10"/>
  <c r="W113" i="10"/>
  <c r="W105" i="10"/>
  <c r="AO188" i="10"/>
  <c r="AO183" i="10"/>
  <c r="AO178" i="10"/>
  <c r="AO173" i="10"/>
  <c r="AO187" i="10"/>
  <c r="AO190" i="10"/>
  <c r="AO185" i="10"/>
  <c r="AO175" i="10"/>
  <c r="AO174" i="10"/>
  <c r="AO184" i="10"/>
  <c r="AO180" i="10"/>
  <c r="AO168" i="10"/>
  <c r="AO163" i="10"/>
  <c r="AO158" i="10"/>
  <c r="AO153" i="10"/>
  <c r="AO148" i="10"/>
  <c r="AO143" i="10"/>
  <c r="AO138" i="10"/>
  <c r="AO133" i="10"/>
  <c r="AO128" i="10"/>
  <c r="AO176" i="10"/>
  <c r="AO165" i="10"/>
  <c r="AO160" i="10"/>
  <c r="AO155" i="10"/>
  <c r="AO150" i="10"/>
  <c r="AO151" i="10"/>
  <c r="AO134" i="10"/>
  <c r="AO125" i="10"/>
  <c r="AO124" i="10"/>
  <c r="AO122" i="10"/>
  <c r="AO121" i="10"/>
  <c r="AO120" i="10"/>
  <c r="AO119" i="10"/>
  <c r="AO117" i="10"/>
  <c r="AO116" i="10"/>
  <c r="AO115" i="10"/>
  <c r="AO114" i="10"/>
  <c r="AO182" i="10"/>
  <c r="AO171" i="10"/>
  <c r="AO167" i="10"/>
  <c r="AO159" i="10"/>
  <c r="AO139" i="10"/>
  <c r="AO130" i="10"/>
  <c r="AO156" i="10"/>
  <c r="AO144" i="10"/>
  <c r="AO181" i="10"/>
  <c r="AO186" i="10"/>
  <c r="AO169" i="10"/>
  <c r="AO152" i="10"/>
  <c r="AO149" i="10"/>
  <c r="AO137" i="10"/>
  <c r="AO179" i="10"/>
  <c r="AO166" i="10"/>
  <c r="AO132" i="10"/>
  <c r="AO123" i="10"/>
  <c r="AO118" i="10"/>
  <c r="AO108" i="10"/>
  <c r="AO103" i="10"/>
  <c r="AO98" i="10"/>
  <c r="AO93" i="10"/>
  <c r="AO88" i="10"/>
  <c r="AO83" i="10"/>
  <c r="AO78" i="10"/>
  <c r="AO73" i="10"/>
  <c r="AO68" i="10"/>
  <c r="AO189" i="10"/>
  <c r="AO140" i="10"/>
  <c r="AO113" i="10"/>
  <c r="AO147" i="10"/>
  <c r="AO170" i="10"/>
  <c r="AO164" i="10"/>
  <c r="AO157" i="10"/>
  <c r="AO145" i="10"/>
  <c r="AO135" i="10"/>
  <c r="AO131" i="10"/>
  <c r="AO110" i="10"/>
  <c r="AO107" i="10"/>
  <c r="AO94" i="10"/>
  <c r="AO81" i="10"/>
  <c r="AO74" i="10"/>
  <c r="AO48" i="10"/>
  <c r="AO43" i="10"/>
  <c r="AO38" i="10"/>
  <c r="AO33" i="10"/>
  <c r="AO28" i="10"/>
  <c r="AO23" i="10"/>
  <c r="AO18" i="10"/>
  <c r="AO13" i="10"/>
  <c r="AO8" i="10"/>
  <c r="AO109" i="10"/>
  <c r="AO77" i="10"/>
  <c r="AO72" i="10"/>
  <c r="AO177" i="10"/>
  <c r="AO112" i="10"/>
  <c r="AO99" i="10"/>
  <c r="AO86" i="10"/>
  <c r="AO79" i="10"/>
  <c r="AO71" i="10"/>
  <c r="AO67" i="10"/>
  <c r="AO66" i="10"/>
  <c r="AO65" i="10"/>
  <c r="AO55" i="10"/>
  <c r="AO141" i="10"/>
  <c r="AO104" i="10"/>
  <c r="AO91" i="10"/>
  <c r="AO84" i="10"/>
  <c r="AO63" i="10"/>
  <c r="AO58" i="10"/>
  <c r="AO53" i="10"/>
  <c r="AO47" i="10"/>
  <c r="AO42" i="10"/>
  <c r="AO37" i="10"/>
  <c r="AO32" i="10"/>
  <c r="AO27" i="10"/>
  <c r="AO22" i="10"/>
  <c r="AO17" i="10"/>
  <c r="AO12" i="10"/>
  <c r="AO7" i="10"/>
  <c r="AO96" i="10"/>
  <c r="AO64" i="10"/>
  <c r="AO62" i="10"/>
  <c r="AO61" i="10"/>
  <c r="AO60" i="10"/>
  <c r="AO59" i="10"/>
  <c r="AO57" i="10"/>
  <c r="AO56" i="10"/>
  <c r="AO54" i="10"/>
  <c r="AO52" i="10"/>
  <c r="AO172" i="10"/>
  <c r="AO161" i="10"/>
  <c r="AO127" i="10"/>
  <c r="AO101" i="10"/>
  <c r="AO142" i="10"/>
  <c r="AO126" i="10"/>
  <c r="AO106" i="10"/>
  <c r="AO136" i="10"/>
  <c r="AO111" i="10"/>
  <c r="AO90" i="10"/>
  <c r="AO146" i="10"/>
  <c r="AO95" i="10"/>
  <c r="AO92" i="10"/>
  <c r="AO129" i="10"/>
  <c r="AO100" i="10"/>
  <c r="AO97" i="10"/>
  <c r="AO49" i="10"/>
  <c r="AO44" i="10"/>
  <c r="AO39" i="10"/>
  <c r="AO34" i="10"/>
  <c r="AO29" i="10"/>
  <c r="AO24" i="10"/>
  <c r="AO19" i="10"/>
  <c r="AO14" i="10"/>
  <c r="AO9" i="10"/>
  <c r="AO162" i="10"/>
  <c r="AO154" i="10"/>
  <c r="AO105" i="10"/>
  <c r="AO102" i="10"/>
  <c r="AO89" i="10"/>
  <c r="I3" i="10"/>
  <c r="I2" i="10"/>
  <c r="S3" i="10"/>
  <c r="S2" i="10"/>
  <c r="X7" i="10"/>
  <c r="W10" i="10"/>
  <c r="AO10" i="10"/>
  <c r="W19" i="10"/>
  <c r="AC21" i="10"/>
  <c r="Y39" i="10"/>
  <c r="AO46" i="10"/>
  <c r="AC51" i="10"/>
  <c r="W53" i="10"/>
  <c r="W63" i="10"/>
  <c r="W75" i="10"/>
  <c r="AC83" i="10"/>
  <c r="Y85" i="10"/>
  <c r="X186" i="10"/>
  <c r="X181" i="10"/>
  <c r="X176" i="10"/>
  <c r="X187" i="10"/>
  <c r="X178" i="10"/>
  <c r="X167" i="10"/>
  <c r="X162" i="10"/>
  <c r="X157" i="10"/>
  <c r="X152" i="10"/>
  <c r="X147" i="10"/>
  <c r="X142" i="10"/>
  <c r="X137" i="10"/>
  <c r="X132" i="10"/>
  <c r="X127" i="10"/>
  <c r="X122" i="10"/>
  <c r="X117" i="10"/>
  <c r="X183" i="10"/>
  <c r="X179" i="10"/>
  <c r="X166" i="10"/>
  <c r="X161" i="10"/>
  <c r="X156" i="10"/>
  <c r="X151" i="10"/>
  <c r="X128" i="10"/>
  <c r="X182" i="10"/>
  <c r="X170" i="10"/>
  <c r="X159" i="10"/>
  <c r="X133" i="10"/>
  <c r="X180" i="10"/>
  <c r="X174" i="10"/>
  <c r="X153" i="10"/>
  <c r="X138" i="10"/>
  <c r="X188" i="10"/>
  <c r="X189" i="10"/>
  <c r="X173" i="10"/>
  <c r="X169" i="10"/>
  <c r="X155" i="10"/>
  <c r="X190" i="10"/>
  <c r="X177" i="10"/>
  <c r="X168" i="10"/>
  <c r="X154" i="10"/>
  <c r="X144" i="10"/>
  <c r="X112" i="10"/>
  <c r="X107" i="10"/>
  <c r="X102" i="10"/>
  <c r="X97" i="10"/>
  <c r="X92" i="10"/>
  <c r="X87" i="10"/>
  <c r="X82" i="10"/>
  <c r="X77" i="10"/>
  <c r="X72" i="10"/>
  <c r="X67" i="10"/>
  <c r="X62" i="10"/>
  <c r="X57" i="10"/>
  <c r="X184" i="10"/>
  <c r="X130" i="10"/>
  <c r="X126" i="10"/>
  <c r="X121" i="10"/>
  <c r="X116" i="10"/>
  <c r="X163" i="10"/>
  <c r="X143" i="10"/>
  <c r="X140" i="10"/>
  <c r="X111" i="10"/>
  <c r="X106" i="10"/>
  <c r="X101" i="10"/>
  <c r="X96" i="10"/>
  <c r="X91" i="10"/>
  <c r="X185" i="10"/>
  <c r="X145" i="10"/>
  <c r="X114" i="10"/>
  <c r="X113" i="10"/>
  <c r="X108" i="10"/>
  <c r="X103" i="10"/>
  <c r="X98" i="10"/>
  <c r="X93" i="10"/>
  <c r="X88" i="10"/>
  <c r="X83" i="10"/>
  <c r="X78" i="10"/>
  <c r="X165" i="10"/>
  <c r="X119" i="10"/>
  <c r="X118" i="10"/>
  <c r="X94" i="10"/>
  <c r="X76" i="10"/>
  <c r="X69" i="10"/>
  <c r="X115" i="10"/>
  <c r="X109" i="10"/>
  <c r="X135" i="10"/>
  <c r="X99" i="10"/>
  <c r="X81" i="10"/>
  <c r="X51" i="10"/>
  <c r="X46" i="10"/>
  <c r="X41" i="10"/>
  <c r="X36" i="10"/>
  <c r="X31" i="10"/>
  <c r="X26" i="10"/>
  <c r="X21" i="10"/>
  <c r="X16" i="10"/>
  <c r="X11" i="10"/>
  <c r="X6" i="10"/>
  <c r="X129" i="10"/>
  <c r="X171" i="10"/>
  <c r="X149" i="10"/>
  <c r="X146" i="10"/>
  <c r="X136" i="10"/>
  <c r="X104" i="10"/>
  <c r="X86" i="10"/>
  <c r="X74" i="10"/>
  <c r="X70" i="10"/>
  <c r="X79" i="10"/>
  <c r="X50" i="10"/>
  <c r="X45" i="10"/>
  <c r="X164" i="10"/>
  <c r="X125" i="10"/>
  <c r="X175" i="10"/>
  <c r="X160" i="10"/>
  <c r="X158" i="10"/>
  <c r="X150" i="10"/>
  <c r="X84" i="10"/>
  <c r="X124" i="10"/>
  <c r="X123" i="10"/>
  <c r="X90" i="10"/>
  <c r="X95" i="10"/>
  <c r="X141" i="10"/>
  <c r="X131" i="10"/>
  <c r="X100" i="10"/>
  <c r="X172" i="10"/>
  <c r="X148" i="10"/>
  <c r="X120" i="10"/>
  <c r="X105" i="10"/>
  <c r="X85" i="10"/>
  <c r="X68" i="10"/>
  <c r="X66" i="10"/>
  <c r="X65" i="10"/>
  <c r="X64" i="10"/>
  <c r="X63" i="10"/>
  <c r="X61" i="10"/>
  <c r="X60" i="10"/>
  <c r="X59" i="10"/>
  <c r="X58" i="10"/>
  <c r="X56" i="10"/>
  <c r="X55" i="10"/>
  <c r="X54" i="10"/>
  <c r="X53" i="10"/>
  <c r="X139" i="10"/>
  <c r="X134" i="10"/>
  <c r="X110" i="10"/>
  <c r="X10" i="10"/>
  <c r="AC12" i="10"/>
  <c r="Y13" i="10"/>
  <c r="AO16" i="10"/>
  <c r="X19" i="10"/>
  <c r="X22" i="10"/>
  <c r="W25" i="10"/>
  <c r="AO25" i="10"/>
  <c r="X28" i="10"/>
  <c r="W34" i="10"/>
  <c r="AC36" i="10"/>
  <c r="Y53" i="10"/>
  <c r="W54" i="10"/>
  <c r="AC60" i="10"/>
  <c r="Y63" i="10"/>
  <c r="W64" i="10"/>
  <c r="AO70" i="10"/>
  <c r="X75" i="10"/>
  <c r="X89" i="10"/>
  <c r="Y186" i="10"/>
  <c r="Y181" i="10"/>
  <c r="Y176" i="10"/>
  <c r="Y171" i="10"/>
  <c r="Y190" i="10"/>
  <c r="Y185" i="10"/>
  <c r="Y188" i="10"/>
  <c r="Y183" i="10"/>
  <c r="Y179" i="10"/>
  <c r="Y166" i="10"/>
  <c r="Y161" i="10"/>
  <c r="Y156" i="10"/>
  <c r="Y151" i="10"/>
  <c r="Y146" i="10"/>
  <c r="Y141" i="10"/>
  <c r="Y136" i="10"/>
  <c r="Y131" i="10"/>
  <c r="Y126" i="10"/>
  <c r="Y189" i="10"/>
  <c r="Y184" i="10"/>
  <c r="Y177" i="10"/>
  <c r="Y168" i="10"/>
  <c r="Y163" i="10"/>
  <c r="Y158" i="10"/>
  <c r="Y153" i="10"/>
  <c r="Y148" i="10"/>
  <c r="Y182" i="10"/>
  <c r="Y170" i="10"/>
  <c r="Y162" i="10"/>
  <c r="Y159" i="10"/>
  <c r="Y137" i="10"/>
  <c r="Y133" i="10"/>
  <c r="Y180" i="10"/>
  <c r="Y174" i="10"/>
  <c r="Y142" i="10"/>
  <c r="Y138" i="10"/>
  <c r="Y129" i="10"/>
  <c r="Y187" i="10"/>
  <c r="Y167" i="10"/>
  <c r="Y164" i="10"/>
  <c r="Y150" i="10"/>
  <c r="Y147" i="10"/>
  <c r="Y143" i="10"/>
  <c r="Y173" i="10"/>
  <c r="Y155" i="10"/>
  <c r="Y130" i="10"/>
  <c r="Y128" i="10"/>
  <c r="Y121" i="10"/>
  <c r="Y116" i="10"/>
  <c r="Y169" i="10"/>
  <c r="Y140" i="10"/>
  <c r="Y111" i="10"/>
  <c r="Y106" i="10"/>
  <c r="Y101" i="10"/>
  <c r="Y96" i="10"/>
  <c r="Y91" i="10"/>
  <c r="Y86" i="10"/>
  <c r="Y81" i="10"/>
  <c r="Y76" i="10"/>
  <c r="Y71" i="10"/>
  <c r="Y178" i="10"/>
  <c r="Y134" i="10"/>
  <c r="Y139" i="10"/>
  <c r="Y172" i="10"/>
  <c r="Y160" i="10"/>
  <c r="Y149" i="10"/>
  <c r="Y135" i="10"/>
  <c r="Y125" i="10"/>
  <c r="Y120" i="10"/>
  <c r="Y115" i="10"/>
  <c r="Y117" i="10"/>
  <c r="Y102" i="10"/>
  <c r="Y99" i="10"/>
  <c r="Y83" i="10"/>
  <c r="Y51" i="10"/>
  <c r="Y46" i="10"/>
  <c r="Y41" i="10"/>
  <c r="Y36" i="10"/>
  <c r="Y31" i="10"/>
  <c r="Y26" i="10"/>
  <c r="Y21" i="10"/>
  <c r="Y16" i="10"/>
  <c r="Y11" i="10"/>
  <c r="Y6" i="10"/>
  <c r="Y152" i="10"/>
  <c r="Y107" i="10"/>
  <c r="Y104" i="10"/>
  <c r="Y74" i="10"/>
  <c r="Y70" i="10"/>
  <c r="Y84" i="10"/>
  <c r="Y112" i="10"/>
  <c r="Y109" i="10"/>
  <c r="Y79" i="10"/>
  <c r="Y50" i="10"/>
  <c r="Y45" i="10"/>
  <c r="Y40" i="10"/>
  <c r="Y35" i="10"/>
  <c r="Y30" i="10"/>
  <c r="Y25" i="10"/>
  <c r="Y20" i="10"/>
  <c r="Y15" i="10"/>
  <c r="Y10" i="10"/>
  <c r="Y5" i="10"/>
  <c r="Y127" i="10"/>
  <c r="Y88" i="10"/>
  <c r="Y175" i="10"/>
  <c r="Y154" i="10"/>
  <c r="Y124" i="10"/>
  <c r="Y123" i="10"/>
  <c r="Y93" i="10"/>
  <c r="Y90" i="10"/>
  <c r="Y122" i="10"/>
  <c r="Y114" i="10"/>
  <c r="Y98" i="10"/>
  <c r="Y95" i="10"/>
  <c r="Y144" i="10"/>
  <c r="Y103" i="10"/>
  <c r="Y100" i="10"/>
  <c r="Y132" i="10"/>
  <c r="Y108" i="10"/>
  <c r="Y105" i="10"/>
  <c r="Y157" i="10"/>
  <c r="Y113" i="10"/>
  <c r="Y110" i="10"/>
  <c r="Y92" i="10"/>
  <c r="Y89" i="10"/>
  <c r="Y73" i="10"/>
  <c r="Y67" i="10"/>
  <c r="Y62" i="10"/>
  <c r="Y57" i="10"/>
  <c r="Y52" i="10"/>
  <c r="Y47" i="10"/>
  <c r="Y42" i="10"/>
  <c r="Y37" i="10"/>
  <c r="Y32" i="10"/>
  <c r="Y27" i="10"/>
  <c r="Y22" i="10"/>
  <c r="Y17" i="10"/>
  <c r="Y12" i="10"/>
  <c r="Y7" i="10"/>
  <c r="Y165" i="10"/>
  <c r="Y145" i="10"/>
  <c r="Y119" i="10"/>
  <c r="Y118" i="10"/>
  <c r="Y97" i="10"/>
  <c r="Y94" i="10"/>
  <c r="Y19" i="10"/>
  <c r="X25" i="10"/>
  <c r="AC27" i="10"/>
  <c r="Y28" i="10"/>
  <c r="AO31" i="10"/>
  <c r="X34" i="10"/>
  <c r="X37" i="10"/>
  <c r="W40" i="10"/>
  <c r="AO40" i="10"/>
  <c r="X43" i="10"/>
  <c r="X47" i="10"/>
  <c r="Y54" i="10"/>
  <c r="W55" i="10"/>
  <c r="AC61" i="10"/>
  <c r="Y64" i="10"/>
  <c r="W65" i="10"/>
  <c r="AO69" i="10"/>
  <c r="Y75" i="10"/>
  <c r="X80" i="10"/>
  <c r="AC81" i="10"/>
  <c r="X8" i="10"/>
  <c r="AC42" i="10"/>
  <c r="Y55" i="10"/>
  <c r="Y65" i="10"/>
  <c r="Y72" i="10"/>
  <c r="X73" i="10"/>
  <c r="Y80" i="10"/>
  <c r="AO85" i="10"/>
  <c r="AO5" i="10"/>
  <c r="W14" i="10"/>
  <c r="AC16" i="10"/>
  <c r="X40" i="10"/>
  <c r="Y43" i="10"/>
  <c r="AC46" i="10"/>
  <c r="X48" i="10"/>
  <c r="AC52" i="10"/>
  <c r="W56" i="10"/>
  <c r="F3" i="10"/>
  <c r="F2" i="10"/>
  <c r="W20" i="10"/>
  <c r="M2" i="10"/>
  <c r="AH157" i="10" s="1"/>
  <c r="K3" i="10"/>
  <c r="Y14" i="10"/>
  <c r="X20" i="10"/>
  <c r="AC22" i="10"/>
  <c r="Y23" i="10"/>
  <c r="AO26" i="10"/>
  <c r="X29" i="10"/>
  <c r="X32" i="10"/>
  <c r="W35" i="10"/>
  <c r="AO35" i="10"/>
  <c r="X38" i="10"/>
  <c r="W44" i="10"/>
  <c r="X49" i="10"/>
  <c r="W58" i="10"/>
  <c r="W68" i="10"/>
  <c r="X71" i="10"/>
  <c r="AO76" i="10"/>
  <c r="W79" i="10"/>
  <c r="AO87" i="10"/>
  <c r="AC189" i="10"/>
  <c r="AC184" i="10"/>
  <c r="AC179" i="10"/>
  <c r="AC174" i="10"/>
  <c r="AC188" i="10"/>
  <c r="AC186" i="10"/>
  <c r="AC173" i="10"/>
  <c r="AC172" i="10"/>
  <c r="AC171" i="10"/>
  <c r="AC170" i="10"/>
  <c r="AC180" i="10"/>
  <c r="AC175" i="10"/>
  <c r="AC169" i="10"/>
  <c r="AC164" i="10"/>
  <c r="AC159" i="10"/>
  <c r="AC154" i="10"/>
  <c r="AC149" i="10"/>
  <c r="AC144" i="10"/>
  <c r="AC139" i="10"/>
  <c r="AC134" i="10"/>
  <c r="AC129" i="10"/>
  <c r="AC176" i="10"/>
  <c r="AC190" i="10"/>
  <c r="AC166" i="10"/>
  <c r="AC161" i="10"/>
  <c r="AC156" i="10"/>
  <c r="AC151" i="10"/>
  <c r="AC187" i="10"/>
  <c r="AC158" i="10"/>
  <c r="AC148" i="10"/>
  <c r="AC124" i="10"/>
  <c r="AC123" i="10"/>
  <c r="AC119" i="10"/>
  <c r="AC118" i="10"/>
  <c r="AC178" i="10"/>
  <c r="AC150" i="10"/>
  <c r="AC130" i="10"/>
  <c r="AC177" i="10"/>
  <c r="AC163" i="10"/>
  <c r="AC160" i="10"/>
  <c r="AC157" i="10"/>
  <c r="AC147" i="10"/>
  <c r="AC143" i="10"/>
  <c r="AC109" i="10"/>
  <c r="AC104" i="10"/>
  <c r="AC99" i="10"/>
  <c r="AC94" i="10"/>
  <c r="AC89" i="10"/>
  <c r="AC84" i="10"/>
  <c r="AC79" i="10"/>
  <c r="AC74" i="10"/>
  <c r="AC69" i="10"/>
  <c r="AC146" i="10"/>
  <c r="AC136" i="10"/>
  <c r="AC127" i="10"/>
  <c r="AC142" i="10"/>
  <c r="AC182" i="10"/>
  <c r="AC167" i="10"/>
  <c r="AC126" i="10"/>
  <c r="AC152" i="10"/>
  <c r="AC128" i="10"/>
  <c r="AC125" i="10"/>
  <c r="AC116" i="10"/>
  <c r="AC115" i="10"/>
  <c r="AC93" i="10"/>
  <c r="AC91" i="10"/>
  <c r="AC86" i="10"/>
  <c r="AC49" i="10"/>
  <c r="AC44" i="10"/>
  <c r="AC39" i="10"/>
  <c r="AC34" i="10"/>
  <c r="AC29" i="10"/>
  <c r="AC24" i="10"/>
  <c r="AC19" i="10"/>
  <c r="AC14" i="10"/>
  <c r="AC9" i="10"/>
  <c r="AC108" i="10"/>
  <c r="AC90" i="10"/>
  <c r="AC82" i="10"/>
  <c r="AC54" i="10"/>
  <c r="AC53" i="10"/>
  <c r="AC114" i="10"/>
  <c r="AC98" i="10"/>
  <c r="AC96" i="10"/>
  <c r="AC71" i="10"/>
  <c r="AC75" i="10"/>
  <c r="AC72" i="10"/>
  <c r="AC64" i="10"/>
  <c r="AC63" i="10"/>
  <c r="AC59" i="10"/>
  <c r="AC58" i="10"/>
  <c r="AC162" i="10"/>
  <c r="AC103" i="10"/>
  <c r="AC101" i="10"/>
  <c r="AC77" i="10"/>
  <c r="AC48" i="10"/>
  <c r="AC43" i="10"/>
  <c r="AC38" i="10"/>
  <c r="AC33" i="10"/>
  <c r="AC28" i="10"/>
  <c r="AC23" i="10"/>
  <c r="AC18" i="10"/>
  <c r="AC13" i="10"/>
  <c r="AC8" i="10"/>
  <c r="AC106" i="10"/>
  <c r="AC68" i="10"/>
  <c r="AC183" i="10"/>
  <c r="AC140" i="10"/>
  <c r="AC137" i="10"/>
  <c r="AC168" i="10"/>
  <c r="AC138" i="10"/>
  <c r="AC131" i="10"/>
  <c r="AC122" i="10"/>
  <c r="AC113" i="10"/>
  <c r="AC111" i="10"/>
  <c r="AC95" i="10"/>
  <c r="AC87" i="10"/>
  <c r="AC141" i="10"/>
  <c r="AC121" i="10"/>
  <c r="AC120" i="10"/>
  <c r="AC100" i="10"/>
  <c r="AC92" i="10"/>
  <c r="AC85" i="10"/>
  <c r="AC133" i="10"/>
  <c r="AC132" i="10"/>
  <c r="AC105" i="10"/>
  <c r="AC97" i="10"/>
  <c r="AC155" i="10"/>
  <c r="AC153" i="10"/>
  <c r="AC145" i="10"/>
  <c r="AC110" i="10"/>
  <c r="AC102" i="10"/>
  <c r="AC165" i="10"/>
  <c r="AC107" i="10"/>
  <c r="AC76" i="10"/>
  <c r="AC50" i="10"/>
  <c r="AC45" i="10"/>
  <c r="AC40" i="10"/>
  <c r="AC35" i="10"/>
  <c r="AC30" i="10"/>
  <c r="AC25" i="10"/>
  <c r="AC20" i="10"/>
  <c r="AC15" i="10"/>
  <c r="AC10" i="10"/>
  <c r="AC5" i="10"/>
  <c r="AC185" i="10"/>
  <c r="AC181" i="10"/>
  <c r="AC135" i="10"/>
  <c r="AC117" i="10"/>
  <c r="AC112" i="10"/>
  <c r="AC62" i="10"/>
  <c r="W66" i="10"/>
  <c r="L3" i="10"/>
  <c r="E3" i="10"/>
  <c r="O3" i="10"/>
  <c r="W9" i="10"/>
  <c r="AC11" i="10"/>
  <c r="Y29" i="10"/>
  <c r="X35" i="10"/>
  <c r="AC37" i="10"/>
  <c r="Y38" i="10"/>
  <c r="AO41" i="10"/>
  <c r="X44" i="10"/>
  <c r="AC47" i="10"/>
  <c r="Y49" i="10"/>
  <c r="W50" i="10"/>
  <c r="AC55" i="10"/>
  <c r="Y58" i="10"/>
  <c r="W59" i="10"/>
  <c r="AC65" i="10"/>
  <c r="Y68" i="10"/>
  <c r="Y69" i="10"/>
  <c r="AC70" i="10"/>
  <c r="Y78" i="10"/>
  <c r="AO82" i="10"/>
  <c r="W5" i="10"/>
  <c r="Y34" i="10"/>
  <c r="X5" i="10"/>
  <c r="P3" i="10"/>
  <c r="P2" i="10"/>
  <c r="AC7" i="10"/>
  <c r="Y8" i="10"/>
  <c r="AO11" i="10"/>
  <c r="X14" i="10"/>
  <c r="X17" i="10"/>
  <c r="AO20" i="10"/>
  <c r="X23" i="10"/>
  <c r="W29" i="10"/>
  <c r="AC31" i="10"/>
  <c r="Y48" i="10"/>
  <c r="W49" i="10"/>
  <c r="AO50" i="10"/>
  <c r="Y56" i="10"/>
  <c r="W57" i="10"/>
  <c r="Y66" i="10"/>
  <c r="W67" i="10"/>
  <c r="W71" i="10"/>
  <c r="AO6" i="10"/>
  <c r="X9" i="10"/>
  <c r="X12" i="10"/>
  <c r="W15" i="10"/>
  <c r="AO15" i="10"/>
  <c r="X18" i="10"/>
  <c r="W24" i="10"/>
  <c r="AC26" i="10"/>
  <c r="Y44" i="10"/>
  <c r="AO45" i="10"/>
  <c r="AO51" i="10"/>
  <c r="AC56" i="10"/>
  <c r="Y59" i="10"/>
  <c r="W60" i="10"/>
  <c r="AC66" i="10"/>
  <c r="AC73" i="10"/>
  <c r="AO75" i="10"/>
  <c r="AC88" i="10"/>
  <c r="E2" i="10"/>
  <c r="O2" i="10"/>
  <c r="D3" i="11"/>
  <c r="D2" i="11"/>
  <c r="C3" i="11"/>
  <c r="C2" i="11"/>
  <c r="B3" i="11"/>
  <c r="B2" i="11"/>
  <c r="AJ190" i="10" l="1"/>
  <c r="AJ185" i="10"/>
  <c r="AJ180" i="10"/>
  <c r="AJ178" i="10"/>
  <c r="AJ166" i="10"/>
  <c r="AJ161" i="10"/>
  <c r="AJ156" i="10"/>
  <c r="AJ151" i="10"/>
  <c r="AJ146" i="10"/>
  <c r="AJ141" i="10"/>
  <c r="AJ136" i="10"/>
  <c r="AJ131" i="10"/>
  <c r="AJ126" i="10"/>
  <c r="AJ121" i="10"/>
  <c r="AJ116" i="10"/>
  <c r="AJ183" i="10"/>
  <c r="AJ187" i="10"/>
  <c r="AJ179" i="10"/>
  <c r="AJ165" i="10"/>
  <c r="AJ160" i="10"/>
  <c r="AJ155" i="10"/>
  <c r="AJ150" i="10"/>
  <c r="AJ186" i="10"/>
  <c r="AJ176" i="10"/>
  <c r="AJ188" i="10"/>
  <c r="AJ177" i="10"/>
  <c r="AJ149" i="10"/>
  <c r="AJ132" i="10"/>
  <c r="AJ128" i="10"/>
  <c r="AJ189" i="10"/>
  <c r="AJ172" i="10"/>
  <c r="AJ168" i="10"/>
  <c r="AJ157" i="10"/>
  <c r="AJ154" i="10"/>
  <c r="AJ137" i="10"/>
  <c r="AJ133" i="10"/>
  <c r="AJ184" i="10"/>
  <c r="AJ175" i="10"/>
  <c r="AJ142" i="10"/>
  <c r="AJ138" i="10"/>
  <c r="AJ182" i="10"/>
  <c r="AJ174" i="10"/>
  <c r="AJ167" i="10"/>
  <c r="AJ164" i="10"/>
  <c r="AJ153" i="10"/>
  <c r="AJ111" i="10"/>
  <c r="AJ106" i="10"/>
  <c r="AJ101" i="10"/>
  <c r="AJ96" i="10"/>
  <c r="AJ91" i="10"/>
  <c r="AJ86" i="10"/>
  <c r="AJ81" i="10"/>
  <c r="AJ76" i="10"/>
  <c r="AJ71" i="10"/>
  <c r="AJ66" i="10"/>
  <c r="AJ61" i="10"/>
  <c r="AJ56" i="10"/>
  <c r="AJ171" i="10"/>
  <c r="AJ145" i="10"/>
  <c r="AJ135" i="10"/>
  <c r="AJ181" i="10"/>
  <c r="AJ159" i="10"/>
  <c r="AJ158" i="10"/>
  <c r="AJ110" i="10"/>
  <c r="AJ105" i="10"/>
  <c r="AJ100" i="10"/>
  <c r="AJ95" i="10"/>
  <c r="AJ90" i="10"/>
  <c r="AJ152" i="10"/>
  <c r="AJ144" i="10"/>
  <c r="AJ127" i="10"/>
  <c r="AJ112" i="10"/>
  <c r="AJ107" i="10"/>
  <c r="AJ102" i="10"/>
  <c r="AJ97" i="10"/>
  <c r="AJ92" i="10"/>
  <c r="AJ87" i="10"/>
  <c r="AJ82" i="10"/>
  <c r="AJ77" i="10"/>
  <c r="AJ162" i="10"/>
  <c r="AJ140" i="10"/>
  <c r="AJ122" i="10"/>
  <c r="AJ108" i="10"/>
  <c r="AJ73" i="10"/>
  <c r="AJ69" i="10"/>
  <c r="AJ74" i="10"/>
  <c r="AJ49" i="10"/>
  <c r="AJ173" i="10"/>
  <c r="AJ147" i="10"/>
  <c r="AJ89" i="10"/>
  <c r="AJ78" i="10"/>
  <c r="AJ50" i="10"/>
  <c r="AJ45" i="10"/>
  <c r="AJ40" i="10"/>
  <c r="AJ35" i="10"/>
  <c r="AJ30" i="10"/>
  <c r="AJ25" i="10"/>
  <c r="AJ20" i="10"/>
  <c r="AJ15" i="10"/>
  <c r="AJ10" i="10"/>
  <c r="AJ5" i="10"/>
  <c r="AJ120" i="10"/>
  <c r="AJ113" i="10"/>
  <c r="AJ94" i="10"/>
  <c r="AJ83" i="10"/>
  <c r="AJ70" i="10"/>
  <c r="AJ99" i="10"/>
  <c r="AJ170" i="10"/>
  <c r="AJ148" i="10"/>
  <c r="AJ119" i="10"/>
  <c r="AJ118" i="10"/>
  <c r="AJ104" i="10"/>
  <c r="AJ134" i="10"/>
  <c r="AJ117" i="10"/>
  <c r="AJ109" i="10"/>
  <c r="AJ84" i="10"/>
  <c r="AJ163" i="10"/>
  <c r="AJ139" i="10"/>
  <c r="AJ125" i="10"/>
  <c r="AJ115" i="10"/>
  <c r="AJ93" i="10"/>
  <c r="AJ169" i="10"/>
  <c r="AJ98" i="10"/>
  <c r="AJ80" i="10"/>
  <c r="AJ72" i="10"/>
  <c r="AJ68" i="10"/>
  <c r="AJ67" i="10"/>
  <c r="AJ62" i="10"/>
  <c r="AJ57" i="10"/>
  <c r="AJ52" i="10"/>
  <c r="AJ143" i="10"/>
  <c r="AJ130" i="10"/>
  <c r="AJ129" i="10"/>
  <c r="AJ124" i="10"/>
  <c r="AJ123" i="10"/>
  <c r="AJ114" i="10"/>
  <c r="AJ103" i="10"/>
  <c r="AJ64" i="10"/>
  <c r="AJ54" i="10"/>
  <c r="AJ39" i="10"/>
  <c r="AJ16" i="10"/>
  <c r="AJ7" i="10"/>
  <c r="AJ44" i="10"/>
  <c r="AJ21" i="10"/>
  <c r="AJ12" i="10"/>
  <c r="AJ60" i="10"/>
  <c r="AJ63" i="10"/>
  <c r="AJ53" i="10"/>
  <c r="AJ46" i="10"/>
  <c r="AJ42" i="10"/>
  <c r="AJ33" i="10"/>
  <c r="AJ24" i="10"/>
  <c r="AJ38" i="10"/>
  <c r="AJ75" i="10"/>
  <c r="AJ36" i="10"/>
  <c r="AJ27" i="10"/>
  <c r="AJ18" i="10"/>
  <c r="AJ9" i="10"/>
  <c r="AJ51" i="10"/>
  <c r="AJ29" i="10"/>
  <c r="AJ6" i="10"/>
  <c r="AJ85" i="10"/>
  <c r="AJ59" i="10"/>
  <c r="AJ41" i="10"/>
  <c r="AJ32" i="10"/>
  <c r="AJ23" i="10"/>
  <c r="AJ14" i="10"/>
  <c r="AJ58" i="10"/>
  <c r="AJ26" i="10"/>
  <c r="AJ17" i="10"/>
  <c r="AJ8" i="10"/>
  <c r="AJ79" i="10"/>
  <c r="AJ48" i="10"/>
  <c r="AJ43" i="10"/>
  <c r="AJ34" i="10"/>
  <c r="AJ11" i="10"/>
  <c r="AJ88" i="10"/>
  <c r="AJ37" i="10"/>
  <c r="AJ28" i="10"/>
  <c r="AJ19" i="10"/>
  <c r="AJ65" i="10"/>
  <c r="AJ55" i="10"/>
  <c r="AJ47" i="10"/>
  <c r="AJ31" i="10"/>
  <c r="AJ22" i="10"/>
  <c r="AJ13" i="10"/>
  <c r="AM189" i="10"/>
  <c r="AM184" i="10"/>
  <c r="AM179" i="10"/>
  <c r="AM174" i="10"/>
  <c r="AM188" i="10"/>
  <c r="AM186" i="10"/>
  <c r="AM187" i="10"/>
  <c r="AM190" i="10"/>
  <c r="AM173" i="10"/>
  <c r="AM172" i="10"/>
  <c r="AM171" i="10"/>
  <c r="AM170" i="10"/>
  <c r="AM169" i="10"/>
  <c r="AM164" i="10"/>
  <c r="AM159" i="10"/>
  <c r="AM154" i="10"/>
  <c r="AM149" i="10"/>
  <c r="AM144" i="10"/>
  <c r="AM139" i="10"/>
  <c r="AM134" i="10"/>
  <c r="AM129" i="10"/>
  <c r="AM175" i="10"/>
  <c r="AM178" i="10"/>
  <c r="AM166" i="10"/>
  <c r="AM161" i="10"/>
  <c r="AM156" i="10"/>
  <c r="AM151" i="10"/>
  <c r="AM147" i="10"/>
  <c r="AM143" i="10"/>
  <c r="AM165" i="10"/>
  <c r="AM162" i="10"/>
  <c r="AM183" i="10"/>
  <c r="AM153" i="10"/>
  <c r="AM182" i="10"/>
  <c r="AM185" i="10"/>
  <c r="AM181" i="10"/>
  <c r="AM180" i="10"/>
  <c r="AM158" i="10"/>
  <c r="AM157" i="10"/>
  <c r="AM145" i="10"/>
  <c r="AM135" i="10"/>
  <c r="AM128" i="10"/>
  <c r="AM152" i="10"/>
  <c r="AM150" i="10"/>
  <c r="AM148" i="10"/>
  <c r="AM141" i="10"/>
  <c r="AM126" i="10"/>
  <c r="AM122" i="10"/>
  <c r="AM117" i="10"/>
  <c r="AM109" i="10"/>
  <c r="AM104" i="10"/>
  <c r="AM99" i="10"/>
  <c r="AM94" i="10"/>
  <c r="AM89" i="10"/>
  <c r="AM84" i="10"/>
  <c r="AM79" i="10"/>
  <c r="AM74" i="10"/>
  <c r="AM69" i="10"/>
  <c r="AM137" i="10"/>
  <c r="AM130" i="10"/>
  <c r="AM123" i="10"/>
  <c r="AM118" i="10"/>
  <c r="AM176" i="10"/>
  <c r="AM167" i="10"/>
  <c r="AM142" i="10"/>
  <c r="AM133" i="10"/>
  <c r="AM131" i="10"/>
  <c r="AM121" i="10"/>
  <c r="AM105" i="10"/>
  <c r="AM97" i="10"/>
  <c r="AM49" i="10"/>
  <c r="AM44" i="10"/>
  <c r="AM39" i="10"/>
  <c r="AM34" i="10"/>
  <c r="AM29" i="10"/>
  <c r="AM24" i="10"/>
  <c r="AM19" i="10"/>
  <c r="AM14" i="10"/>
  <c r="AM9" i="10"/>
  <c r="AM112" i="10"/>
  <c r="AM88" i="10"/>
  <c r="AM168" i="10"/>
  <c r="AM160" i="10"/>
  <c r="AM132" i="10"/>
  <c r="AM120" i="10"/>
  <c r="AM119" i="10"/>
  <c r="AM110" i="10"/>
  <c r="AM102" i="10"/>
  <c r="AM76" i="10"/>
  <c r="AM70" i="10"/>
  <c r="AM107" i="10"/>
  <c r="AM81" i="10"/>
  <c r="AM48" i="10"/>
  <c r="AM43" i="10"/>
  <c r="AM38" i="10"/>
  <c r="AM33" i="10"/>
  <c r="AM28" i="10"/>
  <c r="AM23" i="10"/>
  <c r="AM18" i="10"/>
  <c r="AM13" i="10"/>
  <c r="AM8" i="10"/>
  <c r="AM86" i="10"/>
  <c r="AM71" i="10"/>
  <c r="AM177" i="10"/>
  <c r="AM138" i="10"/>
  <c r="AM93" i="10"/>
  <c r="AM91" i="10"/>
  <c r="AM163" i="10"/>
  <c r="AM155" i="10"/>
  <c r="AM116" i="10"/>
  <c r="AM98" i="10"/>
  <c r="AM96" i="10"/>
  <c r="AM127" i="10"/>
  <c r="AM125" i="10"/>
  <c r="AM124" i="10"/>
  <c r="AM115" i="10"/>
  <c r="AM114" i="10"/>
  <c r="AM103" i="10"/>
  <c r="AM101" i="10"/>
  <c r="AM108" i="10"/>
  <c r="AM106" i="10"/>
  <c r="AM90" i="10"/>
  <c r="AM136" i="10"/>
  <c r="AM111" i="10"/>
  <c r="AM95" i="10"/>
  <c r="AM87" i="10"/>
  <c r="AM85" i="10"/>
  <c r="AM78" i="10"/>
  <c r="AM50" i="10"/>
  <c r="AM45" i="10"/>
  <c r="AM40" i="10"/>
  <c r="AM35" i="10"/>
  <c r="AM30" i="10"/>
  <c r="AM25" i="10"/>
  <c r="AM20" i="10"/>
  <c r="AM15" i="10"/>
  <c r="AM10" i="10"/>
  <c r="AM5" i="10"/>
  <c r="AM146" i="10"/>
  <c r="AM140" i="10"/>
  <c r="AM113" i="10"/>
  <c r="AM100" i="10"/>
  <c r="AM92" i="10"/>
  <c r="AM80" i="10"/>
  <c r="AM62" i="10"/>
  <c r="AM52" i="10"/>
  <c r="AM36" i="10"/>
  <c r="AM12" i="10"/>
  <c r="AM82" i="10"/>
  <c r="AM58" i="10"/>
  <c r="AM41" i="10"/>
  <c r="AM17" i="10"/>
  <c r="AM75" i="10"/>
  <c r="AM61" i="10"/>
  <c r="AM21" i="10"/>
  <c r="AM68" i="10"/>
  <c r="AM26" i="10"/>
  <c r="AM60" i="10"/>
  <c r="AM59" i="10"/>
  <c r="AM51" i="10"/>
  <c r="AM32" i="10"/>
  <c r="AM6" i="10"/>
  <c r="AM77" i="10"/>
  <c r="AM83" i="10"/>
  <c r="AM67" i="10"/>
  <c r="AM57" i="10"/>
  <c r="AM37" i="10"/>
  <c r="AM11" i="10"/>
  <c r="AM66" i="10"/>
  <c r="AM56" i="10"/>
  <c r="AM47" i="10"/>
  <c r="AM22" i="10"/>
  <c r="AM72" i="10"/>
  <c r="AM65" i="10"/>
  <c r="AM64" i="10"/>
  <c r="AM55" i="10"/>
  <c r="AQ55" i="10" s="1"/>
  <c r="AM54" i="10"/>
  <c r="AM31" i="10"/>
  <c r="AM7" i="10"/>
  <c r="AM73" i="10"/>
  <c r="AM63" i="10"/>
  <c r="AM53" i="10"/>
  <c r="AM42" i="10"/>
  <c r="AM16" i="10"/>
  <c r="AM46" i="10"/>
  <c r="AM27" i="10"/>
  <c r="AH79" i="10"/>
  <c r="AH20" i="10"/>
  <c r="AH30" i="10"/>
  <c r="AH64" i="10"/>
  <c r="AH19" i="10"/>
  <c r="AH126" i="10"/>
  <c r="AH148" i="10"/>
  <c r="AH50" i="10"/>
  <c r="AH46" i="10"/>
  <c r="AH110" i="10"/>
  <c r="AH78" i="10"/>
  <c r="AH150" i="10"/>
  <c r="AH120" i="10"/>
  <c r="AH62" i="10"/>
  <c r="AH112" i="10"/>
  <c r="AH160" i="10"/>
  <c r="AH182" i="10"/>
  <c r="AH162" i="10"/>
  <c r="Z190" i="10"/>
  <c r="Z185" i="10"/>
  <c r="Z180" i="10"/>
  <c r="Z179" i="10"/>
  <c r="Z166" i="10"/>
  <c r="Z161" i="10"/>
  <c r="AQ161" i="10" s="1"/>
  <c r="Z156" i="10"/>
  <c r="AQ156" i="10" s="1"/>
  <c r="Z151" i="10"/>
  <c r="AQ151" i="10" s="1"/>
  <c r="Z146" i="10"/>
  <c r="Z141" i="10"/>
  <c r="Z136" i="10"/>
  <c r="Z131" i="10"/>
  <c r="Z126" i="10"/>
  <c r="Z121" i="10"/>
  <c r="AQ121" i="10" s="1"/>
  <c r="Z116" i="10"/>
  <c r="Z189" i="10"/>
  <c r="Z184" i="10"/>
  <c r="Z170" i="10"/>
  <c r="Z165" i="10"/>
  <c r="Z160" i="10"/>
  <c r="AQ160" i="10" s="1"/>
  <c r="Z155" i="10"/>
  <c r="Z150" i="10"/>
  <c r="Z182" i="10"/>
  <c r="Z186" i="10"/>
  <c r="AQ186" i="10" s="1"/>
  <c r="Z174" i="10"/>
  <c r="AQ174" i="10" s="1"/>
  <c r="Z142" i="10"/>
  <c r="AQ142" i="10" s="1"/>
  <c r="Z138" i="10"/>
  <c r="Z129" i="10"/>
  <c r="AQ129" i="10" s="1"/>
  <c r="Z187" i="10"/>
  <c r="Z167" i="10"/>
  <c r="AQ167" i="10" s="1"/>
  <c r="Z164" i="10"/>
  <c r="Z153" i="10"/>
  <c r="Z147" i="10"/>
  <c r="Z143" i="10"/>
  <c r="Z134" i="10"/>
  <c r="Z181" i="10"/>
  <c r="Z139" i="10"/>
  <c r="Z188" i="10"/>
  <c r="Z177" i="10"/>
  <c r="Z163" i="10"/>
  <c r="Z169" i="10"/>
  <c r="Z140" i="10"/>
  <c r="Z137" i="10"/>
  <c r="Z111" i="10"/>
  <c r="Z106" i="10"/>
  <c r="Z101" i="10"/>
  <c r="AQ101" i="10" s="1"/>
  <c r="Z96" i="10"/>
  <c r="Z91" i="10"/>
  <c r="AQ91" i="10" s="1"/>
  <c r="Z86" i="10"/>
  <c r="Z81" i="10"/>
  <c r="AQ81" i="10" s="1"/>
  <c r="Z76" i="10"/>
  <c r="Z71" i="10"/>
  <c r="Z66" i="10"/>
  <c r="Z61" i="10"/>
  <c r="AQ61" i="10" s="1"/>
  <c r="Z56" i="10"/>
  <c r="Z178" i="10"/>
  <c r="AQ178" i="10" s="1"/>
  <c r="Z162" i="10"/>
  <c r="AQ162" i="10" s="1"/>
  <c r="Z132" i="10"/>
  <c r="Z122" i="10"/>
  <c r="Z117" i="10"/>
  <c r="Z110" i="10"/>
  <c r="Z105" i="10"/>
  <c r="Z100" i="10"/>
  <c r="Z95" i="10"/>
  <c r="Z90" i="10"/>
  <c r="AQ90" i="10" s="1"/>
  <c r="Z175" i="10"/>
  <c r="AQ175" i="10" s="1"/>
  <c r="Z154" i="10"/>
  <c r="Z148" i="10"/>
  <c r="Z144" i="10"/>
  <c r="Z112" i="10"/>
  <c r="Z107" i="10"/>
  <c r="Z102" i="10"/>
  <c r="Z97" i="10"/>
  <c r="Z92" i="10"/>
  <c r="AQ92" i="10" s="1"/>
  <c r="Z87" i="10"/>
  <c r="Z82" i="10"/>
  <c r="Z77" i="10"/>
  <c r="AQ77" i="10" s="1"/>
  <c r="Z135" i="10"/>
  <c r="AQ135" i="10" s="1"/>
  <c r="Z104" i="10"/>
  <c r="Z74" i="10"/>
  <c r="AQ74" i="10" s="1"/>
  <c r="Z70" i="10"/>
  <c r="Z123" i="10"/>
  <c r="Z49" i="10"/>
  <c r="Z171" i="10"/>
  <c r="Z149" i="10"/>
  <c r="Z109" i="10"/>
  <c r="Z79" i="10"/>
  <c r="Z50" i="10"/>
  <c r="Z45" i="10"/>
  <c r="Z40" i="10"/>
  <c r="Z35" i="10"/>
  <c r="Z30" i="10"/>
  <c r="Z25" i="10"/>
  <c r="Z20" i="10"/>
  <c r="Z15" i="10"/>
  <c r="AQ15" i="10" s="1"/>
  <c r="Z10" i="10"/>
  <c r="AQ10" i="10" s="1"/>
  <c r="Z5" i="10"/>
  <c r="Z173" i="10"/>
  <c r="Z152" i="10"/>
  <c r="Z128" i="10"/>
  <c r="Z127" i="10"/>
  <c r="AQ127" i="10" s="1"/>
  <c r="Z125" i="10"/>
  <c r="Z115" i="10"/>
  <c r="Z88" i="10"/>
  <c r="AQ88" i="10" s="1"/>
  <c r="Z84" i="10"/>
  <c r="Z124" i="10"/>
  <c r="Z93" i="10"/>
  <c r="Z158" i="10"/>
  <c r="Z130" i="10"/>
  <c r="Z114" i="10"/>
  <c r="AQ114" i="10" s="1"/>
  <c r="Z98" i="10"/>
  <c r="Z183" i="10"/>
  <c r="Z168" i="10"/>
  <c r="Z103" i="10"/>
  <c r="Z108" i="10"/>
  <c r="AQ108" i="10" s="1"/>
  <c r="Z172" i="10"/>
  <c r="AQ172" i="10" s="1"/>
  <c r="Z157" i="10"/>
  <c r="AQ157" i="10" s="1"/>
  <c r="Z120" i="10"/>
  <c r="AQ120" i="10" s="1"/>
  <c r="Z113" i="10"/>
  <c r="Z145" i="10"/>
  <c r="Z119" i="10"/>
  <c r="Z118" i="10"/>
  <c r="Z94" i="10"/>
  <c r="Z78" i="10"/>
  <c r="Z69" i="10"/>
  <c r="AQ69" i="10" s="1"/>
  <c r="Z176" i="10"/>
  <c r="AQ176" i="10" s="1"/>
  <c r="Z159" i="10"/>
  <c r="Z133" i="10"/>
  <c r="Z99" i="10"/>
  <c r="Z68" i="10"/>
  <c r="Z58" i="10"/>
  <c r="Z38" i="10"/>
  <c r="Z29" i="10"/>
  <c r="Z6" i="10"/>
  <c r="AQ6" i="10" s="1"/>
  <c r="Z80" i="10"/>
  <c r="Z73" i="10"/>
  <c r="Z72" i="10"/>
  <c r="AQ72" i="10" s="1"/>
  <c r="Z65" i="10"/>
  <c r="AQ65" i="10" s="1"/>
  <c r="Z55" i="10"/>
  <c r="Z43" i="10"/>
  <c r="AQ43" i="10" s="1"/>
  <c r="Z34" i="10"/>
  <c r="AQ34" i="10" s="1"/>
  <c r="Z11" i="10"/>
  <c r="Z54" i="10"/>
  <c r="Z47" i="10"/>
  <c r="AQ47" i="10" s="1"/>
  <c r="Z19" i="10"/>
  <c r="AQ19" i="10" s="1"/>
  <c r="Z41" i="10"/>
  <c r="AQ41" i="10" s="1"/>
  <c r="Z32" i="10"/>
  <c r="Z23" i="10"/>
  <c r="Z14" i="10"/>
  <c r="Z28" i="10"/>
  <c r="Z67" i="10"/>
  <c r="Z57" i="10"/>
  <c r="Z48" i="10"/>
  <c r="AQ48" i="10" s="1"/>
  <c r="Z26" i="10"/>
  <c r="AQ26" i="10" s="1"/>
  <c r="Z17" i="10"/>
  <c r="AQ17" i="10" s="1"/>
  <c r="Z8" i="10"/>
  <c r="Z64" i="10"/>
  <c r="AQ64" i="10" s="1"/>
  <c r="Z37" i="10"/>
  <c r="AQ37" i="10" s="1"/>
  <c r="Z75" i="10"/>
  <c r="Z89" i="10"/>
  <c r="AQ89" i="10" s="1"/>
  <c r="Z63" i="10"/>
  <c r="Z53" i="10"/>
  <c r="Z31" i="10"/>
  <c r="Z22" i="10"/>
  <c r="AQ22" i="10" s="1"/>
  <c r="Z13" i="10"/>
  <c r="Z85" i="10"/>
  <c r="AQ85" i="10" s="1"/>
  <c r="Z46" i="10"/>
  <c r="Z39" i="10"/>
  <c r="Z16" i="10"/>
  <c r="Z7" i="10"/>
  <c r="AQ7" i="10" s="1"/>
  <c r="Z62" i="10"/>
  <c r="Z52" i="10"/>
  <c r="Z42" i="10"/>
  <c r="Z33" i="10"/>
  <c r="Z24" i="10"/>
  <c r="AQ24" i="10" s="1"/>
  <c r="Z60" i="10"/>
  <c r="Z36" i="10"/>
  <c r="AQ36" i="10" s="1"/>
  <c r="Z27" i="10"/>
  <c r="Z18" i="10"/>
  <c r="Z9" i="10"/>
  <c r="AQ9" i="10" s="1"/>
  <c r="Z83" i="10"/>
  <c r="Z59" i="10"/>
  <c r="Z51" i="10"/>
  <c r="Z44" i="10"/>
  <c r="Z21" i="10"/>
  <c r="AQ21" i="10" s="1"/>
  <c r="Z12" i="10"/>
  <c r="AD188" i="10"/>
  <c r="AD183" i="10"/>
  <c r="AD178" i="10"/>
  <c r="AD189" i="10"/>
  <c r="AD186" i="10"/>
  <c r="AD180" i="10"/>
  <c r="AD175" i="10"/>
  <c r="AD174" i="10"/>
  <c r="AD169" i="10"/>
  <c r="AD164" i="10"/>
  <c r="AD159" i="10"/>
  <c r="AD154" i="10"/>
  <c r="AD149" i="10"/>
  <c r="AD144" i="10"/>
  <c r="AD139" i="10"/>
  <c r="AD134" i="10"/>
  <c r="AD129" i="10"/>
  <c r="AD124" i="10"/>
  <c r="AD119" i="10"/>
  <c r="AD176" i="10"/>
  <c r="AD181" i="10"/>
  <c r="AD177" i="10"/>
  <c r="AD168" i="10"/>
  <c r="AD163" i="10"/>
  <c r="AD158" i="10"/>
  <c r="AD153" i="10"/>
  <c r="AD150" i="10"/>
  <c r="AD130" i="10"/>
  <c r="AD125" i="10"/>
  <c r="AD122" i="10"/>
  <c r="AD121" i="10"/>
  <c r="AD120" i="10"/>
  <c r="AD117" i="10"/>
  <c r="AD116" i="10"/>
  <c r="AD115" i="10"/>
  <c r="AD114" i="10"/>
  <c r="AD179" i="10"/>
  <c r="AD161" i="10"/>
  <c r="AD135" i="10"/>
  <c r="AD173" i="10"/>
  <c r="AD155" i="10"/>
  <c r="AD152" i="10"/>
  <c r="AD140" i="10"/>
  <c r="AD190" i="10"/>
  <c r="AQ190" i="10" s="1"/>
  <c r="AD172" i="10"/>
  <c r="AD185" i="10"/>
  <c r="AD182" i="10"/>
  <c r="AD187" i="10"/>
  <c r="AD184" i="10"/>
  <c r="AD123" i="10"/>
  <c r="AD118" i="10"/>
  <c r="AD109" i="10"/>
  <c r="AD104" i="10"/>
  <c r="AD99" i="10"/>
  <c r="AD94" i="10"/>
  <c r="AD89" i="10"/>
  <c r="AD84" i="10"/>
  <c r="AD79" i="10"/>
  <c r="AD74" i="10"/>
  <c r="AD69" i="10"/>
  <c r="AD64" i="10"/>
  <c r="AD59" i="10"/>
  <c r="AD54" i="10"/>
  <c r="AD146" i="10"/>
  <c r="AD136" i="10"/>
  <c r="AD127" i="10"/>
  <c r="AD157" i="10"/>
  <c r="AD156" i="10"/>
  <c r="AD142" i="10"/>
  <c r="AD113" i="10"/>
  <c r="AD108" i="10"/>
  <c r="AD103" i="10"/>
  <c r="AD98" i="10"/>
  <c r="AD93" i="10"/>
  <c r="AD88" i="10"/>
  <c r="AD170" i="10"/>
  <c r="AD165" i="10"/>
  <c r="AD138" i="10"/>
  <c r="AD162" i="10"/>
  <c r="AD132" i="10"/>
  <c r="AD110" i="10"/>
  <c r="AD105" i="10"/>
  <c r="AD100" i="10"/>
  <c r="AD95" i="10"/>
  <c r="AD90" i="10"/>
  <c r="AD85" i="10"/>
  <c r="AD80" i="10"/>
  <c r="AD75" i="10"/>
  <c r="AD171" i="10"/>
  <c r="AD167" i="10"/>
  <c r="AD126" i="10"/>
  <c r="AD96" i="10"/>
  <c r="AD71" i="10"/>
  <c r="AD111" i="10"/>
  <c r="AD87" i="10"/>
  <c r="AD73" i="10"/>
  <c r="AD67" i="10"/>
  <c r="AD66" i="10"/>
  <c r="AD56" i="10"/>
  <c r="AD55" i="10"/>
  <c r="AD47" i="10"/>
  <c r="AD101" i="10"/>
  <c r="AD77" i="10"/>
  <c r="AD48" i="10"/>
  <c r="AD43" i="10"/>
  <c r="AD38" i="10"/>
  <c r="AD33" i="10"/>
  <c r="AD28" i="10"/>
  <c r="AD23" i="10"/>
  <c r="AD18" i="10"/>
  <c r="AD13" i="10"/>
  <c r="AD8" i="10"/>
  <c r="AD61" i="10"/>
  <c r="AD57" i="10"/>
  <c r="AQ57" i="10" s="1"/>
  <c r="AD52" i="10"/>
  <c r="AD143" i="10"/>
  <c r="AD137" i="10"/>
  <c r="AD106" i="10"/>
  <c r="AD82" i="10"/>
  <c r="AD72" i="10"/>
  <c r="AD68" i="10"/>
  <c r="AD63" i="10"/>
  <c r="AD58" i="10"/>
  <c r="AD53" i="10"/>
  <c r="AD65" i="10"/>
  <c r="AD62" i="10"/>
  <c r="AD60" i="10"/>
  <c r="AD166" i="10"/>
  <c r="AD160" i="10"/>
  <c r="AD131" i="10"/>
  <c r="AD147" i="10"/>
  <c r="AD141" i="10"/>
  <c r="AD92" i="10"/>
  <c r="AD133" i="10"/>
  <c r="AD97" i="10"/>
  <c r="AD83" i="10"/>
  <c r="AD145" i="10"/>
  <c r="AD102" i="10"/>
  <c r="AD151" i="10"/>
  <c r="AD148" i="10"/>
  <c r="AD107" i="10"/>
  <c r="AD112" i="10"/>
  <c r="AD81" i="10"/>
  <c r="AD70" i="10"/>
  <c r="AD128" i="10"/>
  <c r="AD91" i="10"/>
  <c r="AD49" i="10"/>
  <c r="AD37" i="10"/>
  <c r="AD20" i="10"/>
  <c r="AD14" i="10"/>
  <c r="AD11" i="10"/>
  <c r="AD5" i="10"/>
  <c r="AD46" i="10"/>
  <c r="AD42" i="10"/>
  <c r="AD25" i="10"/>
  <c r="AD19" i="10"/>
  <c r="AD16" i="10"/>
  <c r="AD86" i="10"/>
  <c r="AD22" i="10"/>
  <c r="AD40" i="10"/>
  <c r="AD34" i="10"/>
  <c r="AD31" i="10"/>
  <c r="AD7" i="10"/>
  <c r="AD10" i="10"/>
  <c r="AD27" i="10"/>
  <c r="AD39" i="10"/>
  <c r="AD36" i="10"/>
  <c r="AD12" i="10"/>
  <c r="AD76" i="10"/>
  <c r="AD51" i="10"/>
  <c r="AD45" i="10"/>
  <c r="AD30" i="10"/>
  <c r="AD24" i="10"/>
  <c r="AD21" i="10"/>
  <c r="AD78" i="10"/>
  <c r="AD32" i="10"/>
  <c r="AD15" i="10"/>
  <c r="AD9" i="10"/>
  <c r="AD6" i="10"/>
  <c r="AD44" i="10"/>
  <c r="AD41" i="10"/>
  <c r="AD17" i="10"/>
  <c r="AD50" i="10"/>
  <c r="AD35" i="10"/>
  <c r="AD29" i="10"/>
  <c r="AD26" i="10"/>
  <c r="AL189" i="10"/>
  <c r="AL184" i="10"/>
  <c r="AL179" i="10"/>
  <c r="AL165" i="10"/>
  <c r="AL160" i="10"/>
  <c r="AL155" i="10"/>
  <c r="AL150" i="10"/>
  <c r="AL145" i="10"/>
  <c r="AL140" i="10"/>
  <c r="AL135" i="10"/>
  <c r="AL130" i="10"/>
  <c r="AL125" i="10"/>
  <c r="AL120" i="10"/>
  <c r="AL115" i="10"/>
  <c r="AL187" i="10"/>
  <c r="AL190" i="10"/>
  <c r="AL174" i="10"/>
  <c r="AL173" i="10"/>
  <c r="AL172" i="10"/>
  <c r="AL171" i="10"/>
  <c r="AL170" i="10"/>
  <c r="AL169" i="10"/>
  <c r="AL164" i="10"/>
  <c r="AL159" i="10"/>
  <c r="AL154" i="10"/>
  <c r="AL188" i="10"/>
  <c r="AL182" i="10"/>
  <c r="AL176" i="10"/>
  <c r="AL157" i="10"/>
  <c r="AL142" i="10"/>
  <c r="AL138" i="10"/>
  <c r="AL129" i="10"/>
  <c r="AL175" i="10"/>
  <c r="AL147" i="10"/>
  <c r="AL143" i="10"/>
  <c r="AL134" i="10"/>
  <c r="AL162" i="10"/>
  <c r="AL151" i="10"/>
  <c r="AL139" i="10"/>
  <c r="AL183" i="10"/>
  <c r="AL185" i="10"/>
  <c r="AL158" i="10"/>
  <c r="AL186" i="10"/>
  <c r="AL181" i="10"/>
  <c r="AL121" i="10"/>
  <c r="AL116" i="10"/>
  <c r="AL110" i="10"/>
  <c r="AL105" i="10"/>
  <c r="AL100" i="10"/>
  <c r="AL95" i="10"/>
  <c r="AL90" i="10"/>
  <c r="AL85" i="10"/>
  <c r="AL80" i="10"/>
  <c r="AL75" i="10"/>
  <c r="AL70" i="10"/>
  <c r="AL65" i="10"/>
  <c r="AL60" i="10"/>
  <c r="AL55" i="10"/>
  <c r="AL149" i="10"/>
  <c r="AL144" i="10"/>
  <c r="AL128" i="10"/>
  <c r="AL153" i="10"/>
  <c r="AL152" i="10"/>
  <c r="AL148" i="10"/>
  <c r="AL141" i="10"/>
  <c r="AL126" i="10"/>
  <c r="AL122" i="10"/>
  <c r="AL117" i="10"/>
  <c r="AL109" i="10"/>
  <c r="AL104" i="10"/>
  <c r="AL99" i="10"/>
  <c r="AL94" i="10"/>
  <c r="AL89" i="10"/>
  <c r="AL166" i="10"/>
  <c r="AL137" i="10"/>
  <c r="AL178" i="10"/>
  <c r="AL156" i="10"/>
  <c r="AL146" i="10"/>
  <c r="AL111" i="10"/>
  <c r="AL106" i="10"/>
  <c r="AL101" i="10"/>
  <c r="AL96" i="10"/>
  <c r="AL91" i="10"/>
  <c r="AL86" i="10"/>
  <c r="AL81" i="10"/>
  <c r="AL76" i="10"/>
  <c r="AL113" i="10"/>
  <c r="AL92" i="10"/>
  <c r="AL83" i="10"/>
  <c r="AL107" i="10"/>
  <c r="AL84" i="10"/>
  <c r="AL180" i="10"/>
  <c r="AL97" i="10"/>
  <c r="AL74" i="10"/>
  <c r="AL49" i="10"/>
  <c r="AL44" i="10"/>
  <c r="AL39" i="10"/>
  <c r="AL34" i="10"/>
  <c r="AL29" i="10"/>
  <c r="AL24" i="10"/>
  <c r="AL19" i="10"/>
  <c r="AL14" i="10"/>
  <c r="AL9" i="10"/>
  <c r="AL168" i="10"/>
  <c r="AL132" i="10"/>
  <c r="AL131" i="10"/>
  <c r="AL119" i="10"/>
  <c r="AL118" i="10"/>
  <c r="AL102" i="10"/>
  <c r="AL79" i="10"/>
  <c r="AL48" i="10"/>
  <c r="AL177" i="10"/>
  <c r="AL133" i="10"/>
  <c r="AL112" i="10"/>
  <c r="AL88" i="10"/>
  <c r="AL161" i="10"/>
  <c r="AL93" i="10"/>
  <c r="AL163" i="10"/>
  <c r="AL98" i="10"/>
  <c r="AL167" i="10"/>
  <c r="AL127" i="10"/>
  <c r="AL124" i="10"/>
  <c r="AL123" i="10"/>
  <c r="AL114" i="10"/>
  <c r="AL103" i="10"/>
  <c r="AL108" i="10"/>
  <c r="AL73" i="10"/>
  <c r="AL69" i="10"/>
  <c r="AL136" i="10"/>
  <c r="AL46" i="10"/>
  <c r="AL27" i="10"/>
  <c r="AL18" i="10"/>
  <c r="AL59" i="10"/>
  <c r="AL51" i="10"/>
  <c r="AL32" i="10"/>
  <c r="AL23" i="10"/>
  <c r="AL6" i="10"/>
  <c r="AL41" i="10"/>
  <c r="AL35" i="10"/>
  <c r="AL62" i="10"/>
  <c r="AL52" i="10"/>
  <c r="AL36" i="10"/>
  <c r="AL30" i="10"/>
  <c r="AL12" i="10"/>
  <c r="AL58" i="10"/>
  <c r="AL8" i="10"/>
  <c r="AL61" i="10"/>
  <c r="AL45" i="10"/>
  <c r="AL38" i="10"/>
  <c r="AL21" i="10"/>
  <c r="AL15" i="10"/>
  <c r="AL17" i="10"/>
  <c r="AL87" i="10"/>
  <c r="AL82" i="10"/>
  <c r="AL77" i="10"/>
  <c r="AL68" i="10"/>
  <c r="AL50" i="10"/>
  <c r="AL43" i="10"/>
  <c r="AL26" i="10"/>
  <c r="AL20" i="10"/>
  <c r="AL78" i="10"/>
  <c r="AL67" i="10"/>
  <c r="AL57" i="10"/>
  <c r="AL37" i="10"/>
  <c r="AL28" i="10"/>
  <c r="AL11" i="10"/>
  <c r="AL5" i="10"/>
  <c r="AL71" i="10"/>
  <c r="AL66" i="10"/>
  <c r="AL56" i="10"/>
  <c r="AL47" i="10"/>
  <c r="AL40" i="10"/>
  <c r="AL22" i="10"/>
  <c r="AL13" i="10"/>
  <c r="AL72" i="10"/>
  <c r="AL64" i="10"/>
  <c r="AL54" i="10"/>
  <c r="AL31" i="10"/>
  <c r="AL25" i="10"/>
  <c r="AL7" i="10"/>
  <c r="AL63" i="10"/>
  <c r="AL53" i="10"/>
  <c r="AL42" i="10"/>
  <c r="AL33" i="10"/>
  <c r="AL16" i="10"/>
  <c r="AL10" i="10"/>
  <c r="AH8" i="10"/>
  <c r="AH29" i="10"/>
  <c r="AH39" i="10"/>
  <c r="AH74" i="10"/>
  <c r="AH22" i="10"/>
  <c r="AH128" i="10"/>
  <c r="AH153" i="10"/>
  <c r="AH113" i="10"/>
  <c r="AH51" i="10"/>
  <c r="AH68" i="10"/>
  <c r="AH83" i="10"/>
  <c r="AH158" i="10"/>
  <c r="AH125" i="10"/>
  <c r="AH67" i="10"/>
  <c r="AH170" i="10"/>
  <c r="AH141" i="10"/>
  <c r="AH117" i="10"/>
  <c r="AH167" i="10"/>
  <c r="AP30" i="10"/>
  <c r="AP28" i="10"/>
  <c r="AP50" i="10"/>
  <c r="AP85" i="10"/>
  <c r="AP70" i="10"/>
  <c r="AP169" i="10"/>
  <c r="AP142" i="10"/>
  <c r="AP61" i="10"/>
  <c r="AP51" i="10"/>
  <c r="AP91" i="10"/>
  <c r="AP79" i="10"/>
  <c r="AP154" i="10"/>
  <c r="AP127" i="10"/>
  <c r="AP93" i="10"/>
  <c r="AP185" i="10"/>
  <c r="AP139" i="10"/>
  <c r="AP186" i="10"/>
  <c r="AP153" i="10"/>
  <c r="AG187" i="10"/>
  <c r="AG182" i="10"/>
  <c r="AG177" i="10"/>
  <c r="AG172" i="10"/>
  <c r="AG186" i="10"/>
  <c r="AG189" i="10"/>
  <c r="AG188" i="10"/>
  <c r="AG185" i="10"/>
  <c r="AG167" i="10"/>
  <c r="AG162" i="10"/>
  <c r="AG157" i="10"/>
  <c r="AG152" i="10"/>
  <c r="AG147" i="10"/>
  <c r="AG142" i="10"/>
  <c r="AG137" i="10"/>
  <c r="AG132" i="10"/>
  <c r="AG127" i="10"/>
  <c r="AG180" i="10"/>
  <c r="AG175" i="10"/>
  <c r="AG174" i="10"/>
  <c r="AG173" i="10"/>
  <c r="AG169" i="10"/>
  <c r="AG164" i="10"/>
  <c r="AG159" i="10"/>
  <c r="AG154" i="10"/>
  <c r="AG149" i="10"/>
  <c r="AQ149" i="10" s="1"/>
  <c r="AG166" i="10"/>
  <c r="AG155" i="10"/>
  <c r="AG145" i="10"/>
  <c r="AG136" i="10"/>
  <c r="AG163" i="10"/>
  <c r="AQ163" i="10" s="1"/>
  <c r="AG141" i="10"/>
  <c r="AG176" i="10"/>
  <c r="AG160" i="10"/>
  <c r="AG146" i="10"/>
  <c r="AG190" i="10"/>
  <c r="AG184" i="10"/>
  <c r="AG183" i="10"/>
  <c r="AG171" i="10"/>
  <c r="AG178" i="10"/>
  <c r="AG139" i="10"/>
  <c r="AQ139" i="10" s="1"/>
  <c r="AG129" i="10"/>
  <c r="AG124" i="10"/>
  <c r="AG119" i="10"/>
  <c r="AG114" i="10"/>
  <c r="AG113" i="10"/>
  <c r="AG170" i="10"/>
  <c r="AG112" i="10"/>
  <c r="AG107" i="10"/>
  <c r="AG102" i="10"/>
  <c r="AG97" i="10"/>
  <c r="AG92" i="10"/>
  <c r="AG87" i="10"/>
  <c r="AG82" i="10"/>
  <c r="AG77" i="10"/>
  <c r="AG72" i="10"/>
  <c r="AG165" i="10"/>
  <c r="AG151" i="10"/>
  <c r="AG138" i="10"/>
  <c r="AG133" i="10"/>
  <c r="AG131" i="10"/>
  <c r="AG125" i="10"/>
  <c r="AG120" i="10"/>
  <c r="AG115" i="10"/>
  <c r="AG181" i="10"/>
  <c r="AG143" i="10"/>
  <c r="AG140" i="10"/>
  <c r="AG134" i="10"/>
  <c r="AG123" i="10"/>
  <c r="AG118" i="10"/>
  <c r="AG111" i="10"/>
  <c r="AG98" i="10"/>
  <c r="AG90" i="10"/>
  <c r="AG75" i="10"/>
  <c r="AG67" i="10"/>
  <c r="AG66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G53" i="10"/>
  <c r="AG52" i="10"/>
  <c r="AG47" i="10"/>
  <c r="AG42" i="10"/>
  <c r="AG37" i="10"/>
  <c r="AG32" i="10"/>
  <c r="AG27" i="10"/>
  <c r="AG22" i="10"/>
  <c r="AG17" i="10"/>
  <c r="AG12" i="10"/>
  <c r="AG7" i="10"/>
  <c r="AG105" i="10"/>
  <c r="AG156" i="10"/>
  <c r="AG103" i="10"/>
  <c r="AG95" i="10"/>
  <c r="AG80" i="10"/>
  <c r="AG68" i="10"/>
  <c r="AG158" i="10"/>
  <c r="AG150" i="10"/>
  <c r="AG130" i="10"/>
  <c r="AG122" i="10"/>
  <c r="AG121" i="10"/>
  <c r="AG108" i="10"/>
  <c r="AG100" i="10"/>
  <c r="AG85" i="10"/>
  <c r="AG73" i="10"/>
  <c r="AG51" i="10"/>
  <c r="AG46" i="10"/>
  <c r="AG41" i="10"/>
  <c r="AG36" i="10"/>
  <c r="AG31" i="10"/>
  <c r="AQ31" i="10" s="1"/>
  <c r="AG26" i="10"/>
  <c r="AG21" i="10"/>
  <c r="AG16" i="10"/>
  <c r="AG11" i="10"/>
  <c r="AG6" i="10"/>
  <c r="AG78" i="10"/>
  <c r="AG69" i="10"/>
  <c r="AG168" i="10"/>
  <c r="AG144" i="10"/>
  <c r="AG110" i="10"/>
  <c r="AG89" i="10"/>
  <c r="AG179" i="10"/>
  <c r="AG94" i="10"/>
  <c r="AG153" i="10"/>
  <c r="AG148" i="10"/>
  <c r="AG99" i="10"/>
  <c r="AG91" i="10"/>
  <c r="AG161" i="10"/>
  <c r="AG135" i="10"/>
  <c r="AG117" i="10"/>
  <c r="AG116" i="10"/>
  <c r="AG104" i="10"/>
  <c r="AG96" i="10"/>
  <c r="AG128" i="10"/>
  <c r="AG126" i="10"/>
  <c r="AG109" i="10"/>
  <c r="AG101" i="10"/>
  <c r="AG88" i="10"/>
  <c r="AG84" i="10"/>
  <c r="AG48" i="10"/>
  <c r="AG43" i="10"/>
  <c r="AG38" i="10"/>
  <c r="AG33" i="10"/>
  <c r="AG28" i="10"/>
  <c r="AG23" i="10"/>
  <c r="AG18" i="10"/>
  <c r="AG13" i="10"/>
  <c r="AG8" i="10"/>
  <c r="AG106" i="10"/>
  <c r="AG93" i="10"/>
  <c r="AG79" i="10"/>
  <c r="AG71" i="10"/>
  <c r="AG34" i="10"/>
  <c r="AG25" i="10"/>
  <c r="AG76" i="10"/>
  <c r="AG45" i="10"/>
  <c r="AG39" i="10"/>
  <c r="AG30" i="10"/>
  <c r="AG24" i="10"/>
  <c r="AG19" i="10"/>
  <c r="AG10" i="10"/>
  <c r="AG81" i="10"/>
  <c r="AG74" i="10"/>
  <c r="AG15" i="10"/>
  <c r="AG9" i="10"/>
  <c r="AG83" i="10"/>
  <c r="AG50" i="10"/>
  <c r="AG44" i="10"/>
  <c r="AG35" i="10"/>
  <c r="AG29" i="10"/>
  <c r="AG20" i="10"/>
  <c r="AG70" i="10"/>
  <c r="AG49" i="10"/>
  <c r="AG14" i="10"/>
  <c r="AG5" i="10"/>
  <c r="AG86" i="10"/>
  <c r="AG40" i="10"/>
  <c r="AH25" i="10"/>
  <c r="AH40" i="10"/>
  <c r="AH32" i="10"/>
  <c r="AH42" i="10"/>
  <c r="AH81" i="10"/>
  <c r="AH28" i="10"/>
  <c r="AH134" i="10"/>
  <c r="AH172" i="10"/>
  <c r="AH6" i="10"/>
  <c r="AH85" i="10"/>
  <c r="AH80" i="10"/>
  <c r="AH88" i="10"/>
  <c r="AH179" i="10"/>
  <c r="AH131" i="10"/>
  <c r="AH72" i="10"/>
  <c r="AH174" i="10"/>
  <c r="AH163" i="10"/>
  <c r="AH122" i="10"/>
  <c r="AH177" i="10"/>
  <c r="F187" i="11"/>
  <c r="F182" i="11"/>
  <c r="F177" i="11"/>
  <c r="F172" i="11"/>
  <c r="F167" i="11"/>
  <c r="F184" i="11"/>
  <c r="F181" i="11"/>
  <c r="F178" i="11"/>
  <c r="F175" i="11"/>
  <c r="F161" i="11"/>
  <c r="F156" i="11"/>
  <c r="F151" i="11"/>
  <c r="F146" i="11"/>
  <c r="I146" i="11" s="1"/>
  <c r="F141" i="11"/>
  <c r="F136" i="11"/>
  <c r="F131" i="11"/>
  <c r="F126" i="11"/>
  <c r="F121" i="11"/>
  <c r="F116" i="11"/>
  <c r="F111" i="11"/>
  <c r="F106" i="11"/>
  <c r="F101" i="11"/>
  <c r="F96" i="11"/>
  <c r="F91" i="11"/>
  <c r="F188" i="11"/>
  <c r="F169" i="11"/>
  <c r="F166" i="11"/>
  <c r="F180" i="11"/>
  <c r="F164" i="11"/>
  <c r="F159" i="11"/>
  <c r="F154" i="11"/>
  <c r="F149" i="11"/>
  <c r="F144" i="11"/>
  <c r="F139" i="11"/>
  <c r="F134" i="11"/>
  <c r="F129" i="11"/>
  <c r="F124" i="11"/>
  <c r="F119" i="11"/>
  <c r="F114" i="11"/>
  <c r="F109" i="11"/>
  <c r="F104" i="11"/>
  <c r="F99" i="11"/>
  <c r="F94" i="11"/>
  <c r="I94" i="11" s="1"/>
  <c r="F89" i="11"/>
  <c r="I89" i="11" s="1"/>
  <c r="F185" i="11"/>
  <c r="F171" i="11"/>
  <c r="F142" i="11"/>
  <c r="F117" i="11"/>
  <c r="F92" i="11"/>
  <c r="F190" i="11"/>
  <c r="F153" i="11"/>
  <c r="F145" i="11"/>
  <c r="F128" i="11"/>
  <c r="F120" i="11"/>
  <c r="F103" i="11"/>
  <c r="I103" i="11" s="1"/>
  <c r="F95" i="11"/>
  <c r="F85" i="11"/>
  <c r="I85" i="11" s="1"/>
  <c r="F80" i="11"/>
  <c r="F75" i="11"/>
  <c r="F70" i="11"/>
  <c r="F65" i="11"/>
  <c r="F60" i="11"/>
  <c r="F55" i="11"/>
  <c r="F50" i="11"/>
  <c r="F45" i="11"/>
  <c r="F40" i="11"/>
  <c r="F35" i="11"/>
  <c r="F30" i="11"/>
  <c r="F25" i="11"/>
  <c r="F20" i="11"/>
  <c r="F15" i="11"/>
  <c r="F10" i="11"/>
  <c r="F5" i="11"/>
  <c r="F183" i="11"/>
  <c r="F176" i="11"/>
  <c r="I176" i="11" s="1"/>
  <c r="F162" i="11"/>
  <c r="F137" i="11"/>
  <c r="F112" i="11"/>
  <c r="F168" i="11"/>
  <c r="F157" i="11"/>
  <c r="F127" i="11"/>
  <c r="F97" i="11"/>
  <c r="F90" i="11"/>
  <c r="F87" i="11"/>
  <c r="F62" i="11"/>
  <c r="F37" i="11"/>
  <c r="F12" i="11"/>
  <c r="F189" i="11"/>
  <c r="F170" i="11"/>
  <c r="F148" i="11"/>
  <c r="F143" i="11"/>
  <c r="I143" i="11" s="1"/>
  <c r="F125" i="11"/>
  <c r="F113" i="11"/>
  <c r="F78" i="11"/>
  <c r="F69" i="11"/>
  <c r="F66" i="11"/>
  <c r="F53" i="11"/>
  <c r="F44" i="11"/>
  <c r="F41" i="11"/>
  <c r="F28" i="11"/>
  <c r="F19" i="11"/>
  <c r="F16" i="11"/>
  <c r="F155" i="11"/>
  <c r="I155" i="11" s="1"/>
  <c r="F132" i="11"/>
  <c r="F102" i="11"/>
  <c r="F72" i="11"/>
  <c r="F47" i="11"/>
  <c r="I47" i="11" s="1"/>
  <c r="F22" i="11"/>
  <c r="F147" i="11"/>
  <c r="F140" i="11"/>
  <c r="F135" i="11"/>
  <c r="F105" i="11"/>
  <c r="F67" i="11"/>
  <c r="F42" i="11"/>
  <c r="F17" i="11"/>
  <c r="F71" i="11"/>
  <c r="F64" i="11"/>
  <c r="I64" i="11" s="1"/>
  <c r="F57" i="11"/>
  <c r="F43" i="11"/>
  <c r="F27" i="11"/>
  <c r="F11" i="11"/>
  <c r="F173" i="11"/>
  <c r="F76" i="11"/>
  <c r="F73" i="11"/>
  <c r="F9" i="11"/>
  <c r="F179" i="11"/>
  <c r="F138" i="11"/>
  <c r="I138" i="11" s="1"/>
  <c r="F122" i="11"/>
  <c r="F100" i="11"/>
  <c r="F83" i="11"/>
  <c r="F46" i="11"/>
  <c r="I46" i="11" s="1"/>
  <c r="F39" i="11"/>
  <c r="F32" i="11"/>
  <c r="F18" i="11"/>
  <c r="F186" i="11"/>
  <c r="F165" i="11"/>
  <c r="F133" i="11"/>
  <c r="I133" i="11" s="1"/>
  <c r="F115" i="11"/>
  <c r="F82" i="11"/>
  <c r="F68" i="11"/>
  <c r="F52" i="11"/>
  <c r="F36" i="11"/>
  <c r="F29" i="11"/>
  <c r="F24" i="11"/>
  <c r="F8" i="11"/>
  <c r="F158" i="11"/>
  <c r="F150" i="11"/>
  <c r="I150" i="11" s="1"/>
  <c r="F84" i="11"/>
  <c r="F58" i="11"/>
  <c r="F56" i="11"/>
  <c r="F48" i="11"/>
  <c r="F74" i="11"/>
  <c r="I74" i="11" s="1"/>
  <c r="F118" i="11"/>
  <c r="F31" i="11"/>
  <c r="F107" i="11"/>
  <c r="F81" i="11"/>
  <c r="F79" i="11"/>
  <c r="F63" i="11"/>
  <c r="F59" i="11"/>
  <c r="F163" i="11"/>
  <c r="F130" i="11"/>
  <c r="F93" i="11"/>
  <c r="I93" i="11" s="1"/>
  <c r="F38" i="11"/>
  <c r="F26" i="11"/>
  <c r="F152" i="11"/>
  <c r="F23" i="11"/>
  <c r="F86" i="11"/>
  <c r="F51" i="11"/>
  <c r="F34" i="11"/>
  <c r="F6" i="11"/>
  <c r="F160" i="11"/>
  <c r="F123" i="11"/>
  <c r="F88" i="11"/>
  <c r="F14" i="11"/>
  <c r="I14" i="11" s="1"/>
  <c r="F54" i="11"/>
  <c r="F13" i="11"/>
  <c r="F174" i="11"/>
  <c r="I174" i="11" s="1"/>
  <c r="F110" i="11"/>
  <c r="F108" i="11"/>
  <c r="F61" i="11"/>
  <c r="F77" i="11"/>
  <c r="F98" i="11"/>
  <c r="I98" i="11" s="1"/>
  <c r="F33" i="11"/>
  <c r="F49" i="11"/>
  <c r="F21" i="11"/>
  <c r="F7" i="11"/>
  <c r="AF187" i="10"/>
  <c r="AF182" i="10"/>
  <c r="AF177" i="10"/>
  <c r="AF181" i="10"/>
  <c r="AF168" i="10"/>
  <c r="AF163" i="10"/>
  <c r="AF158" i="10"/>
  <c r="AF153" i="10"/>
  <c r="AF148" i="10"/>
  <c r="AF143" i="10"/>
  <c r="AF138" i="10"/>
  <c r="AF133" i="10"/>
  <c r="AF128" i="10"/>
  <c r="AF123" i="10"/>
  <c r="AF118" i="10"/>
  <c r="AF188" i="10"/>
  <c r="AF185" i="10"/>
  <c r="AF167" i="10"/>
  <c r="AF162" i="10"/>
  <c r="AF157" i="10"/>
  <c r="AF152" i="10"/>
  <c r="AF184" i="10"/>
  <c r="AF172" i="10"/>
  <c r="AF171" i="10"/>
  <c r="AF170" i="10"/>
  <c r="AQ170" i="10" s="1"/>
  <c r="AF179" i="10"/>
  <c r="AF178" i="10"/>
  <c r="AF169" i="10"/>
  <c r="AF140" i="10"/>
  <c r="AF131" i="10"/>
  <c r="AF113" i="10"/>
  <c r="AF173" i="10"/>
  <c r="AF166" i="10"/>
  <c r="AF155" i="10"/>
  <c r="AF145" i="10"/>
  <c r="AF136" i="10"/>
  <c r="AF141" i="10"/>
  <c r="AF189" i="10"/>
  <c r="AF190" i="10"/>
  <c r="AF175" i="10"/>
  <c r="AF165" i="10"/>
  <c r="AF183" i="10"/>
  <c r="AF156" i="10"/>
  <c r="AF142" i="10"/>
  <c r="AF108" i="10"/>
  <c r="AF103" i="10"/>
  <c r="AF98" i="10"/>
  <c r="AF93" i="10"/>
  <c r="AF88" i="10"/>
  <c r="AF83" i="10"/>
  <c r="AF78" i="10"/>
  <c r="AF73" i="10"/>
  <c r="AF68" i="10"/>
  <c r="AF63" i="10"/>
  <c r="AF58" i="10"/>
  <c r="AQ58" i="10" s="1"/>
  <c r="AF53" i="10"/>
  <c r="AF174" i="10"/>
  <c r="AF139" i="10"/>
  <c r="AF129" i="10"/>
  <c r="AF124" i="10"/>
  <c r="AF119" i="10"/>
  <c r="AF114" i="10"/>
  <c r="AF164" i="10"/>
  <c r="AF112" i="10"/>
  <c r="AF107" i="10"/>
  <c r="AF102" i="10"/>
  <c r="AF97" i="10"/>
  <c r="AF92" i="10"/>
  <c r="AF87" i="10"/>
  <c r="AF186" i="10"/>
  <c r="AF151" i="10"/>
  <c r="AF149" i="10"/>
  <c r="AF161" i="10"/>
  <c r="AF109" i="10"/>
  <c r="AF104" i="10"/>
  <c r="AF99" i="10"/>
  <c r="AF94" i="10"/>
  <c r="AF89" i="10"/>
  <c r="AF84" i="10"/>
  <c r="AF79" i="10"/>
  <c r="AF74" i="10"/>
  <c r="AF146" i="10"/>
  <c r="AF137" i="10"/>
  <c r="AF106" i="10"/>
  <c r="AF82" i="10"/>
  <c r="AF72" i="10"/>
  <c r="AF122" i="10"/>
  <c r="AF154" i="10"/>
  <c r="AF111" i="10"/>
  <c r="AF90" i="10"/>
  <c r="AF75" i="10"/>
  <c r="AF67" i="10"/>
  <c r="AF66" i="10"/>
  <c r="AF65" i="10"/>
  <c r="AF64" i="10"/>
  <c r="AF62" i="10"/>
  <c r="AQ62" i="10" s="1"/>
  <c r="AF61" i="10"/>
  <c r="AF60" i="10"/>
  <c r="AF59" i="10"/>
  <c r="AF57" i="10"/>
  <c r="AF56" i="10"/>
  <c r="AF55" i="10"/>
  <c r="AF54" i="10"/>
  <c r="AF52" i="10"/>
  <c r="AF47" i="10"/>
  <c r="AF42" i="10"/>
  <c r="AF37" i="10"/>
  <c r="AF32" i="10"/>
  <c r="AF27" i="10"/>
  <c r="AF22" i="10"/>
  <c r="AF17" i="10"/>
  <c r="AF12" i="10"/>
  <c r="AF7" i="10"/>
  <c r="AF130" i="10"/>
  <c r="AF120" i="10"/>
  <c r="AF160" i="10"/>
  <c r="AF95" i="10"/>
  <c r="AF80" i="10"/>
  <c r="AF147" i="10"/>
  <c r="AF100" i="10"/>
  <c r="AF51" i="10"/>
  <c r="AF180" i="10"/>
  <c r="AF150" i="10"/>
  <c r="AF121" i="10"/>
  <c r="AF85" i="10"/>
  <c r="AF46" i="10"/>
  <c r="AF132" i="10"/>
  <c r="AF105" i="10"/>
  <c r="AF144" i="10"/>
  <c r="AF110" i="10"/>
  <c r="AF159" i="10"/>
  <c r="AF176" i="10"/>
  <c r="AF91" i="10"/>
  <c r="AF135" i="10"/>
  <c r="AF134" i="10"/>
  <c r="AQ134" i="10" s="1"/>
  <c r="AF125" i="10"/>
  <c r="AF117" i="10"/>
  <c r="AF116" i="10"/>
  <c r="AF115" i="10"/>
  <c r="AF96" i="10"/>
  <c r="AF71" i="10"/>
  <c r="AF127" i="10"/>
  <c r="AF126" i="10"/>
  <c r="AF101" i="10"/>
  <c r="AF86" i="10"/>
  <c r="AF48" i="10"/>
  <c r="AF43" i="10"/>
  <c r="AF40" i="10"/>
  <c r="AF31" i="10"/>
  <c r="AF81" i="10"/>
  <c r="AF36" i="10"/>
  <c r="AF39" i="10"/>
  <c r="AF34" i="10"/>
  <c r="AF28" i="10"/>
  <c r="AF25" i="10"/>
  <c r="AF16" i="10"/>
  <c r="AF21" i="10"/>
  <c r="AF19" i="10"/>
  <c r="AF13" i="10"/>
  <c r="AF10" i="10"/>
  <c r="AF30" i="10"/>
  <c r="AF76" i="10"/>
  <c r="AF45" i="10"/>
  <c r="AF33" i="10"/>
  <c r="AF24" i="10"/>
  <c r="AF18" i="10"/>
  <c r="AF15" i="10"/>
  <c r="AF6" i="10"/>
  <c r="AF41" i="10"/>
  <c r="AF9" i="10"/>
  <c r="AF77" i="10"/>
  <c r="AF69" i="10"/>
  <c r="AF50" i="10"/>
  <c r="AF44" i="10"/>
  <c r="AF38" i="10"/>
  <c r="AF35" i="10"/>
  <c r="AF26" i="10"/>
  <c r="AF29" i="10"/>
  <c r="AF23" i="10"/>
  <c r="AF20" i="10"/>
  <c r="AQ20" i="10" s="1"/>
  <c r="AF11" i="10"/>
  <c r="AF70" i="10"/>
  <c r="AF49" i="10"/>
  <c r="AF14" i="10"/>
  <c r="AF8" i="10"/>
  <c r="AF5" i="10"/>
  <c r="AQ159" i="10"/>
  <c r="AB189" i="10"/>
  <c r="AB184" i="10"/>
  <c r="AB179" i="10"/>
  <c r="AB165" i="10"/>
  <c r="AB160" i="10"/>
  <c r="AB155" i="10"/>
  <c r="AQ155" i="10" s="1"/>
  <c r="AB150" i="10"/>
  <c r="AB145" i="10"/>
  <c r="AB140" i="10"/>
  <c r="AB135" i="10"/>
  <c r="AB130" i="10"/>
  <c r="AB125" i="10"/>
  <c r="AB120" i="10"/>
  <c r="AB115" i="10"/>
  <c r="AQ115" i="10" s="1"/>
  <c r="AB186" i="10"/>
  <c r="AB174" i="10"/>
  <c r="AB173" i="10"/>
  <c r="AB172" i="10"/>
  <c r="AB171" i="10"/>
  <c r="AB170" i="10"/>
  <c r="AB180" i="10"/>
  <c r="AB175" i="10"/>
  <c r="AB169" i="10"/>
  <c r="AB164" i="10"/>
  <c r="AB159" i="10"/>
  <c r="AB154" i="10"/>
  <c r="AB187" i="10"/>
  <c r="AB183" i="10"/>
  <c r="AB181" i="10"/>
  <c r="AB167" i="10"/>
  <c r="AB156" i="10"/>
  <c r="AB139" i="10"/>
  <c r="AB188" i="10"/>
  <c r="AB158" i="10"/>
  <c r="AB148" i="10"/>
  <c r="AB144" i="10"/>
  <c r="AB178" i="10"/>
  <c r="AB161" i="10"/>
  <c r="AB168" i="10"/>
  <c r="AB190" i="10"/>
  <c r="AB163" i="10"/>
  <c r="AB162" i="10"/>
  <c r="AB132" i="10"/>
  <c r="AB122" i="10"/>
  <c r="AB117" i="10"/>
  <c r="AB110" i="10"/>
  <c r="AB105" i="10"/>
  <c r="AB100" i="10"/>
  <c r="AB95" i="10"/>
  <c r="AB90" i="10"/>
  <c r="AB85" i="10"/>
  <c r="AB80" i="10"/>
  <c r="AQ80" i="10" s="1"/>
  <c r="AB75" i="10"/>
  <c r="AB70" i="10"/>
  <c r="AB65" i="10"/>
  <c r="AB60" i="10"/>
  <c r="AB55" i="10"/>
  <c r="AB147" i="10"/>
  <c r="AB143" i="10"/>
  <c r="AB134" i="10"/>
  <c r="AB123" i="10"/>
  <c r="AB118" i="10"/>
  <c r="AB109" i="10"/>
  <c r="AQ109" i="10" s="1"/>
  <c r="AB104" i="10"/>
  <c r="AQ104" i="10" s="1"/>
  <c r="AB99" i="10"/>
  <c r="AB94" i="10"/>
  <c r="AB89" i="10"/>
  <c r="AB157" i="10"/>
  <c r="AB146" i="10"/>
  <c r="AB136" i="10"/>
  <c r="AB177" i="10"/>
  <c r="AB137" i="10"/>
  <c r="AB121" i="10"/>
  <c r="AB116" i="10"/>
  <c r="AQ116" i="10" s="1"/>
  <c r="AB111" i="10"/>
  <c r="AB106" i="10"/>
  <c r="AB101" i="10"/>
  <c r="AB96" i="10"/>
  <c r="AQ96" i="10" s="1"/>
  <c r="AB91" i="10"/>
  <c r="AB86" i="10"/>
  <c r="AB81" i="10"/>
  <c r="AB76" i="10"/>
  <c r="AB185" i="10"/>
  <c r="AB127" i="10"/>
  <c r="AB112" i="10"/>
  <c r="AB88" i="10"/>
  <c r="AB84" i="10"/>
  <c r="AB103" i="10"/>
  <c r="AB77" i="10"/>
  <c r="AB152" i="10"/>
  <c r="AB129" i="10"/>
  <c r="AB128" i="10"/>
  <c r="AB126" i="10"/>
  <c r="AB124" i="10"/>
  <c r="AB93" i="10"/>
  <c r="AB49" i="10"/>
  <c r="AQ49" i="10" s="1"/>
  <c r="AB44" i="10"/>
  <c r="AB39" i="10"/>
  <c r="AB34" i="10"/>
  <c r="AB29" i="10"/>
  <c r="AB24" i="10"/>
  <c r="AB19" i="10"/>
  <c r="AB14" i="10"/>
  <c r="AB9" i="10"/>
  <c r="AB48" i="10"/>
  <c r="AB114" i="10"/>
  <c r="AB98" i="10"/>
  <c r="AB71" i="10"/>
  <c r="AB166" i="10"/>
  <c r="AB108" i="10"/>
  <c r="AB138" i="10"/>
  <c r="AB131" i="10"/>
  <c r="AB113" i="10"/>
  <c r="AB87" i="10"/>
  <c r="AB141" i="10"/>
  <c r="AB119" i="10"/>
  <c r="AB92" i="10"/>
  <c r="AB182" i="10"/>
  <c r="AB133" i="10"/>
  <c r="AB97" i="10"/>
  <c r="AB176" i="10"/>
  <c r="AB153" i="10"/>
  <c r="AB151" i="10"/>
  <c r="AB142" i="10"/>
  <c r="AB102" i="10"/>
  <c r="AB74" i="10"/>
  <c r="AB149" i="10"/>
  <c r="AB107" i="10"/>
  <c r="AB67" i="10"/>
  <c r="AB57" i="10"/>
  <c r="AB50" i="10"/>
  <c r="AB41" i="10"/>
  <c r="AB35" i="10"/>
  <c r="AB17" i="10"/>
  <c r="AB8" i="10"/>
  <c r="AB63" i="10"/>
  <c r="AQ63" i="10" s="1"/>
  <c r="AB53" i="10"/>
  <c r="AB40" i="10"/>
  <c r="AB22" i="10"/>
  <c r="AB13" i="10"/>
  <c r="AB31" i="10"/>
  <c r="AB25" i="10"/>
  <c r="AB79" i="10"/>
  <c r="AB73" i="10"/>
  <c r="AB72" i="10"/>
  <c r="AB66" i="10"/>
  <c r="AB56" i="10"/>
  <c r="AB43" i="10"/>
  <c r="AB26" i="10"/>
  <c r="AB20" i="10"/>
  <c r="AB64" i="10"/>
  <c r="AB54" i="10"/>
  <c r="AB47" i="10"/>
  <c r="AB37" i="10"/>
  <c r="AB28" i="10"/>
  <c r="AB11" i="10"/>
  <c r="AB5" i="10"/>
  <c r="AB7" i="10"/>
  <c r="AB62" i="10"/>
  <c r="AB52" i="10"/>
  <c r="AB46" i="10"/>
  <c r="AB42" i="10"/>
  <c r="AQ42" i="10" s="1"/>
  <c r="AB33" i="10"/>
  <c r="AB16" i="10"/>
  <c r="AB10" i="10"/>
  <c r="AB82" i="10"/>
  <c r="AQ82" i="10" s="1"/>
  <c r="AB61" i="10"/>
  <c r="AB27" i="10"/>
  <c r="AB18" i="10"/>
  <c r="AB59" i="10"/>
  <c r="AB45" i="10"/>
  <c r="AB36" i="10"/>
  <c r="AB30" i="10"/>
  <c r="AB12" i="10"/>
  <c r="AB83" i="10"/>
  <c r="AB68" i="10"/>
  <c r="AQ68" i="10" s="1"/>
  <c r="AB58" i="10"/>
  <c r="AB51" i="10"/>
  <c r="AB38" i="10"/>
  <c r="AB21" i="10"/>
  <c r="AB15" i="10"/>
  <c r="AB78" i="10"/>
  <c r="AB69" i="10"/>
  <c r="AB32" i="10"/>
  <c r="AQ32" i="10" s="1"/>
  <c r="AB23" i="10"/>
  <c r="AB6" i="10"/>
  <c r="AH34" i="10"/>
  <c r="AH5" i="10"/>
  <c r="AH38" i="10"/>
  <c r="AH53" i="10"/>
  <c r="AH84" i="10"/>
  <c r="AH47" i="10"/>
  <c r="AH104" i="10"/>
  <c r="AH187" i="10"/>
  <c r="AH11" i="10"/>
  <c r="AH100" i="10"/>
  <c r="AH95" i="10"/>
  <c r="AH93" i="10"/>
  <c r="AH91" i="10"/>
  <c r="AH133" i="10"/>
  <c r="AH77" i="10"/>
  <c r="AH159" i="10"/>
  <c r="AH173" i="10"/>
  <c r="AH127" i="10"/>
  <c r="AH185" i="10"/>
  <c r="AQ117" i="10"/>
  <c r="AH37" i="10"/>
  <c r="AH14" i="10"/>
  <c r="AH59" i="10"/>
  <c r="AH63" i="10"/>
  <c r="AH61" i="10"/>
  <c r="AH55" i="10"/>
  <c r="AH116" i="10"/>
  <c r="AH94" i="10"/>
  <c r="AH16" i="10"/>
  <c r="AH121" i="10"/>
  <c r="AH114" i="10"/>
  <c r="AH98" i="10"/>
  <c r="AH96" i="10"/>
  <c r="AH138" i="10"/>
  <c r="AH82" i="10"/>
  <c r="AH183" i="10"/>
  <c r="AH189" i="10"/>
  <c r="AH132" i="10"/>
  <c r="AH188" i="10"/>
  <c r="G188" i="11"/>
  <c r="G183" i="11"/>
  <c r="G178" i="11"/>
  <c r="G173" i="11"/>
  <c r="G168" i="11"/>
  <c r="G190" i="11"/>
  <c r="G185" i="11"/>
  <c r="G180" i="11"/>
  <c r="G175" i="11"/>
  <c r="G170" i="11"/>
  <c r="G165" i="11"/>
  <c r="G161" i="11"/>
  <c r="G156" i="11"/>
  <c r="G151" i="11"/>
  <c r="G146" i="11"/>
  <c r="G141" i="11"/>
  <c r="G136" i="11"/>
  <c r="G131" i="11"/>
  <c r="G126" i="11"/>
  <c r="G121" i="11"/>
  <c r="G116" i="11"/>
  <c r="G111" i="11"/>
  <c r="G106" i="11"/>
  <c r="G101" i="11"/>
  <c r="G96" i="11"/>
  <c r="G91" i="11"/>
  <c r="G172" i="11"/>
  <c r="G169" i="11"/>
  <c r="G166" i="11"/>
  <c r="G162" i="11"/>
  <c r="G157" i="11"/>
  <c r="G152" i="11"/>
  <c r="G147" i="11"/>
  <c r="G142" i="11"/>
  <c r="G137" i="11"/>
  <c r="G132" i="11"/>
  <c r="G127" i="11"/>
  <c r="G122" i="11"/>
  <c r="G117" i="11"/>
  <c r="G112" i="11"/>
  <c r="G107" i="11"/>
  <c r="G102" i="11"/>
  <c r="G97" i="11"/>
  <c r="G92" i="11"/>
  <c r="G177" i="11"/>
  <c r="G174" i="11"/>
  <c r="G171" i="11"/>
  <c r="G164" i="11"/>
  <c r="G153" i="11"/>
  <c r="G145" i="11"/>
  <c r="G139" i="11"/>
  <c r="G128" i="11"/>
  <c r="G120" i="11"/>
  <c r="G114" i="11"/>
  <c r="G103" i="11"/>
  <c r="G95" i="11"/>
  <c r="G89" i="11"/>
  <c r="G85" i="11"/>
  <c r="G80" i="11"/>
  <c r="G75" i="11"/>
  <c r="G70" i="11"/>
  <c r="G65" i="11"/>
  <c r="G60" i="11"/>
  <c r="G55" i="11"/>
  <c r="G50" i="11"/>
  <c r="G45" i="11"/>
  <c r="G40" i="11"/>
  <c r="G35" i="11"/>
  <c r="G30" i="11"/>
  <c r="G25" i="11"/>
  <c r="G20" i="11"/>
  <c r="G15" i="11"/>
  <c r="G10" i="11"/>
  <c r="G5" i="11"/>
  <c r="G176" i="11"/>
  <c r="G159" i="11"/>
  <c r="G148" i="11"/>
  <c r="G140" i="11"/>
  <c r="G134" i="11"/>
  <c r="G123" i="11"/>
  <c r="G115" i="11"/>
  <c r="G109" i="11"/>
  <c r="G98" i="11"/>
  <c r="G90" i="11"/>
  <c r="G86" i="11"/>
  <c r="G81" i="11"/>
  <c r="G76" i="11"/>
  <c r="G71" i="11"/>
  <c r="G66" i="11"/>
  <c r="G61" i="11"/>
  <c r="G56" i="11"/>
  <c r="G51" i="11"/>
  <c r="G46" i="11"/>
  <c r="G41" i="11"/>
  <c r="G36" i="11"/>
  <c r="G31" i="11"/>
  <c r="G26" i="11"/>
  <c r="G21" i="11"/>
  <c r="G16" i="11"/>
  <c r="G11" i="11"/>
  <c r="G6" i="11"/>
  <c r="G189" i="11"/>
  <c r="G143" i="11"/>
  <c r="G129" i="11"/>
  <c r="G125" i="11"/>
  <c r="G113" i="11"/>
  <c r="G99" i="11"/>
  <c r="G78" i="11"/>
  <c r="G69" i="11"/>
  <c r="G53" i="11"/>
  <c r="G44" i="11"/>
  <c r="G28" i="11"/>
  <c r="G19" i="11"/>
  <c r="G187" i="11"/>
  <c r="G155" i="11"/>
  <c r="G72" i="11"/>
  <c r="G47" i="11"/>
  <c r="G22" i="11"/>
  <c r="G181" i="11"/>
  <c r="G118" i="11"/>
  <c r="G104" i="11"/>
  <c r="G100" i="11"/>
  <c r="G88" i="11"/>
  <c r="G79" i="11"/>
  <c r="G63" i="11"/>
  <c r="G54" i="11"/>
  <c r="G38" i="11"/>
  <c r="G29" i="11"/>
  <c r="G13" i="11"/>
  <c r="G179" i="11"/>
  <c r="G163" i="11"/>
  <c r="G149" i="11"/>
  <c r="G133" i="11"/>
  <c r="G119" i="11"/>
  <c r="G83" i="11"/>
  <c r="G74" i="11"/>
  <c r="G58" i="11"/>
  <c r="G49" i="11"/>
  <c r="G33" i="11"/>
  <c r="G24" i="11"/>
  <c r="G8" i="11"/>
  <c r="G105" i="11"/>
  <c r="G73" i="11"/>
  <c r="G9" i="11"/>
  <c r="G138" i="11"/>
  <c r="G62" i="11"/>
  <c r="G39" i="11"/>
  <c r="G32" i="11"/>
  <c r="G18" i="11"/>
  <c r="G130" i="11"/>
  <c r="G124" i="11"/>
  <c r="G110" i="11"/>
  <c r="G94" i="11"/>
  <c r="G48" i="11"/>
  <c r="G184" i="11"/>
  <c r="G135" i="11"/>
  <c r="G93" i="11"/>
  <c r="G34" i="11"/>
  <c r="G17" i="11"/>
  <c r="G182" i="11"/>
  <c r="G37" i="11"/>
  <c r="G27" i="11"/>
  <c r="G186" i="11"/>
  <c r="G87" i="11"/>
  <c r="G77" i="11"/>
  <c r="G167" i="11"/>
  <c r="G14" i="11"/>
  <c r="G150" i="11"/>
  <c r="G82" i="11"/>
  <c r="G43" i="11"/>
  <c r="G160" i="11"/>
  <c r="G154" i="11"/>
  <c r="G84" i="11"/>
  <c r="G158" i="11"/>
  <c r="G64" i="11"/>
  <c r="G108" i="11"/>
  <c r="G59" i="11"/>
  <c r="G57" i="11"/>
  <c r="G68" i="11"/>
  <c r="G52" i="11"/>
  <c r="G144" i="11"/>
  <c r="G12" i="11"/>
  <c r="G67" i="11"/>
  <c r="G42" i="11"/>
  <c r="G23" i="11"/>
  <c r="G7" i="11"/>
  <c r="AQ93" i="10"/>
  <c r="AQ51" i="10"/>
  <c r="AQ169" i="10"/>
  <c r="AH43" i="10"/>
  <c r="AH17" i="10"/>
  <c r="AH35" i="10"/>
  <c r="AH9" i="10"/>
  <c r="AH15" i="10"/>
  <c r="AH65" i="10"/>
  <c r="AH118" i="10"/>
  <c r="AH76" i="10"/>
  <c r="AH21" i="10"/>
  <c r="AH123" i="10"/>
  <c r="AH124" i="10"/>
  <c r="AH103" i="10"/>
  <c r="AH101" i="10"/>
  <c r="AH164" i="10"/>
  <c r="AH87" i="10"/>
  <c r="AH184" i="10"/>
  <c r="AH151" i="10"/>
  <c r="AH137" i="10"/>
  <c r="AH176" i="10"/>
  <c r="AH48" i="10"/>
  <c r="AH23" i="10"/>
  <c r="AH44" i="10"/>
  <c r="AH33" i="10"/>
  <c r="AH24" i="10"/>
  <c r="AH90" i="10"/>
  <c r="AH135" i="10"/>
  <c r="AH144" i="10"/>
  <c r="AH26" i="10"/>
  <c r="AH130" i="10"/>
  <c r="AH129" i="10"/>
  <c r="AH108" i="10"/>
  <c r="AH106" i="10"/>
  <c r="AH165" i="10"/>
  <c r="AH92" i="10"/>
  <c r="AH149" i="10"/>
  <c r="AH156" i="10"/>
  <c r="AH142" i="10"/>
  <c r="AH181" i="10"/>
  <c r="AK190" i="10"/>
  <c r="AK185" i="10"/>
  <c r="AK180" i="10"/>
  <c r="AK175" i="10"/>
  <c r="AK170" i="10"/>
  <c r="AK189" i="10"/>
  <c r="AK184" i="10"/>
  <c r="AQ184" i="10" s="1"/>
  <c r="AK187" i="10"/>
  <c r="AK183" i="10"/>
  <c r="AK179" i="10"/>
  <c r="AK165" i="10"/>
  <c r="AK160" i="10"/>
  <c r="AK155" i="10"/>
  <c r="AK150" i="10"/>
  <c r="AK145" i="10"/>
  <c r="AK140" i="10"/>
  <c r="AK135" i="10"/>
  <c r="AK130" i="10"/>
  <c r="AK181" i="10"/>
  <c r="AK177" i="10"/>
  <c r="AK167" i="10"/>
  <c r="AK162" i="10"/>
  <c r="AK157" i="10"/>
  <c r="AK152" i="10"/>
  <c r="AK172" i="10"/>
  <c r="AK168" i="10"/>
  <c r="AK154" i="10"/>
  <c r="AQ154" i="10" s="1"/>
  <c r="AK146" i="10"/>
  <c r="AK137" i="10"/>
  <c r="AK133" i="10"/>
  <c r="AK176" i="10"/>
  <c r="AK142" i="10"/>
  <c r="AK138" i="10"/>
  <c r="AK129" i="10"/>
  <c r="AK171" i="10"/>
  <c r="AK159" i="10"/>
  <c r="AK147" i="10"/>
  <c r="AK143" i="10"/>
  <c r="AK182" i="10"/>
  <c r="AQ182" i="10" s="1"/>
  <c r="AK156" i="10"/>
  <c r="AK131" i="10"/>
  <c r="AK158" i="10"/>
  <c r="AK151" i="10"/>
  <c r="AK121" i="10"/>
  <c r="AK116" i="10"/>
  <c r="AK110" i="10"/>
  <c r="AK105" i="10"/>
  <c r="AK100" i="10"/>
  <c r="AK95" i="10"/>
  <c r="AK90" i="10"/>
  <c r="AK85" i="10"/>
  <c r="AK80" i="10"/>
  <c r="AK75" i="10"/>
  <c r="AK70" i="10"/>
  <c r="AK186" i="10"/>
  <c r="AK149" i="10"/>
  <c r="AK144" i="10"/>
  <c r="AK128" i="10"/>
  <c r="AK153" i="10"/>
  <c r="AK148" i="10"/>
  <c r="AK141" i="10"/>
  <c r="AK174" i="10"/>
  <c r="AK163" i="10"/>
  <c r="AK136" i="10"/>
  <c r="AK125" i="10"/>
  <c r="AQ125" i="10" s="1"/>
  <c r="AK120" i="10"/>
  <c r="AK115" i="10"/>
  <c r="AK173" i="10"/>
  <c r="AK89" i="10"/>
  <c r="AK87" i="10"/>
  <c r="AK78" i="10"/>
  <c r="AK50" i="10"/>
  <c r="AK45" i="10"/>
  <c r="AK40" i="10"/>
  <c r="AK35" i="10"/>
  <c r="AK30" i="10"/>
  <c r="AK25" i="10"/>
  <c r="AQ25" i="10" s="1"/>
  <c r="AK20" i="10"/>
  <c r="AK15" i="10"/>
  <c r="AK10" i="10"/>
  <c r="AK5" i="10"/>
  <c r="AK119" i="10"/>
  <c r="AK118" i="10"/>
  <c r="AK104" i="10"/>
  <c r="AK102" i="10"/>
  <c r="AK79" i="10"/>
  <c r="AK113" i="10"/>
  <c r="AK94" i="10"/>
  <c r="AK92" i="10"/>
  <c r="AK83" i="10"/>
  <c r="AK81" i="10"/>
  <c r="AK166" i="10"/>
  <c r="AK164" i="10"/>
  <c r="AK99" i="10"/>
  <c r="AK97" i="10"/>
  <c r="AK76" i="10"/>
  <c r="AK74" i="10"/>
  <c r="AK49" i="10"/>
  <c r="AK44" i="10"/>
  <c r="AK39" i="10"/>
  <c r="AK34" i="10"/>
  <c r="AK29" i="10"/>
  <c r="AK24" i="10"/>
  <c r="AK19" i="10"/>
  <c r="AK14" i="10"/>
  <c r="AQ14" i="10" s="1"/>
  <c r="AK9" i="10"/>
  <c r="AK132" i="10"/>
  <c r="AK188" i="10"/>
  <c r="AK134" i="10"/>
  <c r="AK117" i="10"/>
  <c r="AK109" i="10"/>
  <c r="AK107" i="10"/>
  <c r="AK86" i="10"/>
  <c r="AK84" i="10"/>
  <c r="AK112" i="10"/>
  <c r="AK91" i="10"/>
  <c r="AK88" i="10"/>
  <c r="AK161" i="10"/>
  <c r="AK139" i="10"/>
  <c r="AK126" i="10"/>
  <c r="AK96" i="10"/>
  <c r="AK93" i="10"/>
  <c r="AK169" i="10"/>
  <c r="AK101" i="10"/>
  <c r="AK98" i="10"/>
  <c r="AK127" i="10"/>
  <c r="AK124" i="10"/>
  <c r="AQ124" i="10" s="1"/>
  <c r="AK123" i="10"/>
  <c r="AK114" i="10"/>
  <c r="AK106" i="10"/>
  <c r="AK103" i="10"/>
  <c r="AK82" i="10"/>
  <c r="AK51" i="10"/>
  <c r="AK46" i="10"/>
  <c r="AK41" i="10"/>
  <c r="AK36" i="10"/>
  <c r="AK31" i="10"/>
  <c r="AK26" i="10"/>
  <c r="AK21" i="10"/>
  <c r="AK16" i="10"/>
  <c r="AK11" i="10"/>
  <c r="AK6" i="10"/>
  <c r="AK178" i="10"/>
  <c r="AK122" i="10"/>
  <c r="AK111" i="10"/>
  <c r="AK108" i="10"/>
  <c r="AK63" i="10"/>
  <c r="AK53" i="10"/>
  <c r="AK42" i="10"/>
  <c r="AK33" i="10"/>
  <c r="AK61" i="10"/>
  <c r="AK60" i="10"/>
  <c r="AK38" i="10"/>
  <c r="AK59" i="10"/>
  <c r="AK23" i="10"/>
  <c r="AQ23" i="10" s="1"/>
  <c r="AK27" i="10"/>
  <c r="AK18" i="10"/>
  <c r="AK32" i="10"/>
  <c r="AK62" i="10"/>
  <c r="AK52" i="10"/>
  <c r="AK12" i="10"/>
  <c r="AK58" i="10"/>
  <c r="AK17" i="10"/>
  <c r="AK8" i="10"/>
  <c r="AK77" i="10"/>
  <c r="AK69" i="10"/>
  <c r="AK68" i="10"/>
  <c r="AK48" i="10"/>
  <c r="AK43" i="10"/>
  <c r="AK67" i="10"/>
  <c r="AK57" i="10"/>
  <c r="AK37" i="10"/>
  <c r="AK28" i="10"/>
  <c r="AK71" i="10"/>
  <c r="AK66" i="10"/>
  <c r="AK65" i="10"/>
  <c r="AK56" i="10"/>
  <c r="AQ56" i="10" s="1"/>
  <c r="AK55" i="10"/>
  <c r="AK47" i="10"/>
  <c r="AK22" i="10"/>
  <c r="AK13" i="10"/>
  <c r="AK73" i="10"/>
  <c r="AK72" i="10"/>
  <c r="AK64" i="10"/>
  <c r="AK54" i="10"/>
  <c r="AK7" i="10"/>
  <c r="H188" i="11"/>
  <c r="H183" i="11"/>
  <c r="H178" i="11"/>
  <c r="H173" i="11"/>
  <c r="H168" i="11"/>
  <c r="H175" i="11"/>
  <c r="H172" i="11"/>
  <c r="H169" i="11"/>
  <c r="H166" i="11"/>
  <c r="H162" i="11"/>
  <c r="H157" i="11"/>
  <c r="H152" i="11"/>
  <c r="H147" i="11"/>
  <c r="H142" i="11"/>
  <c r="H137" i="11"/>
  <c r="H132" i="11"/>
  <c r="H127" i="11"/>
  <c r="H122" i="11"/>
  <c r="H117" i="11"/>
  <c r="H112" i="11"/>
  <c r="H107" i="11"/>
  <c r="H102" i="11"/>
  <c r="H97" i="11"/>
  <c r="H92" i="11"/>
  <c r="H185" i="11"/>
  <c r="H182" i="11"/>
  <c r="H179" i="11"/>
  <c r="H176" i="11"/>
  <c r="H160" i="11"/>
  <c r="H155" i="11"/>
  <c r="H150" i="11"/>
  <c r="H145" i="11"/>
  <c r="H140" i="11"/>
  <c r="H135" i="11"/>
  <c r="H130" i="11"/>
  <c r="H125" i="11"/>
  <c r="H120" i="11"/>
  <c r="H115" i="11"/>
  <c r="H110" i="11"/>
  <c r="H105" i="11"/>
  <c r="H100" i="11"/>
  <c r="H95" i="11"/>
  <c r="H90" i="11"/>
  <c r="H190" i="11"/>
  <c r="H156" i="11"/>
  <c r="H131" i="11"/>
  <c r="H106" i="11"/>
  <c r="H159" i="11"/>
  <c r="H148" i="11"/>
  <c r="H134" i="11"/>
  <c r="H123" i="11"/>
  <c r="H109" i="11"/>
  <c r="H98" i="11"/>
  <c r="H86" i="11"/>
  <c r="H81" i="11"/>
  <c r="H76" i="11"/>
  <c r="H71" i="11"/>
  <c r="H66" i="11"/>
  <c r="H61" i="11"/>
  <c r="H56" i="11"/>
  <c r="H51" i="11"/>
  <c r="H46" i="11"/>
  <c r="H41" i="11"/>
  <c r="H36" i="11"/>
  <c r="H31" i="11"/>
  <c r="H26" i="11"/>
  <c r="H21" i="11"/>
  <c r="H16" i="11"/>
  <c r="H11" i="11"/>
  <c r="H6" i="11"/>
  <c r="H181" i="11"/>
  <c r="H174" i="11"/>
  <c r="H167" i="11"/>
  <c r="H165" i="11"/>
  <c r="H151" i="11"/>
  <c r="H126" i="11"/>
  <c r="H101" i="11"/>
  <c r="H189" i="11"/>
  <c r="H187" i="11"/>
  <c r="H170" i="11"/>
  <c r="H164" i="11"/>
  <c r="H72" i="11"/>
  <c r="H47" i="11"/>
  <c r="H22" i="11"/>
  <c r="H141" i="11"/>
  <c r="H118" i="11"/>
  <c r="H111" i="11"/>
  <c r="H104" i="11"/>
  <c r="H88" i="11"/>
  <c r="H85" i="11"/>
  <c r="H79" i="11"/>
  <c r="H63" i="11"/>
  <c r="H60" i="11"/>
  <c r="H54" i="11"/>
  <c r="H38" i="11"/>
  <c r="H35" i="11"/>
  <c r="H29" i="11"/>
  <c r="H13" i="11"/>
  <c r="H10" i="11"/>
  <c r="H146" i="11"/>
  <c r="H139" i="11"/>
  <c r="H82" i="11"/>
  <c r="H57" i="11"/>
  <c r="H32" i="11"/>
  <c r="H7" i="11"/>
  <c r="H186" i="11"/>
  <c r="H96" i="11"/>
  <c r="H89" i="11"/>
  <c r="H77" i="11"/>
  <c r="H52" i="11"/>
  <c r="H27" i="11"/>
  <c r="H138" i="11"/>
  <c r="H78" i="11"/>
  <c r="H62" i="11"/>
  <c r="H39" i="11"/>
  <c r="H18" i="11"/>
  <c r="H177" i="11"/>
  <c r="H171" i="11"/>
  <c r="H149" i="11"/>
  <c r="H124" i="11"/>
  <c r="H94" i="11"/>
  <c r="H83" i="11"/>
  <c r="H69" i="11"/>
  <c r="H55" i="11"/>
  <c r="H48" i="11"/>
  <c r="H25" i="11"/>
  <c r="H136" i="11"/>
  <c r="H108" i="11"/>
  <c r="H53" i="11"/>
  <c r="H37" i="11"/>
  <c r="H14" i="11"/>
  <c r="H163" i="11"/>
  <c r="H161" i="11"/>
  <c r="H129" i="11"/>
  <c r="H121" i="11"/>
  <c r="H99" i="11"/>
  <c r="H87" i="11"/>
  <c r="H64" i="11"/>
  <c r="H43" i="11"/>
  <c r="H74" i="11"/>
  <c r="H180" i="11"/>
  <c r="H143" i="11"/>
  <c r="H116" i="11"/>
  <c r="H114" i="11"/>
  <c r="H184" i="11"/>
  <c r="H59" i="11"/>
  <c r="H33" i="11"/>
  <c r="H23" i="11"/>
  <c r="H15" i="11"/>
  <c r="H9" i="11"/>
  <c r="H133" i="11"/>
  <c r="H153" i="11"/>
  <c r="H67" i="11"/>
  <c r="H65" i="11"/>
  <c r="H144" i="11"/>
  <c r="H119" i="11"/>
  <c r="H30" i="11"/>
  <c r="H28" i="11"/>
  <c r="H24" i="11"/>
  <c r="H154" i="11"/>
  <c r="H128" i="11"/>
  <c r="H93" i="11"/>
  <c r="H84" i="11"/>
  <c r="H45" i="11"/>
  <c r="H34" i="11"/>
  <c r="H19" i="11"/>
  <c r="H8" i="11"/>
  <c r="H158" i="11"/>
  <c r="H73" i="11"/>
  <c r="H75" i="11"/>
  <c r="H49" i="11"/>
  <c r="H12" i="11"/>
  <c r="H5" i="11"/>
  <c r="H68" i="11"/>
  <c r="H50" i="11"/>
  <c r="H20" i="11"/>
  <c r="H70" i="11"/>
  <c r="H103" i="11"/>
  <c r="H91" i="11"/>
  <c r="H17" i="11"/>
  <c r="H58" i="11"/>
  <c r="H42" i="11"/>
  <c r="H40" i="11"/>
  <c r="H44" i="11"/>
  <c r="H113" i="11"/>
  <c r="H80" i="11"/>
  <c r="AA190" i="10"/>
  <c r="AA185" i="10"/>
  <c r="AA180" i="10"/>
  <c r="AQ180" i="10" s="1"/>
  <c r="AA175" i="10"/>
  <c r="AA170" i="10"/>
  <c r="AA189" i="10"/>
  <c r="AQ189" i="10" s="1"/>
  <c r="AA187" i="10"/>
  <c r="AQ187" i="10" s="1"/>
  <c r="AA184" i="10"/>
  <c r="AA165" i="10"/>
  <c r="AQ165" i="10" s="1"/>
  <c r="AA160" i="10"/>
  <c r="AA155" i="10"/>
  <c r="AA150" i="10"/>
  <c r="AA145" i="10"/>
  <c r="AA140" i="10"/>
  <c r="AQ140" i="10" s="1"/>
  <c r="AA135" i="10"/>
  <c r="AA130" i="10"/>
  <c r="AQ130" i="10" s="1"/>
  <c r="AA186" i="10"/>
  <c r="AA174" i="10"/>
  <c r="AA173" i="10"/>
  <c r="AQ173" i="10" s="1"/>
  <c r="AA172" i="10"/>
  <c r="AA171" i="10"/>
  <c r="AA178" i="10"/>
  <c r="AA167" i="10"/>
  <c r="AA162" i="10"/>
  <c r="AA157" i="10"/>
  <c r="AA152" i="10"/>
  <c r="AQ152" i="10" s="1"/>
  <c r="AA164" i="10"/>
  <c r="AQ164" i="10" s="1"/>
  <c r="AA153" i="10"/>
  <c r="AQ153" i="10" s="1"/>
  <c r="AA147" i="10"/>
  <c r="AQ147" i="10" s="1"/>
  <c r="AA143" i="10"/>
  <c r="AQ143" i="10" s="1"/>
  <c r="AA134" i="10"/>
  <c r="AA181" i="10"/>
  <c r="AQ181" i="10" s="1"/>
  <c r="AA156" i="10"/>
  <c r="AA139" i="10"/>
  <c r="AA188" i="10"/>
  <c r="AA179" i="10"/>
  <c r="AA169" i="10"/>
  <c r="AA158" i="10"/>
  <c r="AQ158" i="10" s="1"/>
  <c r="AA148" i="10"/>
  <c r="AA144" i="10"/>
  <c r="AA176" i="10"/>
  <c r="AA166" i="10"/>
  <c r="AA182" i="10"/>
  <c r="AA126" i="10"/>
  <c r="AA163" i="10"/>
  <c r="AA132" i="10"/>
  <c r="AQ132" i="10" s="1"/>
  <c r="AA122" i="10"/>
  <c r="AQ122" i="10" s="1"/>
  <c r="AA117" i="10"/>
  <c r="AA110" i="10"/>
  <c r="AQ110" i="10" s="1"/>
  <c r="AA105" i="10"/>
  <c r="AQ105" i="10" s="1"/>
  <c r="AA100" i="10"/>
  <c r="AQ100" i="10" s="1"/>
  <c r="AA95" i="10"/>
  <c r="AQ95" i="10" s="1"/>
  <c r="AA90" i="10"/>
  <c r="AA85" i="10"/>
  <c r="AA80" i="10"/>
  <c r="AA75" i="10"/>
  <c r="AA70" i="10"/>
  <c r="AQ70" i="10" s="1"/>
  <c r="AA123" i="10"/>
  <c r="AQ123" i="10" s="1"/>
  <c r="AA118" i="10"/>
  <c r="AQ118" i="10" s="1"/>
  <c r="AA168" i="10"/>
  <c r="AQ168" i="10" s="1"/>
  <c r="AA141" i="10"/>
  <c r="AA128" i="10"/>
  <c r="AQ128" i="10" s="1"/>
  <c r="AA149" i="10"/>
  <c r="AA109" i="10"/>
  <c r="AA107" i="10"/>
  <c r="AA81" i="10"/>
  <c r="AA79" i="10"/>
  <c r="AA50" i="10"/>
  <c r="AA45" i="10"/>
  <c r="AQ45" i="10" s="1"/>
  <c r="AA40" i="10"/>
  <c r="AQ40" i="10" s="1"/>
  <c r="AA35" i="10"/>
  <c r="AQ35" i="10" s="1"/>
  <c r="AA30" i="10"/>
  <c r="AQ30" i="10" s="1"/>
  <c r="AA25" i="10"/>
  <c r="AA20" i="10"/>
  <c r="AA15" i="10"/>
  <c r="AA10" i="10"/>
  <c r="AA5" i="10"/>
  <c r="AA114" i="10"/>
  <c r="AA98" i="10"/>
  <c r="AQ98" i="10" s="1"/>
  <c r="AA146" i="10"/>
  <c r="AQ146" i="10" s="1"/>
  <c r="AA136" i="10"/>
  <c r="AQ136" i="10" s="1"/>
  <c r="AA127" i="10"/>
  <c r="AA125" i="10"/>
  <c r="AA116" i="10"/>
  <c r="AA115" i="10"/>
  <c r="AA112" i="10"/>
  <c r="AA91" i="10"/>
  <c r="AA88" i="10"/>
  <c r="AA86" i="10"/>
  <c r="AQ86" i="10" s="1"/>
  <c r="AA84" i="10"/>
  <c r="AQ84" i="10" s="1"/>
  <c r="AA154" i="10"/>
  <c r="AA129" i="10"/>
  <c r="AA124" i="10"/>
  <c r="AA96" i="10"/>
  <c r="AA93" i="10"/>
  <c r="AA49" i="10"/>
  <c r="AA44" i="10"/>
  <c r="AQ44" i="10" s="1"/>
  <c r="AA39" i="10"/>
  <c r="AQ39" i="10" s="1"/>
  <c r="AA34" i="10"/>
  <c r="AA29" i="10"/>
  <c r="AQ29" i="10" s="1"/>
  <c r="AA24" i="10"/>
  <c r="AA19" i="10"/>
  <c r="AA14" i="10"/>
  <c r="AA9" i="10"/>
  <c r="AA101" i="10"/>
  <c r="AA71" i="10"/>
  <c r="AA183" i="10"/>
  <c r="AQ183" i="10" s="1"/>
  <c r="AA137" i="10"/>
  <c r="AQ137" i="10" s="1"/>
  <c r="AA106" i="10"/>
  <c r="AA103" i="10"/>
  <c r="AQ103" i="10" s="1"/>
  <c r="AA177" i="10"/>
  <c r="AA111" i="10"/>
  <c r="AA108" i="10"/>
  <c r="AA138" i="10"/>
  <c r="AA131" i="10"/>
  <c r="AA121" i="10"/>
  <c r="AA120" i="10"/>
  <c r="AA113" i="10"/>
  <c r="AQ113" i="10" s="1"/>
  <c r="AA89" i="10"/>
  <c r="AA119" i="10"/>
  <c r="AQ119" i="10" s="1"/>
  <c r="AA94" i="10"/>
  <c r="AQ94" i="10" s="1"/>
  <c r="AA92" i="10"/>
  <c r="AA161" i="10"/>
  <c r="AA159" i="10"/>
  <c r="AA133" i="10"/>
  <c r="AA99" i="10"/>
  <c r="AQ99" i="10" s="1"/>
  <c r="AA97" i="10"/>
  <c r="AQ97" i="10" s="1"/>
  <c r="AA83" i="10"/>
  <c r="AQ83" i="10" s="1"/>
  <c r="AA51" i="10"/>
  <c r="AA46" i="10"/>
  <c r="AQ46" i="10" s="1"/>
  <c r="AA41" i="10"/>
  <c r="AA36" i="10"/>
  <c r="AA31" i="10"/>
  <c r="AA26" i="10"/>
  <c r="AA21" i="10"/>
  <c r="AA16" i="10"/>
  <c r="AQ16" i="10" s="1"/>
  <c r="AA11" i="10"/>
  <c r="AQ11" i="10" s="1"/>
  <c r="AA6" i="10"/>
  <c r="AA151" i="10"/>
  <c r="AA142" i="10"/>
  <c r="AA104" i="10"/>
  <c r="AA102" i="10"/>
  <c r="AQ102" i="10" s="1"/>
  <c r="AA78" i="10"/>
  <c r="AA69" i="10"/>
  <c r="AA32" i="10"/>
  <c r="AA23" i="10"/>
  <c r="AA64" i="10"/>
  <c r="AA54" i="10"/>
  <c r="AA47" i="10"/>
  <c r="AA37" i="10"/>
  <c r="AA28" i="10"/>
  <c r="AA53" i="10"/>
  <c r="AQ53" i="10" s="1"/>
  <c r="AA22" i="10"/>
  <c r="AA67" i="10"/>
  <c r="AA57" i="10"/>
  <c r="AA48" i="10"/>
  <c r="AA17" i="10"/>
  <c r="AA8" i="10"/>
  <c r="AQ8" i="10" s="1"/>
  <c r="AA63" i="10"/>
  <c r="AA73" i="10"/>
  <c r="AQ73" i="10" s="1"/>
  <c r="AA72" i="10"/>
  <c r="AA66" i="10"/>
  <c r="AQ66" i="10" s="1"/>
  <c r="AA65" i="10"/>
  <c r="AA56" i="10"/>
  <c r="AA55" i="10"/>
  <c r="AA43" i="10"/>
  <c r="AA74" i="10"/>
  <c r="AA13" i="10"/>
  <c r="AQ13" i="10" s="1"/>
  <c r="AA87" i="10"/>
  <c r="AQ87" i="10" s="1"/>
  <c r="AA7" i="10"/>
  <c r="AA62" i="10"/>
  <c r="AA52" i="10"/>
  <c r="AQ52" i="10" s="1"/>
  <c r="AA42" i="10"/>
  <c r="AA33" i="10"/>
  <c r="AA82" i="10"/>
  <c r="AA76" i="10"/>
  <c r="AQ76" i="10" s="1"/>
  <c r="AA61" i="10"/>
  <c r="AA60" i="10"/>
  <c r="AA27" i="10"/>
  <c r="AQ27" i="10" s="1"/>
  <c r="AA18" i="10"/>
  <c r="AQ18" i="10" s="1"/>
  <c r="AA77" i="10"/>
  <c r="AA59" i="10"/>
  <c r="AQ59" i="10" s="1"/>
  <c r="AA12" i="10"/>
  <c r="AA68" i="10"/>
  <c r="AA58" i="10"/>
  <c r="AA38" i="10"/>
  <c r="AQ33" i="10"/>
  <c r="AQ150" i="10"/>
  <c r="AQ126" i="10"/>
  <c r="AQ185" i="10"/>
  <c r="AH56" i="10"/>
  <c r="AH49" i="10"/>
  <c r="AH60" i="10"/>
  <c r="AH7" i="10"/>
  <c r="AH27" i="10"/>
  <c r="AH169" i="10"/>
  <c r="AH86" i="10"/>
  <c r="AH69" i="10"/>
  <c r="AH31" i="10"/>
  <c r="AH143" i="10"/>
  <c r="AH136" i="10"/>
  <c r="AH155" i="10"/>
  <c r="AH111" i="10"/>
  <c r="AH175" i="10"/>
  <c r="AH97" i="10"/>
  <c r="AH168" i="10"/>
  <c r="AH161" i="10"/>
  <c r="AH147" i="10"/>
  <c r="AH186" i="10"/>
  <c r="AP24" i="10"/>
  <c r="AP13" i="10"/>
  <c r="AP11" i="10"/>
  <c r="AP43" i="10"/>
  <c r="AP121" i="10"/>
  <c r="AP129" i="10"/>
  <c r="AP106" i="10"/>
  <c r="AP56" i="10"/>
  <c r="AP72" i="10"/>
  <c r="AP32" i="10"/>
  <c r="AP71" i="10"/>
  <c r="AP109" i="10"/>
  <c r="AP97" i="10"/>
  <c r="AP73" i="10"/>
  <c r="AP165" i="10"/>
  <c r="AP156" i="10"/>
  <c r="AP157" i="10"/>
  <c r="AP133" i="10"/>
  <c r="AQ133" i="10" s="1"/>
  <c r="AP177" i="10"/>
  <c r="AQ138" i="10"/>
  <c r="AQ38" i="10"/>
  <c r="AQ148" i="10"/>
  <c r="AQ188" i="10"/>
  <c r="AH66" i="10"/>
  <c r="AH58" i="10"/>
  <c r="AH12" i="10"/>
  <c r="AH13" i="10"/>
  <c r="AH75" i="10"/>
  <c r="AQ75" i="10" s="1"/>
  <c r="AH139" i="10"/>
  <c r="AH99" i="10"/>
  <c r="AH105" i="10"/>
  <c r="AH36" i="10"/>
  <c r="AH45" i="10"/>
  <c r="AH154" i="10"/>
  <c r="AH180" i="10"/>
  <c r="AH171" i="10"/>
  <c r="AH52" i="10"/>
  <c r="AH102" i="10"/>
  <c r="AH190" i="10"/>
  <c r="AH166" i="10"/>
  <c r="AQ166" i="10" s="1"/>
  <c r="AH152" i="10"/>
  <c r="AP45" i="10"/>
  <c r="AP19" i="10"/>
  <c r="AP20" i="10"/>
  <c r="AP5" i="10"/>
  <c r="AP131" i="10"/>
  <c r="AP149" i="10"/>
  <c r="AP115" i="10"/>
  <c r="AP57" i="10"/>
  <c r="AP77" i="10"/>
  <c r="AP37" i="10"/>
  <c r="AP86" i="10"/>
  <c r="AP126" i="10"/>
  <c r="AP102" i="10"/>
  <c r="AP78" i="10"/>
  <c r="AP155" i="10"/>
  <c r="AP190" i="10"/>
  <c r="AP162" i="10"/>
  <c r="AP138" i="10"/>
  <c r="AP182" i="10"/>
  <c r="AQ28" i="10"/>
  <c r="AQ67" i="10"/>
  <c r="AQ50" i="10"/>
  <c r="AN188" i="10"/>
  <c r="AN183" i="10"/>
  <c r="AN178" i="10"/>
  <c r="AN190" i="10"/>
  <c r="AN179" i="10"/>
  <c r="AQ179" i="10" s="1"/>
  <c r="AN173" i="10"/>
  <c r="AN172" i="10"/>
  <c r="AN171" i="10"/>
  <c r="AN170" i="10"/>
  <c r="AN169" i="10"/>
  <c r="AN164" i="10"/>
  <c r="AN159" i="10"/>
  <c r="AN154" i="10"/>
  <c r="AN149" i="10"/>
  <c r="AN144" i="10"/>
  <c r="AN139" i="10"/>
  <c r="AN134" i="10"/>
  <c r="AN129" i="10"/>
  <c r="AN124" i="10"/>
  <c r="AN119" i="10"/>
  <c r="AN114" i="10"/>
  <c r="AN175" i="10"/>
  <c r="AN174" i="10"/>
  <c r="AN184" i="10"/>
  <c r="AN180" i="10"/>
  <c r="AN168" i="10"/>
  <c r="AN163" i="10"/>
  <c r="AN158" i="10"/>
  <c r="AN153" i="10"/>
  <c r="AN185" i="10"/>
  <c r="AN189" i="10"/>
  <c r="AN165" i="10"/>
  <c r="AN162" i="10"/>
  <c r="AN123" i="10"/>
  <c r="AN118" i="10"/>
  <c r="AN151" i="10"/>
  <c r="AN182" i="10"/>
  <c r="AN167" i="10"/>
  <c r="AN148" i="10"/>
  <c r="AN181" i="10"/>
  <c r="AN186" i="10"/>
  <c r="AN161" i="10"/>
  <c r="AN187" i="10"/>
  <c r="AN152" i="10"/>
  <c r="AN150" i="10"/>
  <c r="AN141" i="10"/>
  <c r="AQ141" i="10" s="1"/>
  <c r="AN126" i="10"/>
  <c r="AN122" i="10"/>
  <c r="AN117" i="10"/>
  <c r="AN109" i="10"/>
  <c r="AN104" i="10"/>
  <c r="AN99" i="10"/>
  <c r="AN94" i="10"/>
  <c r="AN89" i="10"/>
  <c r="AN84" i="10"/>
  <c r="AN79" i="10"/>
  <c r="AQ79" i="10" s="1"/>
  <c r="AN74" i="10"/>
  <c r="AN69" i="10"/>
  <c r="AN64" i="10"/>
  <c r="AN59" i="10"/>
  <c r="AN54" i="10"/>
  <c r="AN137" i="10"/>
  <c r="AN130" i="10"/>
  <c r="AN176" i="10"/>
  <c r="AN166" i="10"/>
  <c r="AN132" i="10"/>
  <c r="AN108" i="10"/>
  <c r="AN103" i="10"/>
  <c r="AN98" i="10"/>
  <c r="AN93" i="10"/>
  <c r="AN88" i="10"/>
  <c r="AN140" i="10"/>
  <c r="AN138" i="10"/>
  <c r="AN121" i="10"/>
  <c r="AN116" i="10"/>
  <c r="AN110" i="10"/>
  <c r="AN105" i="10"/>
  <c r="AN100" i="10"/>
  <c r="AN95" i="10"/>
  <c r="AN90" i="10"/>
  <c r="AN85" i="10"/>
  <c r="AN80" i="10"/>
  <c r="AN75" i="10"/>
  <c r="AN160" i="10"/>
  <c r="AN156" i="10"/>
  <c r="AN147" i="10"/>
  <c r="AN120" i="10"/>
  <c r="AN102" i="10"/>
  <c r="AN76" i="10"/>
  <c r="AN70" i="10"/>
  <c r="AN133" i="10"/>
  <c r="AN63" i="10"/>
  <c r="AN131" i="10"/>
  <c r="AQ131" i="10" s="1"/>
  <c r="AN107" i="10"/>
  <c r="AQ107" i="10" s="1"/>
  <c r="AN81" i="10"/>
  <c r="AN48" i="10"/>
  <c r="AN43" i="10"/>
  <c r="AN38" i="10"/>
  <c r="AN33" i="10"/>
  <c r="AN28" i="10"/>
  <c r="AN23" i="10"/>
  <c r="AN18" i="10"/>
  <c r="AN13" i="10"/>
  <c r="AN8" i="10"/>
  <c r="AN177" i="10"/>
  <c r="AQ177" i="10" s="1"/>
  <c r="AN112" i="10"/>
  <c r="AQ112" i="10" s="1"/>
  <c r="AN86" i="10"/>
  <c r="AN71" i="10"/>
  <c r="AN91" i="10"/>
  <c r="AN53" i="10"/>
  <c r="AN58" i="10"/>
  <c r="AN47" i="10"/>
  <c r="AN155" i="10"/>
  <c r="AN96" i="10"/>
  <c r="AN145" i="10"/>
  <c r="AN135" i="10"/>
  <c r="AN127" i="10"/>
  <c r="AN125" i="10"/>
  <c r="AN115" i="10"/>
  <c r="AN101" i="10"/>
  <c r="AN157" i="10"/>
  <c r="AN142" i="10"/>
  <c r="AN128" i="10"/>
  <c r="AN106" i="10"/>
  <c r="AQ106" i="10" s="1"/>
  <c r="AN136" i="10"/>
  <c r="AN111" i="10"/>
  <c r="AQ111" i="10" s="1"/>
  <c r="AN146" i="10"/>
  <c r="AN143" i="10"/>
  <c r="AN113" i="10"/>
  <c r="AN92" i="10"/>
  <c r="AN83" i="10"/>
  <c r="AN97" i="10"/>
  <c r="AN61" i="10"/>
  <c r="AN30" i="10"/>
  <c r="AN24" i="10"/>
  <c r="AN21" i="10"/>
  <c r="AN87" i="10"/>
  <c r="AN77" i="10"/>
  <c r="AN68" i="10"/>
  <c r="AN35" i="10"/>
  <c r="AN29" i="10"/>
  <c r="AN26" i="10"/>
  <c r="AN50" i="10"/>
  <c r="AN37" i="10"/>
  <c r="AN11" i="10"/>
  <c r="AN60" i="10"/>
  <c r="AQ60" i="10" s="1"/>
  <c r="AN51" i="10"/>
  <c r="AN45" i="10"/>
  <c r="AN32" i="10"/>
  <c r="AN15" i="10"/>
  <c r="AN9" i="10"/>
  <c r="AN6" i="10"/>
  <c r="AN14" i="10"/>
  <c r="AN82" i="10"/>
  <c r="AN44" i="10"/>
  <c r="AN41" i="10"/>
  <c r="AN17" i="10"/>
  <c r="AN57" i="10"/>
  <c r="AN67" i="10"/>
  <c r="AN20" i="10"/>
  <c r="AN78" i="10"/>
  <c r="AN66" i="10"/>
  <c r="AN56" i="10"/>
  <c r="AN49" i="10"/>
  <c r="AN22" i="10"/>
  <c r="AN5" i="10"/>
  <c r="AQ5" i="10" s="1"/>
  <c r="AN72" i="10"/>
  <c r="AN65" i="10"/>
  <c r="AN55" i="10"/>
  <c r="AN40" i="10"/>
  <c r="AN34" i="10"/>
  <c r="AN31" i="10"/>
  <c r="AN7" i="10"/>
  <c r="AN73" i="10"/>
  <c r="AN42" i="10"/>
  <c r="AN25" i="10"/>
  <c r="AN19" i="10"/>
  <c r="AN16" i="10"/>
  <c r="AN46" i="10"/>
  <c r="AN27" i="10"/>
  <c r="AN10" i="10"/>
  <c r="AN62" i="10"/>
  <c r="AN52" i="10"/>
  <c r="AN39" i="10"/>
  <c r="AN36" i="10"/>
  <c r="AN12" i="10"/>
  <c r="AQ12" i="10" s="1"/>
  <c r="AQ78" i="10"/>
  <c r="AQ144" i="10"/>
  <c r="AQ171" i="10"/>
  <c r="AH71" i="10"/>
  <c r="AQ71" i="10" s="1"/>
  <c r="AH70" i="10"/>
  <c r="AH18" i="10"/>
  <c r="AH54" i="10"/>
  <c r="AQ54" i="10" s="1"/>
  <c r="AH10" i="10"/>
  <c r="AH109" i="10"/>
  <c r="AH119" i="10"/>
  <c r="AH140" i="10"/>
  <c r="AH41" i="10"/>
  <c r="AH89" i="10"/>
  <c r="AH73" i="10"/>
  <c r="AH145" i="10"/>
  <c r="AQ145" i="10" s="1"/>
  <c r="AH115" i="10"/>
  <c r="AH57" i="10"/>
  <c r="AH107" i="10"/>
  <c r="AH146" i="10"/>
  <c r="AH178" i="10"/>
  <c r="AP75" i="10"/>
  <c r="AP16" i="10"/>
  <c r="AP23" i="10"/>
  <c r="AP8" i="10"/>
  <c r="AP137" i="10"/>
  <c r="AP95" i="10"/>
  <c r="AP116" i="10"/>
  <c r="AP59" i="10"/>
  <c r="AP96" i="10"/>
  <c r="AP42" i="10"/>
  <c r="AP119" i="10"/>
  <c r="AP141" i="10"/>
  <c r="AP107" i="10"/>
  <c r="AP83" i="10"/>
  <c r="AP166" i="10"/>
  <c r="AP113" i="10"/>
  <c r="AP167" i="10"/>
  <c r="AP143" i="10"/>
  <c r="V380" i="10" l="1"/>
  <c r="Q380" i="10"/>
  <c r="G380" i="10"/>
  <c r="R379" i="10"/>
  <c r="H379" i="10"/>
  <c r="S378" i="10"/>
  <c r="I378" i="10"/>
  <c r="T377" i="10"/>
  <c r="J377" i="10"/>
  <c r="U376" i="10"/>
  <c r="K376" i="10"/>
  <c r="V375" i="10"/>
  <c r="L375" i="10"/>
  <c r="B375" i="10"/>
  <c r="M374" i="10"/>
  <c r="C374" i="10"/>
  <c r="N373" i="10"/>
  <c r="D373" i="10"/>
  <c r="O372" i="10"/>
  <c r="E372" i="10"/>
  <c r="P371" i="10"/>
  <c r="F371" i="10"/>
  <c r="Q370" i="10"/>
  <c r="G370" i="10"/>
  <c r="R369" i="10"/>
  <c r="H369" i="10"/>
  <c r="S368" i="10"/>
  <c r="I368" i="10"/>
  <c r="T367" i="10"/>
  <c r="J367" i="10"/>
  <c r="U366" i="10"/>
  <c r="K366" i="10"/>
  <c r="V365" i="10"/>
  <c r="L365" i="10"/>
  <c r="B365" i="10"/>
  <c r="M364" i="10"/>
  <c r="C364" i="10"/>
  <c r="N363" i="10"/>
  <c r="D363" i="10"/>
  <c r="O362" i="10"/>
  <c r="E362" i="10"/>
  <c r="P361" i="10"/>
  <c r="F361" i="10"/>
  <c r="Q360" i="10"/>
  <c r="G360" i="10"/>
  <c r="R359" i="10"/>
  <c r="H359" i="10"/>
  <c r="S358" i="10"/>
  <c r="I358" i="10"/>
  <c r="T357" i="10"/>
  <c r="J357" i="10"/>
  <c r="U356" i="10"/>
  <c r="K356" i="10"/>
  <c r="V355" i="10"/>
  <c r="L355" i="10"/>
  <c r="B355" i="10"/>
  <c r="M354" i="10"/>
  <c r="C354" i="10"/>
  <c r="N353" i="10"/>
  <c r="D353" i="10"/>
  <c r="O352" i="10"/>
  <c r="E352" i="10"/>
  <c r="P351" i="10"/>
  <c r="F351" i="10"/>
  <c r="P380" i="10"/>
  <c r="F380" i="10"/>
  <c r="Q379" i="10"/>
  <c r="G379" i="10"/>
  <c r="R378" i="10"/>
  <c r="H378" i="10"/>
  <c r="S377" i="10"/>
  <c r="I377" i="10"/>
  <c r="T376" i="10"/>
  <c r="J376" i="10"/>
  <c r="U375" i="10"/>
  <c r="K375" i="10"/>
  <c r="V374" i="10"/>
  <c r="L374" i="10"/>
  <c r="B374" i="10"/>
  <c r="M373" i="10"/>
  <c r="C373" i="10"/>
  <c r="N372" i="10"/>
  <c r="D372" i="10"/>
  <c r="O371" i="10"/>
  <c r="E371" i="10"/>
  <c r="P370" i="10"/>
  <c r="F370" i="10"/>
  <c r="Q369" i="10"/>
  <c r="G369" i="10"/>
  <c r="R368" i="10"/>
  <c r="H368" i="10"/>
  <c r="S367" i="10"/>
  <c r="I367" i="10"/>
  <c r="T366" i="10"/>
  <c r="J366" i="10"/>
  <c r="U365" i="10"/>
  <c r="K365" i="10"/>
  <c r="V364" i="10"/>
  <c r="L364" i="10"/>
  <c r="B364" i="10"/>
  <c r="M363" i="10"/>
  <c r="C363" i="10"/>
  <c r="N362" i="10"/>
  <c r="D362" i="10"/>
  <c r="O361" i="10"/>
  <c r="E361" i="10"/>
  <c r="P360" i="10"/>
  <c r="F360" i="10"/>
  <c r="Q359" i="10"/>
  <c r="G359" i="10"/>
  <c r="R358" i="10"/>
  <c r="H358" i="10"/>
  <c r="S357" i="10"/>
  <c r="I357" i="10"/>
  <c r="T356" i="10"/>
  <c r="J356" i="10"/>
  <c r="U355" i="10"/>
  <c r="K355" i="10"/>
  <c r="V354" i="10"/>
  <c r="L354" i="10"/>
  <c r="B354" i="10"/>
  <c r="M353" i="10"/>
  <c r="C353" i="10"/>
  <c r="O380" i="10"/>
  <c r="E380" i="10"/>
  <c r="P379" i="10"/>
  <c r="F379" i="10"/>
  <c r="Q378" i="10"/>
  <c r="G378" i="10"/>
  <c r="R377" i="10"/>
  <c r="H377" i="10"/>
  <c r="S376" i="10"/>
  <c r="I376" i="10"/>
  <c r="T375" i="10"/>
  <c r="J375" i="10"/>
  <c r="U374" i="10"/>
  <c r="K374" i="10"/>
  <c r="V373" i="10"/>
  <c r="L373" i="10"/>
  <c r="B373" i="10"/>
  <c r="M372" i="10"/>
  <c r="C372" i="10"/>
  <c r="N371" i="10"/>
  <c r="D371" i="10"/>
  <c r="O370" i="10"/>
  <c r="E370" i="10"/>
  <c r="P369" i="10"/>
  <c r="F369" i="10"/>
  <c r="Q368" i="10"/>
  <c r="G368" i="10"/>
  <c r="R367" i="10"/>
  <c r="H367" i="10"/>
  <c r="S366" i="10"/>
  <c r="I366" i="10"/>
  <c r="T365" i="10"/>
  <c r="J365" i="10"/>
  <c r="U364" i="10"/>
  <c r="K364" i="10"/>
  <c r="V363" i="10"/>
  <c r="U380" i="10"/>
  <c r="K380" i="10"/>
  <c r="V379" i="10"/>
  <c r="L379" i="10"/>
  <c r="B379" i="10"/>
  <c r="M378" i="10"/>
  <c r="C378" i="10"/>
  <c r="N377" i="10"/>
  <c r="D377" i="10"/>
  <c r="O376" i="10"/>
  <c r="E376" i="10"/>
  <c r="P375" i="10"/>
  <c r="F375" i="10"/>
  <c r="Q374" i="10"/>
  <c r="G374" i="10"/>
  <c r="R373" i="10"/>
  <c r="H373" i="10"/>
  <c r="S372" i="10"/>
  <c r="I372" i="10"/>
  <c r="T371" i="10"/>
  <c r="J371" i="10"/>
  <c r="U370" i="10"/>
  <c r="K370" i="10"/>
  <c r="V369" i="10"/>
  <c r="L369" i="10"/>
  <c r="B369" i="10"/>
  <c r="M368" i="10"/>
  <c r="C368" i="10"/>
  <c r="N367" i="10"/>
  <c r="D367" i="10"/>
  <c r="O366" i="10"/>
  <c r="I380" i="10"/>
  <c r="M379" i="10"/>
  <c r="P378" i="10"/>
  <c r="V377" i="10"/>
  <c r="E377" i="10"/>
  <c r="H376" i="10"/>
  <c r="N375" i="10"/>
  <c r="R374" i="10"/>
  <c r="U373" i="10"/>
  <c r="F373" i="10"/>
  <c r="J372" i="10"/>
  <c r="M371" i="10"/>
  <c r="S370" i="10"/>
  <c r="B370" i="10"/>
  <c r="E369" i="10"/>
  <c r="K368" i="10"/>
  <c r="O367" i="10"/>
  <c r="R366" i="10"/>
  <c r="D366" i="10"/>
  <c r="I365" i="10"/>
  <c r="Q364" i="10"/>
  <c r="D364" i="10"/>
  <c r="J363" i="10"/>
  <c r="S362" i="10"/>
  <c r="G362" i="10"/>
  <c r="N361" i="10"/>
  <c r="B361" i="10"/>
  <c r="K360" i="10"/>
  <c r="T359" i="10"/>
  <c r="F359" i="10"/>
  <c r="O358" i="10"/>
  <c r="C358" i="10"/>
  <c r="L357" i="10"/>
  <c r="S356" i="10"/>
  <c r="G356" i="10"/>
  <c r="P355" i="10"/>
  <c r="D355" i="10"/>
  <c r="K354" i="10"/>
  <c r="T353" i="10"/>
  <c r="H353" i="10"/>
  <c r="Q352" i="10"/>
  <c r="F352" i="10"/>
  <c r="O351" i="10"/>
  <c r="D351" i="10"/>
  <c r="O350" i="10"/>
  <c r="E350" i="10"/>
  <c r="P349" i="10"/>
  <c r="F349" i="10"/>
  <c r="Q348" i="10"/>
  <c r="G348" i="10"/>
  <c r="R347" i="10"/>
  <c r="H347" i="10"/>
  <c r="S346" i="10"/>
  <c r="I346" i="10"/>
  <c r="T345" i="10"/>
  <c r="J345" i="10"/>
  <c r="U344" i="10"/>
  <c r="K344" i="10"/>
  <c r="V343" i="10"/>
  <c r="L343" i="10"/>
  <c r="B343" i="10"/>
  <c r="M342" i="10"/>
  <c r="C342" i="10"/>
  <c r="N341" i="10"/>
  <c r="D341" i="10"/>
  <c r="O340" i="10"/>
  <c r="E340" i="10"/>
  <c r="P339" i="10"/>
  <c r="F339" i="10"/>
  <c r="Q338" i="10"/>
  <c r="G338" i="10"/>
  <c r="R337" i="10"/>
  <c r="H337" i="10"/>
  <c r="S336" i="10"/>
  <c r="I336" i="10"/>
  <c r="T335" i="10"/>
  <c r="J335" i="10"/>
  <c r="U334" i="10"/>
  <c r="K334" i="10"/>
  <c r="V333" i="10"/>
  <c r="L333" i="10"/>
  <c r="B333" i="10"/>
  <c r="M332" i="10"/>
  <c r="H380" i="10"/>
  <c r="K379" i="10"/>
  <c r="O378" i="10"/>
  <c r="U377" i="10"/>
  <c r="C377" i="10"/>
  <c r="G376" i="10"/>
  <c r="M375" i="10"/>
  <c r="P374" i="10"/>
  <c r="T373" i="10"/>
  <c r="E373" i="10"/>
  <c r="H372" i="10"/>
  <c r="L371" i="10"/>
  <c r="R370" i="10"/>
  <c r="U369" i="10"/>
  <c r="D369" i="10"/>
  <c r="J368" i="10"/>
  <c r="M367" i="10"/>
  <c r="Q366" i="10"/>
  <c r="C366" i="10"/>
  <c r="H365" i="10"/>
  <c r="P364" i="10"/>
  <c r="U363" i="10"/>
  <c r="I363" i="10"/>
  <c r="R362" i="10"/>
  <c r="F362" i="10"/>
  <c r="M361" i="10"/>
  <c r="V360" i="10"/>
  <c r="J360" i="10"/>
  <c r="S359" i="10"/>
  <c r="E359" i="10"/>
  <c r="N358" i="10"/>
  <c r="B358" i="10"/>
  <c r="K357" i="10"/>
  <c r="R356" i="10"/>
  <c r="F356" i="10"/>
  <c r="O355" i="10"/>
  <c r="C355" i="10"/>
  <c r="J354" i="10"/>
  <c r="S353" i="10"/>
  <c r="G353" i="10"/>
  <c r="P352" i="10"/>
  <c r="D352" i="10"/>
  <c r="N351" i="10"/>
  <c r="C351" i="10"/>
  <c r="N350" i="10"/>
  <c r="D350" i="10"/>
  <c r="O349" i="10"/>
  <c r="E349" i="10"/>
  <c r="P348" i="10"/>
  <c r="F348" i="10"/>
  <c r="Q347" i="10"/>
  <c r="G347" i="10"/>
  <c r="R346" i="10"/>
  <c r="H346" i="10"/>
  <c r="S345" i="10"/>
  <c r="I345" i="10"/>
  <c r="T344" i="10"/>
  <c r="J344" i="10"/>
  <c r="U343" i="10"/>
  <c r="K343" i="10"/>
  <c r="V342" i="10"/>
  <c r="L342" i="10"/>
  <c r="B342" i="10"/>
  <c r="M341" i="10"/>
  <c r="C341" i="10"/>
  <c r="N340" i="10"/>
  <c r="D340" i="10"/>
  <c r="O339" i="10"/>
  <c r="E339" i="10"/>
  <c r="P338" i="10"/>
  <c r="F338" i="10"/>
  <c r="Q337" i="10"/>
  <c r="G337" i="10"/>
  <c r="R336" i="10"/>
  <c r="H336" i="10"/>
  <c r="S335" i="10"/>
  <c r="I335" i="10"/>
  <c r="T334" i="10"/>
  <c r="J334" i="10"/>
  <c r="U333" i="10"/>
  <c r="K333" i="10"/>
  <c r="V332" i="10"/>
  <c r="L332" i="10"/>
  <c r="B332" i="10"/>
  <c r="M331" i="10"/>
  <c r="C331" i="10"/>
  <c r="N330" i="10"/>
  <c r="D330" i="10"/>
  <c r="O329" i="10"/>
  <c r="D380" i="10"/>
  <c r="J379" i="10"/>
  <c r="N378" i="10"/>
  <c r="Q377" i="10"/>
  <c r="B377" i="10"/>
  <c r="F376" i="10"/>
  <c r="I375" i="10"/>
  <c r="O374" i="10"/>
  <c r="S373" i="10"/>
  <c r="V372" i="10"/>
  <c r="G372" i="10"/>
  <c r="K371" i="10"/>
  <c r="N370" i="10"/>
  <c r="T369" i="10"/>
  <c r="C369" i="10"/>
  <c r="F368" i="10"/>
  <c r="L367" i="10"/>
  <c r="P366" i="10"/>
  <c r="B366" i="10"/>
  <c r="G365" i="10"/>
  <c r="O364" i="10"/>
  <c r="T363" i="10"/>
  <c r="H363" i="10"/>
  <c r="Q362" i="10"/>
  <c r="C362" i="10"/>
  <c r="L361" i="10"/>
  <c r="U360" i="10"/>
  <c r="I360" i="10"/>
  <c r="P359" i="10"/>
  <c r="D359" i="10"/>
  <c r="M358" i="10"/>
  <c r="V357" i="10"/>
  <c r="H357" i="10"/>
  <c r="Q356" i="10"/>
  <c r="E356" i="10"/>
  <c r="N355" i="10"/>
  <c r="U354" i="10"/>
  <c r="I354" i="10"/>
  <c r="R353" i="10"/>
  <c r="F353" i="10"/>
  <c r="N352" i="10"/>
  <c r="C352" i="10"/>
  <c r="M351" i="10"/>
  <c r="B351" i="10"/>
  <c r="M350" i="10"/>
  <c r="C350" i="10"/>
  <c r="N349" i="10"/>
  <c r="D349" i="10"/>
  <c r="O348" i="10"/>
  <c r="E348" i="10"/>
  <c r="P347" i="10"/>
  <c r="F347" i="10"/>
  <c r="Q346" i="10"/>
  <c r="G346" i="10"/>
  <c r="R345" i="10"/>
  <c r="H345" i="10"/>
  <c r="S344" i="10"/>
  <c r="I344" i="10"/>
  <c r="T343" i="10"/>
  <c r="J343" i="10"/>
  <c r="U342" i="10"/>
  <c r="K342" i="10"/>
  <c r="L380" i="10"/>
  <c r="O379" i="10"/>
  <c r="U378" i="10"/>
  <c r="D378" i="10"/>
  <c r="G377" i="10"/>
  <c r="M376" i="10"/>
  <c r="Q375" i="10"/>
  <c r="T374" i="10"/>
  <c r="E374" i="10"/>
  <c r="I373" i="10"/>
  <c r="L372" i="10"/>
  <c r="R371" i="10"/>
  <c r="V370" i="10"/>
  <c r="D370" i="10"/>
  <c r="J369" i="10"/>
  <c r="N368" i="10"/>
  <c r="Q367" i="10"/>
  <c r="B367" i="10"/>
  <c r="F366" i="10"/>
  <c r="N365" i="10"/>
  <c r="S364" i="10"/>
  <c r="F364" i="10"/>
  <c r="L363" i="10"/>
  <c r="U362" i="10"/>
  <c r="I362" i="10"/>
  <c r="R361" i="10"/>
  <c r="D361" i="10"/>
  <c r="M360" i="10"/>
  <c r="V359" i="10"/>
  <c r="J359" i="10"/>
  <c r="Q358" i="10"/>
  <c r="E358" i="10"/>
  <c r="N357" i="10"/>
  <c r="B357" i="10"/>
  <c r="I356" i="10"/>
  <c r="R355" i="10"/>
  <c r="F355" i="10"/>
  <c r="O354" i="10"/>
  <c r="V353" i="10"/>
  <c r="J353" i="10"/>
  <c r="S352" i="10"/>
  <c r="H352" i="10"/>
  <c r="R351" i="10"/>
  <c r="G351" i="10"/>
  <c r="Q350" i="10"/>
  <c r="G350" i="10"/>
  <c r="T380" i="10"/>
  <c r="S379" i="10"/>
  <c r="J378" i="10"/>
  <c r="V376" i="10"/>
  <c r="R375" i="10"/>
  <c r="I374" i="10"/>
  <c r="U372" i="10"/>
  <c r="S371" i="10"/>
  <c r="J370" i="10"/>
  <c r="V368" i="10"/>
  <c r="U367" i="10"/>
  <c r="L366" i="10"/>
  <c r="F365" i="10"/>
  <c r="G364" i="10"/>
  <c r="E363" i="10"/>
  <c r="B362" i="10"/>
  <c r="G361" i="10"/>
  <c r="D360" i="10"/>
  <c r="C359" i="10"/>
  <c r="F358" i="10"/>
  <c r="E357" i="10"/>
  <c r="D356" i="10"/>
  <c r="G355" i="10"/>
  <c r="F354" i="10"/>
  <c r="E353" i="10"/>
  <c r="I352" i="10"/>
  <c r="J351" i="10"/>
  <c r="L350" i="10"/>
  <c r="S349" i="10"/>
  <c r="C349" i="10"/>
  <c r="K348" i="10"/>
  <c r="S347" i="10"/>
  <c r="C347" i="10"/>
  <c r="K346" i="10"/>
  <c r="P345" i="10"/>
  <c r="C345" i="10"/>
  <c r="H344" i="10"/>
  <c r="P343" i="10"/>
  <c r="C343" i="10"/>
  <c r="H342" i="10"/>
  <c r="Q341" i="10"/>
  <c r="E341" i="10"/>
  <c r="L340" i="10"/>
  <c r="U339" i="10"/>
  <c r="I339" i="10"/>
  <c r="R338" i="10"/>
  <c r="D338" i="10"/>
  <c r="M337" i="10"/>
  <c r="V336" i="10"/>
  <c r="J336" i="10"/>
  <c r="Q335" i="10"/>
  <c r="E335" i="10"/>
  <c r="N334" i="10"/>
  <c r="B334" i="10"/>
  <c r="I333" i="10"/>
  <c r="R332" i="10"/>
  <c r="F332" i="10"/>
  <c r="P331" i="10"/>
  <c r="E331" i="10"/>
  <c r="O330" i="10"/>
  <c r="C330" i="10"/>
  <c r="M329" i="10"/>
  <c r="C329" i="10"/>
  <c r="N328" i="10"/>
  <c r="D328" i="10"/>
  <c r="O327" i="10"/>
  <c r="E327" i="10"/>
  <c r="P326" i="10"/>
  <c r="F326" i="10"/>
  <c r="Q325" i="10"/>
  <c r="G325" i="10"/>
  <c r="R324" i="10"/>
  <c r="H324" i="10"/>
  <c r="S323" i="10"/>
  <c r="I323" i="10"/>
  <c r="T322" i="10"/>
  <c r="J322" i="10"/>
  <c r="U321" i="10"/>
  <c r="K321" i="10"/>
  <c r="V320" i="10"/>
  <c r="L320" i="10"/>
  <c r="B320" i="10"/>
  <c r="M319" i="10"/>
  <c r="C319" i="10"/>
  <c r="N318" i="10"/>
  <c r="D318" i="10"/>
  <c r="O317" i="10"/>
  <c r="E317" i="10"/>
  <c r="P316" i="10"/>
  <c r="F316" i="10"/>
  <c r="Q315" i="10"/>
  <c r="G315" i="10"/>
  <c r="R314" i="10"/>
  <c r="H314" i="10"/>
  <c r="S313" i="10"/>
  <c r="I313" i="10"/>
  <c r="T312" i="10"/>
  <c r="J312" i="10"/>
  <c r="U311" i="10"/>
  <c r="K311" i="10"/>
  <c r="V310" i="10"/>
  <c r="L310" i="10"/>
  <c r="B310" i="10"/>
  <c r="M309" i="10"/>
  <c r="C309" i="10"/>
  <c r="N308" i="10"/>
  <c r="D308" i="10"/>
  <c r="O307" i="10"/>
  <c r="E307" i="10"/>
  <c r="P306" i="10"/>
  <c r="F306" i="10"/>
  <c r="Q305" i="10"/>
  <c r="G305" i="10"/>
  <c r="R304" i="10"/>
  <c r="H304" i="10"/>
  <c r="S303" i="10"/>
  <c r="I303" i="10"/>
  <c r="T302" i="10"/>
  <c r="J302" i="10"/>
  <c r="U301" i="10"/>
  <c r="K301" i="10"/>
  <c r="V300" i="10"/>
  <c r="L300" i="10"/>
  <c r="B300" i="10"/>
  <c r="M299" i="10"/>
  <c r="C299" i="10"/>
  <c r="N298" i="10"/>
  <c r="D298" i="10"/>
  <c r="O297" i="10"/>
  <c r="E297" i="10"/>
  <c r="P296" i="10"/>
  <c r="F296" i="10"/>
  <c r="Q295" i="10"/>
  <c r="G295" i="10"/>
  <c r="R294" i="10"/>
  <c r="H294" i="10"/>
  <c r="S293" i="10"/>
  <c r="I293" i="10"/>
  <c r="T292" i="10"/>
  <c r="J292" i="10"/>
  <c r="U291" i="10"/>
  <c r="K291" i="10"/>
  <c r="V290" i="10"/>
  <c r="L290" i="10"/>
  <c r="B290" i="10"/>
  <c r="M289" i="10"/>
  <c r="C289" i="10"/>
  <c r="N288" i="10"/>
  <c r="D288" i="10"/>
  <c r="O287" i="10"/>
  <c r="E287" i="10"/>
  <c r="P286" i="10"/>
  <c r="F286" i="10"/>
  <c r="Q285" i="10"/>
  <c r="G285" i="10"/>
  <c r="S380" i="10"/>
  <c r="N379" i="10"/>
  <c r="F378" i="10"/>
  <c r="R376" i="10"/>
  <c r="O375" i="10"/>
  <c r="H374" i="10"/>
  <c r="T372" i="10"/>
  <c r="Q371" i="10"/>
  <c r="I370" i="10"/>
  <c r="U368" i="10"/>
  <c r="P367" i="10"/>
  <c r="H366" i="10"/>
  <c r="E365" i="10"/>
  <c r="E364" i="10"/>
  <c r="B363" i="10"/>
  <c r="V361" i="10"/>
  <c r="C361" i="10"/>
  <c r="C360" i="10"/>
  <c r="B359" i="10"/>
  <c r="D358" i="10"/>
  <c r="D357" i="10"/>
  <c r="C356" i="10"/>
  <c r="E355" i="10"/>
  <c r="E354" i="10"/>
  <c r="B353" i="10"/>
  <c r="G352" i="10"/>
  <c r="I351" i="10"/>
  <c r="K350" i="10"/>
  <c r="R349" i="10"/>
  <c r="B349" i="10"/>
  <c r="J348" i="10"/>
  <c r="O347" i="10"/>
  <c r="B347" i="10"/>
  <c r="J346" i="10"/>
  <c r="O345" i="10"/>
  <c r="B345" i="10"/>
  <c r="G344" i="10"/>
  <c r="O343" i="10"/>
  <c r="T342" i="10"/>
  <c r="G342" i="10"/>
  <c r="P341" i="10"/>
  <c r="B341" i="10"/>
  <c r="K340" i="10"/>
  <c r="T339" i="10"/>
  <c r="H339" i="10"/>
  <c r="O338" i="10"/>
  <c r="C338" i="10"/>
  <c r="L337" i="10"/>
  <c r="U336" i="10"/>
  <c r="G336" i="10"/>
  <c r="P335" i="10"/>
  <c r="D335" i="10"/>
  <c r="M334" i="10"/>
  <c r="T333" i="10"/>
  <c r="H333" i="10"/>
  <c r="Q332" i="10"/>
  <c r="E332" i="10"/>
  <c r="O331" i="10"/>
  <c r="D331" i="10"/>
  <c r="M330" i="10"/>
  <c r="B330" i="10"/>
  <c r="L329" i="10"/>
  <c r="B329" i="10"/>
  <c r="M328" i="10"/>
  <c r="C328" i="10"/>
  <c r="N327" i="10"/>
  <c r="D327" i="10"/>
  <c r="O326" i="10"/>
  <c r="E326" i="10"/>
  <c r="P325" i="10"/>
  <c r="F325" i="10"/>
  <c r="Q324" i="10"/>
  <c r="G324" i="10"/>
  <c r="R323" i="10"/>
  <c r="H323" i="10"/>
  <c r="S322" i="10"/>
  <c r="I322" i="10"/>
  <c r="T321" i="10"/>
  <c r="J321" i="10"/>
  <c r="U320" i="10"/>
  <c r="K320" i="10"/>
  <c r="V319" i="10"/>
  <c r="L319" i="10"/>
  <c r="B319" i="10"/>
  <c r="M318" i="10"/>
  <c r="C318" i="10"/>
  <c r="N317" i="10"/>
  <c r="D317" i="10"/>
  <c r="O316" i="10"/>
  <c r="E316" i="10"/>
  <c r="P315" i="10"/>
  <c r="F315" i="10"/>
  <c r="Q314" i="10"/>
  <c r="G314" i="10"/>
  <c r="R313" i="10"/>
  <c r="H313" i="10"/>
  <c r="S312" i="10"/>
  <c r="I312" i="10"/>
  <c r="T311" i="10"/>
  <c r="J311" i="10"/>
  <c r="U310" i="10"/>
  <c r="K310" i="10"/>
  <c r="V309" i="10"/>
  <c r="L309" i="10"/>
  <c r="B309" i="10"/>
  <c r="M308" i="10"/>
  <c r="C308" i="10"/>
  <c r="N307" i="10"/>
  <c r="D307" i="10"/>
  <c r="O306" i="10"/>
  <c r="E306" i="10"/>
  <c r="P305" i="10"/>
  <c r="F305" i="10"/>
  <c r="Q304" i="10"/>
  <c r="G304" i="10"/>
  <c r="R303" i="10"/>
  <c r="H303" i="10"/>
  <c r="S302" i="10"/>
  <c r="I302" i="10"/>
  <c r="T301" i="10"/>
  <c r="J301" i="10"/>
  <c r="U300" i="10"/>
  <c r="K300" i="10"/>
  <c r="V299" i="10"/>
  <c r="L299" i="10"/>
  <c r="B299" i="10"/>
  <c r="M298" i="10"/>
  <c r="C298" i="10"/>
  <c r="N297" i="10"/>
  <c r="D297" i="10"/>
  <c r="O296" i="10"/>
  <c r="E296" i="10"/>
  <c r="P295" i="10"/>
  <c r="F295" i="10"/>
  <c r="Q294" i="10"/>
  <c r="G294" i="10"/>
  <c r="R293" i="10"/>
  <c r="H293" i="10"/>
  <c r="S292" i="10"/>
  <c r="I292" i="10"/>
  <c r="T291" i="10"/>
  <c r="J291" i="10"/>
  <c r="U290" i="10"/>
  <c r="K290" i="10"/>
  <c r="V289" i="10"/>
  <c r="L289" i="10"/>
  <c r="B289" i="10"/>
  <c r="M288" i="10"/>
  <c r="C288" i="10"/>
  <c r="R380" i="10"/>
  <c r="I379" i="10"/>
  <c r="E378" i="10"/>
  <c r="Q376" i="10"/>
  <c r="H375" i="10"/>
  <c r="F374" i="10"/>
  <c r="R372" i="10"/>
  <c r="I371" i="10"/>
  <c r="H370" i="10"/>
  <c r="T368" i="10"/>
  <c r="K367" i="10"/>
  <c r="G366" i="10"/>
  <c r="D365" i="10"/>
  <c r="S363" i="10"/>
  <c r="V362" i="10"/>
  <c r="U361" i="10"/>
  <c r="T360" i="10"/>
  <c r="B360" i="10"/>
  <c r="V358" i="10"/>
  <c r="U357" i="10"/>
  <c r="C357" i="10"/>
  <c r="B356" i="10"/>
  <c r="T354" i="10"/>
  <c r="D354" i="10"/>
  <c r="V352" i="10"/>
  <c r="B352" i="10"/>
  <c r="H351" i="10"/>
  <c r="J350" i="10"/>
  <c r="Q349" i="10"/>
  <c r="V348" i="10"/>
  <c r="I348" i="10"/>
  <c r="N347" i="10"/>
  <c r="V346" i="10"/>
  <c r="F346" i="10"/>
  <c r="N345" i="10"/>
  <c r="V344" i="10"/>
  <c r="F344" i="10"/>
  <c r="N343" i="10"/>
  <c r="S342" i="10"/>
  <c r="F342" i="10"/>
  <c r="O341" i="10"/>
  <c r="V340" i="10"/>
  <c r="J340" i="10"/>
  <c r="S339" i="10"/>
  <c r="G339" i="10"/>
  <c r="N338" i="10"/>
  <c r="B338" i="10"/>
  <c r="K337" i="10"/>
  <c r="T336" i="10"/>
  <c r="F336" i="10"/>
  <c r="O335" i="10"/>
  <c r="C335" i="10"/>
  <c r="L334" i="10"/>
  <c r="S333" i="10"/>
  <c r="G333" i="10"/>
  <c r="P332" i="10"/>
  <c r="D332" i="10"/>
  <c r="N331" i="10"/>
  <c r="B331" i="10"/>
  <c r="L330" i="10"/>
  <c r="V329" i="10"/>
  <c r="K329" i="10"/>
  <c r="V328" i="10"/>
  <c r="L328" i="10"/>
  <c r="B328" i="10"/>
  <c r="M327" i="10"/>
  <c r="C327" i="10"/>
  <c r="N326" i="10"/>
  <c r="D326" i="10"/>
  <c r="O325" i="10"/>
  <c r="E325" i="10"/>
  <c r="P324" i="10"/>
  <c r="F324" i="10"/>
  <c r="Q323" i="10"/>
  <c r="G323" i="10"/>
  <c r="R322" i="10"/>
  <c r="H322" i="10"/>
  <c r="S321" i="10"/>
  <c r="I321" i="10"/>
  <c r="T320" i="10"/>
  <c r="J320" i="10"/>
  <c r="U319" i="10"/>
  <c r="K319" i="10"/>
  <c r="V318" i="10"/>
  <c r="L318" i="10"/>
  <c r="B318" i="10"/>
  <c r="M317" i="10"/>
  <c r="C317" i="10"/>
  <c r="N316" i="10"/>
  <c r="D316" i="10"/>
  <c r="O315" i="10"/>
  <c r="E315" i="10"/>
  <c r="P314" i="10"/>
  <c r="F314" i="10"/>
  <c r="Q313" i="10"/>
  <c r="G313" i="10"/>
  <c r="R312" i="10"/>
  <c r="H312" i="10"/>
  <c r="S311" i="10"/>
  <c r="I311" i="10"/>
  <c r="T310" i="10"/>
  <c r="J310" i="10"/>
  <c r="B380" i="10"/>
  <c r="T378" i="10"/>
  <c r="L377" i="10"/>
  <c r="C376" i="10"/>
  <c r="S374" i="10"/>
  <c r="K373" i="10"/>
  <c r="B372" i="10"/>
  <c r="T370" i="10"/>
  <c r="M369" i="10"/>
  <c r="D368" i="10"/>
  <c r="V366" i="10"/>
  <c r="P365" i="10"/>
  <c r="J364" i="10"/>
  <c r="K363" i="10"/>
  <c r="K362" i="10"/>
  <c r="J361" i="10"/>
  <c r="L360" i="10"/>
  <c r="L359" i="10"/>
  <c r="K358" i="10"/>
  <c r="M357" i="10"/>
  <c r="M356" i="10"/>
  <c r="J355" i="10"/>
  <c r="N354" i="10"/>
  <c r="L353" i="10"/>
  <c r="L352" i="10"/>
  <c r="Q351" i="10"/>
  <c r="S350" i="10"/>
  <c r="V349" i="10"/>
  <c r="I349" i="10"/>
  <c r="N348" i="10"/>
  <c r="V347" i="10"/>
  <c r="I347" i="10"/>
  <c r="N346" i="10"/>
  <c r="V345" i="10"/>
  <c r="F345" i="10"/>
  <c r="N344" i="10"/>
  <c r="S343" i="10"/>
  <c r="F343" i="10"/>
  <c r="N342" i="10"/>
  <c r="T341" i="10"/>
  <c r="H341" i="10"/>
  <c r="Q340" i="10"/>
  <c r="C340" i="10"/>
  <c r="L339" i="10"/>
  <c r="U338" i="10"/>
  <c r="I338" i="10"/>
  <c r="P337" i="10"/>
  <c r="D337" i="10"/>
  <c r="M336" i="10"/>
  <c r="V335" i="10"/>
  <c r="H335" i="10"/>
  <c r="Q334" i="10"/>
  <c r="E334" i="10"/>
  <c r="N333" i="10"/>
  <c r="U332" i="10"/>
  <c r="I332" i="10"/>
  <c r="S331" i="10"/>
  <c r="H331" i="10"/>
  <c r="R330" i="10"/>
  <c r="G330" i="10"/>
  <c r="Q329" i="10"/>
  <c r="F329" i="10"/>
  <c r="Q328" i="10"/>
  <c r="G328" i="10"/>
  <c r="R327" i="10"/>
  <c r="H327" i="10"/>
  <c r="S326" i="10"/>
  <c r="I326" i="10"/>
  <c r="T325" i="10"/>
  <c r="J325" i="10"/>
  <c r="U324" i="10"/>
  <c r="K324" i="10"/>
  <c r="V323" i="10"/>
  <c r="L323" i="10"/>
  <c r="B323" i="10"/>
  <c r="M322" i="10"/>
  <c r="C322" i="10"/>
  <c r="N321" i="10"/>
  <c r="D321" i="10"/>
  <c r="O320" i="10"/>
  <c r="E320" i="10"/>
  <c r="P319" i="10"/>
  <c r="F319" i="10"/>
  <c r="Q318" i="10"/>
  <c r="G318" i="10"/>
  <c r="R317" i="10"/>
  <c r="H317" i="10"/>
  <c r="S316" i="10"/>
  <c r="I316" i="10"/>
  <c r="T315" i="10"/>
  <c r="J315" i="10"/>
  <c r="U314" i="10"/>
  <c r="K314" i="10"/>
  <c r="V313" i="10"/>
  <c r="L313" i="10"/>
  <c r="B313" i="10"/>
  <c r="M312" i="10"/>
  <c r="C312" i="10"/>
  <c r="N311" i="10"/>
  <c r="D311" i="10"/>
  <c r="O310" i="10"/>
  <c r="C379" i="10"/>
  <c r="P376" i="10"/>
  <c r="N374" i="10"/>
  <c r="K372" i="10"/>
  <c r="C370" i="10"/>
  <c r="B368" i="10"/>
  <c r="R365" i="10"/>
  <c r="R363" i="10"/>
  <c r="J362" i="10"/>
  <c r="O360" i="10"/>
  <c r="U358" i="10"/>
  <c r="G357" i="10"/>
  <c r="Q355" i="10"/>
  <c r="U353" i="10"/>
  <c r="K352" i="10"/>
  <c r="U350" i="10"/>
  <c r="M349" i="10"/>
  <c r="M348" i="10"/>
  <c r="K347" i="10"/>
  <c r="E346" i="10"/>
  <c r="E345" i="10"/>
  <c r="C344" i="10"/>
  <c r="R342" i="10"/>
  <c r="S341" i="10"/>
  <c r="S340" i="10"/>
  <c r="R339" i="10"/>
  <c r="T338" i="10"/>
  <c r="T337" i="10"/>
  <c r="Q336" i="10"/>
  <c r="U335" i="10"/>
  <c r="S334" i="10"/>
  <c r="R333" i="10"/>
  <c r="T332" i="10"/>
  <c r="U331" i="10"/>
  <c r="V330" i="10"/>
  <c r="F330" i="10"/>
  <c r="H329" i="10"/>
  <c r="K328" i="10"/>
  <c r="Q327" i="10"/>
  <c r="U326" i="10"/>
  <c r="C326" i="10"/>
  <c r="I325" i="10"/>
  <c r="M324" i="10"/>
  <c r="P323" i="10"/>
  <c r="V322" i="10"/>
  <c r="E322" i="10"/>
  <c r="H321" i="10"/>
  <c r="N320" i="10"/>
  <c r="R319" i="10"/>
  <c r="U318" i="10"/>
  <c r="F318" i="10"/>
  <c r="J317" i="10"/>
  <c r="M316" i="10"/>
  <c r="S315" i="10"/>
  <c r="B315" i="10"/>
  <c r="E314" i="10"/>
  <c r="K313" i="10"/>
  <c r="O312" i="10"/>
  <c r="R311" i="10"/>
  <c r="C311" i="10"/>
  <c r="G310" i="10"/>
  <c r="P309" i="10"/>
  <c r="D309" i="10"/>
  <c r="K308" i="10"/>
  <c r="T307" i="10"/>
  <c r="H307" i="10"/>
  <c r="Q306" i="10"/>
  <c r="C306" i="10"/>
  <c r="L305" i="10"/>
  <c r="U304" i="10"/>
  <c r="I304" i="10"/>
  <c r="P303" i="10"/>
  <c r="D303" i="10"/>
  <c r="M302" i="10"/>
  <c r="V301" i="10"/>
  <c r="H301" i="10"/>
  <c r="Q300" i="10"/>
  <c r="E300" i="10"/>
  <c r="N299" i="10"/>
  <c r="U298" i="10"/>
  <c r="I298" i="10"/>
  <c r="R297" i="10"/>
  <c r="F297" i="10"/>
  <c r="M296" i="10"/>
  <c r="V295" i="10"/>
  <c r="J295" i="10"/>
  <c r="S294" i="10"/>
  <c r="E294" i="10"/>
  <c r="N293" i="10"/>
  <c r="B293" i="10"/>
  <c r="K292" i="10"/>
  <c r="R291" i="10"/>
  <c r="F291" i="10"/>
  <c r="O290" i="10"/>
  <c r="C290" i="10"/>
  <c r="J289" i="10"/>
  <c r="S288" i="10"/>
  <c r="G288" i="10"/>
  <c r="P287" i="10"/>
  <c r="D287" i="10"/>
  <c r="N286" i="10"/>
  <c r="C286" i="10"/>
  <c r="M285" i="10"/>
  <c r="B285" i="10"/>
  <c r="M284" i="10"/>
  <c r="C284" i="10"/>
  <c r="N283" i="10"/>
  <c r="D283" i="10"/>
  <c r="O282" i="10"/>
  <c r="E282" i="10"/>
  <c r="P281" i="10"/>
  <c r="F281" i="10"/>
  <c r="Q280" i="10"/>
  <c r="G280" i="10"/>
  <c r="R279" i="10"/>
  <c r="H279" i="10"/>
  <c r="S278" i="10"/>
  <c r="I278" i="10"/>
  <c r="T277" i="10"/>
  <c r="J277" i="10"/>
  <c r="U276" i="10"/>
  <c r="K276" i="10"/>
  <c r="V275" i="10"/>
  <c r="L275" i="10"/>
  <c r="B275" i="10"/>
  <c r="M274" i="10"/>
  <c r="C274" i="10"/>
  <c r="N273" i="10"/>
  <c r="D273" i="10"/>
  <c r="O272" i="10"/>
  <c r="E272" i="10"/>
  <c r="P271" i="10"/>
  <c r="F271" i="10"/>
  <c r="Q270" i="10"/>
  <c r="G270" i="10"/>
  <c r="R269" i="10"/>
  <c r="H269" i="10"/>
  <c r="S268" i="10"/>
  <c r="I268" i="10"/>
  <c r="T267" i="10"/>
  <c r="J267" i="10"/>
  <c r="U266" i="10"/>
  <c r="K266" i="10"/>
  <c r="V265" i="10"/>
  <c r="L265" i="10"/>
  <c r="B265" i="10"/>
  <c r="M264" i="10"/>
  <c r="C264" i="10"/>
  <c r="N263" i="10"/>
  <c r="D263" i="10"/>
  <c r="O262" i="10"/>
  <c r="E262" i="10"/>
  <c r="P261" i="10"/>
  <c r="F261" i="10"/>
  <c r="Q260" i="10"/>
  <c r="G260" i="10"/>
  <c r="R259" i="10"/>
  <c r="H259" i="10"/>
  <c r="S258" i="10"/>
  <c r="I258" i="10"/>
  <c r="T257" i="10"/>
  <c r="J257" i="10"/>
  <c r="U256" i="10"/>
  <c r="K256" i="10"/>
  <c r="V378" i="10"/>
  <c r="N376" i="10"/>
  <c r="J374" i="10"/>
  <c r="F372" i="10"/>
  <c r="S369" i="10"/>
  <c r="V367" i="10"/>
  <c r="Q365" i="10"/>
  <c r="Q363" i="10"/>
  <c r="H362" i="10"/>
  <c r="N360" i="10"/>
  <c r="T358" i="10"/>
  <c r="F357" i="10"/>
  <c r="M355" i="10"/>
  <c r="Q353" i="10"/>
  <c r="J352" i="10"/>
  <c r="T350" i="10"/>
  <c r="L349" i="10"/>
  <c r="L348" i="10"/>
  <c r="J347" i="10"/>
  <c r="D346" i="10"/>
  <c r="D345" i="10"/>
  <c r="B344" i="10"/>
  <c r="Q342" i="10"/>
  <c r="R341" i="10"/>
  <c r="R340" i="10"/>
  <c r="Q339" i="10"/>
  <c r="S338" i="10"/>
  <c r="S337" i="10"/>
  <c r="P336" i="10"/>
  <c r="R335" i="10"/>
  <c r="R334" i="10"/>
  <c r="Q333" i="10"/>
  <c r="S332" i="10"/>
  <c r="T331" i="10"/>
  <c r="U330" i="10"/>
  <c r="E330" i="10"/>
  <c r="G329" i="10"/>
  <c r="J328" i="10"/>
  <c r="P327" i="10"/>
  <c r="T326" i="10"/>
  <c r="B326" i="10"/>
  <c r="H325" i="10"/>
  <c r="L324" i="10"/>
  <c r="O323" i="10"/>
  <c r="U322" i="10"/>
  <c r="D322" i="10"/>
  <c r="G321" i="10"/>
  <c r="M320" i="10"/>
  <c r="Q319" i="10"/>
  <c r="T318" i="10"/>
  <c r="E318" i="10"/>
  <c r="I317" i="10"/>
  <c r="L316" i="10"/>
  <c r="R315" i="10"/>
  <c r="V314" i="10"/>
  <c r="D314" i="10"/>
  <c r="J313" i="10"/>
  <c r="N312" i="10"/>
  <c r="Q311" i="10"/>
  <c r="B311" i="10"/>
  <c r="F310" i="10"/>
  <c r="O309" i="10"/>
  <c r="V308" i="10"/>
  <c r="J308" i="10"/>
  <c r="S307" i="10"/>
  <c r="G307" i="10"/>
  <c r="N306" i="10"/>
  <c r="B306" i="10"/>
  <c r="K305" i="10"/>
  <c r="T304" i="10"/>
  <c r="F304" i="10"/>
  <c r="O303" i="10"/>
  <c r="C303" i="10"/>
  <c r="L302" i="10"/>
  <c r="S301" i="10"/>
  <c r="G301" i="10"/>
  <c r="P300" i="10"/>
  <c r="D300" i="10"/>
  <c r="K299" i="10"/>
  <c r="T298" i="10"/>
  <c r="H298" i="10"/>
  <c r="Q297" i="10"/>
  <c r="C297" i="10"/>
  <c r="L296" i="10"/>
  <c r="U295" i="10"/>
  <c r="I295" i="10"/>
  <c r="P294" i="10"/>
  <c r="D294" i="10"/>
  <c r="M293" i="10"/>
  <c r="V292" i="10"/>
  <c r="H292" i="10"/>
  <c r="Q291" i="10"/>
  <c r="E291" i="10"/>
  <c r="N290" i="10"/>
  <c r="U289" i="10"/>
  <c r="I289" i="10"/>
  <c r="R288" i="10"/>
  <c r="F288" i="10"/>
  <c r="N287" i="10"/>
  <c r="C287" i="10"/>
  <c r="M286" i="10"/>
  <c r="B286" i="10"/>
  <c r="L285" i="10"/>
  <c r="V284" i="10"/>
  <c r="L284" i="10"/>
  <c r="B284" i="10"/>
  <c r="M283" i="10"/>
  <c r="C283" i="10"/>
  <c r="N282" i="10"/>
  <c r="D282" i="10"/>
  <c r="O281" i="10"/>
  <c r="E281" i="10"/>
  <c r="P280" i="10"/>
  <c r="F280" i="10"/>
  <c r="Q279" i="10"/>
  <c r="G279" i="10"/>
  <c r="R278" i="10"/>
  <c r="H278" i="10"/>
  <c r="S277" i="10"/>
  <c r="I277" i="10"/>
  <c r="T276" i="10"/>
  <c r="J276" i="10"/>
  <c r="U275" i="10"/>
  <c r="K275" i="10"/>
  <c r="V274" i="10"/>
  <c r="L274" i="10"/>
  <c r="B274" i="10"/>
  <c r="M273" i="10"/>
  <c r="C273" i="10"/>
  <c r="N272" i="10"/>
  <c r="D272" i="10"/>
  <c r="O271" i="10"/>
  <c r="E271" i="10"/>
  <c r="P270" i="10"/>
  <c r="F270" i="10"/>
  <c r="Q269" i="10"/>
  <c r="G269" i="10"/>
  <c r="R268" i="10"/>
  <c r="H268" i="10"/>
  <c r="S267" i="10"/>
  <c r="I267" i="10"/>
  <c r="T266" i="10"/>
  <c r="J266" i="10"/>
  <c r="U265" i="10"/>
  <c r="K265" i="10"/>
  <c r="V264" i="10"/>
  <c r="L264" i="10"/>
  <c r="B264" i="10"/>
  <c r="M263" i="10"/>
  <c r="C263" i="10"/>
  <c r="N262" i="10"/>
  <c r="D262" i="10"/>
  <c r="O261" i="10"/>
  <c r="E261" i="10"/>
  <c r="P260" i="10"/>
  <c r="F260" i="10"/>
  <c r="Q259" i="10"/>
  <c r="G259" i="10"/>
  <c r="N380" i="10"/>
  <c r="L378" i="10"/>
  <c r="L376" i="10"/>
  <c r="D374" i="10"/>
  <c r="V371" i="10"/>
  <c r="O369" i="10"/>
  <c r="G367" i="10"/>
  <c r="O365" i="10"/>
  <c r="P363" i="10"/>
  <c r="T361" i="10"/>
  <c r="H360" i="10"/>
  <c r="P358" i="10"/>
  <c r="V356" i="10"/>
  <c r="I355" i="10"/>
  <c r="P353" i="10"/>
  <c r="V351" i="10"/>
  <c r="R350" i="10"/>
  <c r="K349" i="10"/>
  <c r="H348" i="10"/>
  <c r="E347" i="10"/>
  <c r="C346" i="10"/>
  <c r="R344" i="10"/>
  <c r="R343" i="10"/>
  <c r="P342" i="10"/>
  <c r="L341" i="10"/>
  <c r="P340" i="10"/>
  <c r="N339" i="10"/>
  <c r="M338" i="10"/>
  <c r="O337" i="10"/>
  <c r="O336" i="10"/>
  <c r="N335" i="10"/>
  <c r="P334" i="10"/>
  <c r="P333" i="10"/>
  <c r="O332" i="10"/>
  <c r="R331" i="10"/>
  <c r="T330" i="10"/>
  <c r="U329" i="10"/>
  <c r="E329" i="10"/>
  <c r="I328" i="10"/>
  <c r="L327" i="10"/>
  <c r="R326" i="10"/>
  <c r="V325" i="10"/>
  <c r="D325" i="10"/>
  <c r="J324" i="10"/>
  <c r="N323" i="10"/>
  <c r="Q322" i="10"/>
  <c r="B322" i="10"/>
  <c r="F321" i="10"/>
  <c r="I320" i="10"/>
  <c r="O319" i="10"/>
  <c r="S318" i="10"/>
  <c r="V317" i="10"/>
  <c r="G317" i="10"/>
  <c r="K316" i="10"/>
  <c r="N315" i="10"/>
  <c r="T314" i="10"/>
  <c r="C314" i="10"/>
  <c r="F313" i="10"/>
  <c r="L312" i="10"/>
  <c r="P311" i="10"/>
  <c r="S310" i="10"/>
  <c r="E310" i="10"/>
  <c r="N309" i="10"/>
  <c r="U308" i="10"/>
  <c r="I308" i="10"/>
  <c r="R307" i="10"/>
  <c r="F307" i="10"/>
  <c r="M306" i="10"/>
  <c r="V305" i="10"/>
  <c r="J305" i="10"/>
  <c r="S304" i="10"/>
  <c r="E304" i="10"/>
  <c r="N303" i="10"/>
  <c r="B303" i="10"/>
  <c r="K302" i="10"/>
  <c r="R301" i="10"/>
  <c r="F301" i="10"/>
  <c r="O300" i="10"/>
  <c r="C300" i="10"/>
  <c r="J299" i="10"/>
  <c r="S298" i="10"/>
  <c r="G298" i="10"/>
  <c r="P297" i="10"/>
  <c r="B297" i="10"/>
  <c r="K296" i="10"/>
  <c r="T295" i="10"/>
  <c r="H295" i="10"/>
  <c r="O294" i="10"/>
  <c r="C294" i="10"/>
  <c r="L293" i="10"/>
  <c r="U292" i="10"/>
  <c r="G292" i="10"/>
  <c r="P291" i="10"/>
  <c r="D291" i="10"/>
  <c r="M290" i="10"/>
  <c r="T289" i="10"/>
  <c r="H289" i="10"/>
  <c r="Q288" i="10"/>
  <c r="E288" i="10"/>
  <c r="M287" i="10"/>
  <c r="B287" i="10"/>
  <c r="L286" i="10"/>
  <c r="V285" i="10"/>
  <c r="K285" i="10"/>
  <c r="U284" i="10"/>
  <c r="K284" i="10"/>
  <c r="V283" i="10"/>
  <c r="L283" i="10"/>
  <c r="B283" i="10"/>
  <c r="M282" i="10"/>
  <c r="C282" i="10"/>
  <c r="N281" i="10"/>
  <c r="D281" i="10"/>
  <c r="O280" i="10"/>
  <c r="E280" i="10"/>
  <c r="P279" i="10"/>
  <c r="F279" i="10"/>
  <c r="Q278" i="10"/>
  <c r="G278" i="10"/>
  <c r="R277" i="10"/>
  <c r="H277" i="10"/>
  <c r="S276" i="10"/>
  <c r="I276" i="10"/>
  <c r="T275" i="10"/>
  <c r="J275" i="10"/>
  <c r="U274" i="10"/>
  <c r="K274" i="10"/>
  <c r="V273" i="10"/>
  <c r="L273" i="10"/>
  <c r="B273" i="10"/>
  <c r="M272" i="10"/>
  <c r="C272" i="10"/>
  <c r="N271" i="10"/>
  <c r="D271" i="10"/>
  <c r="O270" i="10"/>
  <c r="E270" i="10"/>
  <c r="P269" i="10"/>
  <c r="F269" i="10"/>
  <c r="Q268" i="10"/>
  <c r="G268" i="10"/>
  <c r="R267" i="10"/>
  <c r="T379" i="10"/>
  <c r="M377" i="10"/>
  <c r="E375" i="10"/>
  <c r="G373" i="10"/>
  <c r="B371" i="10"/>
  <c r="O368" i="10"/>
  <c r="M366" i="10"/>
  <c r="N364" i="10"/>
  <c r="P362" i="10"/>
  <c r="H361" i="10"/>
  <c r="M359" i="10"/>
  <c r="Q357" i="10"/>
  <c r="H356" i="10"/>
  <c r="P354" i="10"/>
  <c r="T352" i="10"/>
  <c r="K351" i="10"/>
  <c r="B350" i="10"/>
  <c r="T348" i="10"/>
  <c r="T347" i="10"/>
  <c r="O346" i="10"/>
  <c r="L345" i="10"/>
  <c r="L344" i="10"/>
  <c r="G343" i="10"/>
  <c r="D342" i="10"/>
  <c r="F341" i="10"/>
  <c r="F340" i="10"/>
  <c r="C339" i="10"/>
  <c r="E338" i="10"/>
  <c r="E337" i="10"/>
  <c r="D336" i="10"/>
  <c r="F335" i="10"/>
  <c r="F334" i="10"/>
  <c r="E333" i="10"/>
  <c r="G332" i="10"/>
  <c r="I331" i="10"/>
  <c r="J330" i="10"/>
  <c r="N329" i="10"/>
  <c r="R328" i="10"/>
  <c r="U327" i="10"/>
  <c r="F327" i="10"/>
  <c r="J326" i="10"/>
  <c r="M325" i="10"/>
  <c r="S324" i="10"/>
  <c r="B324" i="10"/>
  <c r="E323" i="10"/>
  <c r="K322" i="10"/>
  <c r="O321" i="10"/>
  <c r="R320" i="10"/>
  <c r="C320" i="10"/>
  <c r="G319" i="10"/>
  <c r="J318" i="10"/>
  <c r="P317" i="10"/>
  <c r="T316" i="10"/>
  <c r="B316" i="10"/>
  <c r="H315" i="10"/>
  <c r="L314" i="10"/>
  <c r="O313" i="10"/>
  <c r="U312" i="10"/>
  <c r="D312" i="10"/>
  <c r="G311" i="10"/>
  <c r="M310" i="10"/>
  <c r="S309" i="10"/>
  <c r="G309" i="10"/>
  <c r="P308" i="10"/>
  <c r="B308" i="10"/>
  <c r="K307" i="10"/>
  <c r="T306" i="10"/>
  <c r="H306" i="10"/>
  <c r="O305" i="10"/>
  <c r="C305" i="10"/>
  <c r="L304" i="10"/>
  <c r="U303" i="10"/>
  <c r="G303" i="10"/>
  <c r="P302" i="10"/>
  <c r="D302" i="10"/>
  <c r="M301" i="10"/>
  <c r="T300" i="10"/>
  <c r="H300" i="10"/>
  <c r="Q299" i="10"/>
  <c r="E299" i="10"/>
  <c r="L298" i="10"/>
  <c r="U297" i="10"/>
  <c r="I297" i="10"/>
  <c r="R296" i="10"/>
  <c r="D296" i="10"/>
  <c r="M295" i="10"/>
  <c r="V294" i="10"/>
  <c r="J294" i="10"/>
  <c r="Q293" i="10"/>
  <c r="E293" i="10"/>
  <c r="N292" i="10"/>
  <c r="B292" i="10"/>
  <c r="I291" i="10"/>
  <c r="R290" i="10"/>
  <c r="F290" i="10"/>
  <c r="O289" i="10"/>
  <c r="V288" i="10"/>
  <c r="J288" i="10"/>
  <c r="S287" i="10"/>
  <c r="H287" i="10"/>
  <c r="R286" i="10"/>
  <c r="G286" i="10"/>
  <c r="P285" i="10"/>
  <c r="E285" i="10"/>
  <c r="P284" i="10"/>
  <c r="F284" i="10"/>
  <c r="Q283" i="10"/>
  <c r="G283" i="10"/>
  <c r="R282" i="10"/>
  <c r="H282" i="10"/>
  <c r="S281" i="10"/>
  <c r="I281" i="10"/>
  <c r="T280" i="10"/>
  <c r="J280" i="10"/>
  <c r="U279" i="10"/>
  <c r="K279" i="10"/>
  <c r="V278" i="10"/>
  <c r="L278" i="10"/>
  <c r="B278" i="10"/>
  <c r="M277" i="10"/>
  <c r="C277" i="10"/>
  <c r="N276" i="10"/>
  <c r="D276" i="10"/>
  <c r="O275" i="10"/>
  <c r="E275" i="10"/>
  <c r="P274" i="10"/>
  <c r="F274" i="10"/>
  <c r="Q273" i="10"/>
  <c r="G273" i="10"/>
  <c r="O377" i="10"/>
  <c r="P373" i="10"/>
  <c r="L370" i="10"/>
  <c r="N366" i="10"/>
  <c r="G363" i="10"/>
  <c r="R360" i="10"/>
  <c r="R357" i="10"/>
  <c r="S354" i="10"/>
  <c r="M352" i="10"/>
  <c r="F350" i="10"/>
  <c r="C348" i="10"/>
  <c r="L346" i="10"/>
  <c r="M344" i="10"/>
  <c r="J342" i="10"/>
  <c r="T340" i="10"/>
  <c r="D339" i="10"/>
  <c r="J337" i="10"/>
  <c r="B336" i="10"/>
  <c r="G334" i="10"/>
  <c r="K332" i="10"/>
  <c r="F331" i="10"/>
  <c r="P329" i="10"/>
  <c r="F328" i="10"/>
  <c r="V326" i="10"/>
  <c r="N325" i="10"/>
  <c r="E324" i="10"/>
  <c r="C323" i="10"/>
  <c r="P321" i="10"/>
  <c r="G320" i="10"/>
  <c r="D319" i="10"/>
  <c r="Q317" i="10"/>
  <c r="H316" i="10"/>
  <c r="C315" i="10"/>
  <c r="P313" i="10"/>
  <c r="G312" i="10"/>
  <c r="E311" i="10"/>
  <c r="T309" i="10"/>
  <c r="S308" i="10"/>
  <c r="U307" i="10"/>
  <c r="U306" i="10"/>
  <c r="T305" i="10"/>
  <c r="V304" i="10"/>
  <c r="V303" i="10"/>
  <c r="U302" i="10"/>
  <c r="B302" i="10"/>
  <c r="B301" i="10"/>
  <c r="T299" i="10"/>
  <c r="V298" i="10"/>
  <c r="V297" i="10"/>
  <c r="U296" i="10"/>
  <c r="B296" i="10"/>
  <c r="B295" i="10"/>
  <c r="V293" i="10"/>
  <c r="C293" i="10"/>
  <c r="C292" i="10"/>
  <c r="B291" i="10"/>
  <c r="D290" i="10"/>
  <c r="D289" i="10"/>
  <c r="V287" i="10"/>
  <c r="F287" i="10"/>
  <c r="H286" i="10"/>
  <c r="I285" i="10"/>
  <c r="N284" i="10"/>
  <c r="R283" i="10"/>
  <c r="U282" i="10"/>
  <c r="F282" i="10"/>
  <c r="J281" i="10"/>
  <c r="M280" i="10"/>
  <c r="S279" i="10"/>
  <c r="B279" i="10"/>
  <c r="E278" i="10"/>
  <c r="K277" i="10"/>
  <c r="O276" i="10"/>
  <c r="R275" i="10"/>
  <c r="C275" i="10"/>
  <c r="G274" i="10"/>
  <c r="J273" i="10"/>
  <c r="Q272" i="10"/>
  <c r="V271" i="10"/>
  <c r="I271" i="10"/>
  <c r="N270" i="10"/>
  <c r="V269" i="10"/>
  <c r="I269" i="10"/>
  <c r="N268" i="10"/>
  <c r="V267" i="10"/>
  <c r="G267" i="10"/>
  <c r="P266" i="10"/>
  <c r="D266" i="10"/>
  <c r="M265" i="10"/>
  <c r="T264" i="10"/>
  <c r="H264" i="10"/>
  <c r="Q263" i="10"/>
  <c r="E263" i="10"/>
  <c r="L262" i="10"/>
  <c r="U261" i="10"/>
  <c r="I261" i="10"/>
  <c r="R260" i="10"/>
  <c r="D260" i="10"/>
  <c r="M259" i="10"/>
  <c r="V258" i="10"/>
  <c r="K258" i="10"/>
  <c r="U257" i="10"/>
  <c r="I257" i="10"/>
  <c r="S256" i="10"/>
  <c r="H256" i="10"/>
  <c r="S255" i="10"/>
  <c r="I255" i="10"/>
  <c r="T254" i="10"/>
  <c r="J254" i="10"/>
  <c r="U253" i="10"/>
  <c r="K253" i="10"/>
  <c r="V252" i="10"/>
  <c r="L252" i="10"/>
  <c r="B252" i="10"/>
  <c r="M251" i="10"/>
  <c r="C251" i="10"/>
  <c r="N250" i="10"/>
  <c r="D250" i="10"/>
  <c r="O249" i="10"/>
  <c r="E249" i="10"/>
  <c r="P248" i="10"/>
  <c r="F248" i="10"/>
  <c r="Q247" i="10"/>
  <c r="G247" i="10"/>
  <c r="R246" i="10"/>
  <c r="H246" i="10"/>
  <c r="S245" i="10"/>
  <c r="I245" i="10"/>
  <c r="T244" i="10"/>
  <c r="J244" i="10"/>
  <c r="U243" i="10"/>
  <c r="K243" i="10"/>
  <c r="V242" i="10"/>
  <c r="L242" i="10"/>
  <c r="B242" i="10"/>
  <c r="M241" i="10"/>
  <c r="C241" i="10"/>
  <c r="N240" i="10"/>
  <c r="D240" i="10"/>
  <c r="O239" i="10"/>
  <c r="E239" i="10"/>
  <c r="P238" i="10"/>
  <c r="F238" i="10"/>
  <c r="Q237" i="10"/>
  <c r="G237" i="10"/>
  <c r="R236" i="10"/>
  <c r="H236" i="10"/>
  <c r="S235" i="10"/>
  <c r="I235" i="10"/>
  <c r="T234" i="10"/>
  <c r="J234" i="10"/>
  <c r="U233" i="10"/>
  <c r="K233" i="10"/>
  <c r="V232" i="10"/>
  <c r="L232" i="10"/>
  <c r="B232" i="10"/>
  <c r="M231" i="10"/>
  <c r="C231" i="10"/>
  <c r="N230" i="10"/>
  <c r="D230" i="10"/>
  <c r="O229" i="10"/>
  <c r="E229" i="10"/>
  <c r="P228" i="10"/>
  <c r="F228" i="10"/>
  <c r="Q227" i="10"/>
  <c r="G227" i="10"/>
  <c r="R226" i="10"/>
  <c r="H226" i="10"/>
  <c r="S225" i="10"/>
  <c r="I225" i="10"/>
  <c r="T224" i="10"/>
  <c r="J224" i="10"/>
  <c r="U223" i="10"/>
  <c r="K223" i="10"/>
  <c r="V222" i="10"/>
  <c r="L222" i="10"/>
  <c r="B222" i="10"/>
  <c r="M221" i="10"/>
  <c r="C221" i="10"/>
  <c r="N220" i="10"/>
  <c r="D220" i="10"/>
  <c r="O219" i="10"/>
  <c r="E219" i="10"/>
  <c r="P218" i="10"/>
  <c r="F218" i="10"/>
  <c r="Q217" i="10"/>
  <c r="G217" i="10"/>
  <c r="R216" i="10"/>
  <c r="H216" i="10"/>
  <c r="S215" i="10"/>
  <c r="I215" i="10"/>
  <c r="T214" i="10"/>
  <c r="J214" i="10"/>
  <c r="U213" i="10"/>
  <c r="K213" i="10"/>
  <c r="V212" i="10"/>
  <c r="L212" i="10"/>
  <c r="B212" i="10"/>
  <c r="M211" i="10"/>
  <c r="C211" i="10"/>
  <c r="N210" i="10"/>
  <c r="D210" i="10"/>
  <c r="O209" i="10"/>
  <c r="E209" i="10"/>
  <c r="P208" i="10"/>
  <c r="F208" i="10"/>
  <c r="Q207" i="10"/>
  <c r="G207" i="10"/>
  <c r="M380" i="10"/>
  <c r="K377" i="10"/>
  <c r="O373" i="10"/>
  <c r="N369" i="10"/>
  <c r="E366" i="10"/>
  <c r="F363" i="10"/>
  <c r="E360" i="10"/>
  <c r="P357" i="10"/>
  <c r="R354" i="10"/>
  <c r="U351" i="10"/>
  <c r="U349" i="10"/>
  <c r="B348" i="10"/>
  <c r="B346" i="10"/>
  <c r="E344" i="10"/>
  <c r="I342" i="10"/>
  <c r="M340" i="10"/>
  <c r="B339" i="10"/>
  <c r="I337" i="10"/>
  <c r="M335" i="10"/>
  <c r="D334" i="10"/>
  <c r="J332" i="10"/>
  <c r="S330" i="10"/>
  <c r="J329" i="10"/>
  <c r="E328" i="10"/>
  <c r="Q326" i="10"/>
  <c r="L325" i="10"/>
  <c r="D324" i="10"/>
  <c r="P322" i="10"/>
  <c r="M321" i="10"/>
  <c r="F320" i="10"/>
  <c r="R318" i="10"/>
  <c r="L317" i="10"/>
  <c r="G316" i="10"/>
  <c r="S314" i="10"/>
  <c r="N313" i="10"/>
  <c r="F312" i="10"/>
  <c r="R310" i="10"/>
  <c r="R309" i="10"/>
  <c r="R308" i="10"/>
  <c r="Q307" i="10"/>
  <c r="S306" i="10"/>
  <c r="S305" i="10"/>
  <c r="P304" i="10"/>
  <c r="T303" i="10"/>
  <c r="R302" i="10"/>
  <c r="Q301" i="10"/>
  <c r="S300" i="10"/>
  <c r="S299" i="10"/>
  <c r="R298" i="10"/>
  <c r="T297" i="10"/>
  <c r="T296" i="10"/>
  <c r="S295" i="10"/>
  <c r="U294" i="10"/>
  <c r="U293" i="10"/>
  <c r="R292" i="10"/>
  <c r="V291" i="10"/>
  <c r="T290" i="10"/>
  <c r="S289" i="10"/>
  <c r="U288" i="10"/>
  <c r="U287" i="10"/>
  <c r="V286" i="10"/>
  <c r="E286" i="10"/>
  <c r="H285" i="10"/>
  <c r="J284" i="10"/>
  <c r="P283" i="10"/>
  <c r="T282" i="10"/>
  <c r="B282" i="10"/>
  <c r="H281" i="10"/>
  <c r="L280" i="10"/>
  <c r="O279" i="10"/>
  <c r="U278" i="10"/>
  <c r="D278" i="10"/>
  <c r="G277" i="10"/>
  <c r="M276" i="10"/>
  <c r="Q275" i="10"/>
  <c r="T274" i="10"/>
  <c r="E274" i="10"/>
  <c r="I273" i="10"/>
  <c r="P272" i="10"/>
  <c r="U271" i="10"/>
  <c r="H271" i="10"/>
  <c r="M270" i="10"/>
  <c r="U269" i="10"/>
  <c r="E269" i="10"/>
  <c r="M268" i="10"/>
  <c r="U267" i="10"/>
  <c r="F267" i="10"/>
  <c r="O266" i="10"/>
  <c r="C266" i="10"/>
  <c r="J265" i="10"/>
  <c r="S264" i="10"/>
  <c r="G264" i="10"/>
  <c r="P263" i="10"/>
  <c r="B263" i="10"/>
  <c r="K262" i="10"/>
  <c r="T261" i="10"/>
  <c r="H261" i="10"/>
  <c r="O260" i="10"/>
  <c r="C260" i="10"/>
  <c r="L259" i="10"/>
  <c r="U258" i="10"/>
  <c r="J258" i="10"/>
  <c r="S257" i="10"/>
  <c r="H257" i="10"/>
  <c r="R256" i="10"/>
  <c r="G256" i="10"/>
  <c r="R255" i="10"/>
  <c r="H255" i="10"/>
  <c r="S254" i="10"/>
  <c r="I254" i="10"/>
  <c r="T253" i="10"/>
  <c r="J253" i="10"/>
  <c r="U252" i="10"/>
  <c r="K252" i="10"/>
  <c r="V251" i="10"/>
  <c r="L251" i="10"/>
  <c r="B251" i="10"/>
  <c r="M250" i="10"/>
  <c r="C250" i="10"/>
  <c r="N249" i="10"/>
  <c r="D249" i="10"/>
  <c r="O248" i="10"/>
  <c r="E248" i="10"/>
  <c r="P247" i="10"/>
  <c r="F247" i="10"/>
  <c r="Q246" i="10"/>
  <c r="G246" i="10"/>
  <c r="R245" i="10"/>
  <c r="H245" i="10"/>
  <c r="S244" i="10"/>
  <c r="I244" i="10"/>
  <c r="T243" i="10"/>
  <c r="J243" i="10"/>
  <c r="U242" i="10"/>
  <c r="K242" i="10"/>
  <c r="V241" i="10"/>
  <c r="L241" i="10"/>
  <c r="B241" i="10"/>
  <c r="M240" i="10"/>
  <c r="C240" i="10"/>
  <c r="N239" i="10"/>
  <c r="D239" i="10"/>
  <c r="O238" i="10"/>
  <c r="E238" i="10"/>
  <c r="P237" i="10"/>
  <c r="F237" i="10"/>
  <c r="Q236" i="10"/>
  <c r="G236" i="10"/>
  <c r="R235" i="10"/>
  <c r="H235" i="10"/>
  <c r="S234" i="10"/>
  <c r="I234" i="10"/>
  <c r="T233" i="10"/>
  <c r="J233" i="10"/>
  <c r="U232" i="10"/>
  <c r="K232" i="10"/>
  <c r="V231" i="10"/>
  <c r="L231" i="10"/>
  <c r="B231" i="10"/>
  <c r="M230" i="10"/>
  <c r="C230" i="10"/>
  <c r="N229" i="10"/>
  <c r="D229" i="10"/>
  <c r="O228" i="10"/>
  <c r="E228" i="10"/>
  <c r="P227" i="10"/>
  <c r="F227" i="10"/>
  <c r="Q226" i="10"/>
  <c r="G226" i="10"/>
  <c r="R225" i="10"/>
  <c r="H225" i="10"/>
  <c r="S224" i="10"/>
  <c r="I224" i="10"/>
  <c r="T223" i="10"/>
  <c r="J223" i="10"/>
  <c r="U222" i="10"/>
  <c r="K222" i="10"/>
  <c r="V221" i="10"/>
  <c r="L221" i="10"/>
  <c r="B221" i="10"/>
  <c r="M220" i="10"/>
  <c r="C220" i="10"/>
  <c r="N219" i="10"/>
  <c r="D219" i="10"/>
  <c r="O218" i="10"/>
  <c r="E218" i="10"/>
  <c r="P217" i="10"/>
  <c r="F217" i="10"/>
  <c r="Q216" i="10"/>
  <c r="G216" i="10"/>
  <c r="R215" i="10"/>
  <c r="H215" i="10"/>
  <c r="S214" i="10"/>
  <c r="I214" i="10"/>
  <c r="T213" i="10"/>
  <c r="J213" i="10"/>
  <c r="U212" i="10"/>
  <c r="K212" i="10"/>
  <c r="V211" i="10"/>
  <c r="L211" i="10"/>
  <c r="B211" i="10"/>
  <c r="M210" i="10"/>
  <c r="C210" i="10"/>
  <c r="N209" i="10"/>
  <c r="D209" i="10"/>
  <c r="O208" i="10"/>
  <c r="E208" i="10"/>
  <c r="P207" i="10"/>
  <c r="F207" i="10"/>
  <c r="Q206" i="10"/>
  <c r="J380" i="10"/>
  <c r="F377" i="10"/>
  <c r="J373" i="10"/>
  <c r="K369" i="10"/>
  <c r="S365" i="10"/>
  <c r="T362" i="10"/>
  <c r="U359" i="10"/>
  <c r="O357" i="10"/>
  <c r="Q354" i="10"/>
  <c r="T351" i="10"/>
  <c r="T349" i="10"/>
  <c r="U347" i="10"/>
  <c r="U345" i="10"/>
  <c r="D344" i="10"/>
  <c r="E342" i="10"/>
  <c r="I340" i="10"/>
  <c r="V338" i="10"/>
  <c r="F337" i="10"/>
  <c r="L335" i="10"/>
  <c r="C334" i="10"/>
  <c r="H332" i="10"/>
  <c r="Q330" i="10"/>
  <c r="I329" i="10"/>
  <c r="V327" i="10"/>
  <c r="M326" i="10"/>
  <c r="K325" i="10"/>
  <c r="C324" i="10"/>
  <c r="O322" i="10"/>
  <c r="L321" i="10"/>
  <c r="D320" i="10"/>
  <c r="P318" i="10"/>
  <c r="K317" i="10"/>
  <c r="C316" i="10"/>
  <c r="O314" i="10"/>
  <c r="M313" i="10"/>
  <c r="E312" i="10"/>
  <c r="Q310" i="10"/>
  <c r="Q309" i="10"/>
  <c r="Q308" i="10"/>
  <c r="P307" i="10"/>
  <c r="R306" i="10"/>
  <c r="R305" i="10"/>
  <c r="O304" i="10"/>
  <c r="Q303" i="10"/>
  <c r="Q302" i="10"/>
  <c r="P301" i="10"/>
  <c r="R300" i="10"/>
  <c r="R299" i="10"/>
  <c r="Q298" i="10"/>
  <c r="S297" i="10"/>
  <c r="S296" i="10"/>
  <c r="R295" i="10"/>
  <c r="T294" i="10"/>
  <c r="T293" i="10"/>
  <c r="Q292" i="10"/>
  <c r="S291" i="10"/>
  <c r="S290" i="10"/>
  <c r="R289" i="10"/>
  <c r="T288" i="10"/>
  <c r="T287" i="10"/>
  <c r="U286" i="10"/>
  <c r="D286" i="10"/>
  <c r="F285" i="10"/>
  <c r="I284" i="10"/>
  <c r="O283" i="10"/>
  <c r="S282" i="10"/>
  <c r="V281" i="10"/>
  <c r="G281" i="10"/>
  <c r="K280" i="10"/>
  <c r="N279" i="10"/>
  <c r="T278" i="10"/>
  <c r="C278" i="10"/>
  <c r="F277" i="10"/>
  <c r="L276" i="10"/>
  <c r="P275" i="10"/>
  <c r="S274" i="10"/>
  <c r="D274" i="10"/>
  <c r="H273" i="10"/>
  <c r="L272" i="10"/>
  <c r="T271" i="10"/>
  <c r="G271" i="10"/>
  <c r="L270" i="10"/>
  <c r="T269" i="10"/>
  <c r="D269" i="10"/>
  <c r="L268" i="10"/>
  <c r="Q267" i="10"/>
  <c r="E267" i="10"/>
  <c r="N266" i="10"/>
  <c r="B266" i="10"/>
  <c r="I265" i="10"/>
  <c r="R264" i="10"/>
  <c r="F264" i="10"/>
  <c r="O263" i="10"/>
  <c r="V262" i="10"/>
  <c r="J262" i="10"/>
  <c r="S261" i="10"/>
  <c r="G261" i="10"/>
  <c r="N260" i="10"/>
  <c r="B260" i="10"/>
  <c r="K259" i="10"/>
  <c r="T258" i="10"/>
  <c r="H258" i="10"/>
  <c r="R257" i="10"/>
  <c r="G257" i="10"/>
  <c r="Q256" i="10"/>
  <c r="F256" i="10"/>
  <c r="Q255" i="10"/>
  <c r="G255" i="10"/>
  <c r="R254" i="10"/>
  <c r="H254" i="10"/>
  <c r="S253" i="10"/>
  <c r="I253" i="10"/>
  <c r="T252" i="10"/>
  <c r="J252" i="10"/>
  <c r="U251" i="10"/>
  <c r="K251" i="10"/>
  <c r="V250" i="10"/>
  <c r="L250" i="10"/>
  <c r="B250" i="10"/>
  <c r="M249" i="10"/>
  <c r="C249" i="10"/>
  <c r="N248" i="10"/>
  <c r="D248" i="10"/>
  <c r="O247" i="10"/>
  <c r="E247" i="10"/>
  <c r="P246" i="10"/>
  <c r="F246" i="10"/>
  <c r="Q245" i="10"/>
  <c r="G245" i="10"/>
  <c r="R244" i="10"/>
  <c r="H244" i="10"/>
  <c r="S243" i="10"/>
  <c r="I243" i="10"/>
  <c r="T242" i="10"/>
  <c r="J242" i="10"/>
  <c r="U241" i="10"/>
  <c r="K241" i="10"/>
  <c r="V240" i="10"/>
  <c r="L240" i="10"/>
  <c r="B240" i="10"/>
  <c r="M239" i="10"/>
  <c r="C239" i="10"/>
  <c r="N238" i="10"/>
  <c r="D238" i="10"/>
  <c r="O237" i="10"/>
  <c r="E237" i="10"/>
  <c r="P236" i="10"/>
  <c r="F236" i="10"/>
  <c r="Q235" i="10"/>
  <c r="G235" i="10"/>
  <c r="R234" i="10"/>
  <c r="H234" i="10"/>
  <c r="S233" i="10"/>
  <c r="I233" i="10"/>
  <c r="T232" i="10"/>
  <c r="J232" i="10"/>
  <c r="U231" i="10"/>
  <c r="K231" i="10"/>
  <c r="V230" i="10"/>
  <c r="L230" i="10"/>
  <c r="B230" i="10"/>
  <c r="M229" i="10"/>
  <c r="C229" i="10"/>
  <c r="N228" i="10"/>
  <c r="D228" i="10"/>
  <c r="O227" i="10"/>
  <c r="C380" i="10"/>
  <c r="D376" i="10"/>
  <c r="Q372" i="10"/>
  <c r="I369" i="10"/>
  <c r="M365" i="10"/>
  <c r="M362" i="10"/>
  <c r="O359" i="10"/>
  <c r="P356" i="10"/>
  <c r="H354" i="10"/>
  <c r="S351" i="10"/>
  <c r="J349" i="10"/>
  <c r="M347" i="10"/>
  <c r="Q345" i="10"/>
  <c r="Q343" i="10"/>
  <c r="V341" i="10"/>
  <c r="U379" i="10"/>
  <c r="B376" i="10"/>
  <c r="P372" i="10"/>
  <c r="P368" i="10"/>
  <c r="C365" i="10"/>
  <c r="L362" i="10"/>
  <c r="N359" i="10"/>
  <c r="O356" i="10"/>
  <c r="G354" i="10"/>
  <c r="L351" i="10"/>
  <c r="H349" i="10"/>
  <c r="L347" i="10"/>
  <c r="M345" i="10"/>
  <c r="M343" i="10"/>
  <c r="U341" i="10"/>
  <c r="E379" i="10"/>
  <c r="S375" i="10"/>
  <c r="U371" i="10"/>
  <c r="L368" i="10"/>
  <c r="T364" i="10"/>
  <c r="S361" i="10"/>
  <c r="K359" i="10"/>
  <c r="N356" i="10"/>
  <c r="O353" i="10"/>
  <c r="E351" i="10"/>
  <c r="G349" i="10"/>
  <c r="D347" i="10"/>
  <c r="K345" i="10"/>
  <c r="I343" i="10"/>
  <c r="K341" i="10"/>
  <c r="D379" i="10"/>
  <c r="G375" i="10"/>
  <c r="H371" i="10"/>
  <c r="E368" i="10"/>
  <c r="R364" i="10"/>
  <c r="Q361" i="10"/>
  <c r="I359" i="10"/>
  <c r="L356" i="10"/>
  <c r="K353" i="10"/>
  <c r="V350" i="10"/>
  <c r="U348" i="10"/>
  <c r="U346" i="10"/>
  <c r="G345" i="10"/>
  <c r="H343" i="10"/>
  <c r="J341" i="10"/>
  <c r="V339" i="10"/>
  <c r="H338" i="10"/>
  <c r="L336" i="10"/>
  <c r="V334" i="10"/>
  <c r="F333" i="10"/>
  <c r="L331" i="10"/>
  <c r="H330" i="10"/>
  <c r="S328" i="10"/>
  <c r="J327" i="10"/>
  <c r="G326" i="10"/>
  <c r="T324" i="10"/>
  <c r="K323" i="10"/>
  <c r="F322" i="10"/>
  <c r="S320" i="10"/>
  <c r="J319" i="10"/>
  <c r="H318" i="10"/>
  <c r="U316" i="10"/>
  <c r="L315" i="10"/>
  <c r="I314" i="10"/>
  <c r="V312" i="10"/>
  <c r="M311" i="10"/>
  <c r="H310" i="10"/>
  <c r="H309" i="10"/>
  <c r="G308" i="10"/>
  <c r="I307" i="10"/>
  <c r="I306" i="10"/>
  <c r="H305" i="10"/>
  <c r="J304" i="10"/>
  <c r="J303" i="10"/>
  <c r="G302" i="10"/>
  <c r="I301" i="10"/>
  <c r="I300" i="10"/>
  <c r="H299" i="10"/>
  <c r="J298" i="10"/>
  <c r="J297" i="10"/>
  <c r="I296" i="10"/>
  <c r="K295" i="10"/>
  <c r="K294" i="10"/>
  <c r="J293" i="10"/>
  <c r="L292" i="10"/>
  <c r="L291" i="10"/>
  <c r="I290" i="10"/>
  <c r="K289" i="10"/>
  <c r="K288" i="10"/>
  <c r="K287" i="10"/>
  <c r="O286" i="10"/>
  <c r="R285" i="10"/>
  <c r="S284" i="10"/>
  <c r="D284" i="10"/>
  <c r="H283" i="10"/>
  <c r="K282" i="10"/>
  <c r="Q281" i="10"/>
  <c r="U280" i="10"/>
  <c r="C280" i="10"/>
  <c r="I279" i="10"/>
  <c r="M278" i="10"/>
  <c r="P277" i="10"/>
  <c r="V276" i="10"/>
  <c r="E276" i="10"/>
  <c r="H275" i="10"/>
  <c r="N274" i="10"/>
  <c r="R273" i="10"/>
  <c r="U272" i="10"/>
  <c r="H272" i="10"/>
  <c r="M271" i="10"/>
  <c r="U270" i="10"/>
  <c r="H270" i="10"/>
  <c r="M269" i="10"/>
  <c r="U268" i="10"/>
  <c r="E268" i="10"/>
  <c r="M267" i="10"/>
  <c r="V266" i="10"/>
  <c r="H266" i="10"/>
  <c r="Q265" i="10"/>
  <c r="E265" i="10"/>
  <c r="N264" i="10"/>
  <c r="U263" i="10"/>
  <c r="I263" i="10"/>
  <c r="R262" i="10"/>
  <c r="F262" i="10"/>
  <c r="M261" i="10"/>
  <c r="V260" i="10"/>
  <c r="J260" i="10"/>
  <c r="S259" i="10"/>
  <c r="E259" i="10"/>
  <c r="O258" i="10"/>
  <c r="D258" i="10"/>
  <c r="N257" i="10"/>
  <c r="C257" i="10"/>
  <c r="M256" i="10"/>
  <c r="B256" i="10"/>
  <c r="M255" i="10"/>
  <c r="C255" i="10"/>
  <c r="N254" i="10"/>
  <c r="D254" i="10"/>
  <c r="O253" i="10"/>
  <c r="E253" i="10"/>
  <c r="P252" i="10"/>
  <c r="F252" i="10"/>
  <c r="Q251" i="10"/>
  <c r="G251" i="10"/>
  <c r="R250" i="10"/>
  <c r="H250" i="10"/>
  <c r="S249" i="10"/>
  <c r="I249" i="10"/>
  <c r="T248" i="10"/>
  <c r="J248" i="10"/>
  <c r="U247" i="10"/>
  <c r="K247" i="10"/>
  <c r="V246" i="10"/>
  <c r="L246" i="10"/>
  <c r="B246" i="10"/>
  <c r="M245" i="10"/>
  <c r="C245" i="10"/>
  <c r="N244" i="10"/>
  <c r="D244" i="10"/>
  <c r="O243" i="10"/>
  <c r="E243" i="10"/>
  <c r="P242" i="10"/>
  <c r="F242" i="10"/>
  <c r="Q241" i="10"/>
  <c r="G241" i="10"/>
  <c r="R240" i="10"/>
  <c r="H240" i="10"/>
  <c r="S239" i="10"/>
  <c r="I239" i="10"/>
  <c r="T238" i="10"/>
  <c r="J238" i="10"/>
  <c r="U237" i="10"/>
  <c r="K237" i="10"/>
  <c r="V236" i="10"/>
  <c r="L236" i="10"/>
  <c r="B236" i="10"/>
  <c r="M235" i="10"/>
  <c r="C235" i="10"/>
  <c r="N234" i="10"/>
  <c r="D234" i="10"/>
  <c r="O233" i="10"/>
  <c r="E233" i="10"/>
  <c r="P232" i="10"/>
  <c r="F232" i="10"/>
  <c r="Q231" i="10"/>
  <c r="G231" i="10"/>
  <c r="R230" i="10"/>
  <c r="H230" i="10"/>
  <c r="S229" i="10"/>
  <c r="I229" i="10"/>
  <c r="T228" i="10"/>
  <c r="J228" i="10"/>
  <c r="K378" i="10"/>
  <c r="E367" i="10"/>
  <c r="G358" i="10"/>
  <c r="S348" i="10"/>
  <c r="D343" i="10"/>
  <c r="J339" i="10"/>
  <c r="K336" i="10"/>
  <c r="M333" i="10"/>
  <c r="G331" i="10"/>
  <c r="P328" i="10"/>
  <c r="K326" i="10"/>
  <c r="I324" i="10"/>
  <c r="V321" i="10"/>
  <c r="S319" i="10"/>
  <c r="S317" i="10"/>
  <c r="K315" i="10"/>
  <c r="D313" i="10"/>
  <c r="F311" i="10"/>
  <c r="F309" i="10"/>
  <c r="L307" i="10"/>
  <c r="U305" i="10"/>
  <c r="D304" i="10"/>
  <c r="N302" i="10"/>
  <c r="C301" i="10"/>
  <c r="G299" i="10"/>
  <c r="L297" i="10"/>
  <c r="C296" i="10"/>
  <c r="I294" i="10"/>
  <c r="O292" i="10"/>
  <c r="C291" i="10"/>
  <c r="G289" i="10"/>
  <c r="Q287" i="10"/>
  <c r="I286" i="10"/>
  <c r="R284" i="10"/>
  <c r="J283" i="10"/>
  <c r="G282" i="10"/>
  <c r="S280" i="10"/>
  <c r="L279" i="10"/>
  <c r="F278" i="10"/>
  <c r="R276" i="10"/>
  <c r="M275" i="10"/>
  <c r="H274" i="10"/>
  <c r="T272" i="10"/>
  <c r="R271" i="10"/>
  <c r="R270" i="10"/>
  <c r="L269" i="10"/>
  <c r="J268" i="10"/>
  <c r="H267" i="10"/>
  <c r="G266" i="10"/>
  <c r="G265" i="10"/>
  <c r="I264" i="10"/>
  <c r="H263" i="10"/>
  <c r="H262" i="10"/>
  <c r="J261" i="10"/>
  <c r="I260" i="10"/>
  <c r="I259" i="10"/>
  <c r="L258" i="10"/>
  <c r="M257" i="10"/>
  <c r="O256" i="10"/>
  <c r="T255" i="10"/>
  <c r="B255" i="10"/>
  <c r="F254" i="10"/>
  <c r="L253" i="10"/>
  <c r="O252" i="10"/>
  <c r="S251" i="10"/>
  <c r="D251" i="10"/>
  <c r="G250" i="10"/>
  <c r="K249" i="10"/>
  <c r="Q248" i="10"/>
  <c r="T247" i="10"/>
  <c r="C247" i="10"/>
  <c r="I246" i="10"/>
  <c r="L245" i="10"/>
  <c r="P244" i="10"/>
  <c r="V243" i="10"/>
  <c r="D243" i="10"/>
  <c r="H242" i="10"/>
  <c r="N241" i="10"/>
  <c r="Q240" i="10"/>
  <c r="U239" i="10"/>
  <c r="F239" i="10"/>
  <c r="I238" i="10"/>
  <c r="M237" i="10"/>
  <c r="S236" i="10"/>
  <c r="V235" i="10"/>
  <c r="E235" i="10"/>
  <c r="K234" i="10"/>
  <c r="N233" i="10"/>
  <c r="R232" i="10"/>
  <c r="C232" i="10"/>
  <c r="F231" i="10"/>
  <c r="J230" i="10"/>
  <c r="P229" i="10"/>
  <c r="S228" i="10"/>
  <c r="B228" i="10"/>
  <c r="J227" i="10"/>
  <c r="S226" i="10"/>
  <c r="E226" i="10"/>
  <c r="N225" i="10"/>
  <c r="B225" i="10"/>
  <c r="K224" i="10"/>
  <c r="R223" i="10"/>
  <c r="F223" i="10"/>
  <c r="O222" i="10"/>
  <c r="C222" i="10"/>
  <c r="J221" i="10"/>
  <c r="S220" i="10"/>
  <c r="G220" i="10"/>
  <c r="P219" i="10"/>
  <c r="B219" i="10"/>
  <c r="K218" i="10"/>
  <c r="T217" i="10"/>
  <c r="H217" i="10"/>
  <c r="O216" i="10"/>
  <c r="C216" i="10"/>
  <c r="L215" i="10"/>
  <c r="U214" i="10"/>
  <c r="G214" i="10"/>
  <c r="P213" i="10"/>
  <c r="D213" i="10"/>
  <c r="M212" i="10"/>
  <c r="T211" i="10"/>
  <c r="H211" i="10"/>
  <c r="Q210" i="10"/>
  <c r="E210" i="10"/>
  <c r="L209" i="10"/>
  <c r="U208" i="10"/>
  <c r="I208" i="10"/>
  <c r="R207" i="10"/>
  <c r="D207" i="10"/>
  <c r="N206" i="10"/>
  <c r="D206" i="10"/>
  <c r="O205" i="10"/>
  <c r="E205" i="10"/>
  <c r="P204" i="10"/>
  <c r="F204" i="10"/>
  <c r="Q203" i="10"/>
  <c r="G203" i="10"/>
  <c r="R202" i="10"/>
  <c r="H202" i="10"/>
  <c r="S201" i="10"/>
  <c r="I201" i="10"/>
  <c r="T200" i="10"/>
  <c r="J200" i="10"/>
  <c r="U199" i="10"/>
  <c r="K199" i="10"/>
  <c r="V198" i="10"/>
  <c r="L198" i="10"/>
  <c r="B198" i="10"/>
  <c r="M197" i="10"/>
  <c r="C197" i="10"/>
  <c r="N196" i="10"/>
  <c r="D196" i="10"/>
  <c r="O195" i="10"/>
  <c r="E195" i="10"/>
  <c r="B378" i="10"/>
  <c r="C367" i="10"/>
  <c r="T355" i="10"/>
  <c r="R348" i="10"/>
  <c r="O342" i="10"/>
  <c r="L338" i="10"/>
  <c r="E336" i="10"/>
  <c r="J333" i="10"/>
  <c r="P330" i="10"/>
  <c r="O328" i="10"/>
  <c r="H326" i="10"/>
  <c r="U323" i="10"/>
  <c r="R321" i="10"/>
  <c r="N319" i="10"/>
  <c r="F317" i="10"/>
  <c r="I315" i="10"/>
  <c r="C313" i="10"/>
  <c r="P310" i="10"/>
  <c r="E309" i="10"/>
  <c r="J307" i="10"/>
  <c r="N305" i="10"/>
  <c r="C304" i="10"/>
  <c r="H302" i="10"/>
  <c r="N300" i="10"/>
  <c r="F299" i="10"/>
  <c r="K297" i="10"/>
  <c r="O295" i="10"/>
  <c r="F294" i="10"/>
  <c r="M292" i="10"/>
  <c r="Q290" i="10"/>
  <c r="F289" i="10"/>
  <c r="L287" i="10"/>
  <c r="U285" i="10"/>
  <c r="Q284" i="10"/>
  <c r="I283" i="10"/>
  <c r="U281" i="10"/>
  <c r="R280" i="10"/>
  <c r="J279" i="10"/>
  <c r="V277" i="10"/>
  <c r="Q276" i="10"/>
  <c r="I275" i="10"/>
  <c r="U273" i="10"/>
  <c r="S272" i="10"/>
  <c r="Q271" i="10"/>
  <c r="K270" i="10"/>
  <c r="K269" i="10"/>
  <c r="F268" i="10"/>
  <c r="D267" i="10"/>
  <c r="F266" i="10"/>
  <c r="F265" i="10"/>
  <c r="E264" i="10"/>
  <c r="G263" i="10"/>
  <c r="G262" i="10"/>
  <c r="D261" i="10"/>
  <c r="H260" i="10"/>
  <c r="F259" i="10"/>
  <c r="G258" i="10"/>
  <c r="L257" i="10"/>
  <c r="N256" i="10"/>
  <c r="P255" i="10"/>
  <c r="V254" i="10"/>
  <c r="E254" i="10"/>
  <c r="H253" i="10"/>
  <c r="N252" i="10"/>
  <c r="R251" i="10"/>
  <c r="U250" i="10"/>
  <c r="F250" i="10"/>
  <c r="J249" i="10"/>
  <c r="M248" i="10"/>
  <c r="S247" i="10"/>
  <c r="B247" i="10"/>
  <c r="E246" i="10"/>
  <c r="K245" i="10"/>
  <c r="O244" i="10"/>
  <c r="R243" i="10"/>
  <c r="C243" i="10"/>
  <c r="G242" i="10"/>
  <c r="J241" i="10"/>
  <c r="P240" i="10"/>
  <c r="T239" i="10"/>
  <c r="B239" i="10"/>
  <c r="H238" i="10"/>
  <c r="L237" i="10"/>
  <c r="O236" i="10"/>
  <c r="U235" i="10"/>
  <c r="D235" i="10"/>
  <c r="G234" i="10"/>
  <c r="M233" i="10"/>
  <c r="Q232" i="10"/>
  <c r="T231" i="10"/>
  <c r="E231" i="10"/>
  <c r="I230" i="10"/>
  <c r="L229" i="10"/>
  <c r="R228" i="10"/>
  <c r="V227" i="10"/>
  <c r="I227" i="10"/>
  <c r="P226" i="10"/>
  <c r="D226" i="10"/>
  <c r="M225" i="10"/>
  <c r="V224" i="10"/>
  <c r="H224" i="10"/>
  <c r="Q223" i="10"/>
  <c r="E223" i="10"/>
  <c r="N222" i="10"/>
  <c r="U221" i="10"/>
  <c r="I221" i="10"/>
  <c r="R220" i="10"/>
  <c r="F220" i="10"/>
  <c r="M219" i="10"/>
  <c r="V218" i="10"/>
  <c r="J218" i="10"/>
  <c r="S217" i="10"/>
  <c r="E217" i="10"/>
  <c r="N216" i="10"/>
  <c r="B216" i="10"/>
  <c r="K215" i="10"/>
  <c r="R214" i="10"/>
  <c r="F214" i="10"/>
  <c r="O213" i="10"/>
  <c r="C213" i="10"/>
  <c r="J212" i="10"/>
  <c r="S211" i="10"/>
  <c r="G211" i="10"/>
  <c r="P210" i="10"/>
  <c r="B210" i="10"/>
  <c r="K209" i="10"/>
  <c r="T208" i="10"/>
  <c r="H208" i="10"/>
  <c r="O207" i="10"/>
  <c r="C207" i="10"/>
  <c r="M206" i="10"/>
  <c r="C206" i="10"/>
  <c r="N205" i="10"/>
  <c r="D205" i="10"/>
  <c r="O204" i="10"/>
  <c r="E204" i="10"/>
  <c r="P203" i="10"/>
  <c r="F203" i="10"/>
  <c r="Q202" i="10"/>
  <c r="G202" i="10"/>
  <c r="R201" i="10"/>
  <c r="H201" i="10"/>
  <c r="S200" i="10"/>
  <c r="I200" i="10"/>
  <c r="T199" i="10"/>
  <c r="J199" i="10"/>
  <c r="U198" i="10"/>
  <c r="K198" i="10"/>
  <c r="V197" i="10"/>
  <c r="L197" i="10"/>
  <c r="B197" i="10"/>
  <c r="M196" i="10"/>
  <c r="C196" i="10"/>
  <c r="N195" i="10"/>
  <c r="D195" i="10"/>
  <c r="P377" i="10"/>
  <c r="I364" i="10"/>
  <c r="S355" i="10"/>
  <c r="D348" i="10"/>
  <c r="I341" i="10"/>
  <c r="K338" i="10"/>
  <c r="C336" i="10"/>
  <c r="D333" i="10"/>
  <c r="K330" i="10"/>
  <c r="H328" i="10"/>
  <c r="U325" i="10"/>
  <c r="T323" i="10"/>
  <c r="Q321" i="10"/>
  <c r="I319" i="10"/>
  <c r="B317" i="10"/>
  <c r="D315" i="10"/>
  <c r="Q312" i="10"/>
  <c r="N310" i="10"/>
  <c r="T308" i="10"/>
  <c r="C307" i="10"/>
  <c r="M305" i="10"/>
  <c r="B304" i="10"/>
  <c r="F302" i="10"/>
  <c r="M300" i="10"/>
  <c r="D299" i="10"/>
  <c r="H297" i="10"/>
  <c r="N295" i="10"/>
  <c r="B294" i="10"/>
  <c r="F292" i="10"/>
  <c r="P290" i="10"/>
  <c r="E289" i="10"/>
  <c r="J287" i="10"/>
  <c r="T285" i="10"/>
  <c r="O284" i="10"/>
  <c r="F283" i="10"/>
  <c r="T281" i="10"/>
  <c r="N280" i="10"/>
  <c r="E279" i="10"/>
  <c r="U277" i="10"/>
  <c r="P276" i="10"/>
  <c r="G275" i="10"/>
  <c r="T273" i="10"/>
  <c r="R272" i="10"/>
  <c r="L271" i="10"/>
  <c r="J270" i="10"/>
  <c r="J269" i="10"/>
  <c r="D268" i="10"/>
  <c r="C267" i="10"/>
  <c r="E266" i="10"/>
  <c r="D265" i="10"/>
  <c r="D264" i="10"/>
  <c r="F263" i="10"/>
  <c r="C262" i="10"/>
  <c r="C261" i="10"/>
  <c r="E260" i="10"/>
  <c r="D259" i="10"/>
  <c r="F258" i="10"/>
  <c r="K257" i="10"/>
  <c r="L256" i="10"/>
  <c r="O255" i="10"/>
  <c r="U254" i="10"/>
  <c r="C254" i="10"/>
  <c r="G253" i="10"/>
  <c r="M252" i="10"/>
  <c r="P251" i="10"/>
  <c r="T250" i="10"/>
  <c r="E250" i="10"/>
  <c r="H249" i="10"/>
  <c r="L248" i="10"/>
  <c r="R247" i="10"/>
  <c r="U246" i="10"/>
  <c r="D246" i="10"/>
  <c r="J245" i="10"/>
  <c r="M244" i="10"/>
  <c r="Q243" i="10"/>
  <c r="B243" i="10"/>
  <c r="E242" i="10"/>
  <c r="I241" i="10"/>
  <c r="O240" i="10"/>
  <c r="R239" i="10"/>
  <c r="V238" i="10"/>
  <c r="G238" i="10"/>
  <c r="J237" i="10"/>
  <c r="N236" i="10"/>
  <c r="T235" i="10"/>
  <c r="B235" i="10"/>
  <c r="F234" i="10"/>
  <c r="L233" i="10"/>
  <c r="O232" i="10"/>
  <c r="S231" i="10"/>
  <c r="D231" i="10"/>
  <c r="G230" i="10"/>
  <c r="K229" i="10"/>
  <c r="Q228" i="10"/>
  <c r="U227" i="10"/>
  <c r="H227" i="10"/>
  <c r="O226" i="10"/>
  <c r="C226" i="10"/>
  <c r="L225" i="10"/>
  <c r="U224" i="10"/>
  <c r="G224" i="10"/>
  <c r="P223" i="10"/>
  <c r="D223" i="10"/>
  <c r="M222" i="10"/>
  <c r="T221" i="10"/>
  <c r="H221" i="10"/>
  <c r="Q220" i="10"/>
  <c r="E220" i="10"/>
  <c r="L219" i="10"/>
  <c r="U218" i="10"/>
  <c r="I218" i="10"/>
  <c r="R217" i="10"/>
  <c r="D217" i="10"/>
  <c r="M216" i="10"/>
  <c r="V215" i="10"/>
  <c r="J215" i="10"/>
  <c r="Q214" i="10"/>
  <c r="E214" i="10"/>
  <c r="N213" i="10"/>
  <c r="B213" i="10"/>
  <c r="I212" i="10"/>
  <c r="R211" i="10"/>
  <c r="F211" i="10"/>
  <c r="O210" i="10"/>
  <c r="V209" i="10"/>
  <c r="J209" i="10"/>
  <c r="S208" i="10"/>
  <c r="G208" i="10"/>
  <c r="N207" i="10"/>
  <c r="B207" i="10"/>
  <c r="L206" i="10"/>
  <c r="B206" i="10"/>
  <c r="M205" i="10"/>
  <c r="C205" i="10"/>
  <c r="N204" i="10"/>
  <c r="D204" i="10"/>
  <c r="O203" i="10"/>
  <c r="E203" i="10"/>
  <c r="P202" i="10"/>
  <c r="F202" i="10"/>
  <c r="Q201" i="10"/>
  <c r="G201" i="10"/>
  <c r="R200" i="10"/>
  <c r="H200" i="10"/>
  <c r="S199" i="10"/>
  <c r="I199" i="10"/>
  <c r="T198" i="10"/>
  <c r="J198" i="10"/>
  <c r="U197" i="10"/>
  <c r="K197" i="10"/>
  <c r="V196" i="10"/>
  <c r="L196" i="10"/>
  <c r="B196" i="10"/>
  <c r="M195" i="10"/>
  <c r="C195" i="10"/>
  <c r="D375" i="10"/>
  <c r="H364" i="10"/>
  <c r="H355" i="10"/>
  <c r="T346" i="10"/>
  <c r="G341" i="10"/>
  <c r="J338" i="10"/>
  <c r="K335" i="10"/>
  <c r="C333" i="10"/>
  <c r="I330" i="10"/>
  <c r="T327" i="10"/>
  <c r="S325" i="10"/>
  <c r="M323" i="10"/>
  <c r="E321" i="10"/>
  <c r="H319" i="10"/>
  <c r="V316" i="10"/>
  <c r="N314" i="10"/>
  <c r="P312" i="10"/>
  <c r="I310" i="10"/>
  <c r="O308" i="10"/>
  <c r="B307" i="10"/>
  <c r="I305" i="10"/>
  <c r="M303" i="10"/>
  <c r="E302" i="10"/>
  <c r="J300" i="10"/>
  <c r="P298" i="10"/>
  <c r="G297" i="10"/>
  <c r="L295" i="10"/>
  <c r="P293" i="10"/>
  <c r="E292" i="10"/>
  <c r="J290" i="10"/>
  <c r="P288" i="10"/>
  <c r="I287" i="10"/>
  <c r="G371" i="10"/>
  <c r="I361" i="10"/>
  <c r="R352" i="10"/>
  <c r="Q344" i="10"/>
  <c r="G340" i="10"/>
  <c r="N337" i="10"/>
  <c r="O334" i="10"/>
  <c r="V331" i="10"/>
  <c r="R329" i="10"/>
  <c r="I327" i="10"/>
  <c r="B325" i="10"/>
  <c r="D323" i="10"/>
  <c r="Q320" i="10"/>
  <c r="K318" i="10"/>
  <c r="J316" i="10"/>
  <c r="B314" i="10"/>
  <c r="V311" i="10"/>
  <c r="U309" i="10"/>
  <c r="F308" i="10"/>
  <c r="K306" i="10"/>
  <c r="B305" i="10"/>
  <c r="F303" i="10"/>
  <c r="N301" i="10"/>
  <c r="U299" i="10"/>
  <c r="F298" i="10"/>
  <c r="N296" i="10"/>
  <c r="C295" i="10"/>
  <c r="G293" i="10"/>
  <c r="N291" i="10"/>
  <c r="E290" i="10"/>
  <c r="I288" i="10"/>
  <c r="S286" i="10"/>
  <c r="J285" i="10"/>
  <c r="U283" i="10"/>
  <c r="P282" i="10"/>
  <c r="K281" i="10"/>
  <c r="B280" i="10"/>
  <c r="O278" i="10"/>
  <c r="L277" i="10"/>
  <c r="C276" i="10"/>
  <c r="Q274" i="10"/>
  <c r="K273" i="10"/>
  <c r="G272" i="10"/>
  <c r="B271" i="10"/>
  <c r="B270" i="10"/>
  <c r="T268" i="10"/>
  <c r="O267" i="10"/>
  <c r="Q266" i="10"/>
  <c r="P265" i="10"/>
  <c r="P264" i="10"/>
  <c r="R263" i="10"/>
  <c r="Q262" i="10"/>
  <c r="Q261" i="10"/>
  <c r="S260" i="10"/>
  <c r="P259" i="10"/>
  <c r="Q258" i="10"/>
  <c r="V257" i="10"/>
  <c r="B257" i="10"/>
  <c r="D256" i="10"/>
  <c r="J255" i="10"/>
  <c r="M254" i="10"/>
  <c r="Q253" i="10"/>
  <c r="B253" i="10"/>
  <c r="E252" i="10"/>
  <c r="I251" i="10"/>
  <c r="O250" i="10"/>
  <c r="R249" i="10"/>
  <c r="V248" i="10"/>
  <c r="G248" i="10"/>
  <c r="J247" i="10"/>
  <c r="N246" i="10"/>
  <c r="T245" i="10"/>
  <c r="B245" i="10"/>
  <c r="F244" i="10"/>
  <c r="L243" i="10"/>
  <c r="O242" i="10"/>
  <c r="S241" i="10"/>
  <c r="D241" i="10"/>
  <c r="G240" i="10"/>
  <c r="K239" i="10"/>
  <c r="Q238" i="10"/>
  <c r="T237" i="10"/>
  <c r="C237" i="10"/>
  <c r="I236" i="10"/>
  <c r="L235" i="10"/>
  <c r="P234" i="10"/>
  <c r="V233" i="10"/>
  <c r="D233" i="10"/>
  <c r="H232" i="10"/>
  <c r="N231" i="10"/>
  <c r="Q230" i="10"/>
  <c r="U229" i="10"/>
  <c r="F229" i="10"/>
  <c r="I228" i="10"/>
  <c r="N227" i="10"/>
  <c r="B227" i="10"/>
  <c r="K226" i="10"/>
  <c r="T225" i="10"/>
  <c r="F225" i="10"/>
  <c r="O224" i="10"/>
  <c r="C224" i="10"/>
  <c r="L223" i="10"/>
  <c r="S222" i="10"/>
  <c r="G222" i="10"/>
  <c r="P221" i="10"/>
  <c r="D221" i="10"/>
  <c r="K220" i="10"/>
  <c r="T219" i="10"/>
  <c r="H219" i="10"/>
  <c r="Q218" i="10"/>
  <c r="C218" i="10"/>
  <c r="L217" i="10"/>
  <c r="U216" i="10"/>
  <c r="I216" i="10"/>
  <c r="P215" i="10"/>
  <c r="D215" i="10"/>
  <c r="M214" i="10"/>
  <c r="V213" i="10"/>
  <c r="H213" i="10"/>
  <c r="Q212" i="10"/>
  <c r="E212" i="10"/>
  <c r="N211" i="10"/>
  <c r="U210" i="10"/>
  <c r="I210" i="10"/>
  <c r="R209" i="10"/>
  <c r="F209" i="10"/>
  <c r="M208" i="10"/>
  <c r="V207" i="10"/>
  <c r="J207" i="10"/>
  <c r="S206" i="10"/>
  <c r="H206" i="10"/>
  <c r="S205" i="10"/>
  <c r="I205" i="10"/>
  <c r="T204" i="10"/>
  <c r="J204" i="10"/>
  <c r="U203" i="10"/>
  <c r="K203" i="10"/>
  <c r="V202" i="10"/>
  <c r="L202" i="10"/>
  <c r="B202" i="10"/>
  <c r="M201" i="10"/>
  <c r="C201" i="10"/>
  <c r="N200" i="10"/>
  <c r="D200" i="10"/>
  <c r="O199" i="10"/>
  <c r="E199" i="10"/>
  <c r="P198" i="10"/>
  <c r="F198" i="10"/>
  <c r="Q197" i="10"/>
  <c r="G197" i="10"/>
  <c r="R196" i="10"/>
  <c r="H196" i="10"/>
  <c r="S195" i="10"/>
  <c r="I195" i="10"/>
  <c r="O363" i="10"/>
  <c r="P346" i="10"/>
  <c r="V337" i="10"/>
  <c r="N332" i="10"/>
  <c r="S327" i="10"/>
  <c r="J323" i="10"/>
  <c r="E319" i="10"/>
  <c r="M314" i="10"/>
  <c r="D310" i="10"/>
  <c r="V306" i="10"/>
  <c r="L303" i="10"/>
  <c r="G300" i="10"/>
  <c r="V296" i="10"/>
  <c r="O293" i="10"/>
  <c r="H290" i="10"/>
  <c r="G287" i="10"/>
  <c r="T284" i="10"/>
  <c r="L282" i="10"/>
  <c r="H280" i="10"/>
  <c r="J278" i="10"/>
  <c r="B276" i="10"/>
  <c r="P273" i="10"/>
  <c r="S271" i="10"/>
  <c r="S269" i="10"/>
  <c r="B268" i="10"/>
  <c r="I266" i="10"/>
  <c r="O264" i="10"/>
  <c r="T262" i="10"/>
  <c r="K261" i="10"/>
  <c r="O259" i="10"/>
  <c r="C258" i="10"/>
  <c r="P256" i="10"/>
  <c r="F255" i="10"/>
  <c r="V253" i="10"/>
  <c r="Q252" i="10"/>
  <c r="H251" i="10"/>
  <c r="U249" i="10"/>
  <c r="R248" i="10"/>
  <c r="I247" i="10"/>
  <c r="V245" i="10"/>
  <c r="Q244" i="10"/>
  <c r="H243" i="10"/>
  <c r="C242" i="10"/>
  <c r="S240" i="10"/>
  <c r="J239" i="10"/>
  <c r="B238" i="10"/>
  <c r="T236" i="10"/>
  <c r="K235" i="10"/>
  <c r="C234" i="10"/>
  <c r="S232" i="10"/>
  <c r="J231" i="10"/>
  <c r="E230" i="10"/>
  <c r="U228" i="10"/>
  <c r="M227" i="10"/>
  <c r="M226" i="10"/>
  <c r="O225" i="10"/>
  <c r="N224" i="10"/>
  <c r="N223" i="10"/>
  <c r="P222" i="10"/>
  <c r="O221" i="10"/>
  <c r="O220" i="10"/>
  <c r="Q219" i="10"/>
  <c r="N218" i="10"/>
  <c r="N217" i="10"/>
  <c r="P216" i="10"/>
  <c r="O215" i="10"/>
  <c r="O214" i="10"/>
  <c r="Q213" i="10"/>
  <c r="P212" i="10"/>
  <c r="P211" i="10"/>
  <c r="R210" i="10"/>
  <c r="Q209" i="10"/>
  <c r="Q208" i="10"/>
  <c r="S207" i="10"/>
  <c r="R206" i="10"/>
  <c r="U205" i="10"/>
  <c r="F205" i="10"/>
  <c r="I204" i="10"/>
  <c r="M203" i="10"/>
  <c r="S202" i="10"/>
  <c r="V201" i="10"/>
  <c r="E201" i="10"/>
  <c r="K200" i="10"/>
  <c r="N199" i="10"/>
  <c r="R198" i="10"/>
  <c r="C198" i="10"/>
  <c r="F197" i="10"/>
  <c r="J196" i="10"/>
  <c r="P195" i="10"/>
  <c r="K361" i="10"/>
  <c r="M346" i="10"/>
  <c r="U337" i="10"/>
  <c r="C332" i="10"/>
  <c r="K327" i="10"/>
  <c r="F323" i="10"/>
  <c r="O318" i="10"/>
  <c r="J314" i="10"/>
  <c r="C310" i="10"/>
  <c r="L306" i="10"/>
  <c r="K303" i="10"/>
  <c r="F300" i="10"/>
  <c r="Q296" i="10"/>
  <c r="K293" i="10"/>
  <c r="G290" i="10"/>
  <c r="T286" i="10"/>
  <c r="H284" i="10"/>
  <c r="J282" i="10"/>
  <c r="D280" i="10"/>
  <c r="Q277" i="10"/>
  <c r="S275" i="10"/>
  <c r="O273" i="10"/>
  <c r="K271" i="10"/>
  <c r="O269" i="10"/>
  <c r="P267" i="10"/>
  <c r="T265" i="10"/>
  <c r="K264" i="10"/>
  <c r="S262" i="10"/>
  <c r="B261" i="10"/>
  <c r="N259" i="10"/>
  <c r="B258" i="10"/>
  <c r="J256" i="10"/>
  <c r="E255" i="10"/>
  <c r="R253" i="10"/>
  <c r="I252" i="10"/>
  <c r="F251" i="10"/>
  <c r="T249" i="10"/>
  <c r="K248" i="10"/>
  <c r="H247" i="10"/>
  <c r="U245" i="10"/>
  <c r="L244" i="10"/>
  <c r="G243" i="10"/>
  <c r="T241" i="10"/>
  <c r="K240" i="10"/>
  <c r="H239" i="10"/>
  <c r="V237" i="10"/>
  <c r="M236" i="10"/>
  <c r="J235" i="10"/>
  <c r="B234" i="10"/>
  <c r="N232" i="10"/>
  <c r="I231" i="10"/>
  <c r="V229" i="10"/>
  <c r="M228" i="10"/>
  <c r="L227" i="10"/>
  <c r="L226" i="10"/>
  <c r="K225" i="10"/>
  <c r="M224" i="10"/>
  <c r="M223" i="10"/>
  <c r="J222" i="10"/>
  <c r="N221" i="10"/>
  <c r="L220" i="10"/>
  <c r="K219" i="10"/>
  <c r="M218" i="10"/>
  <c r="M217" i="10"/>
  <c r="L216" i="10"/>
  <c r="N215" i="10"/>
  <c r="N214" i="10"/>
  <c r="M213" i="10"/>
  <c r="O212" i="10"/>
  <c r="O211" i="10"/>
  <c r="L210" i="10"/>
  <c r="P209" i="10"/>
  <c r="N208" i="10"/>
  <c r="M207" i="10"/>
  <c r="P206" i="10"/>
  <c r="T205" i="10"/>
  <c r="B205" i="10"/>
  <c r="H204" i="10"/>
  <c r="L203" i="10"/>
  <c r="O202" i="10"/>
  <c r="U201" i="10"/>
  <c r="D201" i="10"/>
  <c r="G200" i="10"/>
  <c r="M199" i="10"/>
  <c r="Q198" i="10"/>
  <c r="T197" i="10"/>
  <c r="E197" i="10"/>
  <c r="I196" i="10"/>
  <c r="L195" i="10"/>
  <c r="S360" i="10"/>
  <c r="P344" i="10"/>
  <c r="C337" i="10"/>
  <c r="Q331" i="10"/>
  <c r="G327" i="10"/>
  <c r="N322" i="10"/>
  <c r="I318" i="10"/>
  <c r="U313" i="10"/>
  <c r="K309" i="10"/>
  <c r="J306" i="10"/>
  <c r="E303" i="10"/>
  <c r="P299" i="10"/>
  <c r="J296" i="10"/>
  <c r="F293" i="10"/>
  <c r="Q289" i="10"/>
  <c r="Q286" i="10"/>
  <c r="G284" i="10"/>
  <c r="I282" i="10"/>
  <c r="V279" i="10"/>
  <c r="O277" i="10"/>
  <c r="N275" i="10"/>
  <c r="F273" i="10"/>
  <c r="J271" i="10"/>
  <c r="N269" i="10"/>
  <c r="N267" i="10"/>
  <c r="S265" i="10"/>
  <c r="J264" i="10"/>
  <c r="P262" i="10"/>
  <c r="U260" i="10"/>
  <c r="J259" i="10"/>
  <c r="Q257" i="10"/>
  <c r="I256" i="10"/>
  <c r="D255" i="10"/>
  <c r="P253" i="10"/>
  <c r="H252" i="10"/>
  <c r="E251" i="10"/>
  <c r="Q249" i="10"/>
  <c r="I248" i="10"/>
  <c r="D247" i="10"/>
  <c r="P245" i="10"/>
  <c r="K244" i="10"/>
  <c r="F243" i="10"/>
  <c r="R241" i="10"/>
  <c r="J240" i="10"/>
  <c r="G239" i="10"/>
  <c r="S237" i="10"/>
  <c r="K236" i="10"/>
  <c r="F235" i="10"/>
  <c r="R233" i="10"/>
  <c r="M232" i="10"/>
  <c r="H231" i="10"/>
  <c r="T229" i="10"/>
  <c r="L228" i="10"/>
  <c r="K227" i="10"/>
  <c r="J226" i="10"/>
  <c r="J225" i="10"/>
  <c r="L224" i="10"/>
  <c r="I223" i="10"/>
  <c r="I222" i="10"/>
  <c r="K221" i="10"/>
  <c r="J220" i="10"/>
  <c r="J219" i="10"/>
  <c r="L218" i="10"/>
  <c r="K217" i="10"/>
  <c r="K216" i="10"/>
  <c r="M215" i="10"/>
  <c r="L214" i="10"/>
  <c r="L213" i="10"/>
  <c r="N212" i="10"/>
  <c r="K211" i="10"/>
  <c r="K210" i="10"/>
  <c r="M209" i="10"/>
  <c r="L208" i="10"/>
  <c r="L207" i="10"/>
  <c r="O206" i="10"/>
  <c r="R205" i="10"/>
  <c r="V204" i="10"/>
  <c r="G204" i="10"/>
  <c r="J203" i="10"/>
  <c r="N202" i="10"/>
  <c r="T201" i="10"/>
  <c r="B201" i="10"/>
  <c r="F200" i="10"/>
  <c r="L199" i="10"/>
  <c r="O198" i="10"/>
  <c r="S197" i="10"/>
  <c r="D197" i="10"/>
  <c r="G196" i="10"/>
  <c r="K195" i="10"/>
  <c r="L358" i="10"/>
  <c r="O344" i="10"/>
  <c r="B337" i="10"/>
  <c r="K331" i="10"/>
  <c r="B327" i="10"/>
  <c r="L322" i="10"/>
  <c r="U317" i="10"/>
  <c r="T313" i="10"/>
  <c r="J309" i="10"/>
  <c r="G306" i="10"/>
  <c r="V302" i="10"/>
  <c r="O299" i="10"/>
  <c r="H296" i="10"/>
  <c r="D293" i="10"/>
  <c r="P289" i="10"/>
  <c r="K286" i="10"/>
  <c r="E284" i="10"/>
  <c r="R281" i="10"/>
  <c r="T279" i="10"/>
  <c r="N277" i="10"/>
  <c r="F275" i="10"/>
  <c r="E273" i="10"/>
  <c r="C271" i="10"/>
  <c r="C269" i="10"/>
  <c r="L267" i="10"/>
  <c r="R265" i="10"/>
  <c r="V263" i="10"/>
  <c r="M262" i="10"/>
  <c r="T260" i="10"/>
  <c r="C259" i="10"/>
  <c r="P257" i="10"/>
  <c r="E256" i="10"/>
  <c r="Q254" i="10"/>
  <c r="N253" i="10"/>
  <c r="G252" i="10"/>
  <c r="S250" i="10"/>
  <c r="P249" i="10"/>
  <c r="H248" i="10"/>
  <c r="T246" i="10"/>
  <c r="O245" i="10"/>
  <c r="G244" i="10"/>
  <c r="S242" i="10"/>
  <c r="P241" i="10"/>
  <c r="I240" i="10"/>
  <c r="U238" i="10"/>
  <c r="R237" i="10"/>
  <c r="J236" i="10"/>
  <c r="V234" i="10"/>
  <c r="Q233" i="10"/>
  <c r="I232" i="10"/>
  <c r="U230" i="10"/>
  <c r="R229" i="10"/>
  <c r="K228" i="10"/>
  <c r="E227" i="10"/>
  <c r="I226" i="10"/>
  <c r="G225" i="10"/>
  <c r="F224" i="10"/>
  <c r="H223" i="10"/>
  <c r="H222" i="10"/>
  <c r="G221" i="10"/>
  <c r="J358" i="10"/>
  <c r="E343" i="10"/>
  <c r="N336" i="10"/>
  <c r="J331" i="10"/>
  <c r="L326" i="10"/>
  <c r="G322" i="10"/>
  <c r="T317" i="10"/>
  <c r="E313" i="10"/>
  <c r="I309" i="10"/>
  <c r="D306" i="10"/>
  <c r="O302" i="10"/>
  <c r="I299" i="10"/>
  <c r="G296" i="10"/>
  <c r="P292" i="10"/>
  <c r="N289" i="10"/>
  <c r="J286" i="10"/>
  <c r="T283" i="10"/>
  <c r="M281" i="10"/>
  <c r="M279" i="10"/>
  <c r="E277" i="10"/>
  <c r="D275" i="10"/>
  <c r="V272" i="10"/>
  <c r="V270" i="10"/>
  <c r="B269" i="10"/>
  <c r="K267" i="10"/>
  <c r="O265" i="10"/>
  <c r="T263" i="10"/>
  <c r="I262" i="10"/>
  <c r="M260" i="10"/>
  <c r="B259" i="10"/>
  <c r="O257" i="10"/>
  <c r="C256" i="10"/>
  <c r="P254" i="10"/>
  <c r="M253" i="10"/>
  <c r="D252" i="10"/>
  <c r="Q250" i="10"/>
  <c r="L249" i="10"/>
  <c r="C248" i="10"/>
  <c r="S246" i="10"/>
  <c r="N245" i="10"/>
  <c r="E244" i="10"/>
  <c r="R242" i="10"/>
  <c r="O241" i="10"/>
  <c r="F240" i="10"/>
  <c r="S238" i="10"/>
  <c r="N237" i="10"/>
  <c r="E236" i="10"/>
  <c r="U234" i="10"/>
  <c r="P233" i="10"/>
  <c r="G232" i="10"/>
  <c r="T230" i="10"/>
  <c r="Q229" i="10"/>
  <c r="H228" i="10"/>
  <c r="D227" i="10"/>
  <c r="F226" i="10"/>
  <c r="E225" i="10"/>
  <c r="E224" i="10"/>
  <c r="G223" i="10"/>
  <c r="F222" i="10"/>
  <c r="F221" i="10"/>
  <c r="C371" i="10"/>
  <c r="P350" i="10"/>
  <c r="B340" i="10"/>
  <c r="I334" i="10"/>
  <c r="D329" i="10"/>
  <c r="V324" i="10"/>
  <c r="P320" i="10"/>
  <c r="V315" i="10"/>
  <c r="O311" i="10"/>
  <c r="E308" i="10"/>
  <c r="N304" i="10"/>
  <c r="L301" i="10"/>
  <c r="E298" i="10"/>
  <c r="N294" i="10"/>
  <c r="M291" i="10"/>
  <c r="H288" i="10"/>
  <c r="N285" i="10"/>
  <c r="E283" i="10"/>
  <c r="B281" i="10"/>
  <c r="P278" i="10"/>
  <c r="H276" i="10"/>
  <c r="J274" i="10"/>
  <c r="I272" i="10"/>
  <c r="I270" i="10"/>
  <c r="O268" i="10"/>
  <c r="R266" i="10"/>
  <c r="C265" i="10"/>
  <c r="K263" i="10"/>
  <c r="R261" i="10"/>
  <c r="V259" i="10"/>
  <c r="N258" i="10"/>
  <c r="D257" i="10"/>
  <c r="N255" i="10"/>
  <c r="K254" i="10"/>
  <c r="C253" i="10"/>
  <c r="O251" i="10"/>
  <c r="J250" i="10"/>
  <c r="B249" i="10"/>
  <c r="N247" i="10"/>
  <c r="K246" i="10"/>
  <c r="D245" i="10"/>
  <c r="P243" i="10"/>
  <c r="M242" i="10"/>
  <c r="E241" i="10"/>
  <c r="Q239" i="10"/>
  <c r="L238" i="10"/>
  <c r="D237" i="10"/>
  <c r="P235" i="10"/>
  <c r="M234" i="10"/>
  <c r="F233" i="10"/>
  <c r="R231" i="10"/>
  <c r="O230" i="10"/>
  <c r="G229" i="10"/>
  <c r="T227" i="10"/>
  <c r="U226" i="10"/>
  <c r="U225" i="10"/>
  <c r="R224" i="10"/>
  <c r="V223" i="10"/>
  <c r="T222" i="10"/>
  <c r="S221" i="10"/>
  <c r="U220" i="10"/>
  <c r="U219" i="10"/>
  <c r="T218" i="10"/>
  <c r="V217" i="10"/>
  <c r="V216" i="10"/>
  <c r="U215" i="10"/>
  <c r="B215" i="10"/>
  <c r="B214" i="10"/>
  <c r="T212" i="10"/>
  <c r="C212" i="10"/>
  <c r="V210" i="10"/>
  <c r="U209" i="10"/>
  <c r="B209" i="10"/>
  <c r="B208" i="10"/>
  <c r="V206" i="10"/>
  <c r="F206" i="10"/>
  <c r="J205" i="10"/>
  <c r="M204" i="10"/>
  <c r="S203" i="10"/>
  <c r="B203" i="10"/>
  <c r="E202" i="10"/>
  <c r="K201" i="10"/>
  <c r="O200" i="10"/>
  <c r="R199" i="10"/>
  <c r="C199" i="10"/>
  <c r="G198" i="10"/>
  <c r="J197" i="10"/>
  <c r="P196" i="10"/>
  <c r="T195" i="10"/>
  <c r="B195" i="10"/>
  <c r="I350" i="10"/>
  <c r="T329" i="10"/>
  <c r="H320" i="10"/>
  <c r="L308" i="10"/>
  <c r="E301" i="10"/>
  <c r="D292" i="10"/>
  <c r="D285" i="10"/>
  <c r="D279" i="10"/>
  <c r="I274" i="10"/>
  <c r="V268" i="10"/>
  <c r="U264" i="10"/>
  <c r="L260" i="10"/>
  <c r="V256" i="10"/>
  <c r="F253" i="10"/>
  <c r="I250" i="10"/>
  <c r="O246" i="10"/>
  <c r="N243" i="10"/>
  <c r="E240" i="10"/>
  <c r="B237" i="10"/>
  <c r="H233" i="10"/>
  <c r="K230" i="10"/>
  <c r="C227" i="10"/>
  <c r="Q224" i="10"/>
  <c r="E222" i="10"/>
  <c r="B220" i="10"/>
  <c r="H218" i="10"/>
  <c r="T216" i="10"/>
  <c r="E215" i="10"/>
  <c r="I213" i="10"/>
  <c r="U211" i="10"/>
  <c r="G210" i="10"/>
  <c r="K208" i="10"/>
  <c r="U206" i="10"/>
  <c r="L205" i="10"/>
  <c r="C204" i="10"/>
  <c r="U202" i="10"/>
  <c r="N201" i="10"/>
  <c r="E200" i="10"/>
  <c r="B199" i="10"/>
  <c r="O197" i="10"/>
  <c r="F196" i="10"/>
  <c r="H350" i="10"/>
  <c r="S329" i="10"/>
  <c r="T319" i="10"/>
  <c r="H308" i="10"/>
  <c r="D301" i="10"/>
  <c r="O291" i="10"/>
  <c r="C285" i="10"/>
  <c r="C279" i="10"/>
  <c r="S273" i="10"/>
  <c r="P268" i="10"/>
  <c r="Q264" i="10"/>
  <c r="K260" i="10"/>
  <c r="T256" i="10"/>
  <c r="D253" i="10"/>
  <c r="V249" i="10"/>
  <c r="M246" i="10"/>
  <c r="M243" i="10"/>
  <c r="V239" i="10"/>
  <c r="U236" i="10"/>
  <c r="G233" i="10"/>
  <c r="F230" i="10"/>
  <c r="V226" i="10"/>
  <c r="P224" i="10"/>
  <c r="D222" i="10"/>
  <c r="V219" i="10"/>
  <c r="G218" i="10"/>
  <c r="S216" i="10"/>
  <c r="C215" i="10"/>
  <c r="G213" i="10"/>
  <c r="Q211" i="10"/>
  <c r="F210" i="10"/>
  <c r="J208" i="10"/>
  <c r="T206" i="10"/>
  <c r="K205" i="10"/>
  <c r="B204" i="10"/>
  <c r="T202" i="10"/>
  <c r="L201" i="10"/>
  <c r="C200" i="10"/>
  <c r="S198" i="10"/>
  <c r="N197" i="10"/>
  <c r="E196" i="10"/>
  <c r="U340" i="10"/>
  <c r="U328" i="10"/>
  <c r="R316" i="10"/>
  <c r="V307" i="10"/>
  <c r="O298" i="10"/>
  <c r="H291" i="10"/>
  <c r="S283" i="10"/>
  <c r="N278" i="10"/>
  <c r="K272" i="10"/>
  <c r="K268" i="10"/>
  <c r="S263" i="10"/>
  <c r="U259" i="10"/>
  <c r="V255" i="10"/>
  <c r="S252" i="10"/>
  <c r="G249" i="10"/>
  <c r="J246" i="10"/>
  <c r="Q242" i="10"/>
  <c r="P239" i="10"/>
  <c r="D236" i="10"/>
  <c r="C233" i="10"/>
  <c r="J229" i="10"/>
  <c r="T226" i="10"/>
  <c r="D224" i="10"/>
  <c r="R221" i="10"/>
  <c r="S219" i="10"/>
  <c r="D218" i="10"/>
  <c r="J216" i="10"/>
  <c r="V214" i="10"/>
  <c r="F213" i="10"/>
  <c r="J211" i="10"/>
  <c r="T209" i="10"/>
  <c r="D208" i="10"/>
  <c r="K206" i="10"/>
  <c r="H205" i="10"/>
  <c r="V203" i="10"/>
  <c r="M202" i="10"/>
  <c r="J201" i="10"/>
  <c r="B200" i="10"/>
  <c r="N198" i="10"/>
  <c r="I197" i="10"/>
  <c r="V195" i="10"/>
  <c r="H340" i="10"/>
  <c r="T328" i="10"/>
  <c r="Q316" i="10"/>
  <c r="M307" i="10"/>
  <c r="K298" i="10"/>
  <c r="G291" i="10"/>
  <c r="K283" i="10"/>
  <c r="K278" i="10"/>
  <c r="J272" i="10"/>
  <c r="C268" i="10"/>
  <c r="L263" i="10"/>
  <c r="T259" i="10"/>
  <c r="U255" i="10"/>
  <c r="R252" i="10"/>
  <c r="F249" i="10"/>
  <c r="C246" i="10"/>
  <c r="N242" i="10"/>
  <c r="L239" i="10"/>
  <c r="C236" i="10"/>
  <c r="B233" i="10"/>
  <c r="H229" i="10"/>
  <c r="N226" i="10"/>
  <c r="B224" i="10"/>
  <c r="Q221" i="10"/>
  <c r="R219" i="10"/>
  <c r="B218" i="10"/>
  <c r="F216" i="10"/>
  <c r="P214" i="10"/>
  <c r="E213" i="10"/>
  <c r="I211" i="10"/>
  <c r="S209" i="10"/>
  <c r="C208" i="10"/>
  <c r="J206" i="10"/>
  <c r="G205" i="10"/>
  <c r="T203" i="10"/>
  <c r="K202" i="10"/>
  <c r="F201" i="10"/>
  <c r="V199" i="10"/>
  <c r="M198" i="10"/>
  <c r="H197" i="10"/>
  <c r="U195" i="10"/>
  <c r="C375" i="10"/>
  <c r="M339" i="10"/>
  <c r="R325" i="10"/>
  <c r="U315" i="10"/>
  <c r="E305" i="10"/>
  <c r="B298" i="10"/>
  <c r="O288" i="10"/>
  <c r="V282" i="10"/>
  <c r="D277" i="10"/>
  <c r="F272" i="10"/>
  <c r="B267" i="10"/>
  <c r="J263" i="10"/>
  <c r="R258" i="10"/>
  <c r="L255" i="10"/>
  <c r="C252" i="10"/>
  <c r="U248" i="10"/>
  <c r="F245" i="10"/>
  <c r="I242" i="10"/>
  <c r="R238" i="10"/>
  <c r="O235" i="10"/>
  <c r="E232" i="10"/>
  <c r="B229" i="10"/>
  <c r="B226" i="10"/>
  <c r="S223" i="10"/>
  <c r="E221" i="10"/>
  <c r="I219" i="10"/>
  <c r="U217" i="10"/>
  <c r="E216" i="10"/>
  <c r="K214" i="10"/>
  <c r="S212" i="10"/>
  <c r="E211" i="10"/>
  <c r="I209" i="10"/>
  <c r="U207" i="10"/>
  <c r="I206" i="10"/>
  <c r="U204" i="10"/>
  <c r="R203" i="10"/>
  <c r="J202" i="10"/>
  <c r="V200" i="10"/>
  <c r="Q199" i="10"/>
  <c r="I198" i="10"/>
  <c r="U196" i="10"/>
  <c r="R195" i="10"/>
  <c r="Q373" i="10"/>
  <c r="K339" i="10"/>
  <c r="C325" i="10"/>
  <c r="M315" i="10"/>
  <c r="D305" i="10"/>
  <c r="M297" i="10"/>
  <c r="L288" i="10"/>
  <c r="Q282" i="10"/>
  <c r="B277" i="10"/>
  <c r="B272" i="10"/>
  <c r="S266" i="10"/>
  <c r="U262" i="10"/>
  <c r="P258" i="10"/>
  <c r="K255" i="10"/>
  <c r="T251" i="10"/>
  <c r="S248" i="10"/>
  <c r="E245" i="10"/>
  <c r="D242" i="10"/>
  <c r="M238" i="10"/>
  <c r="N235" i="10"/>
  <c r="D232" i="10"/>
  <c r="V228" i="10"/>
  <c r="V225" i="10"/>
  <c r="O223" i="10"/>
  <c r="V220" i="10"/>
  <c r="G219" i="10"/>
  <c r="O217" i="10"/>
  <c r="D216" i="10"/>
  <c r="H214" i="10"/>
  <c r="R212" i="10"/>
  <c r="D211" i="10"/>
  <c r="H209" i="10"/>
  <c r="T207" i="10"/>
  <c r="G206" i="10"/>
  <c r="S204" i="10"/>
  <c r="N203" i="10"/>
  <c r="I202" i="10"/>
  <c r="U200" i="10"/>
  <c r="P199" i="10"/>
  <c r="H198" i="10"/>
  <c r="T196" i="10"/>
  <c r="Q195" i="10"/>
  <c r="M370" i="10"/>
  <c r="G335" i="10"/>
  <c r="O324" i="10"/>
  <c r="K312" i="10"/>
  <c r="M304" i="10"/>
  <c r="E295" i="10"/>
  <c r="B288" i="10"/>
  <c r="L281" i="10"/>
  <c r="G276" i="10"/>
  <c r="T270" i="10"/>
  <c r="M266" i="10"/>
  <c r="B262" i="10"/>
  <c r="M258" i="10"/>
  <c r="O254" i="10"/>
  <c r="N251" i="10"/>
  <c r="B248" i="10"/>
  <c r="V244" i="10"/>
  <c r="H241" i="10"/>
  <c r="K238" i="10"/>
  <c r="Q234" i="10"/>
  <c r="P231" i="10"/>
  <c r="G228" i="10"/>
  <c r="Q225" i="10"/>
  <c r="C223" i="10"/>
  <c r="T220" i="10"/>
  <c r="F219" i="10"/>
  <c r="J217" i="10"/>
  <c r="T215" i="10"/>
  <c r="D214" i="10"/>
  <c r="H212" i="10"/>
  <c r="T210" i="10"/>
  <c r="G209" i="10"/>
  <c r="K207" i="10"/>
  <c r="E206" i="10"/>
  <c r="R204" i="10"/>
  <c r="I203" i="10"/>
  <c r="D202" i="10"/>
  <c r="Q200" i="10"/>
  <c r="H199" i="10"/>
  <c r="E198" i="10"/>
  <c r="S196" i="10"/>
  <c r="J195" i="10"/>
  <c r="N324" i="10"/>
  <c r="M294" i="10"/>
  <c r="O274" i="10"/>
  <c r="E258" i="10"/>
  <c r="M247" i="10"/>
  <c r="H237" i="10"/>
  <c r="P225" i="10"/>
  <c r="S218" i="10"/>
  <c r="R213" i="10"/>
  <c r="I207" i="10"/>
  <c r="D203" i="10"/>
  <c r="D199" i="10"/>
  <c r="C321" i="10"/>
  <c r="L294" i="10"/>
  <c r="S270" i="10"/>
  <c r="F257" i="10"/>
  <c r="L247" i="10"/>
  <c r="O234" i="10"/>
  <c r="D225" i="10"/>
  <c r="R218" i="10"/>
  <c r="G212" i="10"/>
  <c r="H207" i="10"/>
  <c r="C203" i="10"/>
  <c r="D198" i="10"/>
  <c r="B321" i="10"/>
  <c r="R287" i="10"/>
  <c r="D270" i="10"/>
  <c r="E257" i="10"/>
  <c r="U244" i="10"/>
  <c r="L234" i="10"/>
  <c r="C225" i="10"/>
  <c r="I217" i="10"/>
  <c r="F212" i="10"/>
  <c r="E207" i="10"/>
  <c r="C202" i="10"/>
  <c r="R197" i="10"/>
  <c r="B312" i="10"/>
  <c r="S285" i="10"/>
  <c r="C270" i="10"/>
  <c r="L254" i="10"/>
  <c r="C244" i="10"/>
  <c r="E234" i="10"/>
  <c r="B223" i="10"/>
  <c r="C217" i="10"/>
  <c r="D212" i="10"/>
  <c r="V205" i="10"/>
  <c r="P201" i="10"/>
  <c r="P197" i="10"/>
  <c r="H334" i="10"/>
  <c r="O301" i="10"/>
  <c r="F276" i="10"/>
  <c r="N261" i="10"/>
  <c r="K250" i="10"/>
  <c r="C238" i="10"/>
  <c r="S227" i="10"/>
  <c r="H220" i="10"/>
  <c r="C214" i="10"/>
  <c r="V208" i="10"/>
  <c r="K204" i="10"/>
  <c r="G199" i="10"/>
  <c r="G195" i="10"/>
  <c r="H311" i="10"/>
  <c r="N265" i="10"/>
  <c r="F241" i="10"/>
  <c r="Q222" i="10"/>
  <c r="J210" i="10"/>
  <c r="P200" i="10"/>
  <c r="K304" i="10"/>
  <c r="H265" i="10"/>
  <c r="U240" i="10"/>
  <c r="P220" i="10"/>
  <c r="H210" i="10"/>
  <c r="M200" i="10"/>
  <c r="C302" i="10"/>
  <c r="V261" i="10"/>
  <c r="T240" i="10"/>
  <c r="I220" i="10"/>
  <c r="C209" i="10"/>
  <c r="L200" i="10"/>
  <c r="D295" i="10"/>
  <c r="L261" i="10"/>
  <c r="I237" i="10"/>
  <c r="C219" i="10"/>
  <c r="R208" i="10"/>
  <c r="F199" i="10"/>
  <c r="F367" i="10"/>
  <c r="O285" i="10"/>
  <c r="G254" i="10"/>
  <c r="O231" i="10"/>
  <c r="B217" i="10"/>
  <c r="Q205" i="10"/>
  <c r="Q196" i="10"/>
  <c r="I353" i="10"/>
  <c r="C281" i="10"/>
  <c r="B254" i="10"/>
  <c r="S230" i="10"/>
  <c r="Q215" i="10"/>
  <c r="P205" i="10"/>
  <c r="O196" i="10"/>
  <c r="U352" i="10"/>
  <c r="V280" i="10"/>
  <c r="J251" i="10"/>
  <c r="P230" i="10"/>
  <c r="G215" i="10"/>
  <c r="Q204" i="10"/>
  <c r="K196" i="10"/>
  <c r="B335" i="10"/>
  <c r="I280" i="10"/>
  <c r="P250" i="10"/>
  <c r="C228" i="10"/>
  <c r="F215" i="10"/>
  <c r="L204" i="10"/>
  <c r="H195" i="10"/>
  <c r="O333" i="10"/>
  <c r="R274" i="10"/>
  <c r="V247" i="10"/>
  <c r="R227" i="10"/>
  <c r="S213" i="10"/>
  <c r="H203" i="10"/>
  <c r="F195" i="10"/>
  <c r="L311" i="10"/>
  <c r="L266" i="10"/>
  <c r="B244" i="10"/>
  <c r="R222" i="10"/>
  <c r="S210" i="10"/>
  <c r="O201" i="10"/>
  <c r="I86" i="11"/>
  <c r="I79" i="11"/>
  <c r="I53" i="11"/>
  <c r="I12" i="11"/>
  <c r="I137" i="11"/>
  <c r="I35" i="11"/>
  <c r="I142" i="11"/>
  <c r="I124" i="11"/>
  <c r="I166" i="11"/>
  <c r="I126" i="11"/>
  <c r="I181" i="11"/>
  <c r="I7" i="11"/>
  <c r="I13" i="11"/>
  <c r="I23" i="11"/>
  <c r="I81" i="11"/>
  <c r="I158" i="11"/>
  <c r="I165" i="11"/>
  <c r="I179" i="11"/>
  <c r="I71" i="11"/>
  <c r="I72" i="11"/>
  <c r="I66" i="11"/>
  <c r="I37" i="11"/>
  <c r="I162" i="11"/>
  <c r="I40" i="11"/>
  <c r="I95" i="11"/>
  <c r="I171" i="11"/>
  <c r="I129" i="11"/>
  <c r="I169" i="11"/>
  <c r="I131" i="11"/>
  <c r="I184" i="11"/>
  <c r="I21" i="11"/>
  <c r="I54" i="11"/>
  <c r="I152" i="11"/>
  <c r="I107" i="11"/>
  <c r="I8" i="11"/>
  <c r="I186" i="11"/>
  <c r="I9" i="11"/>
  <c r="I17" i="11"/>
  <c r="I102" i="11"/>
  <c r="I69" i="11"/>
  <c r="I62" i="11"/>
  <c r="I45" i="11"/>
  <c r="I185" i="11"/>
  <c r="I134" i="11"/>
  <c r="I188" i="11"/>
  <c r="I136" i="11"/>
  <c r="I167" i="11"/>
  <c r="I49" i="11"/>
  <c r="I26" i="11"/>
  <c r="I31" i="11"/>
  <c r="I24" i="11"/>
  <c r="I18" i="11"/>
  <c r="I73" i="11"/>
  <c r="I42" i="11"/>
  <c r="I132" i="11"/>
  <c r="I78" i="11"/>
  <c r="I87" i="11"/>
  <c r="I183" i="11"/>
  <c r="I50" i="11"/>
  <c r="I120" i="11"/>
  <c r="I139" i="11"/>
  <c r="I91" i="11"/>
  <c r="I141" i="11"/>
  <c r="I172" i="11"/>
  <c r="I33" i="11"/>
  <c r="I88" i="11"/>
  <c r="I38" i="11"/>
  <c r="I118" i="11"/>
  <c r="I29" i="11"/>
  <c r="I32" i="11"/>
  <c r="I76" i="11"/>
  <c r="I67" i="11"/>
  <c r="I113" i="11"/>
  <c r="I90" i="11"/>
  <c r="I5" i="11"/>
  <c r="I55" i="11"/>
  <c r="I128" i="11"/>
  <c r="I144" i="11"/>
  <c r="I96" i="11"/>
  <c r="I177" i="11"/>
  <c r="I123" i="11"/>
  <c r="I36" i="11"/>
  <c r="I39" i="11"/>
  <c r="I173" i="11"/>
  <c r="I105" i="11"/>
  <c r="I16" i="11"/>
  <c r="I125" i="11"/>
  <c r="I97" i="11"/>
  <c r="I10" i="11"/>
  <c r="I60" i="11"/>
  <c r="I145" i="11"/>
  <c r="I99" i="11"/>
  <c r="I149" i="11"/>
  <c r="I101" i="11"/>
  <c r="I151" i="11"/>
  <c r="I182" i="11"/>
  <c r="I154" i="11"/>
  <c r="I106" i="11"/>
  <c r="I156" i="11"/>
  <c r="I187" i="11"/>
  <c r="I130" i="11"/>
  <c r="I19" i="11"/>
  <c r="I65" i="11"/>
  <c r="I61" i="11"/>
  <c r="I6" i="11"/>
  <c r="I163" i="11"/>
  <c r="I56" i="11"/>
  <c r="I68" i="11"/>
  <c r="I83" i="11"/>
  <c r="I27" i="11"/>
  <c r="I140" i="11"/>
  <c r="I28" i="11"/>
  <c r="I148" i="11"/>
  <c r="I157" i="11"/>
  <c r="I20" i="11"/>
  <c r="I70" i="11"/>
  <c r="I190" i="11"/>
  <c r="I109" i="11"/>
  <c r="I159" i="11"/>
  <c r="I111" i="11"/>
  <c r="I161" i="11"/>
  <c r="I77" i="11"/>
  <c r="I48" i="11"/>
  <c r="I11" i="11"/>
  <c r="I127" i="11"/>
  <c r="I108" i="11"/>
  <c r="I34" i="11"/>
  <c r="I59" i="11"/>
  <c r="I58" i="11"/>
  <c r="I82" i="11"/>
  <c r="I100" i="11"/>
  <c r="I43" i="11"/>
  <c r="I147" i="11"/>
  <c r="I41" i="11"/>
  <c r="I170" i="11"/>
  <c r="I168" i="11"/>
  <c r="I25" i="11"/>
  <c r="I75" i="11"/>
  <c r="I92" i="11"/>
  <c r="I114" i="11"/>
  <c r="I164" i="11"/>
  <c r="I116" i="11"/>
  <c r="I175" i="11"/>
  <c r="I160" i="11"/>
  <c r="I52" i="11"/>
  <c r="I135" i="11"/>
  <c r="I15" i="11"/>
  <c r="I153" i="11"/>
  <c r="I104" i="11"/>
  <c r="I110" i="11"/>
  <c r="I51" i="11"/>
  <c r="I63" i="11"/>
  <c r="I84" i="11"/>
  <c r="I115" i="11"/>
  <c r="I122" i="11"/>
  <c r="I57" i="11"/>
  <c r="I22" i="11"/>
  <c r="I44" i="11"/>
  <c r="I189" i="11"/>
  <c r="I112" i="11"/>
  <c r="I30" i="11"/>
  <c r="I80" i="11"/>
  <c r="I117" i="11"/>
  <c r="I119" i="11"/>
  <c r="I180" i="11"/>
  <c r="I121" i="11"/>
  <c r="I178" i="11"/>
  <c r="E380" i="11" l="1"/>
  <c r="C378" i="11"/>
  <c r="E375" i="11"/>
  <c r="C373" i="11"/>
  <c r="E370" i="11"/>
  <c r="C368" i="11"/>
  <c r="E365" i="11"/>
  <c r="C363" i="11"/>
  <c r="E360" i="11"/>
  <c r="C358" i="11"/>
  <c r="E355" i="11"/>
  <c r="C353" i="11"/>
  <c r="E350" i="11"/>
  <c r="C348" i="11"/>
  <c r="E345" i="11"/>
  <c r="C343" i="11"/>
  <c r="E340" i="11"/>
  <c r="C338" i="11"/>
  <c r="E335" i="11"/>
  <c r="C333" i="11"/>
  <c r="E330" i="11"/>
  <c r="C328" i="11"/>
  <c r="E325" i="11"/>
  <c r="C323" i="11"/>
  <c r="E320" i="11"/>
  <c r="C318" i="11"/>
  <c r="E315" i="11"/>
  <c r="C313" i="11"/>
  <c r="E310" i="11"/>
  <c r="C308" i="11"/>
  <c r="E305" i="11"/>
  <c r="C303" i="11"/>
  <c r="E300" i="11"/>
  <c r="C298" i="11"/>
  <c r="E295" i="11"/>
  <c r="C293" i="11"/>
  <c r="E290" i="11"/>
  <c r="C288" i="11"/>
  <c r="E285" i="11"/>
  <c r="C283" i="11"/>
  <c r="E280" i="11"/>
  <c r="C278" i="11"/>
  <c r="E275" i="11"/>
  <c r="C273" i="11"/>
  <c r="E270" i="11"/>
  <c r="C268" i="11"/>
  <c r="E265" i="11"/>
  <c r="C263" i="11"/>
  <c r="E260" i="11"/>
  <c r="C258" i="11"/>
  <c r="E255" i="11"/>
  <c r="C253" i="11"/>
  <c r="E250" i="11"/>
  <c r="D380" i="11"/>
  <c r="B378" i="11"/>
  <c r="D375" i="11"/>
  <c r="B373" i="11"/>
  <c r="D370" i="11"/>
  <c r="B368" i="11"/>
  <c r="D365" i="11"/>
  <c r="B363" i="11"/>
  <c r="D360" i="11"/>
  <c r="B358" i="11"/>
  <c r="D355" i="11"/>
  <c r="B353" i="11"/>
  <c r="D350" i="11"/>
  <c r="B348" i="11"/>
  <c r="D345" i="11"/>
  <c r="B343" i="11"/>
  <c r="D340" i="11"/>
  <c r="B338" i="11"/>
  <c r="D335" i="11"/>
  <c r="B333" i="11"/>
  <c r="D330" i="11"/>
  <c r="B328" i="11"/>
  <c r="D325" i="11"/>
  <c r="B323" i="11"/>
  <c r="D320" i="11"/>
  <c r="B318" i="11"/>
  <c r="D315" i="11"/>
  <c r="B313" i="11"/>
  <c r="D310" i="11"/>
  <c r="B308" i="11"/>
  <c r="D305" i="11"/>
  <c r="B303" i="11"/>
  <c r="D300" i="11"/>
  <c r="B298" i="11"/>
  <c r="D295" i="11"/>
  <c r="B293" i="11"/>
  <c r="D290" i="11"/>
  <c r="B288" i="11"/>
  <c r="D285" i="11"/>
  <c r="B283" i="11"/>
  <c r="D280" i="11"/>
  <c r="B278" i="11"/>
  <c r="D275" i="11"/>
  <c r="B273" i="11"/>
  <c r="D270" i="11"/>
  <c r="B268" i="11"/>
  <c r="D265" i="11"/>
  <c r="B263" i="11"/>
  <c r="D260" i="11"/>
  <c r="B258" i="11"/>
  <c r="D255" i="11"/>
  <c r="B253" i="11"/>
  <c r="D250" i="11"/>
  <c r="B248" i="11"/>
  <c r="D245" i="11"/>
  <c r="B243" i="11"/>
  <c r="D240" i="11"/>
  <c r="B238" i="11"/>
  <c r="D235" i="11"/>
  <c r="B233" i="11"/>
  <c r="D230" i="11"/>
  <c r="B228" i="11"/>
  <c r="D225" i="11"/>
  <c r="B223" i="11"/>
  <c r="D220" i="11"/>
  <c r="B218" i="11"/>
  <c r="D215" i="11"/>
  <c r="B213" i="11"/>
  <c r="D210" i="11"/>
  <c r="B208" i="11"/>
  <c r="D205" i="11"/>
  <c r="B203" i="11"/>
  <c r="D200" i="11"/>
  <c r="B198" i="11"/>
  <c r="D195" i="11"/>
  <c r="C380" i="11"/>
  <c r="E377" i="11"/>
  <c r="C375" i="11"/>
  <c r="E372" i="11"/>
  <c r="C370" i="11"/>
  <c r="E367" i="11"/>
  <c r="C365" i="11"/>
  <c r="E362" i="11"/>
  <c r="C360" i="11"/>
  <c r="E357" i="11"/>
  <c r="C355" i="11"/>
  <c r="E352" i="11"/>
  <c r="C350" i="11"/>
  <c r="E347" i="11"/>
  <c r="C345" i="11"/>
  <c r="E342" i="11"/>
  <c r="C340" i="11"/>
  <c r="E337" i="11"/>
  <c r="C335" i="11"/>
  <c r="E332" i="11"/>
  <c r="C330" i="11"/>
  <c r="E327" i="11"/>
  <c r="C325" i="11"/>
  <c r="E322" i="11"/>
  <c r="C320" i="11"/>
  <c r="E317" i="11"/>
  <c r="C315" i="11"/>
  <c r="E312" i="11"/>
  <c r="C310" i="11"/>
  <c r="E307" i="11"/>
  <c r="C305" i="11"/>
  <c r="E302" i="11"/>
  <c r="C300" i="11"/>
  <c r="E297" i="11"/>
  <c r="C295" i="11"/>
  <c r="E292" i="11"/>
  <c r="C290" i="11"/>
  <c r="E287" i="11"/>
  <c r="C285" i="11"/>
  <c r="E282" i="11"/>
  <c r="C280" i="11"/>
  <c r="E277" i="11"/>
  <c r="C275" i="11"/>
  <c r="E272" i="11"/>
  <c r="C270" i="11"/>
  <c r="E267" i="11"/>
  <c r="C265" i="11"/>
  <c r="E262" i="11"/>
  <c r="C260" i="11"/>
  <c r="E257" i="11"/>
  <c r="C255" i="11"/>
  <c r="E252" i="11"/>
  <c r="C250" i="11"/>
  <c r="E247" i="11"/>
  <c r="C245" i="11"/>
  <c r="E242" i="11"/>
  <c r="C240" i="11"/>
  <c r="E237" i="11"/>
  <c r="C235" i="11"/>
  <c r="E232" i="11"/>
  <c r="C230" i="11"/>
  <c r="E227" i="11"/>
  <c r="C225" i="11"/>
  <c r="E222" i="11"/>
  <c r="C220" i="11"/>
  <c r="E217" i="11"/>
  <c r="C215" i="11"/>
  <c r="E212" i="11"/>
  <c r="C210" i="11"/>
  <c r="E207" i="11"/>
  <c r="C205" i="11"/>
  <c r="E202" i="11"/>
  <c r="C200" i="11"/>
  <c r="E197" i="11"/>
  <c r="C195" i="11"/>
  <c r="C379" i="11"/>
  <c r="E376" i="11"/>
  <c r="C374" i="11"/>
  <c r="E371" i="11"/>
  <c r="C369" i="11"/>
  <c r="E366" i="11"/>
  <c r="C364" i="11"/>
  <c r="E361" i="11"/>
  <c r="C359" i="11"/>
  <c r="E356" i="11"/>
  <c r="C354" i="11"/>
  <c r="E351" i="11"/>
  <c r="C349" i="11"/>
  <c r="E346" i="11"/>
  <c r="C344" i="11"/>
  <c r="E341" i="11"/>
  <c r="C339" i="11"/>
  <c r="E336" i="11"/>
  <c r="C334" i="11"/>
  <c r="E331" i="11"/>
  <c r="C329" i="11"/>
  <c r="E326" i="11"/>
  <c r="C324" i="11"/>
  <c r="E321" i="11"/>
  <c r="C319" i="11"/>
  <c r="E316" i="11"/>
  <c r="C314" i="11"/>
  <c r="E311" i="11"/>
  <c r="C309" i="11"/>
  <c r="E306" i="11"/>
  <c r="C304" i="11"/>
  <c r="E301" i="11"/>
  <c r="C299" i="11"/>
  <c r="E296" i="11"/>
  <c r="C294" i="11"/>
  <c r="E291" i="11"/>
  <c r="C289" i="11"/>
  <c r="E286" i="11"/>
  <c r="C284" i="11"/>
  <c r="E281" i="11"/>
  <c r="C279" i="11"/>
  <c r="E276" i="11"/>
  <c r="C274" i="11"/>
  <c r="E271" i="11"/>
  <c r="C269" i="11"/>
  <c r="E266" i="11"/>
  <c r="C264" i="11"/>
  <c r="E261" i="11"/>
  <c r="C259" i="11"/>
  <c r="E256" i="11"/>
  <c r="C254" i="11"/>
  <c r="E251" i="11"/>
  <c r="C249" i="11"/>
  <c r="E246" i="11"/>
  <c r="C244" i="11"/>
  <c r="E241" i="11"/>
  <c r="C239" i="11"/>
  <c r="E236" i="11"/>
  <c r="C234" i="11"/>
  <c r="E231" i="11"/>
  <c r="C229" i="11"/>
  <c r="E226" i="11"/>
  <c r="C224" i="11"/>
  <c r="E221" i="11"/>
  <c r="C219" i="11"/>
  <c r="E216" i="11"/>
  <c r="C214" i="11"/>
  <c r="E211" i="11"/>
  <c r="C209" i="11"/>
  <c r="E206" i="11"/>
  <c r="C204" i="11"/>
  <c r="E201" i="11"/>
  <c r="C199" i="11"/>
  <c r="E196" i="11"/>
  <c r="B380" i="11"/>
  <c r="C376" i="11"/>
  <c r="B372" i="11"/>
  <c r="D367" i="11"/>
  <c r="E363" i="11"/>
  <c r="D359" i="11"/>
  <c r="B355" i="11"/>
  <c r="C351" i="11"/>
  <c r="B347" i="11"/>
  <c r="D342" i="11"/>
  <c r="E338" i="11"/>
  <c r="D334" i="11"/>
  <c r="B330" i="11"/>
  <c r="C326" i="11"/>
  <c r="B322" i="11"/>
  <c r="D317" i="11"/>
  <c r="E313" i="11"/>
  <c r="D309" i="11"/>
  <c r="B305" i="11"/>
  <c r="C301" i="11"/>
  <c r="B297" i="11"/>
  <c r="D292" i="11"/>
  <c r="E288" i="11"/>
  <c r="D284" i="11"/>
  <c r="B280" i="11"/>
  <c r="C276" i="11"/>
  <c r="B272" i="11"/>
  <c r="D267" i="11"/>
  <c r="E263" i="11"/>
  <c r="D259" i="11"/>
  <c r="B255" i="11"/>
  <c r="C251" i="11"/>
  <c r="C247" i="11"/>
  <c r="E243" i="11"/>
  <c r="B240" i="11"/>
  <c r="D236" i="11"/>
  <c r="C233" i="11"/>
  <c r="D229" i="11"/>
  <c r="B226" i="11"/>
  <c r="C222" i="11"/>
  <c r="E218" i="11"/>
  <c r="B215" i="11"/>
  <c r="D211" i="11"/>
  <c r="C208" i="11"/>
  <c r="D204" i="11"/>
  <c r="B201" i="11"/>
  <c r="C197" i="11"/>
  <c r="E379" i="11"/>
  <c r="B376" i="11"/>
  <c r="D371" i="11"/>
  <c r="C367" i="11"/>
  <c r="D363" i="11"/>
  <c r="B359" i="11"/>
  <c r="E354" i="11"/>
  <c r="B351" i="11"/>
  <c r="D346" i="11"/>
  <c r="C342" i="11"/>
  <c r="D338" i="11"/>
  <c r="B334" i="11"/>
  <c r="E329" i="11"/>
  <c r="B326" i="11"/>
  <c r="D321" i="11"/>
  <c r="C317" i="11"/>
  <c r="D313" i="11"/>
  <c r="B309" i="11"/>
  <c r="E304" i="11"/>
  <c r="B301" i="11"/>
  <c r="D296" i="11"/>
  <c r="C292" i="11"/>
  <c r="D288" i="11"/>
  <c r="B284" i="11"/>
  <c r="E279" i="11"/>
  <c r="B276" i="11"/>
  <c r="D271" i="11"/>
  <c r="C267" i="11"/>
  <c r="D263" i="11"/>
  <c r="B259" i="11"/>
  <c r="E254" i="11"/>
  <c r="B251" i="11"/>
  <c r="B247" i="11"/>
  <c r="D243" i="11"/>
  <c r="E239" i="11"/>
  <c r="C236" i="11"/>
  <c r="D232" i="11"/>
  <c r="B229" i="11"/>
  <c r="E225" i="11"/>
  <c r="B222" i="11"/>
  <c r="D218" i="11"/>
  <c r="E214" i="11"/>
  <c r="C211" i="11"/>
  <c r="D207" i="11"/>
  <c r="B204" i="11"/>
  <c r="E200" i="11"/>
  <c r="B197" i="11"/>
  <c r="D379" i="11"/>
  <c r="B375" i="11"/>
  <c r="C371" i="11"/>
  <c r="B367" i="11"/>
  <c r="D362" i="11"/>
  <c r="E358" i="11"/>
  <c r="D354" i="11"/>
  <c r="B350" i="11"/>
  <c r="C346" i="11"/>
  <c r="B342" i="11"/>
  <c r="D337" i="11"/>
  <c r="E333" i="11"/>
  <c r="D329" i="11"/>
  <c r="B325" i="11"/>
  <c r="C321" i="11"/>
  <c r="B317" i="11"/>
  <c r="D312" i="11"/>
  <c r="E308" i="11"/>
  <c r="D304" i="11"/>
  <c r="B300" i="11"/>
  <c r="C296" i="11"/>
  <c r="B292" i="11"/>
  <c r="D287" i="11"/>
  <c r="E283" i="11"/>
  <c r="D279" i="11"/>
  <c r="B275" i="11"/>
  <c r="C271" i="11"/>
  <c r="B267" i="11"/>
  <c r="D262" i="11"/>
  <c r="E258" i="11"/>
  <c r="D254" i="11"/>
  <c r="B250" i="11"/>
  <c r="D246" i="11"/>
  <c r="C243" i="11"/>
  <c r="D239" i="11"/>
  <c r="B236" i="11"/>
  <c r="C232" i="11"/>
  <c r="E228" i="11"/>
  <c r="B225" i="11"/>
  <c r="D221" i="11"/>
  <c r="C218" i="11"/>
  <c r="D214" i="11"/>
  <c r="B211" i="11"/>
  <c r="C207" i="11"/>
  <c r="E203" i="11"/>
  <c r="B200" i="11"/>
  <c r="D196" i="11"/>
  <c r="C377" i="11"/>
  <c r="D373" i="11"/>
  <c r="B369" i="11"/>
  <c r="E364" i="11"/>
  <c r="B361" i="11"/>
  <c r="D356" i="11"/>
  <c r="C352" i="11"/>
  <c r="D348" i="11"/>
  <c r="B344" i="11"/>
  <c r="E339" i="11"/>
  <c r="B336" i="11"/>
  <c r="D331" i="11"/>
  <c r="C327" i="11"/>
  <c r="D323" i="11"/>
  <c r="B319" i="11"/>
  <c r="E314" i="11"/>
  <c r="B311" i="11"/>
  <c r="D306" i="11"/>
  <c r="C302" i="11"/>
  <c r="D298" i="11"/>
  <c r="B294" i="11"/>
  <c r="E289" i="11"/>
  <c r="B286" i="11"/>
  <c r="D281" i="11"/>
  <c r="C277" i="11"/>
  <c r="D273" i="11"/>
  <c r="B269" i="11"/>
  <c r="E264" i="11"/>
  <c r="B261" i="11"/>
  <c r="D256" i="11"/>
  <c r="C252" i="11"/>
  <c r="D248" i="11"/>
  <c r="E244" i="11"/>
  <c r="C241" i="11"/>
  <c r="D237" i="11"/>
  <c r="B234" i="11"/>
  <c r="E230" i="11"/>
  <c r="B227" i="11"/>
  <c r="D223" i="11"/>
  <c r="E219" i="11"/>
  <c r="C216" i="11"/>
  <c r="D212" i="11"/>
  <c r="B209" i="11"/>
  <c r="E205" i="11"/>
  <c r="B202" i="11"/>
  <c r="D198" i="11"/>
  <c r="B379" i="11"/>
  <c r="D372" i="11"/>
  <c r="B366" i="11"/>
  <c r="D358" i="11"/>
  <c r="B352" i="11"/>
  <c r="E344" i="11"/>
  <c r="C337" i="11"/>
  <c r="C331" i="11"/>
  <c r="B324" i="11"/>
  <c r="D316" i="11"/>
  <c r="B310" i="11"/>
  <c r="D303" i="11"/>
  <c r="B296" i="11"/>
  <c r="D289" i="11"/>
  <c r="C282" i="11"/>
  <c r="E274" i="11"/>
  <c r="E268" i="11"/>
  <c r="D261" i="11"/>
  <c r="B254" i="11"/>
  <c r="C248" i="11"/>
  <c r="B242" i="11"/>
  <c r="E235" i="11"/>
  <c r="B230" i="11"/>
  <c r="B224" i="11"/>
  <c r="D217" i="11"/>
  <c r="C212" i="11"/>
  <c r="C206" i="11"/>
  <c r="E199" i="11"/>
  <c r="E378" i="11"/>
  <c r="C372" i="11"/>
  <c r="B365" i="11"/>
  <c r="D357" i="11"/>
  <c r="D351" i="11"/>
  <c r="D344" i="11"/>
  <c r="B337" i="11"/>
  <c r="B331" i="11"/>
  <c r="E323" i="11"/>
  <c r="C316" i="11"/>
  <c r="E309" i="11"/>
  <c r="D302" i="11"/>
  <c r="B295" i="11"/>
  <c r="B289" i="11"/>
  <c r="B282" i="11"/>
  <c r="D274" i="11"/>
  <c r="D268" i="11"/>
  <c r="C261" i="11"/>
  <c r="E253" i="11"/>
  <c r="D247" i="11"/>
  <c r="D241" i="11"/>
  <c r="B235" i="11"/>
  <c r="E229" i="11"/>
  <c r="E223" i="11"/>
  <c r="C217" i="11"/>
  <c r="B212" i="11"/>
  <c r="B206" i="11"/>
  <c r="D199" i="11"/>
  <c r="D378" i="11"/>
  <c r="B371" i="11"/>
  <c r="D364" i="11"/>
  <c r="C357" i="11"/>
  <c r="E349" i="11"/>
  <c r="E343" i="11"/>
  <c r="D336" i="11"/>
  <c r="B329" i="11"/>
  <c r="D322" i="11"/>
  <c r="B316" i="11"/>
  <c r="D308" i="11"/>
  <c r="B302" i="11"/>
  <c r="E294" i="11"/>
  <c r="C287" i="11"/>
  <c r="C281" i="11"/>
  <c r="B274" i="11"/>
  <c r="D266" i="11"/>
  <c r="B260" i="11"/>
  <c r="D253" i="11"/>
  <c r="C246" i="11"/>
  <c r="B241" i="11"/>
  <c r="E234" i="11"/>
  <c r="D228" i="11"/>
  <c r="C223" i="11"/>
  <c r="B217" i="11"/>
  <c r="E210" i="11"/>
  <c r="B205" i="11"/>
  <c r="B199" i="11"/>
  <c r="D377" i="11"/>
  <c r="B377" i="11"/>
  <c r="E374" i="11"/>
  <c r="E368" i="11"/>
  <c r="D361" i="11"/>
  <c r="B354" i="11"/>
  <c r="D347" i="11"/>
  <c r="B341" i="11"/>
  <c r="D333" i="11"/>
  <c r="B327" i="11"/>
  <c r="E319" i="11"/>
  <c r="C312" i="11"/>
  <c r="C306" i="11"/>
  <c r="B299" i="11"/>
  <c r="D291" i="11"/>
  <c r="B285" i="11"/>
  <c r="D278" i="11"/>
  <c r="B271" i="11"/>
  <c r="D264" i="11"/>
  <c r="C257" i="11"/>
  <c r="E249" i="11"/>
  <c r="D244" i="11"/>
  <c r="D238" i="11"/>
  <c r="B232" i="11"/>
  <c r="D226" i="11"/>
  <c r="E220" i="11"/>
  <c r="B214" i="11"/>
  <c r="E208" i="11"/>
  <c r="D202" i="11"/>
  <c r="C196" i="11"/>
  <c r="D376" i="11"/>
  <c r="B364" i="11"/>
  <c r="D353" i="11"/>
  <c r="C341" i="11"/>
  <c r="E328" i="11"/>
  <c r="E318" i="11"/>
  <c r="B307" i="11"/>
  <c r="D294" i="11"/>
  <c r="D283" i="11"/>
  <c r="C272" i="11"/>
  <c r="E259" i="11"/>
  <c r="B249" i="11"/>
  <c r="E238" i="11"/>
  <c r="C228" i="11"/>
  <c r="D219" i="11"/>
  <c r="D209" i="11"/>
  <c r="E198" i="11"/>
  <c r="D374" i="11"/>
  <c r="C362" i="11"/>
  <c r="D352" i="11"/>
  <c r="B340" i="11"/>
  <c r="D328" i="11"/>
  <c r="D318" i="11"/>
  <c r="B306" i="11"/>
  <c r="E293" i="11"/>
  <c r="D282" i="11"/>
  <c r="B270" i="11"/>
  <c r="D258" i="11"/>
  <c r="E248" i="11"/>
  <c r="C238" i="11"/>
  <c r="D227" i="11"/>
  <c r="B219" i="11"/>
  <c r="D208" i="11"/>
  <c r="C198" i="11"/>
  <c r="B374" i="11"/>
  <c r="B362" i="11"/>
  <c r="D349" i="11"/>
  <c r="D339" i="11"/>
  <c r="D327" i="11"/>
  <c r="B315" i="11"/>
  <c r="B304" i="11"/>
  <c r="D293" i="11"/>
  <c r="B281" i="11"/>
  <c r="E269" i="11"/>
  <c r="D257" i="11"/>
  <c r="B246" i="11"/>
  <c r="C237" i="11"/>
  <c r="C227" i="11"/>
  <c r="D216" i="11"/>
  <c r="B207" i="11"/>
  <c r="D197" i="11"/>
  <c r="E373" i="11"/>
  <c r="C361" i="11"/>
  <c r="B349" i="11"/>
  <c r="B339" i="11"/>
  <c r="D326" i="11"/>
  <c r="D314" i="11"/>
  <c r="E303" i="11"/>
  <c r="C291" i="11"/>
  <c r="B279" i="11"/>
  <c r="D269" i="11"/>
  <c r="B257" i="11"/>
  <c r="E245" i="11"/>
  <c r="B237" i="11"/>
  <c r="C226" i="11"/>
  <c r="B216" i="11"/>
  <c r="D206" i="11"/>
  <c r="B196" i="11"/>
  <c r="B370" i="11"/>
  <c r="D369" i="11"/>
  <c r="B357" i="11"/>
  <c r="B346" i="11"/>
  <c r="E334" i="11"/>
  <c r="C322" i="11"/>
  <c r="D311" i="11"/>
  <c r="D299" i="11"/>
  <c r="B287" i="11"/>
  <c r="B277" i="11"/>
  <c r="B265" i="11"/>
  <c r="D252" i="11"/>
  <c r="D242" i="11"/>
  <c r="D233" i="11"/>
  <c r="D222" i="11"/>
  <c r="D213" i="11"/>
  <c r="C203" i="11"/>
  <c r="E369" i="11"/>
  <c r="C347" i="11"/>
  <c r="D324" i="11"/>
  <c r="E299" i="11"/>
  <c r="D277" i="11"/>
  <c r="B256" i="11"/>
  <c r="E233" i="11"/>
  <c r="E213" i="11"/>
  <c r="B195" i="11"/>
  <c r="D368" i="11"/>
  <c r="B345" i="11"/>
  <c r="B321" i="11"/>
  <c r="E298" i="11"/>
  <c r="D276" i="11"/>
  <c r="B252" i="11"/>
  <c r="D231" i="11"/>
  <c r="C213" i="11"/>
  <c r="D366" i="11"/>
  <c r="D343" i="11"/>
  <c r="B320" i="11"/>
  <c r="D297" i="11"/>
  <c r="E273" i="11"/>
  <c r="D251" i="11"/>
  <c r="C231" i="11"/>
  <c r="B210" i="11"/>
  <c r="C366" i="11"/>
  <c r="D341" i="11"/>
  <c r="D319" i="11"/>
  <c r="C297" i="11"/>
  <c r="D272" i="11"/>
  <c r="D249" i="11"/>
  <c r="B231" i="11"/>
  <c r="E209" i="11"/>
  <c r="B360" i="11"/>
  <c r="E359" i="11"/>
  <c r="C356" i="11"/>
  <c r="E353" i="11"/>
  <c r="B332" i="11"/>
  <c r="C307" i="11"/>
  <c r="E284" i="11"/>
  <c r="B262" i="11"/>
  <c r="B239" i="11"/>
  <c r="B220" i="11"/>
  <c r="C201" i="11"/>
  <c r="B356" i="11"/>
  <c r="D307" i="11"/>
  <c r="C262" i="11"/>
  <c r="B221" i="11"/>
  <c r="E348" i="11"/>
  <c r="D301" i="11"/>
  <c r="C256" i="11"/>
  <c r="E215" i="11"/>
  <c r="C336" i="11"/>
  <c r="B291" i="11"/>
  <c r="B245" i="11"/>
  <c r="E204" i="11"/>
  <c r="B335" i="11"/>
  <c r="B290" i="11"/>
  <c r="B244" i="11"/>
  <c r="D203" i="11"/>
  <c r="D332" i="11"/>
  <c r="D286" i="11"/>
  <c r="C242" i="11"/>
  <c r="C202" i="11"/>
  <c r="C332" i="11"/>
  <c r="C286" i="11"/>
  <c r="E240" i="11"/>
  <c r="D201" i="11"/>
  <c r="B314" i="11"/>
  <c r="C266" i="11"/>
  <c r="E224" i="11"/>
  <c r="E324" i="11"/>
  <c r="B312" i="11"/>
  <c r="C311" i="11"/>
  <c r="D224" i="11"/>
  <c r="E278" i="11"/>
  <c r="B266" i="11"/>
  <c r="B264" i="11"/>
  <c r="D234" i="11"/>
  <c r="C221" i="11"/>
  <c r="E195" i="11"/>
</calcChain>
</file>

<file path=xl/sharedStrings.xml><?xml version="1.0" encoding="utf-8"?>
<sst xmlns="http://schemas.openxmlformats.org/spreadsheetml/2006/main" count="45613" uniqueCount="550">
  <si>
    <t>Classe.Método</t>
  </si>
  <si>
    <t>CC</t>
  </si>
  <si>
    <t>CCM</t>
  </si>
  <si>
    <t>CDISP</t>
  </si>
  <si>
    <t>CINT</t>
  </si>
  <si>
    <t>CND</t>
  </si>
  <si>
    <t>FDP</t>
  </si>
  <si>
    <t>HD</t>
  </si>
  <si>
    <t>HEF</t>
  </si>
  <si>
    <t>HER</t>
  </si>
  <si>
    <t>HL</t>
  </si>
  <si>
    <t>HVC</t>
  </si>
  <si>
    <t>HVL</t>
  </si>
  <si>
    <t>LAA</t>
  </si>
  <si>
    <t>LND</t>
  </si>
  <si>
    <t>LOC</t>
  </si>
  <si>
    <t>MMI</t>
  </si>
  <si>
    <t>MND</t>
  </si>
  <si>
    <t>NOAV</t>
  </si>
  <si>
    <t>NOL</t>
  </si>
  <si>
    <t>NOPM</t>
  </si>
  <si>
    <t>Barge: Barge(Compass, IPosition)</t>
  </si>
  <si>
    <t>BoardWindow: close()</t>
  </si>
  <si>
    <t>BoardWindow: createBoardPanel(char[][], List&lt;IPosition&gt;)</t>
  </si>
  <si>
    <t>BoardWindow: show(char[][], char[][], List&lt;IPosition&gt;, List&lt;IPosition&gt;)</t>
  </si>
  <si>
    <t>Caravel: Caravel(Compass, IPosition)</t>
  </si>
  <si>
    <t>Carrack: Carrack(Compass, IPosition)</t>
  </si>
  <si>
    <t>Compass: Compass(char)</t>
  </si>
  <si>
    <t>Compass: charToCompass(char)</t>
  </si>
  <si>
    <t>Compass: getDirection()</t>
  </si>
  <si>
    <t>Compass: randomBearing()</t>
  </si>
  <si>
    <t>Compass: toString()</t>
  </si>
  <si>
    <t>Compass: valueOf(String)</t>
  </si>
  <si>
    <t>Compass: values()</t>
  </si>
  <si>
    <t>Fleet: Fleet()</t>
  </si>
  <si>
    <t>Fleet: addShip(IShip)</t>
  </si>
  <si>
    <t>Fleet: colisionRisk(IShip)</t>
  </si>
  <si>
    <t>Fleet: createRandom()</t>
  </si>
  <si>
    <t>Fleet: getFloatingShips()</t>
  </si>
  <si>
    <t>Fleet: getShips()</t>
  </si>
  <si>
    <t>Fleet: getShipsLike(String)</t>
  </si>
  <si>
    <t>Fleet: getSunkShips()</t>
  </si>
  <si>
    <t>Fleet: isInsideBoard(IShip)</t>
  </si>
  <si>
    <t>Fleet: printAllShips()</t>
  </si>
  <si>
    <t>Fleet: printFloatingShips()</t>
  </si>
  <si>
    <t>Fleet: printShips(List&lt;IShip&gt;)</t>
  </si>
  <si>
    <t>Fleet: printShipsByCategory(String)</t>
  </si>
  <si>
    <t>Fleet: printStatus()</t>
  </si>
  <si>
    <t>Fleet: shipAt(IPosition)</t>
  </si>
  <si>
    <t>Frigate: Frigate(Compass, IPosition)</t>
  </si>
  <si>
    <t>Galleon: Galleon(Compass, IPosition)</t>
  </si>
  <si>
    <t>Galleon: fillEast(IPosition)</t>
  </si>
  <si>
    <t>Galleon: fillNorth(IPosition)</t>
  </si>
  <si>
    <t>Galleon: fillSouth(IPosition)</t>
  </si>
  <si>
    <t>Galleon: fillWest(IPosition)</t>
  </si>
  <si>
    <t>Game: Game(IFleet)</t>
  </si>
  <si>
    <t>Game: buildMap(IFleet, List&lt;IMove&gt;, boolean, boolean)</t>
  </si>
  <si>
    <t>Game: fireShots(List&lt;IPosition&gt;)</t>
  </si>
  <si>
    <t>Game: fireShotsAtAlien(List&lt;IPosition&gt;)</t>
  </si>
  <si>
    <t>Game: fireSingleShot(IPosition, boolean)</t>
  </si>
  <si>
    <t>Game: fireSingleShotAtAlien(IPosition, boolean)</t>
  </si>
  <si>
    <t>Game: getAlienFleet()</t>
  </si>
  <si>
    <t>Game: getAlienMoves()</t>
  </si>
  <si>
    <t>Game: getHits()</t>
  </si>
  <si>
    <t>Game: getInvalidShots()</t>
  </si>
  <si>
    <t>Game: getMyFleet()</t>
  </si>
  <si>
    <t>Game: getMyMoves()</t>
  </si>
  <si>
    <t>Game: getRemainingShips()</t>
  </si>
  <si>
    <t>Game: getRepeatedShots()</t>
  </si>
  <si>
    <t>Game: getSunkShips()</t>
  </si>
  <si>
    <t>Game: jsonShots(List&lt;IPosition&gt;)</t>
  </si>
  <si>
    <t>Game: jsonToShots(String)</t>
  </si>
  <si>
    <t>Game: over()</t>
  </si>
  <si>
    <t>Game: printAlienBoard(boolean, boolean)</t>
  </si>
  <si>
    <t>Game: printBoard(IFleet, List&lt;IMove&gt;, boolean, boolean)</t>
  </si>
  <si>
    <t>Game: printBothBoards(boolean)</t>
  </si>
  <si>
    <t>Game: printMyBoard(boolean, boolean)</t>
  </si>
  <si>
    <t>Game: randomEnemyFire()</t>
  </si>
  <si>
    <t>Game: randomPlayerFire()</t>
  </si>
  <si>
    <t>Game: readAlienFire(Scanner)</t>
  </si>
  <si>
    <t>Game: readEnemyFire(Scanner)</t>
  </si>
  <si>
    <t>Game: repeatedShot(IPosition)</t>
  </si>
  <si>
    <t>Game: repeatedShotAtAlien(IPosition)</t>
  </si>
  <si>
    <t>GameResult: GameResult()</t>
  </si>
  <si>
    <t>GameResult: GameResult(String, int, boolean)</t>
  </si>
  <si>
    <t>GameResult: getDate()</t>
  </si>
  <si>
    <t>GameResult: getPlayerName()</t>
  </si>
  <si>
    <t>GameResult: getTotalMoves()</t>
  </si>
  <si>
    <t>GameResult: isPlayerWon()</t>
  </si>
  <si>
    <t>GameResult: setDate(LocalDateTime)</t>
  </si>
  <si>
    <t>GameResult: setPlayerName(String)</t>
  </si>
  <si>
    <t>GameResult: setPlayerWon(boolean)</t>
  </si>
  <si>
    <t>GameResult: setTotalMoves(int)</t>
  </si>
  <si>
    <t>IFleet: addShip(IShip)</t>
  </si>
  <si>
    <t>IFleet: getFloatingShips()</t>
  </si>
  <si>
    <t>IFleet: getShips()</t>
  </si>
  <si>
    <t>IFleet: getShipsLike(String)</t>
  </si>
  <si>
    <t>IFleet: getSunkShips()</t>
  </si>
  <si>
    <t>IFleet: printStatus()</t>
  </si>
  <si>
    <t>IFleet: shipAt(IPosition)</t>
  </si>
  <si>
    <t>IGame: fireShots(List&lt;IPosition&gt;)</t>
  </si>
  <si>
    <t>IGame: fireSingleShot(IPosition, boolean)</t>
  </si>
  <si>
    <t>IGame: getAlienFleet()</t>
  </si>
  <si>
    <t>IGame: getAlienMoves()</t>
  </si>
  <si>
    <t>IGame: getHits()</t>
  </si>
  <si>
    <t>IGame: getInvalidShots()</t>
  </si>
  <si>
    <t>IGame: getMyFleet()</t>
  </si>
  <si>
    <t>IGame: getMyMoves()</t>
  </si>
  <si>
    <t>IGame: getRemainingShips()</t>
  </si>
  <si>
    <t>IGame: getRepeatedShots()</t>
  </si>
  <si>
    <t>IGame: getSunkShips()</t>
  </si>
  <si>
    <t>IGame: over()</t>
  </si>
  <si>
    <t>IGame: printAlienBoard(boolean, boolean)</t>
  </si>
  <si>
    <t>IGame: printMyBoard(boolean, boolean)</t>
  </si>
  <si>
    <t>IGame: randomEnemyFire()</t>
  </si>
  <si>
    <t>IGame: readEnemyFire(Scanner)</t>
  </si>
  <si>
    <t>IMove: getNumber()</t>
  </si>
  <si>
    <t>IMove: getShotResults()</t>
  </si>
  <si>
    <t>IMove: getShots()</t>
  </si>
  <si>
    <t>IMove: processEnemyFire(boolean)</t>
  </si>
  <si>
    <t>IMove: readMove(int, Scanner)</t>
  </si>
  <si>
    <t>IMove: toString()</t>
  </si>
  <si>
    <t>IPosition: adjacentPositions()</t>
  </si>
  <si>
    <t>IPosition: equals(Object)</t>
  </si>
  <si>
    <t>IPosition: getClassicColumn()</t>
  </si>
  <si>
    <t>IPosition: getClassicRow()</t>
  </si>
  <si>
    <t>IPosition: getColumn()</t>
  </si>
  <si>
    <t>IPosition: getRow()</t>
  </si>
  <si>
    <t>IPosition: isAdjacentTo(IPosition)</t>
  </si>
  <si>
    <t>IPosition: isHit()</t>
  </si>
  <si>
    <t>IPosition: isInside()</t>
  </si>
  <si>
    <t>IPosition: isOccupied()</t>
  </si>
  <si>
    <t>IPosition: occupy()</t>
  </si>
  <si>
    <t>IPosition: shoot()</t>
  </si>
  <si>
    <t>IShip: getAdjacentPositions()</t>
  </si>
  <si>
    <t>IShip: getBearing()</t>
  </si>
  <si>
    <t>IShip: getBottomMostPos()</t>
  </si>
  <si>
    <t>IShip: getCategory()</t>
  </si>
  <si>
    <t>IShip: getLeftMostPos()</t>
  </si>
  <si>
    <t>IShip: getPosition()</t>
  </si>
  <si>
    <t>IShip: getPositions()</t>
  </si>
  <si>
    <t>IShip: getRightMostPos()</t>
  </si>
  <si>
    <t>IShip: getSize()</t>
  </si>
  <si>
    <t>IShip: getTopMostPos()</t>
  </si>
  <si>
    <t>IShip: occupies(IPosition)</t>
  </si>
  <si>
    <t>IShip: shoot(IPosition)</t>
  </si>
  <si>
    <t>IShip: sink()</t>
  </si>
  <si>
    <t>IShip: stillFloating()</t>
  </si>
  <si>
    <t>IShip: tooCloseTo(IPosition)</t>
  </si>
  <si>
    <t>IShip: tooCloseTo(IShip)</t>
  </si>
  <si>
    <t>Main: main(String[])</t>
  </si>
  <si>
    <t>Move: Move(int, List&lt;IPosition&gt;, List&lt;ShotResult&gt;)</t>
  </si>
  <si>
    <t>Move: getNumber()</t>
  </si>
  <si>
    <t>Move: getShotResults()</t>
  </si>
  <si>
    <t>Move: getShots()</t>
  </si>
  <si>
    <t>Move: processEnemyFire(boolean)</t>
  </si>
  <si>
    <t>Move: toString()</t>
  </si>
  <si>
    <t>PdfExporter: checkPagination(PDDocument, PdfState, float)</t>
  </si>
  <si>
    <t>PdfExporter: exportGameReport(IGame, String)</t>
  </si>
  <si>
    <t>PdfExporter: printMoveSection(PDDocument, PdfState, String, List&lt;IMove&gt;)</t>
  </si>
  <si>
    <t>Position: Position(char, int)</t>
  </si>
  <si>
    <t>Position: Position(int, int)</t>
  </si>
  <si>
    <t>Position: adjacentPositions()</t>
  </si>
  <si>
    <t>Position: equals(Object)</t>
  </si>
  <si>
    <t>Position: getClassicColumn()</t>
  </si>
  <si>
    <t>Position: getClassicRow()</t>
  </si>
  <si>
    <t>Position: getColumn()</t>
  </si>
  <si>
    <t>Position: getRow()</t>
  </si>
  <si>
    <t>Position: hashCode()</t>
  </si>
  <si>
    <t>Position: isAdjacentTo(IPosition)</t>
  </si>
  <si>
    <t>Position: isHit()</t>
  </si>
  <si>
    <t>Position: isInside()</t>
  </si>
  <si>
    <t>Position: isOccupied()</t>
  </si>
  <si>
    <t>Position: occupy()</t>
  </si>
  <si>
    <t>Position: randomPosition()</t>
  </si>
  <si>
    <t>Position: shoot()</t>
  </si>
  <si>
    <t>Position: toString()</t>
  </si>
  <si>
    <t>Scoreboard: displayScoreboard(int)</t>
  </si>
  <si>
    <t>Scoreboard: interactiveDisplay(Scanner)</t>
  </si>
  <si>
    <t>Scoreboard: loadResults()</t>
  </si>
  <si>
    <t>Scoreboard: saveResult(GameResult)</t>
  </si>
  <si>
    <t>Ship: Ship(String, Compass, IPosition, int)</t>
  </si>
  <si>
    <t>Ship: buildShip(String, Compass, Position)</t>
  </si>
  <si>
    <t>Ship: getAdjacentPositions()</t>
  </si>
  <si>
    <t>Ship: getBearing()</t>
  </si>
  <si>
    <t>Ship: getBottomMostPos()</t>
  </si>
  <si>
    <t>Ship: getCategory()</t>
  </si>
  <si>
    <t>Ship: getLeftMostPos()</t>
  </si>
  <si>
    <t>Ship: getPosition()</t>
  </si>
  <si>
    <t>Ship: getPositions()</t>
  </si>
  <si>
    <t>Ship: getRightMostPos()</t>
  </si>
  <si>
    <t>Ship: getSize()</t>
  </si>
  <si>
    <t>Ship: getTopMostPos()</t>
  </si>
  <si>
    <t>Ship: occupies(IPosition)</t>
  </si>
  <si>
    <t>Ship: shoot(IPosition)</t>
  </si>
  <si>
    <t>Ship: sink()</t>
  </si>
  <si>
    <t>Ship: stillFloating()</t>
  </si>
  <si>
    <t>Ship: toString()</t>
  </si>
  <si>
    <t>Ship: tooCloseTo(IPosition)</t>
  </si>
  <si>
    <t>Ship: tooCloseTo(IShip)</t>
  </si>
  <si>
    <t>Tasks: askPlayerName(Scanner)</t>
  </si>
  <si>
    <t>Tasks: buildFleet(Scanner)</t>
  </si>
  <si>
    <t>Tasks: menu()</t>
  </si>
  <si>
    <t>Tasks: menuHelp()</t>
  </si>
  <si>
    <t>Tasks: readClassicPosition(Scanner)</t>
  </si>
  <si>
    <t>Tasks: readPosition(Scanner)</t>
  </si>
  <si>
    <t>Tasks: readShip(Scanner)</t>
  </si>
  <si>
    <t>/Metrics/Metric/@description</t>
  </si>
  <si>
    <t>/Metrics/Metric/@name</t>
  </si>
  <si>
    <t>/Metrics/Metric/@value</t>
  </si>
  <si>
    <t>/Packages/Package/@name</t>
  </si>
  <si>
    <t>/Packages/Package/Class/@name</t>
  </si>
  <si>
    <t>/Packages/Package/Class/#id</t>
  </si>
  <si>
    <t>/Packages/Package/Class/Class/@name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</si>
  <si>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</si>
  <si>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</si>
  <si>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</si>
  <si>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</si>
  <si>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</si>
  <si>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</si>
  <si>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</si>
  <si>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</si>
  <si>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</si>
  <si>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</si>
  <si>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</si>
  <si>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</si>
  <si>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</si>
  <si>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</si>
  <si>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</si>
  <si>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</si>
  <si>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</si>
  <si>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</si>
  <si>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</si>
  <si>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</si>
  <si>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</si>
  <si>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</si>
  <si>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</si>
  <si>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</si>
  <si>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</si>
  <si>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</si>
  <si>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</si>
  <si>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</si>
  <si>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</si>
  <si>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</si>
  <si>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</si>
  <si>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</si>
  <si>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</si>
  <si>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</si>
  <si>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</si>
  <si>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</si>
  <si>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</si>
  <si>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</si>
  <si>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</si>
  <si>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</si>
  <si>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</si>
  <si>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</si>
  <si>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</si>
  <si>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</si>
  <si>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</si>
  <si>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</si>
  <si>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</si>
  <si>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</si>
  <si>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</si>
  <si>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</si>
  <si>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</si>
  <si>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</si>
  <si>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</si>
  <si>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</si>
  <si>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</si>
  <si>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</si>
  <si>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</si>
  <si>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</si>
  <si>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</si>
  <si>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</si>
  <si>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</si>
  <si>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</si>
  <si>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</si>
  <si>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</si>
  <si>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</si>
  <si>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</si>
  <si>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</si>
  <si>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</si>
  <si>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</si>
  <si>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</si>
  <si>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</si>
  <si>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</si>
  <si>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</si>
  <si>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</si>
  <si>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</si>
  <si>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</si>
  <si>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</si>
  <si>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</si>
  <si>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</si>
  <si>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</si>
  <si>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</si>
  <si>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</si>
  <si>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</si>
  <si>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</si>
  <si>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</si>
  <si>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</si>
  <si>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</si>
  <si>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</si>
  <si>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</si>
  <si>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</si>
  <si>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</si>
  <si>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</si>
  <si>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</si>
  <si>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</si>
  <si>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</si>
  <si>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</si>
  <si>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</si>
  <si>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</si>
  <si>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</si>
  <si>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</si>
  <si>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</si>
  <si>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</si>
  <si>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</si>
  <si>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</si>
  <si>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</si>
  <si>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</si>
  <si>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</si>
  <si>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</si>
  <si>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</si>
  <si>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</si>
  <si>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</si>
  <si>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</si>
  <si>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</si>
  <si>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</si>
  <si>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</si>
  <si>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</si>
  <si>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</si>
  <si>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</si>
  <si>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</si>
  <si>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</si>
  <si>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</si>
  <si>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</si>
  <si>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</si>
  <si>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</si>
  <si>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</si>
  <si>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</si>
  <si>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</si>
  <si>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</si>
  <si>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</si>
  <si>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</si>
  <si>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</si>
  <si>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</si>
  <si>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</si>
  <si>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</si>
  <si>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</si>
  <si>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BoardWindow</t>
  </si>
  <si>
    <t>close()</t>
  </si>
  <si>
    <t>createBoardPanel(char[][], List&lt;IPosition&gt;)</t>
  </si>
  <si>
    <t>show(char[][], char[][], List&lt;IPosition&gt;, List&lt;IPosition&gt;)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</si>
  <si>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</si>
  <si>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</si>
  <si>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</si>
  <si>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</si>
  <si>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</si>
  <si>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</si>
  <si>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</si>
  <si>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</si>
  <si>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</si>
  <si>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</si>
  <si>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</si>
  <si>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</si>
  <si>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</si>
  <si>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</si>
  <si>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</si>
  <si>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</si>
  <si>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</si>
  <si>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</si>
  <si>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</si>
  <si>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</si>
  <si>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</si>
  <si>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</si>
  <si>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</si>
  <si>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</si>
  <si>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</si>
  <si>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</si>
  <si>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</si>
  <si>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</si>
  <si>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</si>
  <si>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</si>
  <si>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</si>
  <si>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</si>
  <si>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</si>
  <si>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</si>
  <si>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</si>
  <si>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</si>
  <si>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</si>
  <si>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</si>
  <si>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</si>
  <si>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</si>
  <si>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</si>
  <si>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buildMap(IFleet, List&lt;IMove&gt;, boolean, boolean)</t>
  </si>
  <si>
    <t>fireShots(List&lt;IPosition&gt;)</t>
  </si>
  <si>
    <t>fireShotsAtAlien(List&lt;IPosition&gt;)</t>
  </si>
  <si>
    <t>fireSingleShot(IPosition, boolean)</t>
  </si>
  <si>
    <t>fireSingleShotAtAlien(IPosition,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</si>
  <si>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</si>
  <si>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</si>
  <si>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</si>
  <si>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</si>
  <si>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</si>
  <si>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</si>
  <si>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</si>
  <si>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</si>
  <si>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</si>
  <si>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jsonToShots(String)</t>
  </si>
  <si>
    <t>over()</t>
  </si>
  <si>
    <t>printAlienBoard(boolean, boolean)</t>
  </si>
  <si>
    <t>printBoard(IFleet, List&lt;IMove&gt;, boolean, boolean)</t>
  </si>
  <si>
    <t>printBothBoards(boolean)</t>
  </si>
  <si>
    <t>printMyBoard(boolean, boolean)</t>
  </si>
  <si>
    <t>randomEnemyFire()</t>
  </si>
  <si>
    <t>randomPlayerFire()</t>
  </si>
  <si>
    <t>readAlienFire(Scanner)</t>
  </si>
  <si>
    <t>readEnemyFire(Scanner)</t>
  </si>
  <si>
    <t>repeatedShot(IPosition)</t>
  </si>
  <si>
    <t>repeatedShotAtAlien(IPosition)</t>
  </si>
  <si>
    <t>GameResult</t>
  </si>
  <si>
    <t>GameResult()</t>
  </si>
  <si>
    <t>GameResult(String, int, boolean)</t>
  </si>
  <si>
    <t>getDate()</t>
  </si>
  <si>
    <t>getPlayerName()</t>
  </si>
  <si>
    <t>getTotalMoves()</t>
  </si>
  <si>
    <t>isPlayerWon()</t>
  </si>
  <si>
    <t>setDate(LocalDateTime)</t>
  </si>
  <si>
    <t>setPlayerName(String)</t>
  </si>
  <si>
    <t>setPlayerWon(boolean)</t>
  </si>
  <si>
    <t>setTotalMoves(int)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</si>
  <si>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</si>
  <si>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</si>
  <si>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</si>
  <si>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</si>
  <si>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</si>
  <si>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</si>
  <si>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</si>
  <si>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</si>
  <si>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</si>
  <si>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</si>
  <si>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</si>
  <si>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</si>
  <si>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</si>
  <si>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</si>
  <si>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</si>
  <si>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</si>
  <si>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</si>
  <si>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</si>
  <si>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</si>
  <si>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</si>
  <si>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</si>
  <si>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</si>
  <si>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</si>
  <si>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</si>
  <si>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</si>
  <si>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</si>
  <si>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</si>
  <si>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</si>
  <si>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</si>
  <si>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</si>
  <si>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</si>
  <si>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</si>
  <si>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</si>
  <si>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</si>
  <si>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</si>
  <si>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</si>
  <si>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</si>
  <si>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</si>
  <si>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</si>
  <si>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</si>
  <si>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</si>
  <si>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</si>
  <si>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</si>
  <si>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</si>
  <si>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</si>
  <si>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</si>
  <si>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</si>
  <si>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</si>
  <si>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PdfExporter</t>
  </si>
  <si>
    <t>PdfState</t>
  </si>
  <si>
    <t>PdfState(PDPage, PDPageContentStream, float)</t>
  </si>
  <si>
    <t>checkPagination(PDDocument, PdfState, float)</t>
  </si>
  <si>
    <t>exportGameReport(IGame, String)</t>
  </si>
  <si>
    <t>printMoveSection(PDDocument, PdfState, String, List&lt;IMove&gt;)</t>
  </si>
  <si>
    <t>Position</t>
  </si>
  <si>
    <t>Position(char, int)</t>
  </si>
  <si>
    <t>Position(int, int)</t>
  </si>
  <si>
    <t>hashCode()</t>
  </si>
  <si>
    <t>randomPosition()</t>
  </si>
  <si>
    <t>Scoreboard</t>
  </si>
  <si>
    <t>displayScoreboard(int)</t>
  </si>
  <si>
    <t>interactiveDisplay(Scanner)</t>
  </si>
  <si>
    <t>loadResults()</t>
  </si>
  <si>
    <t>saveResult(GameResult)</t>
  </si>
  <si>
    <t>Ship</t>
  </si>
  <si>
    <t>Ship(String, Compass, IPosition, int)</t>
  </si>
  <si>
    <t>buildShip(String, Compass, Position)</t>
  </si>
  <si>
    <t>Tasks</t>
  </si>
  <si>
    <t>askPlayerName(Scanner)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</si>
  <si>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</si>
  <si>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</si>
  <si>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</si>
  <si>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</si>
  <si>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</si>
  <si>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</si>
  <si>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</si>
  <si>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</si>
  <si>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</si>
  <si>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</si>
  <si>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</si>
  <si>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</si>
  <si>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</si>
  <si>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</si>
  <si>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</si>
  <si>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</si>
  <si>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</si>
  <si>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</si>
  <si>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</si>
  <si>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</si>
  <si>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</si>
  <si>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</si>
  <si>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</si>
  <si>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CC norm</t>
  </si>
  <si>
    <t>CCM norm</t>
  </si>
  <si>
    <t>CDISP norm</t>
  </si>
  <si>
    <t>CINT norm</t>
  </si>
  <si>
    <t>CND norm</t>
  </si>
  <si>
    <t>FDP norm</t>
  </si>
  <si>
    <t>HD norm</t>
  </si>
  <si>
    <t>HEF norm</t>
  </si>
  <si>
    <t>HER norm</t>
  </si>
  <si>
    <t>HL norm</t>
  </si>
  <si>
    <t>HVC norm</t>
  </si>
  <si>
    <t>HVL norm</t>
  </si>
  <si>
    <t>LAA norm</t>
  </si>
  <si>
    <t>LND norm</t>
  </si>
  <si>
    <t>LOC norm</t>
  </si>
  <si>
    <t>MMI norm</t>
  </si>
  <si>
    <t>MND norm</t>
  </si>
  <si>
    <t>NOAV norm</t>
  </si>
  <si>
    <t>NOL norm</t>
  </si>
  <si>
    <t>NOPM norm</t>
  </si>
  <si>
    <t>SOMA norm</t>
  </si>
  <si>
    <t>Dados (referência MethodData)</t>
  </si>
  <si>
    <t>Normalização [0, 1]</t>
  </si>
  <si>
    <t>MIN</t>
  </si>
  <si>
    <t>MAX</t>
  </si>
  <si>
    <t>Ordenado por SOMA norm (decrescente)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</si>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</sst>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"/>
    <numFmt numFmtId="165" formatCode="0.0000"/>
  </numFmts>
  <fonts count="7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2F75B6"/>
      </patternFill>
    </fill>
    <fill>
      <patternFill patternType="solid">
        <fgColor rgb="FFC0C0C0"/>
        <bgColor rgb="FFAFB9C3"/>
      </patternFill>
    </fill>
    <fill>
      <patternFill patternType="solid">
        <fgColor rgb="FF548235"/>
        <bgColor rgb="FF3D8324"/>
      </patternFill>
    </fill>
    <fill>
      <patternFill patternType="solid">
        <fgColor rgb="FFBF8F00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>
      <alignment horizontal="left"/>
    </xf>
    <xf numFmtId="0" fontId="6" fillId="0" borderId="0"/>
    <xf numFmtId="0" fontId="6" fillId="0" borderId="0"/>
    <xf numFmtId="0" fontId="1" fillId="0" borderId="0"/>
    <xf numFmtId="0" fontId="1" fillId="0" borderId="0">
      <alignment horizontal="left"/>
    </xf>
    <xf numFmtId="0" fontId="6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3" fillId="0" borderId="1" xfId="0" applyNumberFormat="1" applyFont="1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7DB671"/>
      <rgbColor rgb="FF0000FF"/>
      <rgbColor rgb="FFBF8F00"/>
      <rgbColor rgb="FFFF00FF"/>
      <rgbColor rgb="FF5B9BD5"/>
      <rgbColor rgb="FFC00000"/>
      <rgbColor rgb="FF196B24"/>
      <rgbColor rgb="FF135979"/>
      <rgbColor rgb="FF548235"/>
      <rgbColor rgb="FF7030A0"/>
      <rgbColor rgb="FF0B7CA8"/>
      <rgbColor rgb="FFC0C0C0"/>
      <rgbColor rgb="FF6D869B"/>
      <rgbColor rgb="FF6CAFDB"/>
      <rgbColor rgb="FF952889"/>
      <rgbColor rgb="FFA9D18E"/>
      <rgbColor rgb="FFC1E5F5"/>
      <rgbColor rgb="FFDA692E"/>
      <rgbColor rgb="FFEC9073"/>
      <rgbColor rgb="FF2E75B6"/>
      <rgbColor rgb="FFBDD7EE"/>
      <rgbColor rgb="FF3D8324"/>
      <rgbColor rgb="FFFF00FF"/>
      <rgbColor rgb="FFAFB9C3"/>
      <rgbColor rgb="FF00FFFF"/>
      <rgbColor rgb="FFB171A7"/>
      <rgbColor rgb="FFB75927"/>
      <rgbColor rgb="FF156082"/>
      <rgbColor rgb="FF0000FF"/>
      <rgbColor rgb="FF0E93C7"/>
      <rgbColor rgb="FFD9D9D9"/>
      <rgbColor rgb="FFD6DCE4"/>
      <rgbColor rgb="FFFFD966"/>
      <rgbColor rgb="FF9DC3E6"/>
      <rgbColor rgb="FFF4B183"/>
      <rgbColor rgb="FFB3B3B3"/>
      <rgbColor rgb="FFF2BEB1"/>
      <rgbColor rgb="FF4472C4"/>
      <rgbColor rgb="FF46B1E1"/>
      <rgbColor rgb="FF70AD47"/>
      <rgbColor rgb="FFFFC000"/>
      <rgbColor rgb="FFED7D31"/>
      <rgbColor rgb="FFE97132"/>
      <rgbColor rgb="FF2F75B6"/>
      <rgbColor rgb="FF6D8D6F"/>
      <rgbColor rgb="FF104B66"/>
      <rgbColor rgb="FF499C2B"/>
      <rgbColor rgb="FF13541C"/>
      <rgbColor rgb="FF176421"/>
      <rgbColor rgb="FF833C00"/>
      <rgbColor rgb="FF7E2173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Method!$I$1</c:f>
              <c:strCache>
                <c:ptCount val="1"/>
                <c:pt idx="0">
                  <c:v>/Packages/Package/Class/Method/Metrics/Metric/@value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Method!$H$2:$H$187</c:f>
              <c:strCache>
                <c:ptCount val="185"/>
                <c:pt idx="0">
                  <c:v>LOC</c:v>
                </c:pt>
                <c:pt idx="1">
                  <c:v>LOC</c:v>
                </c:pt>
                <c:pt idx="2">
                  <c:v>LOC</c:v>
                </c:pt>
                <c:pt idx="3">
                  <c:v>LOC</c:v>
                </c:pt>
                <c:pt idx="4">
                  <c:v>LOC</c:v>
                </c:pt>
                <c:pt idx="5">
                  <c:v>LOC</c:v>
                </c:pt>
                <c:pt idx="6">
                  <c:v>LOC</c:v>
                </c:pt>
                <c:pt idx="7">
                  <c:v>LOC</c:v>
                </c:pt>
                <c:pt idx="8">
                  <c:v>LOC</c:v>
                </c:pt>
                <c:pt idx="9">
                  <c:v>LOC</c:v>
                </c:pt>
                <c:pt idx="10">
                  <c:v>LOC</c:v>
                </c:pt>
                <c:pt idx="11">
                  <c:v>CC</c:v>
                </c:pt>
                <c:pt idx="12">
                  <c:v>LOC</c:v>
                </c:pt>
                <c:pt idx="13">
                  <c:v>LOC</c:v>
                </c:pt>
                <c:pt idx="14">
                  <c:v>LOC</c:v>
                </c:pt>
                <c:pt idx="15">
                  <c:v>LOC</c:v>
                </c:pt>
                <c:pt idx="16">
                  <c:v>LOC</c:v>
                </c:pt>
                <c:pt idx="17">
                  <c:v>LOC</c:v>
                </c:pt>
                <c:pt idx="18">
                  <c:v>LOC</c:v>
                </c:pt>
                <c:pt idx="19">
                  <c:v>CC</c:v>
                </c:pt>
                <c:pt idx="20">
                  <c:v>LOC</c:v>
                </c:pt>
                <c:pt idx="21">
                  <c:v>LOC</c:v>
                </c:pt>
                <c:pt idx="22">
                  <c:v>LOC</c:v>
                </c:pt>
                <c:pt idx="23">
                  <c:v>LOC</c:v>
                </c:pt>
                <c:pt idx="24">
                  <c:v>LOC</c:v>
                </c:pt>
                <c:pt idx="25">
                  <c:v>LOC</c:v>
                </c:pt>
                <c:pt idx="26">
                  <c:v>LOC</c:v>
                </c:pt>
                <c:pt idx="27">
                  <c:v>LOC</c:v>
                </c:pt>
                <c:pt idx="28">
                  <c:v>LOC</c:v>
                </c:pt>
                <c:pt idx="29">
                  <c:v>LOC</c:v>
                </c:pt>
                <c:pt idx="30">
                  <c:v>LOC</c:v>
                </c:pt>
                <c:pt idx="31">
                  <c:v>LOC</c:v>
                </c:pt>
                <c:pt idx="32">
                  <c:v>LOC</c:v>
                </c:pt>
                <c:pt idx="33">
                  <c:v>LOC</c:v>
                </c:pt>
                <c:pt idx="34">
                  <c:v>LOC</c:v>
                </c:pt>
                <c:pt idx="35">
                  <c:v>LOC</c:v>
                </c:pt>
                <c:pt idx="36">
                  <c:v>LOC</c:v>
                </c:pt>
                <c:pt idx="37">
                  <c:v>LOC</c:v>
                </c:pt>
                <c:pt idx="38">
                  <c:v>LOC</c:v>
                </c:pt>
                <c:pt idx="39">
                  <c:v>LOC</c:v>
                </c:pt>
                <c:pt idx="40">
                  <c:v>LOC</c:v>
                </c:pt>
                <c:pt idx="41">
                  <c:v>LOC</c:v>
                </c:pt>
                <c:pt idx="42">
                  <c:v>LOC</c:v>
                </c:pt>
                <c:pt idx="43">
                  <c:v>LOC</c:v>
                </c:pt>
                <c:pt idx="44">
                  <c:v>LOC</c:v>
                </c:pt>
                <c:pt idx="45">
                  <c:v>LOC</c:v>
                </c:pt>
                <c:pt idx="46">
                  <c:v>LOC</c:v>
                </c:pt>
                <c:pt idx="47">
                  <c:v>LOC</c:v>
                </c:pt>
                <c:pt idx="48">
                  <c:v>CC</c:v>
                </c:pt>
                <c:pt idx="49">
                  <c:v>LOC</c:v>
                </c:pt>
                <c:pt idx="50">
                  <c:v>LOC</c:v>
                </c:pt>
                <c:pt idx="51">
                  <c:v>LOC</c:v>
                </c:pt>
                <c:pt idx="52">
                  <c:v>LOC</c:v>
                </c:pt>
                <c:pt idx="53">
                  <c:v>LOC</c:v>
                </c:pt>
                <c:pt idx="54">
                  <c:v>LOC</c:v>
                </c:pt>
                <c:pt idx="55">
                  <c:v>LOC</c:v>
                </c:pt>
                <c:pt idx="56">
                  <c:v>LOC</c:v>
                </c:pt>
                <c:pt idx="57">
                  <c:v>LOC</c:v>
                </c:pt>
                <c:pt idx="58">
                  <c:v>LOC</c:v>
                </c:pt>
                <c:pt idx="59">
                  <c:v>LOC</c:v>
                </c:pt>
                <c:pt idx="60">
                  <c:v>LOC</c:v>
                </c:pt>
                <c:pt idx="61">
                  <c:v>LOC</c:v>
                </c:pt>
                <c:pt idx="62">
                  <c:v>LOC</c:v>
                </c:pt>
                <c:pt idx="63">
                  <c:v>LOC</c:v>
                </c:pt>
                <c:pt idx="64">
                  <c:v>LOC</c:v>
                </c:pt>
                <c:pt idx="65">
                  <c:v>LOC</c:v>
                </c:pt>
                <c:pt idx="66">
                  <c:v>LOC</c:v>
                </c:pt>
                <c:pt idx="67">
                  <c:v>LOC</c:v>
                </c:pt>
                <c:pt idx="68">
                  <c:v>CC</c:v>
                </c:pt>
                <c:pt idx="69">
                  <c:v>CC</c:v>
                </c:pt>
                <c:pt idx="70">
                  <c:v>LOC</c:v>
                </c:pt>
                <c:pt idx="71">
                  <c:v>LOC</c:v>
                </c:pt>
                <c:pt idx="72">
                  <c:v>LOC</c:v>
                </c:pt>
                <c:pt idx="73">
                  <c:v>LOC</c:v>
                </c:pt>
                <c:pt idx="74">
                  <c:v>LOC</c:v>
                </c:pt>
                <c:pt idx="75">
                  <c:v>LOC</c:v>
                </c:pt>
                <c:pt idx="76">
                  <c:v>LOC</c:v>
                </c:pt>
                <c:pt idx="77">
                  <c:v>LOC</c:v>
                </c:pt>
                <c:pt idx="78">
                  <c:v>LOC</c:v>
                </c:pt>
                <c:pt idx="79">
                  <c:v>LOC</c:v>
                </c:pt>
                <c:pt idx="80">
                  <c:v>LOC</c:v>
                </c:pt>
                <c:pt idx="81">
                  <c:v>CC</c:v>
                </c:pt>
                <c:pt idx="82">
                  <c:v>CC</c:v>
                </c:pt>
                <c:pt idx="83">
                  <c:v>CC</c:v>
                </c:pt>
                <c:pt idx="84">
                  <c:v>LOC</c:v>
                </c:pt>
                <c:pt idx="85">
                  <c:v>LOC</c:v>
                </c:pt>
                <c:pt idx="86">
                  <c:v>LOC</c:v>
                </c:pt>
                <c:pt idx="87">
                  <c:v>LOC</c:v>
                </c:pt>
                <c:pt idx="88">
                  <c:v>LOC</c:v>
                </c:pt>
                <c:pt idx="89">
                  <c:v>LOC</c:v>
                </c:pt>
                <c:pt idx="90">
                  <c:v>LOC</c:v>
                </c:pt>
                <c:pt idx="91">
                  <c:v>CC</c:v>
                </c:pt>
                <c:pt idx="92">
                  <c:v>CC</c:v>
                </c:pt>
                <c:pt idx="93">
                  <c:v>CC</c:v>
                </c:pt>
                <c:pt idx="94">
                  <c:v>CC</c:v>
                </c:pt>
                <c:pt idx="95">
                  <c:v>LOC</c:v>
                </c:pt>
                <c:pt idx="96">
                  <c:v>LOC</c:v>
                </c:pt>
                <c:pt idx="97">
                  <c:v>LOC</c:v>
                </c:pt>
                <c:pt idx="98">
                  <c:v>LOC</c:v>
                </c:pt>
                <c:pt idx="99">
                  <c:v>LOC</c:v>
                </c:pt>
                <c:pt idx="100">
                  <c:v>LOC</c:v>
                </c:pt>
                <c:pt idx="101">
                  <c:v>LOC</c:v>
                </c:pt>
                <c:pt idx="102">
                  <c:v>LOC</c:v>
                </c:pt>
                <c:pt idx="103">
                  <c:v>LOC</c:v>
                </c:pt>
                <c:pt idx="104">
                  <c:v>CC</c:v>
                </c:pt>
                <c:pt idx="105">
                  <c:v>LOC</c:v>
                </c:pt>
                <c:pt idx="106">
                  <c:v>LOC</c:v>
                </c:pt>
                <c:pt idx="107">
                  <c:v>LOC</c:v>
                </c:pt>
                <c:pt idx="108">
                  <c:v>LOC</c:v>
                </c:pt>
                <c:pt idx="109">
                  <c:v>CC</c:v>
                </c:pt>
                <c:pt idx="110">
                  <c:v>LOC</c:v>
                </c:pt>
                <c:pt idx="111">
                  <c:v>LOC</c:v>
                </c:pt>
                <c:pt idx="112">
                  <c:v>LOC</c:v>
                </c:pt>
                <c:pt idx="113">
                  <c:v>LOC</c:v>
                </c:pt>
                <c:pt idx="114">
                  <c:v>LOC</c:v>
                </c:pt>
                <c:pt idx="115">
                  <c:v>LOC</c:v>
                </c:pt>
                <c:pt idx="116">
                  <c:v>LOC</c:v>
                </c:pt>
                <c:pt idx="117">
                  <c:v>LOC</c:v>
                </c:pt>
                <c:pt idx="118">
                  <c:v>LOC</c:v>
                </c:pt>
                <c:pt idx="119">
                  <c:v>CC</c:v>
                </c:pt>
                <c:pt idx="120">
                  <c:v>CC</c:v>
                </c:pt>
                <c:pt idx="121">
                  <c:v>CC</c:v>
                </c:pt>
                <c:pt idx="122">
                  <c:v>LOC</c:v>
                </c:pt>
                <c:pt idx="123">
                  <c:v>LOC</c:v>
                </c:pt>
                <c:pt idx="124">
                  <c:v>LOC</c:v>
                </c:pt>
                <c:pt idx="125">
                  <c:v>CC</c:v>
                </c:pt>
                <c:pt idx="126">
                  <c:v>CC</c:v>
                </c:pt>
                <c:pt idx="127">
                  <c:v>CC</c:v>
                </c:pt>
                <c:pt idx="128">
                  <c:v>CC</c:v>
                </c:pt>
                <c:pt idx="129">
                  <c:v>LOC</c:v>
                </c:pt>
                <c:pt idx="130">
                  <c:v>LOC</c:v>
                </c:pt>
                <c:pt idx="131">
                  <c:v>LOC</c:v>
                </c:pt>
                <c:pt idx="132">
                  <c:v>LOC</c:v>
                </c:pt>
                <c:pt idx="133">
                  <c:v>LOC</c:v>
                </c:pt>
                <c:pt idx="134">
                  <c:v>LOC</c:v>
                </c:pt>
                <c:pt idx="135">
                  <c:v>LOC</c:v>
                </c:pt>
                <c:pt idx="136">
                  <c:v>LOC</c:v>
                </c:pt>
                <c:pt idx="137">
                  <c:v>CC</c:v>
                </c:pt>
                <c:pt idx="138">
                  <c:v>CC</c:v>
                </c:pt>
                <c:pt idx="139">
                  <c:v>CC</c:v>
                </c:pt>
                <c:pt idx="140">
                  <c:v>CC</c:v>
                </c:pt>
                <c:pt idx="141">
                  <c:v>CC</c:v>
                </c:pt>
                <c:pt idx="142">
                  <c:v>CC</c:v>
                </c:pt>
                <c:pt idx="143">
                  <c:v>LOC</c:v>
                </c:pt>
                <c:pt idx="144">
                  <c:v>LOC</c:v>
                </c:pt>
                <c:pt idx="145">
                  <c:v>LOC</c:v>
                </c:pt>
                <c:pt idx="146">
                  <c:v>NOPM</c:v>
                </c:pt>
                <c:pt idx="147">
                  <c:v>NOPM</c:v>
                </c:pt>
                <c:pt idx="148">
                  <c:v>NOPM</c:v>
                </c:pt>
                <c:pt idx="149">
                  <c:v>NOPM</c:v>
                </c:pt>
                <c:pt idx="150">
                  <c:v>NOPM</c:v>
                </c:pt>
                <c:pt idx="151">
                  <c:v>CC</c:v>
                </c:pt>
                <c:pt idx="152">
                  <c:v>CC</c:v>
                </c:pt>
                <c:pt idx="153">
                  <c:v>CC</c:v>
                </c:pt>
                <c:pt idx="154">
                  <c:v>CC</c:v>
                </c:pt>
                <c:pt idx="155">
                  <c:v>CC</c:v>
                </c:pt>
                <c:pt idx="156">
                  <c:v>CC</c:v>
                </c:pt>
                <c:pt idx="157">
                  <c:v>CC</c:v>
                </c:pt>
                <c:pt idx="158">
                  <c:v>CC</c:v>
                </c:pt>
                <c:pt idx="159">
                  <c:v>CC</c:v>
                </c:pt>
                <c:pt idx="160">
                  <c:v>CC</c:v>
                </c:pt>
                <c:pt idx="161">
                  <c:v>CC</c:v>
                </c:pt>
                <c:pt idx="162">
                  <c:v>CC</c:v>
                </c:pt>
                <c:pt idx="163">
                  <c:v>CC</c:v>
                </c:pt>
                <c:pt idx="164">
                  <c:v>CC</c:v>
                </c:pt>
                <c:pt idx="165">
                  <c:v>CC</c:v>
                </c:pt>
                <c:pt idx="166">
                  <c:v>CC</c:v>
                </c:pt>
                <c:pt idx="167">
                  <c:v>CC</c:v>
                </c:pt>
                <c:pt idx="168">
                  <c:v>CC</c:v>
                </c:pt>
                <c:pt idx="169">
                  <c:v>CC</c:v>
                </c:pt>
                <c:pt idx="170">
                  <c:v>CC</c:v>
                </c:pt>
                <c:pt idx="171">
                  <c:v>CC</c:v>
                </c:pt>
                <c:pt idx="172">
                  <c:v>CC</c:v>
                </c:pt>
                <c:pt idx="173">
                  <c:v>CC</c:v>
                </c:pt>
                <c:pt idx="174">
                  <c:v>CC</c:v>
                </c:pt>
                <c:pt idx="175">
                  <c:v>CC</c:v>
                </c:pt>
                <c:pt idx="176">
                  <c:v>LOC</c:v>
                </c:pt>
                <c:pt idx="177">
                  <c:v>NOPM</c:v>
                </c:pt>
                <c:pt idx="178">
                  <c:v>NOPM</c:v>
                </c:pt>
                <c:pt idx="179">
                  <c:v>NOPM</c:v>
                </c:pt>
                <c:pt idx="180">
                  <c:v>NOPM</c:v>
                </c:pt>
                <c:pt idx="181">
                  <c:v>CC</c:v>
                </c:pt>
                <c:pt idx="182">
                  <c:v>CC</c:v>
                </c:pt>
                <c:pt idx="183">
                  <c:v>CC</c:v>
                </c:pt>
                <c:pt idx="184">
                  <c:v>CC</c:v>
                </c:pt>
              </c:strCache>
            </c:strRef>
          </c:cat>
          <c:val>
            <c:numRef>
              <c:f>Method!$I$2:$I$187</c:f>
              <c:numCache>
                <c:formatCode>General</c:formatCode>
                <c:ptCount val="185"/>
                <c:pt idx="0">
                  <c:v>132</c:v>
                </c:pt>
                <c:pt idx="1">
                  <c:v>122</c:v>
                </c:pt>
                <c:pt idx="2">
                  <c:v>71</c:v>
                </c:pt>
                <c:pt idx="3">
                  <c:v>70</c:v>
                </c:pt>
                <c:pt idx="4">
                  <c:v>52</c:v>
                </c:pt>
                <c:pt idx="5">
                  <c:v>50</c:v>
                </c:pt>
                <c:pt idx="6">
                  <c:v>46</c:v>
                </c:pt>
                <c:pt idx="7">
                  <c:v>44</c:v>
                </c:pt>
                <c:pt idx="8">
                  <c:v>43</c:v>
                </c:pt>
                <c:pt idx="9">
                  <c:v>43</c:v>
                </c:pt>
                <c:pt idx="10">
                  <c:v>42</c:v>
                </c:pt>
                <c:pt idx="11">
                  <c:v>38</c:v>
                </c:pt>
                <c:pt idx="12">
                  <c:v>38</c:v>
                </c:pt>
                <c:pt idx="13">
                  <c:v>36</c:v>
                </c:pt>
                <c:pt idx="14">
                  <c:v>34</c:v>
                </c:pt>
                <c:pt idx="15">
                  <c:v>33</c:v>
                </c:pt>
                <c:pt idx="16">
                  <c:v>31</c:v>
                </c:pt>
                <c:pt idx="17">
                  <c:v>30</c:v>
                </c:pt>
                <c:pt idx="18">
                  <c:v>30</c:v>
                </c:pt>
                <c:pt idx="19">
                  <c:v>29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25</c:v>
                </c:pt>
                <c:pt idx="28">
                  <c:v>23</c:v>
                </c:pt>
                <c:pt idx="29">
                  <c:v>23</c:v>
                </c:pt>
                <c:pt idx="30">
                  <c:v>22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17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8-D54C-ADA5-9359086BE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41447"/>
        <c:axId val="76906220"/>
      </c:areaChart>
      <c:catAx>
        <c:axId val="37441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76906220"/>
        <c:crosses val="autoZero"/>
        <c:auto val="1"/>
        <c:lblAlgn val="ctr"/>
        <c:lblOffset val="100"/>
        <c:noMultiLvlLbl val="0"/>
      </c:catAx>
      <c:valAx>
        <c:axId val="769062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374414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Method!$I$1</c:f>
              <c:strCache>
                <c:ptCount val="1"/>
                <c:pt idx="0">
                  <c:v>/Packages/Package/Class/Method/Metrics/Metric/@value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Method!$H$2:$H$187</c:f>
              <c:strCache>
                <c:ptCount val="185"/>
                <c:pt idx="0">
                  <c:v>LOC</c:v>
                </c:pt>
                <c:pt idx="1">
                  <c:v>LOC</c:v>
                </c:pt>
                <c:pt idx="2">
                  <c:v>LOC</c:v>
                </c:pt>
                <c:pt idx="3">
                  <c:v>LOC</c:v>
                </c:pt>
                <c:pt idx="4">
                  <c:v>LOC</c:v>
                </c:pt>
                <c:pt idx="5">
                  <c:v>LOC</c:v>
                </c:pt>
                <c:pt idx="6">
                  <c:v>LOC</c:v>
                </c:pt>
                <c:pt idx="7">
                  <c:v>LOC</c:v>
                </c:pt>
                <c:pt idx="8">
                  <c:v>LOC</c:v>
                </c:pt>
                <c:pt idx="9">
                  <c:v>LOC</c:v>
                </c:pt>
                <c:pt idx="10">
                  <c:v>LOC</c:v>
                </c:pt>
                <c:pt idx="11">
                  <c:v>CC</c:v>
                </c:pt>
                <c:pt idx="12">
                  <c:v>LOC</c:v>
                </c:pt>
                <c:pt idx="13">
                  <c:v>LOC</c:v>
                </c:pt>
                <c:pt idx="14">
                  <c:v>LOC</c:v>
                </c:pt>
                <c:pt idx="15">
                  <c:v>LOC</c:v>
                </c:pt>
                <c:pt idx="16">
                  <c:v>LOC</c:v>
                </c:pt>
                <c:pt idx="17">
                  <c:v>LOC</c:v>
                </c:pt>
                <c:pt idx="18">
                  <c:v>LOC</c:v>
                </c:pt>
                <c:pt idx="19">
                  <c:v>CC</c:v>
                </c:pt>
                <c:pt idx="20">
                  <c:v>LOC</c:v>
                </c:pt>
                <c:pt idx="21">
                  <c:v>LOC</c:v>
                </c:pt>
                <c:pt idx="22">
                  <c:v>LOC</c:v>
                </c:pt>
                <c:pt idx="23">
                  <c:v>LOC</c:v>
                </c:pt>
                <c:pt idx="24">
                  <c:v>LOC</c:v>
                </c:pt>
                <c:pt idx="25">
                  <c:v>LOC</c:v>
                </c:pt>
                <c:pt idx="26">
                  <c:v>LOC</c:v>
                </c:pt>
                <c:pt idx="27">
                  <c:v>LOC</c:v>
                </c:pt>
                <c:pt idx="28">
                  <c:v>LOC</c:v>
                </c:pt>
                <c:pt idx="29">
                  <c:v>LOC</c:v>
                </c:pt>
                <c:pt idx="30">
                  <c:v>LOC</c:v>
                </c:pt>
                <c:pt idx="31">
                  <c:v>LOC</c:v>
                </c:pt>
                <c:pt idx="32">
                  <c:v>LOC</c:v>
                </c:pt>
                <c:pt idx="33">
                  <c:v>LOC</c:v>
                </c:pt>
                <c:pt idx="34">
                  <c:v>LOC</c:v>
                </c:pt>
                <c:pt idx="35">
                  <c:v>LOC</c:v>
                </c:pt>
                <c:pt idx="36">
                  <c:v>LOC</c:v>
                </c:pt>
                <c:pt idx="37">
                  <c:v>LOC</c:v>
                </c:pt>
                <c:pt idx="38">
                  <c:v>LOC</c:v>
                </c:pt>
                <c:pt idx="39">
                  <c:v>LOC</c:v>
                </c:pt>
                <c:pt idx="40">
                  <c:v>LOC</c:v>
                </c:pt>
                <c:pt idx="41">
                  <c:v>LOC</c:v>
                </c:pt>
                <c:pt idx="42">
                  <c:v>LOC</c:v>
                </c:pt>
                <c:pt idx="43">
                  <c:v>LOC</c:v>
                </c:pt>
                <c:pt idx="44">
                  <c:v>LOC</c:v>
                </c:pt>
                <c:pt idx="45">
                  <c:v>LOC</c:v>
                </c:pt>
                <c:pt idx="46">
                  <c:v>LOC</c:v>
                </c:pt>
                <c:pt idx="47">
                  <c:v>LOC</c:v>
                </c:pt>
                <c:pt idx="48">
                  <c:v>CC</c:v>
                </c:pt>
                <c:pt idx="49">
                  <c:v>LOC</c:v>
                </c:pt>
                <c:pt idx="50">
                  <c:v>LOC</c:v>
                </c:pt>
                <c:pt idx="51">
                  <c:v>LOC</c:v>
                </c:pt>
                <c:pt idx="52">
                  <c:v>LOC</c:v>
                </c:pt>
                <c:pt idx="53">
                  <c:v>LOC</c:v>
                </c:pt>
                <c:pt idx="54">
                  <c:v>LOC</c:v>
                </c:pt>
                <c:pt idx="55">
                  <c:v>LOC</c:v>
                </c:pt>
                <c:pt idx="56">
                  <c:v>LOC</c:v>
                </c:pt>
                <c:pt idx="57">
                  <c:v>LOC</c:v>
                </c:pt>
                <c:pt idx="58">
                  <c:v>LOC</c:v>
                </c:pt>
                <c:pt idx="59">
                  <c:v>LOC</c:v>
                </c:pt>
                <c:pt idx="60">
                  <c:v>LOC</c:v>
                </c:pt>
                <c:pt idx="61">
                  <c:v>LOC</c:v>
                </c:pt>
                <c:pt idx="62">
                  <c:v>LOC</c:v>
                </c:pt>
                <c:pt idx="63">
                  <c:v>LOC</c:v>
                </c:pt>
                <c:pt idx="64">
                  <c:v>LOC</c:v>
                </c:pt>
                <c:pt idx="65">
                  <c:v>LOC</c:v>
                </c:pt>
                <c:pt idx="66">
                  <c:v>LOC</c:v>
                </c:pt>
                <c:pt idx="67">
                  <c:v>LOC</c:v>
                </c:pt>
                <c:pt idx="68">
                  <c:v>CC</c:v>
                </c:pt>
                <c:pt idx="69">
                  <c:v>CC</c:v>
                </c:pt>
                <c:pt idx="70">
                  <c:v>LOC</c:v>
                </c:pt>
                <c:pt idx="71">
                  <c:v>LOC</c:v>
                </c:pt>
                <c:pt idx="72">
                  <c:v>LOC</c:v>
                </c:pt>
                <c:pt idx="73">
                  <c:v>LOC</c:v>
                </c:pt>
                <c:pt idx="74">
                  <c:v>LOC</c:v>
                </c:pt>
                <c:pt idx="75">
                  <c:v>LOC</c:v>
                </c:pt>
                <c:pt idx="76">
                  <c:v>LOC</c:v>
                </c:pt>
                <c:pt idx="77">
                  <c:v>LOC</c:v>
                </c:pt>
                <c:pt idx="78">
                  <c:v>LOC</c:v>
                </c:pt>
                <c:pt idx="79">
                  <c:v>LOC</c:v>
                </c:pt>
                <c:pt idx="80">
                  <c:v>LOC</c:v>
                </c:pt>
                <c:pt idx="81">
                  <c:v>CC</c:v>
                </c:pt>
                <c:pt idx="82">
                  <c:v>CC</c:v>
                </c:pt>
                <c:pt idx="83">
                  <c:v>CC</c:v>
                </c:pt>
                <c:pt idx="84">
                  <c:v>LOC</c:v>
                </c:pt>
                <c:pt idx="85">
                  <c:v>LOC</c:v>
                </c:pt>
                <c:pt idx="86">
                  <c:v>LOC</c:v>
                </c:pt>
                <c:pt idx="87">
                  <c:v>LOC</c:v>
                </c:pt>
                <c:pt idx="88">
                  <c:v>LOC</c:v>
                </c:pt>
                <c:pt idx="89">
                  <c:v>LOC</c:v>
                </c:pt>
                <c:pt idx="90">
                  <c:v>LOC</c:v>
                </c:pt>
                <c:pt idx="91">
                  <c:v>CC</c:v>
                </c:pt>
                <c:pt idx="92">
                  <c:v>CC</c:v>
                </c:pt>
                <c:pt idx="93">
                  <c:v>CC</c:v>
                </c:pt>
                <c:pt idx="94">
                  <c:v>CC</c:v>
                </c:pt>
                <c:pt idx="95">
                  <c:v>LOC</c:v>
                </c:pt>
                <c:pt idx="96">
                  <c:v>LOC</c:v>
                </c:pt>
                <c:pt idx="97">
                  <c:v>LOC</c:v>
                </c:pt>
                <c:pt idx="98">
                  <c:v>LOC</c:v>
                </c:pt>
                <c:pt idx="99">
                  <c:v>LOC</c:v>
                </c:pt>
                <c:pt idx="100">
                  <c:v>LOC</c:v>
                </c:pt>
                <c:pt idx="101">
                  <c:v>LOC</c:v>
                </c:pt>
                <c:pt idx="102">
                  <c:v>LOC</c:v>
                </c:pt>
                <c:pt idx="103">
                  <c:v>LOC</c:v>
                </c:pt>
                <c:pt idx="104">
                  <c:v>CC</c:v>
                </c:pt>
                <c:pt idx="105">
                  <c:v>LOC</c:v>
                </c:pt>
                <c:pt idx="106">
                  <c:v>LOC</c:v>
                </c:pt>
                <c:pt idx="107">
                  <c:v>LOC</c:v>
                </c:pt>
                <c:pt idx="108">
                  <c:v>LOC</c:v>
                </c:pt>
                <c:pt idx="109">
                  <c:v>CC</c:v>
                </c:pt>
                <c:pt idx="110">
                  <c:v>LOC</c:v>
                </c:pt>
                <c:pt idx="111">
                  <c:v>LOC</c:v>
                </c:pt>
                <c:pt idx="112">
                  <c:v>LOC</c:v>
                </c:pt>
                <c:pt idx="113">
                  <c:v>LOC</c:v>
                </c:pt>
                <c:pt idx="114">
                  <c:v>LOC</c:v>
                </c:pt>
                <c:pt idx="115">
                  <c:v>LOC</c:v>
                </c:pt>
                <c:pt idx="116">
                  <c:v>LOC</c:v>
                </c:pt>
                <c:pt idx="117">
                  <c:v>LOC</c:v>
                </c:pt>
                <c:pt idx="118">
                  <c:v>LOC</c:v>
                </c:pt>
                <c:pt idx="119">
                  <c:v>CC</c:v>
                </c:pt>
                <c:pt idx="120">
                  <c:v>CC</c:v>
                </c:pt>
                <c:pt idx="121">
                  <c:v>CC</c:v>
                </c:pt>
                <c:pt idx="122">
                  <c:v>LOC</c:v>
                </c:pt>
                <c:pt idx="123">
                  <c:v>LOC</c:v>
                </c:pt>
                <c:pt idx="124">
                  <c:v>LOC</c:v>
                </c:pt>
                <c:pt idx="125">
                  <c:v>CC</c:v>
                </c:pt>
                <c:pt idx="126">
                  <c:v>CC</c:v>
                </c:pt>
                <c:pt idx="127">
                  <c:v>CC</c:v>
                </c:pt>
                <c:pt idx="128">
                  <c:v>CC</c:v>
                </c:pt>
                <c:pt idx="129">
                  <c:v>LOC</c:v>
                </c:pt>
                <c:pt idx="130">
                  <c:v>LOC</c:v>
                </c:pt>
                <c:pt idx="131">
                  <c:v>LOC</c:v>
                </c:pt>
                <c:pt idx="132">
                  <c:v>LOC</c:v>
                </c:pt>
                <c:pt idx="133">
                  <c:v>LOC</c:v>
                </c:pt>
                <c:pt idx="134">
                  <c:v>LOC</c:v>
                </c:pt>
                <c:pt idx="135">
                  <c:v>LOC</c:v>
                </c:pt>
                <c:pt idx="136">
                  <c:v>LOC</c:v>
                </c:pt>
                <c:pt idx="137">
                  <c:v>CC</c:v>
                </c:pt>
                <c:pt idx="138">
                  <c:v>CC</c:v>
                </c:pt>
                <c:pt idx="139">
                  <c:v>CC</c:v>
                </c:pt>
                <c:pt idx="140">
                  <c:v>CC</c:v>
                </c:pt>
                <c:pt idx="141">
                  <c:v>CC</c:v>
                </c:pt>
                <c:pt idx="142">
                  <c:v>CC</c:v>
                </c:pt>
                <c:pt idx="143">
                  <c:v>LOC</c:v>
                </c:pt>
                <c:pt idx="144">
                  <c:v>LOC</c:v>
                </c:pt>
                <c:pt idx="145">
                  <c:v>LOC</c:v>
                </c:pt>
                <c:pt idx="146">
                  <c:v>NOPM</c:v>
                </c:pt>
                <c:pt idx="147">
                  <c:v>NOPM</c:v>
                </c:pt>
                <c:pt idx="148">
                  <c:v>NOPM</c:v>
                </c:pt>
                <c:pt idx="149">
                  <c:v>NOPM</c:v>
                </c:pt>
                <c:pt idx="150">
                  <c:v>NOPM</c:v>
                </c:pt>
                <c:pt idx="151">
                  <c:v>CC</c:v>
                </c:pt>
                <c:pt idx="152">
                  <c:v>CC</c:v>
                </c:pt>
                <c:pt idx="153">
                  <c:v>CC</c:v>
                </c:pt>
                <c:pt idx="154">
                  <c:v>CC</c:v>
                </c:pt>
                <c:pt idx="155">
                  <c:v>CC</c:v>
                </c:pt>
                <c:pt idx="156">
                  <c:v>CC</c:v>
                </c:pt>
                <c:pt idx="157">
                  <c:v>CC</c:v>
                </c:pt>
                <c:pt idx="158">
                  <c:v>CC</c:v>
                </c:pt>
                <c:pt idx="159">
                  <c:v>CC</c:v>
                </c:pt>
                <c:pt idx="160">
                  <c:v>CC</c:v>
                </c:pt>
                <c:pt idx="161">
                  <c:v>CC</c:v>
                </c:pt>
                <c:pt idx="162">
                  <c:v>CC</c:v>
                </c:pt>
                <c:pt idx="163">
                  <c:v>CC</c:v>
                </c:pt>
                <c:pt idx="164">
                  <c:v>CC</c:v>
                </c:pt>
                <c:pt idx="165">
                  <c:v>CC</c:v>
                </c:pt>
                <c:pt idx="166">
                  <c:v>CC</c:v>
                </c:pt>
                <c:pt idx="167">
                  <c:v>CC</c:v>
                </c:pt>
                <c:pt idx="168">
                  <c:v>CC</c:v>
                </c:pt>
                <c:pt idx="169">
                  <c:v>CC</c:v>
                </c:pt>
                <c:pt idx="170">
                  <c:v>CC</c:v>
                </c:pt>
                <c:pt idx="171">
                  <c:v>CC</c:v>
                </c:pt>
                <c:pt idx="172">
                  <c:v>CC</c:v>
                </c:pt>
                <c:pt idx="173">
                  <c:v>CC</c:v>
                </c:pt>
                <c:pt idx="174">
                  <c:v>CC</c:v>
                </c:pt>
                <c:pt idx="175">
                  <c:v>CC</c:v>
                </c:pt>
                <c:pt idx="176">
                  <c:v>LOC</c:v>
                </c:pt>
                <c:pt idx="177">
                  <c:v>NOPM</c:v>
                </c:pt>
                <c:pt idx="178">
                  <c:v>NOPM</c:v>
                </c:pt>
                <c:pt idx="179">
                  <c:v>NOPM</c:v>
                </c:pt>
                <c:pt idx="180">
                  <c:v>NOPM</c:v>
                </c:pt>
                <c:pt idx="181">
                  <c:v>CC</c:v>
                </c:pt>
                <c:pt idx="182">
                  <c:v>CC</c:v>
                </c:pt>
                <c:pt idx="183">
                  <c:v>CC</c:v>
                </c:pt>
                <c:pt idx="184">
                  <c:v>CC</c:v>
                </c:pt>
              </c:strCache>
            </c:strRef>
          </c:cat>
          <c:val>
            <c:numRef>
              <c:f>Method!$I$2:$I$187</c:f>
              <c:numCache>
                <c:formatCode>General</c:formatCode>
                <c:ptCount val="185"/>
                <c:pt idx="0">
                  <c:v>132</c:v>
                </c:pt>
                <c:pt idx="1">
                  <c:v>122</c:v>
                </c:pt>
                <c:pt idx="2">
                  <c:v>71</c:v>
                </c:pt>
                <c:pt idx="3">
                  <c:v>70</c:v>
                </c:pt>
                <c:pt idx="4">
                  <c:v>52</c:v>
                </c:pt>
                <c:pt idx="5">
                  <c:v>50</c:v>
                </c:pt>
                <c:pt idx="6">
                  <c:v>46</c:v>
                </c:pt>
                <c:pt idx="7">
                  <c:v>44</c:v>
                </c:pt>
                <c:pt idx="8">
                  <c:v>43</c:v>
                </c:pt>
                <c:pt idx="9">
                  <c:v>43</c:v>
                </c:pt>
                <c:pt idx="10">
                  <c:v>42</c:v>
                </c:pt>
                <c:pt idx="11">
                  <c:v>38</c:v>
                </c:pt>
                <c:pt idx="12">
                  <c:v>38</c:v>
                </c:pt>
                <c:pt idx="13">
                  <c:v>36</c:v>
                </c:pt>
                <c:pt idx="14">
                  <c:v>34</c:v>
                </c:pt>
                <c:pt idx="15">
                  <c:v>33</c:v>
                </c:pt>
                <c:pt idx="16">
                  <c:v>31</c:v>
                </c:pt>
                <c:pt idx="17">
                  <c:v>30</c:v>
                </c:pt>
                <c:pt idx="18">
                  <c:v>30</c:v>
                </c:pt>
                <c:pt idx="19">
                  <c:v>29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25</c:v>
                </c:pt>
                <c:pt idx="28">
                  <c:v>23</c:v>
                </c:pt>
                <c:pt idx="29">
                  <c:v>23</c:v>
                </c:pt>
                <c:pt idx="30">
                  <c:v>22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17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5-124B-AA50-12ED2FAB4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2351"/>
        <c:axId val="57266632"/>
      </c:areaChart>
      <c:catAx>
        <c:axId val="5392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57266632"/>
        <c:crosses val="autoZero"/>
        <c:auto val="1"/>
        <c:lblAlgn val="ctr"/>
        <c:lblOffset val="100"/>
        <c:noMultiLvlLbl val="0"/>
      </c:catAx>
      <c:valAx>
        <c:axId val="57266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539223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Métricas Normalizadas (20 métricas) - Ordenado Decrescente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'Todas Métricas Norm'!$C$194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104B66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Norm'!$C$195:$C$380</c:f>
              <c:numCache>
                <c:formatCode>0.0000</c:formatCode>
                <c:ptCount val="186"/>
                <c:pt idx="0">
                  <c:v>1</c:v>
                </c:pt>
                <c:pt idx="1">
                  <c:v>0.76315789473684215</c:v>
                </c:pt>
                <c:pt idx="2">
                  <c:v>0</c:v>
                </c:pt>
                <c:pt idx="3">
                  <c:v>0.23684210526315788</c:v>
                </c:pt>
                <c:pt idx="4">
                  <c:v>0.47368421052631576</c:v>
                </c:pt>
                <c:pt idx="5">
                  <c:v>0.26315789473684209</c:v>
                </c:pt>
                <c:pt idx="6">
                  <c:v>0.26315789473684209</c:v>
                </c:pt>
                <c:pt idx="7">
                  <c:v>0.26315789473684209</c:v>
                </c:pt>
                <c:pt idx="8">
                  <c:v>0.31578947368421051</c:v>
                </c:pt>
                <c:pt idx="9">
                  <c:v>0.31578947368421051</c:v>
                </c:pt>
                <c:pt idx="10">
                  <c:v>5.2631578947368418E-2</c:v>
                </c:pt>
                <c:pt idx="11">
                  <c:v>5.2631578947368418E-2</c:v>
                </c:pt>
                <c:pt idx="12">
                  <c:v>0.15789473684210525</c:v>
                </c:pt>
                <c:pt idx="13">
                  <c:v>0.13157894736842105</c:v>
                </c:pt>
                <c:pt idx="14">
                  <c:v>0.10526315789473684</c:v>
                </c:pt>
                <c:pt idx="15">
                  <c:v>0.23684210526315788</c:v>
                </c:pt>
                <c:pt idx="16">
                  <c:v>0.23684210526315788</c:v>
                </c:pt>
                <c:pt idx="17">
                  <c:v>0.23684210526315788</c:v>
                </c:pt>
                <c:pt idx="18">
                  <c:v>2.6315789473684209E-2</c:v>
                </c:pt>
                <c:pt idx="19">
                  <c:v>0.13157894736842105</c:v>
                </c:pt>
                <c:pt idx="20">
                  <c:v>7.8947368421052627E-2</c:v>
                </c:pt>
                <c:pt idx="21">
                  <c:v>7.8947368421052627E-2</c:v>
                </c:pt>
                <c:pt idx="22">
                  <c:v>7.8947368421052627E-2</c:v>
                </c:pt>
                <c:pt idx="23">
                  <c:v>0.13157894736842105</c:v>
                </c:pt>
                <c:pt idx="24">
                  <c:v>0.15789473684210525</c:v>
                </c:pt>
                <c:pt idx="25">
                  <c:v>7.8947368421052627E-2</c:v>
                </c:pt>
                <c:pt idx="26">
                  <c:v>7.8947368421052627E-2</c:v>
                </c:pt>
                <c:pt idx="27">
                  <c:v>7.8947368421052627E-2</c:v>
                </c:pt>
                <c:pt idx="28">
                  <c:v>7.8947368421052627E-2</c:v>
                </c:pt>
                <c:pt idx="29">
                  <c:v>7.8947368421052627E-2</c:v>
                </c:pt>
                <c:pt idx="30">
                  <c:v>7.8947368421052627E-2</c:v>
                </c:pt>
                <c:pt idx="31">
                  <c:v>2.6315789473684209E-2</c:v>
                </c:pt>
                <c:pt idx="32">
                  <c:v>7.8947368421052627E-2</c:v>
                </c:pt>
                <c:pt idx="33">
                  <c:v>2.6315789473684209E-2</c:v>
                </c:pt>
                <c:pt idx="34">
                  <c:v>7.8947368421052627E-2</c:v>
                </c:pt>
                <c:pt idx="35">
                  <c:v>7.8947368421052627E-2</c:v>
                </c:pt>
                <c:pt idx="36">
                  <c:v>5.2631578947368418E-2</c:v>
                </c:pt>
                <c:pt idx="37">
                  <c:v>7.8947368421052627E-2</c:v>
                </c:pt>
                <c:pt idx="38">
                  <c:v>7.8947368421052627E-2</c:v>
                </c:pt>
                <c:pt idx="39">
                  <c:v>7.8947368421052627E-2</c:v>
                </c:pt>
                <c:pt idx="40">
                  <c:v>0.18421052631578946</c:v>
                </c:pt>
                <c:pt idx="41">
                  <c:v>0.10526315789473684</c:v>
                </c:pt>
                <c:pt idx="42">
                  <c:v>0.21052631578947367</c:v>
                </c:pt>
                <c:pt idx="43">
                  <c:v>5.2631578947368418E-2</c:v>
                </c:pt>
                <c:pt idx="44">
                  <c:v>2.6315789473684209E-2</c:v>
                </c:pt>
                <c:pt idx="45">
                  <c:v>7.8947368421052627E-2</c:v>
                </c:pt>
                <c:pt idx="46">
                  <c:v>7.8947368421052627E-2</c:v>
                </c:pt>
                <c:pt idx="47">
                  <c:v>2.6315789473684209E-2</c:v>
                </c:pt>
                <c:pt idx="48">
                  <c:v>0.10526315789473684</c:v>
                </c:pt>
                <c:pt idx="49">
                  <c:v>7.8947368421052627E-2</c:v>
                </c:pt>
                <c:pt idx="50">
                  <c:v>7.8947368421052627E-2</c:v>
                </c:pt>
                <c:pt idx="51">
                  <c:v>7.8947368421052627E-2</c:v>
                </c:pt>
                <c:pt idx="52">
                  <c:v>7.8947368421052627E-2</c:v>
                </c:pt>
                <c:pt idx="53">
                  <c:v>5.2631578947368418E-2</c:v>
                </c:pt>
                <c:pt idx="54">
                  <c:v>5.2631578947368418E-2</c:v>
                </c:pt>
                <c:pt idx="55">
                  <c:v>7.8947368421052627E-2</c:v>
                </c:pt>
                <c:pt idx="56">
                  <c:v>7.8947368421052627E-2</c:v>
                </c:pt>
                <c:pt idx="57">
                  <c:v>5.2631578947368418E-2</c:v>
                </c:pt>
                <c:pt idx="58">
                  <c:v>5.2631578947368418E-2</c:v>
                </c:pt>
                <c:pt idx="59">
                  <c:v>5.2631578947368418E-2</c:v>
                </c:pt>
                <c:pt idx="60">
                  <c:v>5.2631578947368418E-2</c:v>
                </c:pt>
                <c:pt idx="61">
                  <c:v>7.8947368421052627E-2</c:v>
                </c:pt>
                <c:pt idx="62">
                  <c:v>2.6315789473684209E-2</c:v>
                </c:pt>
                <c:pt idx="63">
                  <c:v>2.6315789473684209E-2</c:v>
                </c:pt>
                <c:pt idx="64">
                  <c:v>2.6315789473684209E-2</c:v>
                </c:pt>
                <c:pt idx="65">
                  <c:v>5.2631578947368418E-2</c:v>
                </c:pt>
                <c:pt idx="66">
                  <c:v>7.8947368421052627E-2</c:v>
                </c:pt>
                <c:pt idx="67">
                  <c:v>0.10526315789473684</c:v>
                </c:pt>
                <c:pt idx="68">
                  <c:v>2.6315789473684209E-2</c:v>
                </c:pt>
                <c:pt idx="69">
                  <c:v>2.6315789473684209E-2</c:v>
                </c:pt>
                <c:pt idx="70">
                  <c:v>5.2631578947368418E-2</c:v>
                </c:pt>
                <c:pt idx="71">
                  <c:v>0.15789473684210525</c:v>
                </c:pt>
                <c:pt idx="72">
                  <c:v>2.6315789473684209E-2</c:v>
                </c:pt>
                <c:pt idx="73">
                  <c:v>2.6315789473684209E-2</c:v>
                </c:pt>
                <c:pt idx="74">
                  <c:v>0.13157894736842105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2.6315789473684209E-2</c:v>
                </c:pt>
                <c:pt idx="79">
                  <c:v>2.6315789473684209E-2</c:v>
                </c:pt>
                <c:pt idx="80">
                  <c:v>2.6315789473684209E-2</c:v>
                </c:pt>
                <c:pt idx="81">
                  <c:v>2.6315789473684209E-2</c:v>
                </c:pt>
                <c:pt idx="82">
                  <c:v>2.6315789473684209E-2</c:v>
                </c:pt>
                <c:pt idx="83">
                  <c:v>2.6315789473684209E-2</c:v>
                </c:pt>
                <c:pt idx="84">
                  <c:v>0.10526315789473684</c:v>
                </c:pt>
                <c:pt idx="85">
                  <c:v>2.6315789473684209E-2</c:v>
                </c:pt>
                <c:pt idx="86">
                  <c:v>2.6315789473684209E-2</c:v>
                </c:pt>
                <c:pt idx="87">
                  <c:v>2.6315789473684209E-2</c:v>
                </c:pt>
                <c:pt idx="88">
                  <c:v>2.6315789473684209E-2</c:v>
                </c:pt>
                <c:pt idx="89">
                  <c:v>2.6315789473684209E-2</c:v>
                </c:pt>
                <c:pt idx="90">
                  <c:v>0.10526315789473684</c:v>
                </c:pt>
                <c:pt idx="91">
                  <c:v>2.6315789473684209E-2</c:v>
                </c:pt>
                <c:pt idx="92">
                  <c:v>2.6315789473684209E-2</c:v>
                </c:pt>
                <c:pt idx="93">
                  <c:v>2.6315789473684209E-2</c:v>
                </c:pt>
                <c:pt idx="94">
                  <c:v>2.6315789473684209E-2</c:v>
                </c:pt>
                <c:pt idx="95">
                  <c:v>2.6315789473684209E-2</c:v>
                </c:pt>
                <c:pt idx="96">
                  <c:v>2.6315789473684209E-2</c:v>
                </c:pt>
                <c:pt idx="97">
                  <c:v>2.6315789473684209E-2</c:v>
                </c:pt>
                <c:pt idx="98">
                  <c:v>2.6315789473684209E-2</c:v>
                </c:pt>
                <c:pt idx="99">
                  <c:v>2.6315789473684209E-2</c:v>
                </c:pt>
                <c:pt idx="100">
                  <c:v>2.6315789473684209E-2</c:v>
                </c:pt>
                <c:pt idx="101">
                  <c:v>2.6315789473684209E-2</c:v>
                </c:pt>
                <c:pt idx="102">
                  <c:v>2.6315789473684209E-2</c:v>
                </c:pt>
                <c:pt idx="103">
                  <c:v>2.6315789473684209E-2</c:v>
                </c:pt>
                <c:pt idx="104">
                  <c:v>2.6315789473684209E-2</c:v>
                </c:pt>
                <c:pt idx="105">
                  <c:v>2.6315789473684209E-2</c:v>
                </c:pt>
                <c:pt idx="106">
                  <c:v>2.6315789473684209E-2</c:v>
                </c:pt>
                <c:pt idx="107">
                  <c:v>2.6315789473684209E-2</c:v>
                </c:pt>
                <c:pt idx="108">
                  <c:v>2.6315789473684209E-2</c:v>
                </c:pt>
                <c:pt idx="109">
                  <c:v>2.6315789473684209E-2</c:v>
                </c:pt>
                <c:pt idx="110">
                  <c:v>2.6315789473684209E-2</c:v>
                </c:pt>
                <c:pt idx="111">
                  <c:v>2.6315789473684209E-2</c:v>
                </c:pt>
                <c:pt idx="112">
                  <c:v>2.6315789473684209E-2</c:v>
                </c:pt>
                <c:pt idx="113">
                  <c:v>2.6315789473684209E-2</c:v>
                </c:pt>
                <c:pt idx="114">
                  <c:v>2.6315789473684209E-2</c:v>
                </c:pt>
                <c:pt idx="115">
                  <c:v>2.6315789473684209E-2</c:v>
                </c:pt>
                <c:pt idx="116">
                  <c:v>2.6315789473684209E-2</c:v>
                </c:pt>
                <c:pt idx="117">
                  <c:v>2.6315789473684209E-2</c:v>
                </c:pt>
                <c:pt idx="118">
                  <c:v>2.6315789473684209E-2</c:v>
                </c:pt>
                <c:pt idx="119">
                  <c:v>2.6315789473684209E-2</c:v>
                </c:pt>
                <c:pt idx="120">
                  <c:v>2.6315789473684209E-2</c:v>
                </c:pt>
                <c:pt idx="121">
                  <c:v>2.6315789473684209E-2</c:v>
                </c:pt>
                <c:pt idx="122">
                  <c:v>2.6315789473684209E-2</c:v>
                </c:pt>
                <c:pt idx="123">
                  <c:v>2.6315789473684209E-2</c:v>
                </c:pt>
                <c:pt idx="124">
                  <c:v>2.6315789473684209E-2</c:v>
                </c:pt>
                <c:pt idx="125">
                  <c:v>2.6315789473684209E-2</c:v>
                </c:pt>
                <c:pt idx="126">
                  <c:v>2.6315789473684209E-2</c:v>
                </c:pt>
                <c:pt idx="127">
                  <c:v>2.6315789473684209E-2</c:v>
                </c:pt>
                <c:pt idx="128">
                  <c:v>2.6315789473684209E-2</c:v>
                </c:pt>
                <c:pt idx="129">
                  <c:v>2.6315789473684209E-2</c:v>
                </c:pt>
                <c:pt idx="130">
                  <c:v>2.6315789473684209E-2</c:v>
                </c:pt>
                <c:pt idx="131">
                  <c:v>2.6315789473684209E-2</c:v>
                </c:pt>
                <c:pt idx="132">
                  <c:v>2.6315789473684209E-2</c:v>
                </c:pt>
                <c:pt idx="133">
                  <c:v>2.6315789473684209E-2</c:v>
                </c:pt>
                <c:pt idx="134">
                  <c:v>2.6315789473684209E-2</c:v>
                </c:pt>
                <c:pt idx="135">
                  <c:v>2.6315789473684209E-2</c:v>
                </c:pt>
                <c:pt idx="136">
                  <c:v>2.6315789473684209E-2</c:v>
                </c:pt>
                <c:pt idx="137">
                  <c:v>2.6315789473684209E-2</c:v>
                </c:pt>
                <c:pt idx="138">
                  <c:v>2.6315789473684209E-2</c:v>
                </c:pt>
                <c:pt idx="139">
                  <c:v>2.6315789473684209E-2</c:v>
                </c:pt>
                <c:pt idx="140">
                  <c:v>2.6315789473684209E-2</c:v>
                </c:pt>
                <c:pt idx="141">
                  <c:v>2.6315789473684209E-2</c:v>
                </c:pt>
                <c:pt idx="142">
                  <c:v>2.6315789473684209E-2</c:v>
                </c:pt>
                <c:pt idx="143">
                  <c:v>2.6315789473684209E-2</c:v>
                </c:pt>
                <c:pt idx="144">
                  <c:v>2.6315789473684209E-2</c:v>
                </c:pt>
                <c:pt idx="145">
                  <c:v>2.6315789473684209E-2</c:v>
                </c:pt>
                <c:pt idx="146">
                  <c:v>2.6315789473684209E-2</c:v>
                </c:pt>
                <c:pt idx="147">
                  <c:v>2.6315789473684209E-2</c:v>
                </c:pt>
                <c:pt idx="148">
                  <c:v>2.6315789473684209E-2</c:v>
                </c:pt>
                <c:pt idx="149">
                  <c:v>2.6315789473684209E-2</c:v>
                </c:pt>
                <c:pt idx="150">
                  <c:v>2.6315789473684209E-2</c:v>
                </c:pt>
                <c:pt idx="151">
                  <c:v>2.6315789473684209E-2</c:v>
                </c:pt>
                <c:pt idx="152">
                  <c:v>2.6315789473684209E-2</c:v>
                </c:pt>
                <c:pt idx="153">
                  <c:v>2.6315789473684209E-2</c:v>
                </c:pt>
                <c:pt idx="154">
                  <c:v>2.6315789473684209E-2</c:v>
                </c:pt>
                <c:pt idx="155">
                  <c:v>2.6315789473684209E-2</c:v>
                </c:pt>
                <c:pt idx="156">
                  <c:v>2.6315789473684209E-2</c:v>
                </c:pt>
                <c:pt idx="157">
                  <c:v>2.6315789473684209E-2</c:v>
                </c:pt>
                <c:pt idx="158">
                  <c:v>2.6315789473684209E-2</c:v>
                </c:pt>
                <c:pt idx="159">
                  <c:v>2.6315789473684209E-2</c:v>
                </c:pt>
                <c:pt idx="160">
                  <c:v>2.6315789473684209E-2</c:v>
                </c:pt>
                <c:pt idx="161">
                  <c:v>2.6315789473684209E-2</c:v>
                </c:pt>
                <c:pt idx="162">
                  <c:v>2.6315789473684209E-2</c:v>
                </c:pt>
                <c:pt idx="163">
                  <c:v>2.6315789473684209E-2</c:v>
                </c:pt>
                <c:pt idx="164">
                  <c:v>2.6315789473684209E-2</c:v>
                </c:pt>
                <c:pt idx="165">
                  <c:v>2.6315789473684209E-2</c:v>
                </c:pt>
                <c:pt idx="166">
                  <c:v>2.6315789473684209E-2</c:v>
                </c:pt>
                <c:pt idx="167">
                  <c:v>2.6315789473684209E-2</c:v>
                </c:pt>
                <c:pt idx="168">
                  <c:v>2.6315789473684209E-2</c:v>
                </c:pt>
                <c:pt idx="169">
                  <c:v>2.6315789473684209E-2</c:v>
                </c:pt>
                <c:pt idx="170">
                  <c:v>2.6315789473684209E-2</c:v>
                </c:pt>
                <c:pt idx="171">
                  <c:v>2.6315789473684209E-2</c:v>
                </c:pt>
                <c:pt idx="172">
                  <c:v>2.6315789473684209E-2</c:v>
                </c:pt>
                <c:pt idx="173">
                  <c:v>2.6315789473684209E-2</c:v>
                </c:pt>
                <c:pt idx="174">
                  <c:v>2.6315789473684209E-2</c:v>
                </c:pt>
                <c:pt idx="175">
                  <c:v>2.6315789473684209E-2</c:v>
                </c:pt>
                <c:pt idx="176">
                  <c:v>2.6315789473684209E-2</c:v>
                </c:pt>
                <c:pt idx="177">
                  <c:v>2.6315789473684209E-2</c:v>
                </c:pt>
                <c:pt idx="178">
                  <c:v>2.6315789473684209E-2</c:v>
                </c:pt>
                <c:pt idx="179">
                  <c:v>2.6315789473684209E-2</c:v>
                </c:pt>
                <c:pt idx="180">
                  <c:v>2.6315789473684209E-2</c:v>
                </c:pt>
                <c:pt idx="181">
                  <c:v>2.6315789473684209E-2</c:v>
                </c:pt>
                <c:pt idx="182">
                  <c:v>2.6315789473684209E-2</c:v>
                </c:pt>
                <c:pt idx="183">
                  <c:v>2.6315789473684209E-2</c:v>
                </c:pt>
                <c:pt idx="184">
                  <c:v>2.6315789473684209E-2</c:v>
                </c:pt>
                <c:pt idx="18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0-9B49-8421-83CBB7EC7D84}"/>
            </c:ext>
          </c:extLst>
        </c:ser>
        <c:ser>
          <c:idx val="1"/>
          <c:order val="1"/>
          <c:tx>
            <c:strRef>
              <c:f>'Todas Métricas Norm'!$D$194</c:f>
              <c:strCache>
                <c:ptCount val="1"/>
                <c:pt idx="0">
                  <c:v>CCM norm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Norm'!$D$195:$D$380</c:f>
              <c:numCache>
                <c:formatCode>0.0000</c:formatCode>
                <c:ptCount val="186"/>
                <c:pt idx="0">
                  <c:v>1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0.22500000000000001</c:v>
                </c:pt>
                <c:pt idx="4">
                  <c:v>0.42499999999999999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0.32500000000000001</c:v>
                </c:pt>
                <c:pt idx="9">
                  <c:v>0.32500000000000001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0.15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0.1</c:v>
                </c:pt>
                <c:pt idx="24">
                  <c:v>0.125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</c:v>
                </c:pt>
                <c:pt idx="32">
                  <c:v>0.05</c:v>
                </c:pt>
                <c:pt idx="33">
                  <c:v>0</c:v>
                </c:pt>
                <c:pt idx="34">
                  <c:v>0.05</c:v>
                </c:pt>
                <c:pt idx="35">
                  <c:v>0.05</c:v>
                </c:pt>
                <c:pt idx="36">
                  <c:v>2.5000000000000001E-2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2.5000000000000001E-2</c:v>
                </c:pt>
                <c:pt idx="41">
                  <c:v>7.4999999999999997E-2</c:v>
                </c:pt>
                <c:pt idx="42">
                  <c:v>0.17499999999999999</c:v>
                </c:pt>
                <c:pt idx="43">
                  <c:v>2.5000000000000001E-2</c:v>
                </c:pt>
                <c:pt idx="44">
                  <c:v>0</c:v>
                </c:pt>
                <c:pt idx="45">
                  <c:v>0.05</c:v>
                </c:pt>
                <c:pt idx="46">
                  <c:v>0.05</c:v>
                </c:pt>
                <c:pt idx="47">
                  <c:v>0</c:v>
                </c:pt>
                <c:pt idx="48">
                  <c:v>7.4999999999999997E-2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2.5000000000000001E-2</c:v>
                </c:pt>
                <c:pt idx="54">
                  <c:v>2.5000000000000001E-2</c:v>
                </c:pt>
                <c:pt idx="55">
                  <c:v>0.05</c:v>
                </c:pt>
                <c:pt idx="56">
                  <c:v>0.05</c:v>
                </c:pt>
                <c:pt idx="57">
                  <c:v>2.5000000000000001E-2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2.5000000000000001E-2</c:v>
                </c:pt>
                <c:pt idx="61">
                  <c:v>0.05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2.5000000000000001E-2</c:v>
                </c:pt>
                <c:pt idx="66">
                  <c:v>7.4999999999999997E-2</c:v>
                </c:pt>
                <c:pt idx="67">
                  <c:v>7.4999999999999997E-2</c:v>
                </c:pt>
                <c:pt idx="68">
                  <c:v>0</c:v>
                </c:pt>
                <c:pt idx="69">
                  <c:v>0</c:v>
                </c:pt>
                <c:pt idx="70">
                  <c:v>2.5000000000000001E-2</c:v>
                </c:pt>
                <c:pt idx="71">
                  <c:v>2.5000000000000001E-2</c:v>
                </c:pt>
                <c:pt idx="72">
                  <c:v>0</c:v>
                </c:pt>
                <c:pt idx="73">
                  <c:v>0</c:v>
                </c:pt>
                <c:pt idx="74">
                  <c:v>2.5000000000000001E-2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2.5000000000000001E-2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0-9B49-8421-83CBB7EC7D84}"/>
            </c:ext>
          </c:extLst>
        </c:ser>
        <c:ser>
          <c:idx val="2"/>
          <c:order val="2"/>
          <c:tx>
            <c:strRef>
              <c:f>'Todas Métricas Norm'!$E$194</c:f>
              <c:strCache>
                <c:ptCount val="1"/>
                <c:pt idx="0">
                  <c:v>CDISP norm</c:v>
                </c:pt>
              </c:strCache>
            </c:strRef>
          </c:tx>
          <c:spPr>
            <a:solidFill>
              <a:srgbClr val="13541C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Norm'!$E$195:$E$380</c:f>
              <c:numCache>
                <c:formatCode>0.0000</c:formatCode>
                <c:ptCount val="186"/>
                <c:pt idx="0">
                  <c:v>0.45450000000000002</c:v>
                </c:pt>
                <c:pt idx="1">
                  <c:v>0.3125</c:v>
                </c:pt>
                <c:pt idx="2">
                  <c:v>0.5</c:v>
                </c:pt>
                <c:pt idx="3">
                  <c:v>0.35</c:v>
                </c:pt>
                <c:pt idx="4">
                  <c:v>0.5</c:v>
                </c:pt>
                <c:pt idx="5">
                  <c:v>0.5</c:v>
                </c:pt>
                <c:pt idx="6">
                  <c:v>0.5625</c:v>
                </c:pt>
                <c:pt idx="7">
                  <c:v>0.5625</c:v>
                </c:pt>
                <c:pt idx="8">
                  <c:v>0.1905</c:v>
                </c:pt>
                <c:pt idx="9">
                  <c:v>0.1905</c:v>
                </c:pt>
                <c:pt idx="10">
                  <c:v>0.45450000000000002</c:v>
                </c:pt>
                <c:pt idx="11">
                  <c:v>0.26319999999999999</c:v>
                </c:pt>
                <c:pt idx="12">
                  <c:v>0.6</c:v>
                </c:pt>
                <c:pt idx="13">
                  <c:v>0.57140000000000002</c:v>
                </c:pt>
                <c:pt idx="14">
                  <c:v>0.375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1</c:v>
                </c:pt>
                <c:pt idx="23">
                  <c:v>0.5</c:v>
                </c:pt>
                <c:pt idx="24">
                  <c:v>0.44440000000000002</c:v>
                </c:pt>
                <c:pt idx="25">
                  <c:v>0.66669999999999996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0.5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0.5</c:v>
                </c:pt>
                <c:pt idx="38">
                  <c:v>0.5</c:v>
                </c:pt>
                <c:pt idx="39">
                  <c:v>0.71430000000000005</c:v>
                </c:pt>
                <c:pt idx="40">
                  <c:v>0</c:v>
                </c:pt>
                <c:pt idx="41">
                  <c:v>0.75</c:v>
                </c:pt>
                <c:pt idx="42">
                  <c:v>0.375</c:v>
                </c:pt>
                <c:pt idx="43">
                  <c:v>0.75</c:v>
                </c:pt>
                <c:pt idx="44">
                  <c:v>1</c:v>
                </c:pt>
                <c:pt idx="45">
                  <c:v>0.25</c:v>
                </c:pt>
                <c:pt idx="46">
                  <c:v>0.5</c:v>
                </c:pt>
                <c:pt idx="47">
                  <c:v>1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1</c:v>
                </c:pt>
                <c:pt idx="54">
                  <c:v>1</c:v>
                </c:pt>
                <c:pt idx="55">
                  <c:v>0.5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0.4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0.6</c:v>
                </c:pt>
                <c:pt idx="67">
                  <c:v>0.25</c:v>
                </c:pt>
                <c:pt idx="68">
                  <c:v>0.33329999999999999</c:v>
                </c:pt>
                <c:pt idx="69">
                  <c:v>0.33329999999999999</c:v>
                </c:pt>
                <c:pt idx="70">
                  <c:v>0.5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</c:v>
                </c:pt>
                <c:pt idx="75">
                  <c:v>0.8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0.6</c:v>
                </c:pt>
                <c:pt idx="82">
                  <c:v>1</c:v>
                </c:pt>
                <c:pt idx="83">
                  <c:v>0</c:v>
                </c:pt>
                <c:pt idx="84">
                  <c:v>0.25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0.66669999999999996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0.5</c:v>
                </c:pt>
                <c:pt idx="124">
                  <c:v>0.5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0-9B49-8421-83CBB7EC7D84}"/>
            </c:ext>
          </c:extLst>
        </c:ser>
        <c:ser>
          <c:idx val="3"/>
          <c:order val="3"/>
          <c:tx>
            <c:strRef>
              <c:f>'Todas Métricas Norm'!$F$194</c:f>
              <c:strCache>
                <c:ptCount val="1"/>
                <c:pt idx="0">
                  <c:v>CINT norm</c:v>
                </c:pt>
              </c:strCache>
            </c:strRef>
          </c:tx>
          <c:spPr>
            <a:solidFill>
              <a:srgbClr val="0B7CA8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Norm'!$F$195:$F$380</c:f>
              <c:numCache>
                <c:formatCode>0.0000</c:formatCode>
                <c:ptCount val="186"/>
                <c:pt idx="0">
                  <c:v>0.75862068965517238</c:v>
                </c:pt>
                <c:pt idx="1">
                  <c:v>1</c:v>
                </c:pt>
                <c:pt idx="2">
                  <c:v>0.41379310344827586</c:v>
                </c:pt>
                <c:pt idx="3">
                  <c:v>0.65517241379310343</c:v>
                </c:pt>
                <c:pt idx="4">
                  <c:v>0.27586206896551724</c:v>
                </c:pt>
                <c:pt idx="5">
                  <c:v>0.34482758620689657</c:v>
                </c:pt>
                <c:pt idx="6">
                  <c:v>0.48275862068965519</c:v>
                </c:pt>
                <c:pt idx="7">
                  <c:v>0.48275862068965519</c:v>
                </c:pt>
                <c:pt idx="8">
                  <c:v>0.62068965517241381</c:v>
                </c:pt>
                <c:pt idx="9">
                  <c:v>0.62068965517241381</c:v>
                </c:pt>
                <c:pt idx="10">
                  <c:v>0.34482758620689657</c:v>
                </c:pt>
                <c:pt idx="11">
                  <c:v>0.62068965517241381</c:v>
                </c:pt>
                <c:pt idx="12">
                  <c:v>0.13793103448275862</c:v>
                </c:pt>
                <c:pt idx="13">
                  <c:v>0.44827586206896552</c:v>
                </c:pt>
                <c:pt idx="14">
                  <c:v>0.2413793103448276</c:v>
                </c:pt>
                <c:pt idx="15">
                  <c:v>0.20689655172413793</c:v>
                </c:pt>
                <c:pt idx="16">
                  <c:v>0.20689655172413793</c:v>
                </c:pt>
                <c:pt idx="17">
                  <c:v>0.20689655172413793</c:v>
                </c:pt>
                <c:pt idx="18">
                  <c:v>3.4482758620689655E-2</c:v>
                </c:pt>
                <c:pt idx="19">
                  <c:v>0.13793103448275862</c:v>
                </c:pt>
                <c:pt idx="20">
                  <c:v>0.13793103448275862</c:v>
                </c:pt>
                <c:pt idx="21">
                  <c:v>0.13793103448275862</c:v>
                </c:pt>
                <c:pt idx="22">
                  <c:v>0.10344827586206896</c:v>
                </c:pt>
                <c:pt idx="23">
                  <c:v>0.10344827586206896</c:v>
                </c:pt>
                <c:pt idx="24">
                  <c:v>0.31034482758620691</c:v>
                </c:pt>
                <c:pt idx="25">
                  <c:v>0.10344827586206896</c:v>
                </c:pt>
                <c:pt idx="26">
                  <c:v>6.8965517241379309E-2</c:v>
                </c:pt>
                <c:pt idx="27">
                  <c:v>6.8965517241379309E-2</c:v>
                </c:pt>
                <c:pt idx="28">
                  <c:v>3.4482758620689655E-2</c:v>
                </c:pt>
                <c:pt idx="29">
                  <c:v>3.4482758620689655E-2</c:v>
                </c:pt>
                <c:pt idx="30">
                  <c:v>0.13793103448275862</c:v>
                </c:pt>
                <c:pt idx="31">
                  <c:v>3.4482758620689655E-2</c:v>
                </c:pt>
                <c:pt idx="32">
                  <c:v>0.20689655172413793</c:v>
                </c:pt>
                <c:pt idx="33">
                  <c:v>3.4482758620689655E-2</c:v>
                </c:pt>
                <c:pt idx="34">
                  <c:v>6.8965517241379309E-2</c:v>
                </c:pt>
                <c:pt idx="35">
                  <c:v>6.8965517241379309E-2</c:v>
                </c:pt>
                <c:pt idx="36">
                  <c:v>6.8965517241379309E-2</c:v>
                </c:pt>
                <c:pt idx="37">
                  <c:v>6.8965517241379309E-2</c:v>
                </c:pt>
                <c:pt idx="38">
                  <c:v>6.8965517241379309E-2</c:v>
                </c:pt>
                <c:pt idx="39">
                  <c:v>0.2413793103448276</c:v>
                </c:pt>
                <c:pt idx="40">
                  <c:v>0</c:v>
                </c:pt>
                <c:pt idx="41">
                  <c:v>0.10344827586206896</c:v>
                </c:pt>
                <c:pt idx="42">
                  <c:v>0.27586206896551724</c:v>
                </c:pt>
                <c:pt idx="43">
                  <c:v>0.2413793103448276</c:v>
                </c:pt>
                <c:pt idx="44">
                  <c:v>3.4482758620689655E-2</c:v>
                </c:pt>
                <c:pt idx="45">
                  <c:v>0.10344827586206896</c:v>
                </c:pt>
                <c:pt idx="46">
                  <c:v>0.17241379310344829</c:v>
                </c:pt>
                <c:pt idx="47">
                  <c:v>3.4482758620689655E-2</c:v>
                </c:pt>
                <c:pt idx="48">
                  <c:v>6.8965517241379309E-2</c:v>
                </c:pt>
                <c:pt idx="49">
                  <c:v>6.8965517241379309E-2</c:v>
                </c:pt>
                <c:pt idx="50">
                  <c:v>6.8965517241379309E-2</c:v>
                </c:pt>
                <c:pt idx="51">
                  <c:v>6.8965517241379309E-2</c:v>
                </c:pt>
                <c:pt idx="52">
                  <c:v>6.8965517241379309E-2</c:v>
                </c:pt>
                <c:pt idx="53">
                  <c:v>6.8965517241379309E-2</c:v>
                </c:pt>
                <c:pt idx="54">
                  <c:v>3.4482758620689655E-2</c:v>
                </c:pt>
                <c:pt idx="55">
                  <c:v>6.8965517241379309E-2</c:v>
                </c:pt>
                <c:pt idx="56">
                  <c:v>0.13793103448275862</c:v>
                </c:pt>
                <c:pt idx="57">
                  <c:v>0.10344827586206896</c:v>
                </c:pt>
                <c:pt idx="58">
                  <c:v>0.13793103448275862</c:v>
                </c:pt>
                <c:pt idx="59">
                  <c:v>0.13793103448275862</c:v>
                </c:pt>
                <c:pt idx="60">
                  <c:v>0.13793103448275862</c:v>
                </c:pt>
                <c:pt idx="61">
                  <c:v>0.13793103448275862</c:v>
                </c:pt>
                <c:pt idx="62">
                  <c:v>3.4482758620689655E-2</c:v>
                </c:pt>
                <c:pt idx="63">
                  <c:v>3.4482758620689655E-2</c:v>
                </c:pt>
                <c:pt idx="64">
                  <c:v>6.8965517241379309E-2</c:v>
                </c:pt>
                <c:pt idx="65">
                  <c:v>3.4482758620689655E-2</c:v>
                </c:pt>
                <c:pt idx="66">
                  <c:v>0.13793103448275862</c:v>
                </c:pt>
                <c:pt idx="67">
                  <c:v>6.8965517241379309E-2</c:v>
                </c:pt>
                <c:pt idx="68">
                  <c:v>3.4482758620689655E-2</c:v>
                </c:pt>
                <c:pt idx="69">
                  <c:v>3.4482758620689655E-2</c:v>
                </c:pt>
                <c:pt idx="70">
                  <c:v>3.4482758620689655E-2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3.4482758620689655E-2</c:v>
                </c:pt>
                <c:pt idx="75">
                  <c:v>0.13793103448275862</c:v>
                </c:pt>
                <c:pt idx="76">
                  <c:v>3.4482758620689655E-2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0.17241379310344829</c:v>
                </c:pt>
                <c:pt idx="82">
                  <c:v>3.4482758620689655E-2</c:v>
                </c:pt>
                <c:pt idx="83">
                  <c:v>0</c:v>
                </c:pt>
                <c:pt idx="84">
                  <c:v>0.13793103448275862</c:v>
                </c:pt>
                <c:pt idx="85">
                  <c:v>3.4482758620689655E-2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0.10344827586206896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3.4482758620689655E-2</c:v>
                </c:pt>
                <c:pt idx="124">
                  <c:v>6.8965517241379309E-2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40-9B49-8421-83CBB7EC7D84}"/>
            </c:ext>
          </c:extLst>
        </c:ser>
        <c:ser>
          <c:idx val="4"/>
          <c:order val="4"/>
          <c:tx>
            <c:strRef>
              <c:f>'Todas Métricas Norm'!$G$194</c:f>
              <c:strCache>
                <c:ptCount val="1"/>
                <c:pt idx="0">
                  <c:v>CND norm</c:v>
                </c:pt>
              </c:strCache>
            </c:strRef>
          </c:tx>
          <c:spPr>
            <a:solidFill>
              <a:srgbClr val="7E21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Norm'!$G$195:$G$380</c:f>
              <c:numCache>
                <c:formatCode>0.0000</c:formatCode>
                <c:ptCount val="186"/>
                <c:pt idx="0">
                  <c:v>1</c:v>
                </c:pt>
                <c:pt idx="1">
                  <c:v>0.5</c:v>
                </c:pt>
                <c:pt idx="2">
                  <c:v>0.75</c:v>
                </c:pt>
                <c:pt idx="3">
                  <c:v>0.25</c:v>
                </c:pt>
                <c:pt idx="4">
                  <c:v>0.75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0.25</c:v>
                </c:pt>
                <c:pt idx="11">
                  <c:v>0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</c:v>
                </c:pt>
                <c:pt idx="32">
                  <c:v>0.25</c:v>
                </c:pt>
                <c:pt idx="33">
                  <c:v>0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0.25</c:v>
                </c:pt>
                <c:pt idx="46">
                  <c:v>0</c:v>
                </c:pt>
                <c:pt idx="47">
                  <c:v>0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40-9B49-8421-83CBB7EC7D84}"/>
            </c:ext>
          </c:extLst>
        </c:ser>
        <c:ser>
          <c:idx val="5"/>
          <c:order val="5"/>
          <c:tx>
            <c:strRef>
              <c:f>'Todas Métricas Norm'!$H$194</c:f>
              <c:strCache>
                <c:ptCount val="1"/>
                <c:pt idx="0">
                  <c:v>FDP norm</c:v>
                </c:pt>
              </c:strCache>
            </c:strRef>
          </c:tx>
          <c:spPr>
            <a:solidFill>
              <a:srgbClr val="3D83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Norm'!$H$195:$H$380</c:f>
              <c:numCache>
                <c:formatCode>0.0000</c:formatCode>
                <c:ptCount val="186"/>
                <c:pt idx="0">
                  <c:v>1</c:v>
                </c:pt>
                <c:pt idx="1">
                  <c:v>0.4</c:v>
                </c:pt>
                <c:pt idx="2">
                  <c:v>0.2</c:v>
                </c:pt>
                <c:pt idx="3">
                  <c:v>0.8</c:v>
                </c:pt>
                <c:pt idx="4">
                  <c:v>0</c:v>
                </c:pt>
                <c:pt idx="5">
                  <c:v>0.8</c:v>
                </c:pt>
                <c:pt idx="6">
                  <c:v>0.2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0.8</c:v>
                </c:pt>
                <c:pt idx="11">
                  <c:v>1</c:v>
                </c:pt>
                <c:pt idx="12">
                  <c:v>0</c:v>
                </c:pt>
                <c:pt idx="13">
                  <c:v>0.4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</c:v>
                </c:pt>
                <c:pt idx="31">
                  <c:v>0</c:v>
                </c:pt>
                <c:pt idx="32">
                  <c:v>0.2</c:v>
                </c:pt>
                <c:pt idx="33">
                  <c:v>0.2</c:v>
                </c:pt>
                <c:pt idx="34">
                  <c:v>0</c:v>
                </c:pt>
                <c:pt idx="35">
                  <c:v>0</c:v>
                </c:pt>
                <c:pt idx="36">
                  <c:v>0.2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</c:v>
                </c:pt>
                <c:pt idx="41">
                  <c:v>0.2</c:v>
                </c:pt>
                <c:pt idx="42">
                  <c:v>0</c:v>
                </c:pt>
                <c:pt idx="43">
                  <c:v>0.4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0.2</c:v>
                </c:pt>
                <c:pt idx="66">
                  <c:v>0</c:v>
                </c:pt>
                <c:pt idx="67">
                  <c:v>0</c:v>
                </c:pt>
                <c:pt idx="68">
                  <c:v>0.2</c:v>
                </c:pt>
                <c:pt idx="69">
                  <c:v>0.2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0.2</c:v>
                </c:pt>
                <c:pt idx="83">
                  <c:v>0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0.2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0.2</c:v>
                </c:pt>
                <c:pt idx="124">
                  <c:v>0.2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40-9B49-8421-83CBB7EC7D84}"/>
            </c:ext>
          </c:extLst>
        </c:ser>
        <c:ser>
          <c:idx val="6"/>
          <c:order val="6"/>
          <c:tx>
            <c:strRef>
              <c:f>'Todas Métricas Norm'!$I$194</c:f>
              <c:strCache>
                <c:ptCount val="1"/>
                <c:pt idx="0">
                  <c:v>HD norm</c:v>
                </c:pt>
              </c:strCache>
            </c:strRef>
          </c:tx>
          <c:spPr>
            <a:solidFill>
              <a:srgbClr val="13597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Norm'!$I$195:$I$380</c:f>
              <c:numCache>
                <c:formatCode>0.0000</c:formatCode>
                <c:ptCount val="186"/>
                <c:pt idx="0">
                  <c:v>0.76151148851148853</c:v>
                </c:pt>
                <c:pt idx="1">
                  <c:v>1</c:v>
                </c:pt>
                <c:pt idx="2">
                  <c:v>0.45223076923076927</c:v>
                </c:pt>
                <c:pt idx="3">
                  <c:v>0.58741258741258739</c:v>
                </c:pt>
                <c:pt idx="4">
                  <c:v>0.40323276723276724</c:v>
                </c:pt>
                <c:pt idx="5">
                  <c:v>0.27472527472527475</c:v>
                </c:pt>
                <c:pt idx="6">
                  <c:v>0.4337772227772228</c:v>
                </c:pt>
                <c:pt idx="7">
                  <c:v>0.4337772227772228</c:v>
                </c:pt>
                <c:pt idx="8">
                  <c:v>0.45854145854145856</c:v>
                </c:pt>
                <c:pt idx="9">
                  <c:v>0.45854145854145856</c:v>
                </c:pt>
                <c:pt idx="10">
                  <c:v>0.16697602397602401</c:v>
                </c:pt>
                <c:pt idx="11">
                  <c:v>0.28971028971028973</c:v>
                </c:pt>
                <c:pt idx="12">
                  <c:v>0.24702597402597404</c:v>
                </c:pt>
                <c:pt idx="13">
                  <c:v>0.20139860139860141</c:v>
                </c:pt>
                <c:pt idx="14">
                  <c:v>0.20104895104895107</c:v>
                </c:pt>
                <c:pt idx="15">
                  <c:v>0.26973026973026976</c:v>
                </c:pt>
                <c:pt idx="16">
                  <c:v>0.26973026973026976</c:v>
                </c:pt>
                <c:pt idx="17">
                  <c:v>0.26973026973026976</c:v>
                </c:pt>
                <c:pt idx="18">
                  <c:v>3.7462537462537464E-2</c:v>
                </c:pt>
                <c:pt idx="19">
                  <c:v>0.28899700299700298</c:v>
                </c:pt>
                <c:pt idx="20">
                  <c:v>0.12820479520479522</c:v>
                </c:pt>
                <c:pt idx="21">
                  <c:v>0.12820479520479522</c:v>
                </c:pt>
                <c:pt idx="22">
                  <c:v>7.992007992007992E-2</c:v>
                </c:pt>
                <c:pt idx="23">
                  <c:v>0.1098901098901099</c:v>
                </c:pt>
                <c:pt idx="24">
                  <c:v>0.17950849150849155</c:v>
                </c:pt>
                <c:pt idx="25">
                  <c:v>0.10204095904095904</c:v>
                </c:pt>
                <c:pt idx="26">
                  <c:v>5.2447552447552448E-2</c:v>
                </c:pt>
                <c:pt idx="27">
                  <c:v>5.2447552447552448E-2</c:v>
                </c:pt>
                <c:pt idx="28">
                  <c:v>6.1188811188811192E-2</c:v>
                </c:pt>
                <c:pt idx="29">
                  <c:v>0.19480519480519481</c:v>
                </c:pt>
                <c:pt idx="30">
                  <c:v>7.5757242757242771E-2</c:v>
                </c:pt>
                <c:pt idx="31">
                  <c:v>2.4975024975024976E-2</c:v>
                </c:pt>
                <c:pt idx="32">
                  <c:v>9.4905094905094911E-2</c:v>
                </c:pt>
                <c:pt idx="33">
                  <c:v>3.7000000000000005E-2</c:v>
                </c:pt>
                <c:pt idx="34">
                  <c:v>6.6600399600399596E-2</c:v>
                </c:pt>
                <c:pt idx="35">
                  <c:v>5.8274725274725284E-2</c:v>
                </c:pt>
                <c:pt idx="36">
                  <c:v>0.12844255744255745</c:v>
                </c:pt>
                <c:pt idx="37">
                  <c:v>0.1123876123876124</c:v>
                </c:pt>
                <c:pt idx="38">
                  <c:v>0.1048951048951049</c:v>
                </c:pt>
                <c:pt idx="39">
                  <c:v>0.14152547452547454</c:v>
                </c:pt>
                <c:pt idx="40">
                  <c:v>0.13486513486513488</c:v>
                </c:pt>
                <c:pt idx="41">
                  <c:v>0.1436063936063936</c:v>
                </c:pt>
                <c:pt idx="42">
                  <c:v>0.24261438561438561</c:v>
                </c:pt>
                <c:pt idx="43">
                  <c:v>8.9910089910089919E-2</c:v>
                </c:pt>
                <c:pt idx="44">
                  <c:v>3.3299700299700301E-2</c:v>
                </c:pt>
                <c:pt idx="45">
                  <c:v>9.9900099900099903E-2</c:v>
                </c:pt>
                <c:pt idx="46">
                  <c:v>0.10822477522477522</c:v>
                </c:pt>
                <c:pt idx="47">
                  <c:v>2.4975024975024976E-2</c:v>
                </c:pt>
                <c:pt idx="48">
                  <c:v>7.4925074925074928E-2</c:v>
                </c:pt>
                <c:pt idx="49">
                  <c:v>0.13486513486513488</c:v>
                </c:pt>
                <c:pt idx="50">
                  <c:v>0.13486513486513488</c:v>
                </c:pt>
                <c:pt idx="51">
                  <c:v>0.12362637362637363</c:v>
                </c:pt>
                <c:pt idx="52">
                  <c:v>0.12362637362637363</c:v>
                </c:pt>
                <c:pt idx="53">
                  <c:v>6.7432567432567439E-2</c:v>
                </c:pt>
                <c:pt idx="54">
                  <c:v>7.4925074925074928E-2</c:v>
                </c:pt>
                <c:pt idx="55">
                  <c:v>9.7402597402597407E-2</c:v>
                </c:pt>
                <c:pt idx="56">
                  <c:v>0.14842257742257745</c:v>
                </c:pt>
                <c:pt idx="57">
                  <c:v>7.4925074925074928E-2</c:v>
                </c:pt>
                <c:pt idx="58">
                  <c:v>0.18181818181818182</c:v>
                </c:pt>
                <c:pt idx="59">
                  <c:v>0.15151548451548452</c:v>
                </c:pt>
                <c:pt idx="60">
                  <c:v>0.14985014985014986</c:v>
                </c:pt>
                <c:pt idx="61">
                  <c:v>8.7912087912087919E-2</c:v>
                </c:pt>
                <c:pt idx="62">
                  <c:v>1.998001998001998E-2</c:v>
                </c:pt>
                <c:pt idx="63">
                  <c:v>1.4985014985014986E-2</c:v>
                </c:pt>
                <c:pt idx="64">
                  <c:v>2.4975024975024976E-2</c:v>
                </c:pt>
                <c:pt idx="65">
                  <c:v>3.7462537462537464E-2</c:v>
                </c:pt>
                <c:pt idx="66">
                  <c:v>8.3916083916083919E-2</c:v>
                </c:pt>
                <c:pt idx="67">
                  <c:v>0.10275424575424576</c:v>
                </c:pt>
                <c:pt idx="68">
                  <c:v>4.4955044955044959E-2</c:v>
                </c:pt>
                <c:pt idx="69">
                  <c:v>4.4955044955044959E-2</c:v>
                </c:pt>
                <c:pt idx="70">
                  <c:v>2.4975024975024976E-2</c:v>
                </c:pt>
                <c:pt idx="71">
                  <c:v>5.0858141858141866E-2</c:v>
                </c:pt>
                <c:pt idx="72">
                  <c:v>1.4985014985014986E-2</c:v>
                </c:pt>
                <c:pt idx="73">
                  <c:v>1.7125874125874126E-2</c:v>
                </c:pt>
                <c:pt idx="74">
                  <c:v>8.1168831168831168E-2</c:v>
                </c:pt>
                <c:pt idx="75">
                  <c:v>7.8492507492507496E-2</c:v>
                </c:pt>
                <c:pt idx="76">
                  <c:v>5.9940059940059943E-2</c:v>
                </c:pt>
                <c:pt idx="77">
                  <c:v>1.998001998001998E-2</c:v>
                </c:pt>
                <c:pt idx="78">
                  <c:v>1.998001998001998E-2</c:v>
                </c:pt>
                <c:pt idx="79">
                  <c:v>1.4985014985014986E-2</c:v>
                </c:pt>
                <c:pt idx="80">
                  <c:v>1.4985014985014986E-2</c:v>
                </c:pt>
                <c:pt idx="81">
                  <c:v>5.9940059940059943E-2</c:v>
                </c:pt>
                <c:pt idx="82">
                  <c:v>4.6620379620379619E-2</c:v>
                </c:pt>
                <c:pt idx="83">
                  <c:v>9.99000999000999E-3</c:v>
                </c:pt>
                <c:pt idx="84">
                  <c:v>0.14385614385614387</c:v>
                </c:pt>
                <c:pt idx="85">
                  <c:v>0</c:v>
                </c:pt>
                <c:pt idx="86">
                  <c:v>9.99000999000999E-3</c:v>
                </c:pt>
                <c:pt idx="87">
                  <c:v>9.99000999000999E-3</c:v>
                </c:pt>
                <c:pt idx="88">
                  <c:v>1.4985014985014986E-2</c:v>
                </c:pt>
                <c:pt idx="89">
                  <c:v>1.4985014985014986E-2</c:v>
                </c:pt>
                <c:pt idx="90">
                  <c:v>4.9950049950049952E-2</c:v>
                </c:pt>
                <c:pt idx="91">
                  <c:v>1.1655344655344657E-2</c:v>
                </c:pt>
                <c:pt idx="92">
                  <c:v>1.998001998001998E-2</c:v>
                </c:pt>
                <c:pt idx="93">
                  <c:v>5.8274725274725284E-2</c:v>
                </c:pt>
                <c:pt idx="94">
                  <c:v>1.998001998001998E-2</c:v>
                </c:pt>
                <c:pt idx="95">
                  <c:v>1.4985014985014986E-2</c:v>
                </c:pt>
                <c:pt idx="96">
                  <c:v>1.4985014985014986E-2</c:v>
                </c:pt>
                <c:pt idx="97">
                  <c:v>1.998001998001998E-2</c:v>
                </c:pt>
                <c:pt idx="98">
                  <c:v>1.998001998001998E-2</c:v>
                </c:pt>
                <c:pt idx="99">
                  <c:v>1.998001998001998E-2</c:v>
                </c:pt>
                <c:pt idx="100">
                  <c:v>1.998001998001998E-2</c:v>
                </c:pt>
                <c:pt idx="101">
                  <c:v>9.99000999000999E-3</c:v>
                </c:pt>
                <c:pt idx="102">
                  <c:v>9.99000999000999E-3</c:v>
                </c:pt>
                <c:pt idx="103">
                  <c:v>9.99000999000999E-3</c:v>
                </c:pt>
                <c:pt idx="104">
                  <c:v>9.99000999000999E-3</c:v>
                </c:pt>
                <c:pt idx="105">
                  <c:v>1.998001998001998E-2</c:v>
                </c:pt>
                <c:pt idx="106">
                  <c:v>1.998001998001998E-2</c:v>
                </c:pt>
                <c:pt idx="107">
                  <c:v>9.99000999000999E-3</c:v>
                </c:pt>
                <c:pt idx="108">
                  <c:v>9.99000999000999E-3</c:v>
                </c:pt>
                <c:pt idx="109">
                  <c:v>9.99000999000999E-3</c:v>
                </c:pt>
                <c:pt idx="110">
                  <c:v>9.99000999000999E-3</c:v>
                </c:pt>
                <c:pt idx="111">
                  <c:v>9.99000999000999E-3</c:v>
                </c:pt>
                <c:pt idx="112">
                  <c:v>9.99000999000999E-3</c:v>
                </c:pt>
                <c:pt idx="113">
                  <c:v>1.4985014985014986E-2</c:v>
                </c:pt>
                <c:pt idx="114">
                  <c:v>1.4985014985014986E-2</c:v>
                </c:pt>
                <c:pt idx="115">
                  <c:v>1.4985014985014986E-2</c:v>
                </c:pt>
                <c:pt idx="116">
                  <c:v>1.4985014985014986E-2</c:v>
                </c:pt>
                <c:pt idx="117">
                  <c:v>1.4985014985014986E-2</c:v>
                </c:pt>
                <c:pt idx="118">
                  <c:v>1.4985014985014986E-2</c:v>
                </c:pt>
                <c:pt idx="119">
                  <c:v>9.99000999000999E-3</c:v>
                </c:pt>
                <c:pt idx="120">
                  <c:v>9.99000999000999E-3</c:v>
                </c:pt>
                <c:pt idx="121">
                  <c:v>9.99000999000999E-3</c:v>
                </c:pt>
                <c:pt idx="122">
                  <c:v>9.99000999000999E-3</c:v>
                </c:pt>
                <c:pt idx="123">
                  <c:v>4.6620379620379619E-2</c:v>
                </c:pt>
                <c:pt idx="124">
                  <c:v>3.4965034965034968E-2</c:v>
                </c:pt>
                <c:pt idx="125">
                  <c:v>4.4955044955044959E-2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40-9B49-8421-83CBB7EC7D84}"/>
            </c:ext>
          </c:extLst>
        </c:ser>
        <c:ser>
          <c:idx val="7"/>
          <c:order val="7"/>
          <c:tx>
            <c:strRef>
              <c:f>'Todas Métricas Norm'!$J$194</c:f>
              <c:strCache>
                <c:ptCount val="1"/>
                <c:pt idx="0">
                  <c:v>HEF norm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Norm'!$J$195:$J$380</c:f>
              <c:numCache>
                <c:formatCode>0.0000</c:formatCode>
                <c:ptCount val="186"/>
                <c:pt idx="0">
                  <c:v>0.98177291464677741</c:v>
                </c:pt>
                <c:pt idx="1">
                  <c:v>1</c:v>
                </c:pt>
                <c:pt idx="2">
                  <c:v>0.32268903320162279</c:v>
                </c:pt>
                <c:pt idx="3">
                  <c:v>0.42570052415589471</c:v>
                </c:pt>
                <c:pt idx="4">
                  <c:v>0.15839133698193789</c:v>
                </c:pt>
                <c:pt idx="5">
                  <c:v>9.9562957787337578E-2</c:v>
                </c:pt>
                <c:pt idx="6">
                  <c:v>0.15267318618014067</c:v>
                </c:pt>
                <c:pt idx="7">
                  <c:v>0.15267318618014067</c:v>
                </c:pt>
                <c:pt idx="8">
                  <c:v>0.16552408801436966</c:v>
                </c:pt>
                <c:pt idx="9">
                  <c:v>0.16552408801436966</c:v>
                </c:pt>
                <c:pt idx="10">
                  <c:v>4.2754109776829169E-2</c:v>
                </c:pt>
                <c:pt idx="11">
                  <c:v>8.3309084568773992E-2</c:v>
                </c:pt>
                <c:pt idx="12">
                  <c:v>4.0035985467267464E-2</c:v>
                </c:pt>
                <c:pt idx="13">
                  <c:v>4.824929891010421E-2</c:v>
                </c:pt>
                <c:pt idx="14">
                  <c:v>2.5109085813449131E-2</c:v>
                </c:pt>
                <c:pt idx="15">
                  <c:v>6.4193442626411953E-2</c:v>
                </c:pt>
                <c:pt idx="16">
                  <c:v>6.4193442626411953E-2</c:v>
                </c:pt>
                <c:pt idx="17">
                  <c:v>6.4193442626411953E-2</c:v>
                </c:pt>
                <c:pt idx="18">
                  <c:v>2.5005466556132301E-3</c:v>
                </c:pt>
                <c:pt idx="19">
                  <c:v>3.4623009515577161E-2</c:v>
                </c:pt>
                <c:pt idx="20">
                  <c:v>1.3332616685612352E-2</c:v>
                </c:pt>
                <c:pt idx="21">
                  <c:v>1.3332616685612352E-2</c:v>
                </c:pt>
                <c:pt idx="22">
                  <c:v>2.9606144109659191E-3</c:v>
                </c:pt>
                <c:pt idx="23">
                  <c:v>5.2016353557740565E-3</c:v>
                </c:pt>
                <c:pt idx="24">
                  <c:v>2.7988013814268912E-2</c:v>
                </c:pt>
                <c:pt idx="25">
                  <c:v>5.8078271927148196E-3</c:v>
                </c:pt>
                <c:pt idx="26">
                  <c:v>1.8349643648804699E-3</c:v>
                </c:pt>
                <c:pt idx="27">
                  <c:v>1.8349643648804699E-3</c:v>
                </c:pt>
                <c:pt idx="28">
                  <c:v>1.6725929891912405E-3</c:v>
                </c:pt>
                <c:pt idx="29">
                  <c:v>2.3338472815798879E-2</c:v>
                </c:pt>
                <c:pt idx="30">
                  <c:v>4.238043569487762E-3</c:v>
                </c:pt>
                <c:pt idx="31">
                  <c:v>7.0746351444981898E-4</c:v>
                </c:pt>
                <c:pt idx="32">
                  <c:v>7.3570751497596719E-3</c:v>
                </c:pt>
                <c:pt idx="33">
                  <c:v>6.4695247414298714E-3</c:v>
                </c:pt>
                <c:pt idx="34">
                  <c:v>1.5777746564888981E-3</c:v>
                </c:pt>
                <c:pt idx="35">
                  <c:v>1.223704260482033E-3</c:v>
                </c:pt>
                <c:pt idx="36">
                  <c:v>8.0201856668190141E-3</c:v>
                </c:pt>
                <c:pt idx="37">
                  <c:v>6.5009136884808414E-3</c:v>
                </c:pt>
                <c:pt idx="38">
                  <c:v>5.7314726988682502E-3</c:v>
                </c:pt>
                <c:pt idx="39">
                  <c:v>1.4848941164622268E-2</c:v>
                </c:pt>
                <c:pt idx="40">
                  <c:v>1.659822702331944E-2</c:v>
                </c:pt>
                <c:pt idx="41">
                  <c:v>1.3668467946778378E-2</c:v>
                </c:pt>
                <c:pt idx="42">
                  <c:v>4.6163488722638646E-2</c:v>
                </c:pt>
                <c:pt idx="43">
                  <c:v>6.1583938482240004E-3</c:v>
                </c:pt>
                <c:pt idx="44">
                  <c:v>1.3706550732689447E-3</c:v>
                </c:pt>
                <c:pt idx="45">
                  <c:v>3.3104758979159384E-3</c:v>
                </c:pt>
                <c:pt idx="46">
                  <c:v>1.3237287895072407E-2</c:v>
                </c:pt>
                <c:pt idx="47">
                  <c:v>1.4734865415312499E-3</c:v>
                </c:pt>
                <c:pt idx="48">
                  <c:v>4.104712508551339E-3</c:v>
                </c:pt>
                <c:pt idx="49">
                  <c:v>8.24099972870692E-3</c:v>
                </c:pt>
                <c:pt idx="50">
                  <c:v>8.24099972870692E-3</c:v>
                </c:pt>
                <c:pt idx="51">
                  <c:v>7.378407024919497E-3</c:v>
                </c:pt>
                <c:pt idx="52">
                  <c:v>7.378407024919497E-3</c:v>
                </c:pt>
                <c:pt idx="53">
                  <c:v>4.3557904052667169E-3</c:v>
                </c:pt>
                <c:pt idx="54">
                  <c:v>1.3024568536749443E-3</c:v>
                </c:pt>
                <c:pt idx="55">
                  <c:v>4.1944652050219747E-3</c:v>
                </c:pt>
                <c:pt idx="56">
                  <c:v>1.351639782075003E-2</c:v>
                </c:pt>
                <c:pt idx="57">
                  <c:v>3.0054031393765353E-3</c:v>
                </c:pt>
                <c:pt idx="58">
                  <c:v>1.5575872593756878E-2</c:v>
                </c:pt>
                <c:pt idx="59">
                  <c:v>1.3222695115859315E-2</c:v>
                </c:pt>
                <c:pt idx="60">
                  <c:v>1.3495578508408582E-2</c:v>
                </c:pt>
                <c:pt idx="61">
                  <c:v>6.3055972587037464E-3</c:v>
                </c:pt>
                <c:pt idx="62">
                  <c:v>2.525976928339286E-4</c:v>
                </c:pt>
                <c:pt idx="63">
                  <c:v>3.2769182944229508E-4</c:v>
                </c:pt>
                <c:pt idx="64">
                  <c:v>2.5853742233187974E-4</c:v>
                </c:pt>
                <c:pt idx="65">
                  <c:v>7.2111115729555871E-4</c:v>
                </c:pt>
                <c:pt idx="66">
                  <c:v>3.6136931159033996E-3</c:v>
                </c:pt>
                <c:pt idx="67">
                  <c:v>5.7483035988888913E-3</c:v>
                </c:pt>
                <c:pt idx="68">
                  <c:v>1.7130796631457785E-3</c:v>
                </c:pt>
                <c:pt idx="69">
                  <c:v>1.7130796631457785E-3</c:v>
                </c:pt>
                <c:pt idx="70">
                  <c:v>2.040484162712475E-4</c:v>
                </c:pt>
                <c:pt idx="71">
                  <c:v>3.2397369665281839E-3</c:v>
                </c:pt>
                <c:pt idx="72">
                  <c:v>2.7524623346765069E-4</c:v>
                </c:pt>
                <c:pt idx="73">
                  <c:v>4.4952390665764616E-4</c:v>
                </c:pt>
                <c:pt idx="74">
                  <c:v>5.1705621558391299E-3</c:v>
                </c:pt>
                <c:pt idx="75">
                  <c:v>3.7931821952436749E-3</c:v>
                </c:pt>
                <c:pt idx="76">
                  <c:v>1.8111065127923054E-3</c:v>
                </c:pt>
                <c:pt idx="77">
                  <c:v>1.6323915401315274E-4</c:v>
                </c:pt>
                <c:pt idx="78">
                  <c:v>1.6323915401315274E-4</c:v>
                </c:pt>
                <c:pt idx="79">
                  <c:v>9.1642969205342693E-5</c:v>
                </c:pt>
                <c:pt idx="80">
                  <c:v>9.1642969205342693E-5</c:v>
                </c:pt>
                <c:pt idx="81">
                  <c:v>1.5847184618158641E-3</c:v>
                </c:pt>
                <c:pt idx="82">
                  <c:v>1.305284369099104E-3</c:v>
                </c:pt>
                <c:pt idx="83">
                  <c:v>4.2099615472321428E-5</c:v>
                </c:pt>
                <c:pt idx="84">
                  <c:v>8.3631180833074834E-3</c:v>
                </c:pt>
                <c:pt idx="85">
                  <c:v>0</c:v>
                </c:pt>
                <c:pt idx="86">
                  <c:v>2.5022432701167647E-5</c:v>
                </c:pt>
                <c:pt idx="87">
                  <c:v>2.5022432701167647E-5</c:v>
                </c:pt>
                <c:pt idx="88">
                  <c:v>6.3149423208482149E-5</c:v>
                </c:pt>
                <c:pt idx="89">
                  <c:v>6.3149423208482149E-5</c:v>
                </c:pt>
                <c:pt idx="90">
                  <c:v>1.251118477587222E-3</c:v>
                </c:pt>
                <c:pt idx="91">
                  <c:v>1.6576723592226562E-4</c:v>
                </c:pt>
                <c:pt idx="92">
                  <c:v>3.3363155894024628E-4</c:v>
                </c:pt>
                <c:pt idx="93">
                  <c:v>1.2893007238398437E-3</c:v>
                </c:pt>
                <c:pt idx="94">
                  <c:v>1.2219045019205914E-4</c:v>
                </c:pt>
                <c:pt idx="95">
                  <c:v>6.3149423208482149E-5</c:v>
                </c:pt>
                <c:pt idx="96">
                  <c:v>6.3149423208482149E-5</c:v>
                </c:pt>
                <c:pt idx="97">
                  <c:v>1.2219045019205914E-4</c:v>
                </c:pt>
                <c:pt idx="98">
                  <c:v>1.2219045019205914E-4</c:v>
                </c:pt>
                <c:pt idx="99">
                  <c:v>1.2219045019205914E-4</c:v>
                </c:pt>
                <c:pt idx="100">
                  <c:v>1.2219045019205914E-4</c:v>
                </c:pt>
                <c:pt idx="101">
                  <c:v>2.5022432701167647E-5</c:v>
                </c:pt>
                <c:pt idx="102">
                  <c:v>2.5022432701167647E-5</c:v>
                </c:pt>
                <c:pt idx="103">
                  <c:v>2.5022432701167647E-5</c:v>
                </c:pt>
                <c:pt idx="104">
                  <c:v>2.5022432701167647E-5</c:v>
                </c:pt>
                <c:pt idx="105">
                  <c:v>1.6323915401315274E-4</c:v>
                </c:pt>
                <c:pt idx="106">
                  <c:v>1.9044550426694707E-4</c:v>
                </c:pt>
                <c:pt idx="107">
                  <c:v>2.5022432701167647E-5</c:v>
                </c:pt>
                <c:pt idx="108">
                  <c:v>2.5022432701167647E-5</c:v>
                </c:pt>
                <c:pt idx="109">
                  <c:v>4.2099615472321428E-5</c:v>
                </c:pt>
                <c:pt idx="110">
                  <c:v>4.2099615472321428E-5</c:v>
                </c:pt>
                <c:pt idx="111">
                  <c:v>2.5022432701167647E-5</c:v>
                </c:pt>
                <c:pt idx="112">
                  <c:v>2.5022432701167647E-5</c:v>
                </c:pt>
                <c:pt idx="113">
                  <c:v>9.1642969205342693E-5</c:v>
                </c:pt>
                <c:pt idx="114">
                  <c:v>6.3149423208482149E-5</c:v>
                </c:pt>
                <c:pt idx="115">
                  <c:v>6.3149423208482149E-5</c:v>
                </c:pt>
                <c:pt idx="116">
                  <c:v>6.3149423208482149E-5</c:v>
                </c:pt>
                <c:pt idx="117">
                  <c:v>6.3149423208482149E-5</c:v>
                </c:pt>
                <c:pt idx="118">
                  <c:v>6.3149423208482149E-5</c:v>
                </c:pt>
                <c:pt idx="119">
                  <c:v>2.5022432701167647E-5</c:v>
                </c:pt>
                <c:pt idx="120">
                  <c:v>2.5022432701167647E-5</c:v>
                </c:pt>
                <c:pt idx="121">
                  <c:v>2.5022432701167647E-5</c:v>
                </c:pt>
                <c:pt idx="122">
                  <c:v>2.5022432701167647E-5</c:v>
                </c:pt>
                <c:pt idx="123">
                  <c:v>9.7896340838562633E-4</c:v>
                </c:pt>
                <c:pt idx="124">
                  <c:v>8.2833151047085371E-4</c:v>
                </c:pt>
                <c:pt idx="125">
                  <c:v>6.3938790998588173E-4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40-9B49-8421-83CBB7EC7D84}"/>
            </c:ext>
          </c:extLst>
        </c:ser>
        <c:ser>
          <c:idx val="8"/>
          <c:order val="8"/>
          <c:tx>
            <c:strRef>
              <c:f>'Todas Métricas Norm'!$K$194</c:f>
              <c:strCache>
                <c:ptCount val="1"/>
                <c:pt idx="0">
                  <c:v>HER norm</c:v>
                </c:pt>
              </c:strCache>
            </c:strRef>
          </c:tx>
          <c:spPr>
            <a:solidFill>
              <a:srgbClr val="17642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Norm'!$K$195:$K$380</c:f>
              <c:numCache>
                <c:formatCode>0.0000</c:formatCode>
                <c:ptCount val="186"/>
                <c:pt idx="0">
                  <c:v>0.98774732256307873</c:v>
                </c:pt>
                <c:pt idx="1">
                  <c:v>1</c:v>
                </c:pt>
                <c:pt idx="2">
                  <c:v>0.47041205300417499</c:v>
                </c:pt>
                <c:pt idx="3">
                  <c:v>0.56589217643855516</c:v>
                </c:pt>
                <c:pt idx="4">
                  <c:v>0.29270284988201128</c:v>
                </c:pt>
                <c:pt idx="5">
                  <c:v>0.21483027772735525</c:v>
                </c:pt>
                <c:pt idx="6">
                  <c:v>0.2856235251406789</c:v>
                </c:pt>
                <c:pt idx="7">
                  <c:v>0.2856235251406789</c:v>
                </c:pt>
                <c:pt idx="8">
                  <c:v>0.3014158649482665</c:v>
                </c:pt>
                <c:pt idx="9">
                  <c:v>0.3014158649482665</c:v>
                </c:pt>
                <c:pt idx="10">
                  <c:v>0.12225449264839354</c:v>
                </c:pt>
                <c:pt idx="11">
                  <c:v>0.19077872572154658</c:v>
                </c:pt>
                <c:pt idx="12">
                  <c:v>0.11699037937919768</c:v>
                </c:pt>
                <c:pt idx="13">
                  <c:v>0.1325104374659648</c:v>
                </c:pt>
                <c:pt idx="14">
                  <c:v>8.5768742058449823E-2</c:v>
                </c:pt>
                <c:pt idx="15">
                  <c:v>0.16028317298965331</c:v>
                </c:pt>
                <c:pt idx="16">
                  <c:v>0.16028317298965331</c:v>
                </c:pt>
                <c:pt idx="17">
                  <c:v>0.16028317298965331</c:v>
                </c:pt>
                <c:pt idx="18">
                  <c:v>1.8424396442185517E-2</c:v>
                </c:pt>
                <c:pt idx="19">
                  <c:v>0.1061898711199855</c:v>
                </c:pt>
                <c:pt idx="20">
                  <c:v>5.61807950626248E-2</c:v>
                </c:pt>
                <c:pt idx="21">
                  <c:v>5.61807950626248E-2</c:v>
                </c:pt>
                <c:pt idx="22">
                  <c:v>2.0602650208749324E-2</c:v>
                </c:pt>
                <c:pt idx="23">
                  <c:v>3.004174986385914E-2</c:v>
                </c:pt>
                <c:pt idx="24">
                  <c:v>9.221274278453441E-2</c:v>
                </c:pt>
                <c:pt idx="25">
                  <c:v>3.2310764204029771E-2</c:v>
                </c:pt>
                <c:pt idx="26">
                  <c:v>1.497549464512616E-2</c:v>
                </c:pt>
                <c:pt idx="27">
                  <c:v>1.497549464512616E-2</c:v>
                </c:pt>
                <c:pt idx="28">
                  <c:v>1.4067888909057906E-2</c:v>
                </c:pt>
                <c:pt idx="29">
                  <c:v>8.1684516246142674E-2</c:v>
                </c:pt>
                <c:pt idx="30">
                  <c:v>2.6229805772372484E-2</c:v>
                </c:pt>
                <c:pt idx="31">
                  <c:v>7.896169903793793E-3</c:v>
                </c:pt>
                <c:pt idx="32">
                  <c:v>3.7847159194046111E-2</c:v>
                </c:pt>
                <c:pt idx="33">
                  <c:v>3.4761299691414053E-2</c:v>
                </c:pt>
                <c:pt idx="34">
                  <c:v>1.3523325467416955E-2</c:v>
                </c:pt>
                <c:pt idx="35">
                  <c:v>1.1435832274459976E-2</c:v>
                </c:pt>
                <c:pt idx="36">
                  <c:v>4.0025412960609914E-2</c:v>
                </c:pt>
                <c:pt idx="37">
                  <c:v>3.4852060265020877E-2</c:v>
                </c:pt>
                <c:pt idx="38">
                  <c:v>3.2038482483209292E-2</c:v>
                </c:pt>
                <c:pt idx="39">
                  <c:v>6.044654202214559E-2</c:v>
                </c:pt>
                <c:pt idx="40">
                  <c:v>6.5075331276093676E-2</c:v>
                </c:pt>
                <c:pt idx="41">
                  <c:v>5.7179161372299878E-2</c:v>
                </c:pt>
                <c:pt idx="42">
                  <c:v>0.12869849337447814</c:v>
                </c:pt>
                <c:pt idx="43">
                  <c:v>3.3581412234525321E-2</c:v>
                </c:pt>
                <c:pt idx="44">
                  <c:v>1.2343438010528228E-2</c:v>
                </c:pt>
                <c:pt idx="45">
                  <c:v>2.2236340533672176E-2</c:v>
                </c:pt>
                <c:pt idx="46">
                  <c:v>5.5999273915411152E-2</c:v>
                </c:pt>
                <c:pt idx="47">
                  <c:v>1.2978762025776004E-2</c:v>
                </c:pt>
                <c:pt idx="48">
                  <c:v>2.5594481757124705E-2</c:v>
                </c:pt>
                <c:pt idx="49">
                  <c:v>4.0842258123071337E-2</c:v>
                </c:pt>
                <c:pt idx="50">
                  <c:v>4.0842258123071337E-2</c:v>
                </c:pt>
                <c:pt idx="51">
                  <c:v>3.7937919767652935E-2</c:v>
                </c:pt>
                <c:pt idx="52">
                  <c:v>3.7937919767652935E-2</c:v>
                </c:pt>
                <c:pt idx="53">
                  <c:v>2.6683608640406611E-2</c:v>
                </c:pt>
                <c:pt idx="54">
                  <c:v>1.1889635142494102E-2</c:v>
                </c:pt>
                <c:pt idx="55">
                  <c:v>2.6048284625158832E-2</c:v>
                </c:pt>
                <c:pt idx="56">
                  <c:v>5.6725358504265751E-2</c:v>
                </c:pt>
                <c:pt idx="57">
                  <c:v>2.0784171355962971E-2</c:v>
                </c:pt>
                <c:pt idx="58">
                  <c:v>6.2352514067888914E-2</c:v>
                </c:pt>
                <c:pt idx="59">
                  <c:v>5.5908513341804328E-2</c:v>
                </c:pt>
                <c:pt idx="60">
                  <c:v>5.6725358504265751E-2</c:v>
                </c:pt>
                <c:pt idx="61">
                  <c:v>3.4125975676166279E-2</c:v>
                </c:pt>
                <c:pt idx="62">
                  <c:v>3.9934652387003094E-3</c:v>
                </c:pt>
                <c:pt idx="63">
                  <c:v>4.71954982755491E-3</c:v>
                </c:pt>
                <c:pt idx="64">
                  <c:v>4.0842258123071342E-3</c:v>
                </c:pt>
                <c:pt idx="65">
                  <c:v>8.0776910510074428E-3</c:v>
                </c:pt>
                <c:pt idx="66">
                  <c:v>2.3506988564167726E-2</c:v>
                </c:pt>
                <c:pt idx="67">
                  <c:v>3.2129243056816123E-2</c:v>
                </c:pt>
                <c:pt idx="68">
                  <c:v>1.4340170629878383E-2</c:v>
                </c:pt>
                <c:pt idx="69">
                  <c:v>1.4340170629878383E-2</c:v>
                </c:pt>
                <c:pt idx="70">
                  <c:v>3.4489017970593576E-3</c:v>
                </c:pt>
                <c:pt idx="71">
                  <c:v>2.1873298239244873E-2</c:v>
                </c:pt>
                <c:pt idx="72">
                  <c:v>4.2657469595207848E-3</c:v>
                </c:pt>
                <c:pt idx="73">
                  <c:v>5.8994372844436383E-3</c:v>
                </c:pt>
                <c:pt idx="74">
                  <c:v>2.9860228716645492E-2</c:v>
                </c:pt>
                <c:pt idx="75">
                  <c:v>2.4323833726629156E-2</c:v>
                </c:pt>
                <c:pt idx="76">
                  <c:v>1.4884734071519334E-2</c:v>
                </c:pt>
                <c:pt idx="77">
                  <c:v>2.9950989290252316E-3</c:v>
                </c:pt>
                <c:pt idx="78">
                  <c:v>2.9950989290252316E-3</c:v>
                </c:pt>
                <c:pt idx="79">
                  <c:v>1.9967326193501547E-3</c:v>
                </c:pt>
                <c:pt idx="80">
                  <c:v>1.9967326193501547E-3</c:v>
                </c:pt>
                <c:pt idx="81">
                  <c:v>1.3614086041023781E-2</c:v>
                </c:pt>
                <c:pt idx="82">
                  <c:v>1.1980395716100926E-2</c:v>
                </c:pt>
                <c:pt idx="83">
                  <c:v>1.1798874568887275E-3</c:v>
                </c:pt>
                <c:pt idx="84">
                  <c:v>4.1205300417498647E-2</c:v>
                </c:pt>
                <c:pt idx="85">
                  <c:v>0</c:v>
                </c:pt>
                <c:pt idx="86">
                  <c:v>8.1684516246142676E-4</c:v>
                </c:pt>
                <c:pt idx="87">
                  <c:v>8.1684516246142676E-4</c:v>
                </c:pt>
                <c:pt idx="88">
                  <c:v>1.5429297513160284E-3</c:v>
                </c:pt>
                <c:pt idx="89">
                  <c:v>1.5429297513160284E-3</c:v>
                </c:pt>
                <c:pt idx="90">
                  <c:v>1.1617353421673627E-2</c:v>
                </c:pt>
                <c:pt idx="91">
                  <c:v>2.9950989290252316E-3</c:v>
                </c:pt>
                <c:pt idx="92">
                  <c:v>4.8103104011617357E-3</c:v>
                </c:pt>
                <c:pt idx="93">
                  <c:v>1.1889635142494102E-2</c:v>
                </c:pt>
                <c:pt idx="94">
                  <c:v>2.4505354873842807E-3</c:v>
                </c:pt>
                <c:pt idx="95">
                  <c:v>1.5429297513160284E-3</c:v>
                </c:pt>
                <c:pt idx="96">
                  <c:v>1.5429297513160284E-3</c:v>
                </c:pt>
                <c:pt idx="97">
                  <c:v>2.4505354873842807E-3</c:v>
                </c:pt>
                <c:pt idx="98">
                  <c:v>2.4505354873842807E-3</c:v>
                </c:pt>
                <c:pt idx="99">
                  <c:v>2.4505354873842807E-3</c:v>
                </c:pt>
                <c:pt idx="100">
                  <c:v>2.4505354873842807E-3</c:v>
                </c:pt>
                <c:pt idx="101">
                  <c:v>8.1684516246142676E-4</c:v>
                </c:pt>
                <c:pt idx="102">
                  <c:v>8.1684516246142676E-4</c:v>
                </c:pt>
                <c:pt idx="103">
                  <c:v>8.1684516246142676E-4</c:v>
                </c:pt>
                <c:pt idx="104">
                  <c:v>8.1684516246142676E-4</c:v>
                </c:pt>
                <c:pt idx="105">
                  <c:v>2.9950989290252316E-3</c:v>
                </c:pt>
                <c:pt idx="106">
                  <c:v>3.267380649845707E-3</c:v>
                </c:pt>
                <c:pt idx="107">
                  <c:v>8.1684516246142676E-4</c:v>
                </c:pt>
                <c:pt idx="108">
                  <c:v>8.1684516246142676E-4</c:v>
                </c:pt>
                <c:pt idx="109">
                  <c:v>1.1798874568887275E-3</c:v>
                </c:pt>
                <c:pt idx="110">
                  <c:v>1.1798874568887275E-3</c:v>
                </c:pt>
                <c:pt idx="111">
                  <c:v>8.1684516246142676E-4</c:v>
                </c:pt>
                <c:pt idx="112">
                  <c:v>8.1684516246142676E-4</c:v>
                </c:pt>
                <c:pt idx="113">
                  <c:v>1.9967326193501547E-3</c:v>
                </c:pt>
                <c:pt idx="114">
                  <c:v>1.5429297513160284E-3</c:v>
                </c:pt>
                <c:pt idx="115">
                  <c:v>1.5429297513160284E-3</c:v>
                </c:pt>
                <c:pt idx="116">
                  <c:v>1.5429297513160284E-3</c:v>
                </c:pt>
                <c:pt idx="117">
                  <c:v>1.5429297513160284E-3</c:v>
                </c:pt>
                <c:pt idx="118">
                  <c:v>1.5429297513160284E-3</c:v>
                </c:pt>
                <c:pt idx="119">
                  <c:v>8.1684516246142676E-4</c:v>
                </c:pt>
                <c:pt idx="120">
                  <c:v>8.1684516246142676E-4</c:v>
                </c:pt>
                <c:pt idx="121">
                  <c:v>8.1684516246142676E-4</c:v>
                </c:pt>
                <c:pt idx="122">
                  <c:v>8.1684516246142676E-4</c:v>
                </c:pt>
                <c:pt idx="123">
                  <c:v>9.8929025231439469E-3</c:v>
                </c:pt>
                <c:pt idx="124">
                  <c:v>8.8037756398620451E-3</c:v>
                </c:pt>
                <c:pt idx="125">
                  <c:v>7.442367035759667E-3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40-9B49-8421-83CBB7EC7D84}"/>
            </c:ext>
          </c:extLst>
        </c:ser>
        <c:ser>
          <c:idx val="9"/>
          <c:order val="9"/>
          <c:tx>
            <c:strRef>
              <c:f>'Todas Métricas Norm'!$L$194</c:f>
              <c:strCache>
                <c:ptCount val="1"/>
                <c:pt idx="0">
                  <c:v>HL norm</c:v>
                </c:pt>
              </c:strCache>
            </c:strRef>
          </c:tx>
          <c:spPr>
            <a:solidFill>
              <a:srgbClr val="0E93C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Norm'!$L$195:$L$380</c:f>
              <c:numCache>
                <c:formatCode>0.0000</c:formatCode>
                <c:ptCount val="186"/>
                <c:pt idx="0">
                  <c:v>1</c:v>
                </c:pt>
                <c:pt idx="1">
                  <c:v>0.78648648648648645</c:v>
                </c:pt>
                <c:pt idx="2">
                  <c:v>0.5972972972972973</c:v>
                </c:pt>
                <c:pt idx="3">
                  <c:v>0.58648648648648649</c:v>
                </c:pt>
                <c:pt idx="4">
                  <c:v>0.36486486486486486</c:v>
                </c:pt>
                <c:pt idx="5">
                  <c:v>0.32162162162162161</c:v>
                </c:pt>
                <c:pt idx="6">
                  <c:v>0.32162162162162161</c:v>
                </c:pt>
                <c:pt idx="7">
                  <c:v>0.32162162162162161</c:v>
                </c:pt>
                <c:pt idx="8">
                  <c:v>0.31891891891891894</c:v>
                </c:pt>
                <c:pt idx="9">
                  <c:v>0.31891891891891894</c:v>
                </c:pt>
                <c:pt idx="10">
                  <c:v>0.23783783783783785</c:v>
                </c:pt>
                <c:pt idx="11">
                  <c:v>0.25405405405405407</c:v>
                </c:pt>
                <c:pt idx="12">
                  <c:v>0.17297297297297298</c:v>
                </c:pt>
                <c:pt idx="13">
                  <c:v>0.21891891891891893</c:v>
                </c:pt>
                <c:pt idx="14">
                  <c:v>0.12702702702702703</c:v>
                </c:pt>
                <c:pt idx="15">
                  <c:v>0.25135135135135134</c:v>
                </c:pt>
                <c:pt idx="16">
                  <c:v>0.25135135135135134</c:v>
                </c:pt>
                <c:pt idx="17">
                  <c:v>0.25135135135135134</c:v>
                </c:pt>
                <c:pt idx="18">
                  <c:v>8.3783783783783788E-2</c:v>
                </c:pt>
                <c:pt idx="19">
                  <c:v>0.13783783783783785</c:v>
                </c:pt>
                <c:pt idx="20">
                  <c:v>0.11351351351351352</c:v>
                </c:pt>
                <c:pt idx="21">
                  <c:v>0.11351351351351352</c:v>
                </c:pt>
                <c:pt idx="22">
                  <c:v>4.8648648648648651E-2</c:v>
                </c:pt>
                <c:pt idx="23">
                  <c:v>6.2162162162162166E-2</c:v>
                </c:pt>
                <c:pt idx="24">
                  <c:v>0.15135135135135136</c:v>
                </c:pt>
                <c:pt idx="25">
                  <c:v>6.7567567567567571E-2</c:v>
                </c:pt>
                <c:pt idx="26">
                  <c:v>4.5945945945945948E-2</c:v>
                </c:pt>
                <c:pt idx="27">
                  <c:v>4.5945945945945948E-2</c:v>
                </c:pt>
                <c:pt idx="28">
                  <c:v>4.0540540540540543E-2</c:v>
                </c:pt>
                <c:pt idx="29">
                  <c:v>0.13783783783783785</c:v>
                </c:pt>
                <c:pt idx="30">
                  <c:v>6.7567567567567571E-2</c:v>
                </c:pt>
                <c:pt idx="31">
                  <c:v>4.0540540540540543E-2</c:v>
                </c:pt>
                <c:pt idx="32">
                  <c:v>8.9189189189189194E-2</c:v>
                </c:pt>
                <c:pt idx="33">
                  <c:v>0.18108108108108109</c:v>
                </c:pt>
                <c:pt idx="34">
                  <c:v>3.5135135135135137E-2</c:v>
                </c:pt>
                <c:pt idx="35">
                  <c:v>3.2432432432432434E-2</c:v>
                </c:pt>
                <c:pt idx="36">
                  <c:v>7.8378378378378383E-2</c:v>
                </c:pt>
                <c:pt idx="37">
                  <c:v>6.7567567567567571E-2</c:v>
                </c:pt>
                <c:pt idx="38">
                  <c:v>6.4864864864864868E-2</c:v>
                </c:pt>
                <c:pt idx="39">
                  <c:v>0.11081081081081082</c:v>
                </c:pt>
                <c:pt idx="40">
                  <c:v>0.14864864864864866</c:v>
                </c:pt>
                <c:pt idx="41">
                  <c:v>0.10270270270270271</c:v>
                </c:pt>
                <c:pt idx="42">
                  <c:v>0.1918918918918919</c:v>
                </c:pt>
                <c:pt idx="43">
                  <c:v>7.567567567567568E-2</c:v>
                </c:pt>
                <c:pt idx="44">
                  <c:v>5.4054054054054057E-2</c:v>
                </c:pt>
                <c:pt idx="45">
                  <c:v>4.5945945945945948E-2</c:v>
                </c:pt>
                <c:pt idx="46">
                  <c:v>0.13513513513513514</c:v>
                </c:pt>
                <c:pt idx="47">
                  <c:v>7.567567567567568E-2</c:v>
                </c:pt>
                <c:pt idx="48">
                  <c:v>7.0270270270270274E-2</c:v>
                </c:pt>
                <c:pt idx="49">
                  <c:v>7.8378378378378383E-2</c:v>
                </c:pt>
                <c:pt idx="50">
                  <c:v>7.8378378378378383E-2</c:v>
                </c:pt>
                <c:pt idx="51">
                  <c:v>7.8378378378378383E-2</c:v>
                </c:pt>
                <c:pt idx="52">
                  <c:v>7.8378378378378383E-2</c:v>
                </c:pt>
                <c:pt idx="53">
                  <c:v>8.1081081081081086E-2</c:v>
                </c:pt>
                <c:pt idx="54">
                  <c:v>2.9729729729729731E-2</c:v>
                </c:pt>
                <c:pt idx="55">
                  <c:v>5.4054054054054057E-2</c:v>
                </c:pt>
                <c:pt idx="56">
                  <c:v>0.10810810810810811</c:v>
                </c:pt>
                <c:pt idx="57">
                  <c:v>5.4054054054054057E-2</c:v>
                </c:pt>
                <c:pt idx="58">
                  <c:v>0.10540540540540541</c:v>
                </c:pt>
                <c:pt idx="59">
                  <c:v>0.10540540540540541</c:v>
                </c:pt>
                <c:pt idx="60">
                  <c:v>0.11081081081081082</c:v>
                </c:pt>
                <c:pt idx="61">
                  <c:v>8.3783783783783788E-2</c:v>
                </c:pt>
                <c:pt idx="62">
                  <c:v>2.1621621621621623E-2</c:v>
                </c:pt>
                <c:pt idx="63">
                  <c:v>3.2432432432432434E-2</c:v>
                </c:pt>
                <c:pt idx="64">
                  <c:v>1.891891891891892E-2</c:v>
                </c:pt>
                <c:pt idx="65">
                  <c:v>2.9729729729729731E-2</c:v>
                </c:pt>
                <c:pt idx="66">
                  <c:v>5.4054054054054057E-2</c:v>
                </c:pt>
                <c:pt idx="67">
                  <c:v>6.7567567567567571E-2</c:v>
                </c:pt>
                <c:pt idx="68">
                  <c:v>5.1351351351351354E-2</c:v>
                </c:pt>
                <c:pt idx="69">
                  <c:v>5.1351351351351354E-2</c:v>
                </c:pt>
                <c:pt idx="70">
                  <c:v>1.6216216216216217E-2</c:v>
                </c:pt>
                <c:pt idx="71">
                  <c:v>7.8378378378378383E-2</c:v>
                </c:pt>
                <c:pt idx="72">
                  <c:v>2.9729729729729731E-2</c:v>
                </c:pt>
                <c:pt idx="73">
                  <c:v>4.0540540540540543E-2</c:v>
                </c:pt>
                <c:pt idx="74">
                  <c:v>7.8378378378378383E-2</c:v>
                </c:pt>
                <c:pt idx="75">
                  <c:v>5.9459459459459463E-2</c:v>
                </c:pt>
                <c:pt idx="76">
                  <c:v>4.3243243243243246E-2</c:v>
                </c:pt>
                <c:pt idx="77">
                  <c:v>1.6216216216216217E-2</c:v>
                </c:pt>
                <c:pt idx="78">
                  <c:v>1.6216216216216217E-2</c:v>
                </c:pt>
                <c:pt idx="79">
                  <c:v>1.3513513513513514E-2</c:v>
                </c:pt>
                <c:pt idx="80">
                  <c:v>1.3513513513513514E-2</c:v>
                </c:pt>
                <c:pt idx="81">
                  <c:v>3.783783783783784E-2</c:v>
                </c:pt>
                <c:pt idx="82">
                  <c:v>4.3243243243243246E-2</c:v>
                </c:pt>
                <c:pt idx="83">
                  <c:v>1.0810810810810811E-2</c:v>
                </c:pt>
                <c:pt idx="84">
                  <c:v>7.2972972972972977E-2</c:v>
                </c:pt>
                <c:pt idx="85">
                  <c:v>1.0810810810810811E-2</c:v>
                </c:pt>
                <c:pt idx="86">
                  <c:v>8.1081081081081086E-3</c:v>
                </c:pt>
                <c:pt idx="87">
                  <c:v>8.1081081081081086E-3</c:v>
                </c:pt>
                <c:pt idx="88">
                  <c:v>1.0810810810810811E-2</c:v>
                </c:pt>
                <c:pt idx="89">
                  <c:v>1.0810810810810811E-2</c:v>
                </c:pt>
                <c:pt idx="90">
                  <c:v>4.0540540540540543E-2</c:v>
                </c:pt>
                <c:pt idx="91">
                  <c:v>2.4324324324324326E-2</c:v>
                </c:pt>
                <c:pt idx="92">
                  <c:v>2.7027027027027029E-2</c:v>
                </c:pt>
                <c:pt idx="93">
                  <c:v>3.783783783783784E-2</c:v>
                </c:pt>
                <c:pt idx="94">
                  <c:v>1.3513513513513514E-2</c:v>
                </c:pt>
                <c:pt idx="95">
                  <c:v>1.0810810810810811E-2</c:v>
                </c:pt>
                <c:pt idx="96">
                  <c:v>1.0810810810810811E-2</c:v>
                </c:pt>
                <c:pt idx="97">
                  <c:v>1.3513513513513514E-2</c:v>
                </c:pt>
                <c:pt idx="98">
                  <c:v>1.3513513513513514E-2</c:v>
                </c:pt>
                <c:pt idx="99">
                  <c:v>1.3513513513513514E-2</c:v>
                </c:pt>
                <c:pt idx="100">
                  <c:v>1.3513513513513514E-2</c:v>
                </c:pt>
                <c:pt idx="101">
                  <c:v>8.1081081081081086E-3</c:v>
                </c:pt>
                <c:pt idx="102">
                  <c:v>8.1081081081081086E-3</c:v>
                </c:pt>
                <c:pt idx="103">
                  <c:v>8.1081081081081086E-3</c:v>
                </c:pt>
                <c:pt idx="104">
                  <c:v>8.1081081081081086E-3</c:v>
                </c:pt>
                <c:pt idx="105">
                  <c:v>1.6216216216216217E-2</c:v>
                </c:pt>
                <c:pt idx="106">
                  <c:v>1.891891891891892E-2</c:v>
                </c:pt>
                <c:pt idx="107">
                  <c:v>8.1081081081081086E-3</c:v>
                </c:pt>
                <c:pt idx="108">
                  <c:v>8.1081081081081086E-3</c:v>
                </c:pt>
                <c:pt idx="109">
                  <c:v>1.0810810810810811E-2</c:v>
                </c:pt>
                <c:pt idx="110">
                  <c:v>1.0810810810810811E-2</c:v>
                </c:pt>
                <c:pt idx="111">
                  <c:v>8.1081081081081086E-3</c:v>
                </c:pt>
                <c:pt idx="112">
                  <c:v>8.1081081081081086E-3</c:v>
                </c:pt>
                <c:pt idx="113">
                  <c:v>1.3513513513513514E-2</c:v>
                </c:pt>
                <c:pt idx="114">
                  <c:v>1.0810810810810811E-2</c:v>
                </c:pt>
                <c:pt idx="115">
                  <c:v>1.0810810810810811E-2</c:v>
                </c:pt>
                <c:pt idx="116">
                  <c:v>1.0810810810810811E-2</c:v>
                </c:pt>
                <c:pt idx="117">
                  <c:v>1.0810810810810811E-2</c:v>
                </c:pt>
                <c:pt idx="118">
                  <c:v>1.0810810810810811E-2</c:v>
                </c:pt>
                <c:pt idx="119">
                  <c:v>8.1081081081081086E-3</c:v>
                </c:pt>
                <c:pt idx="120">
                  <c:v>8.1081081081081086E-3</c:v>
                </c:pt>
                <c:pt idx="121">
                  <c:v>8.1081081081081086E-3</c:v>
                </c:pt>
                <c:pt idx="122">
                  <c:v>8.1081081081081086E-3</c:v>
                </c:pt>
                <c:pt idx="123">
                  <c:v>3.2432432432432434E-2</c:v>
                </c:pt>
                <c:pt idx="124">
                  <c:v>3.5135135135135137E-2</c:v>
                </c:pt>
                <c:pt idx="125">
                  <c:v>2.4324324324324326E-2</c:v>
                </c:pt>
                <c:pt idx="126">
                  <c:v>2.7027027027027029E-3</c:v>
                </c:pt>
                <c:pt idx="127">
                  <c:v>2.7027027027027029E-3</c:v>
                </c:pt>
                <c:pt idx="128">
                  <c:v>2.7027027027027029E-3</c:v>
                </c:pt>
                <c:pt idx="129">
                  <c:v>2.7027027027027029E-3</c:v>
                </c:pt>
                <c:pt idx="130">
                  <c:v>2.7027027027027029E-3</c:v>
                </c:pt>
                <c:pt idx="131">
                  <c:v>0</c:v>
                </c:pt>
                <c:pt idx="132">
                  <c:v>0</c:v>
                </c:pt>
                <c:pt idx="133">
                  <c:v>1.0810810810810811E-2</c:v>
                </c:pt>
                <c:pt idx="134">
                  <c:v>2.7027027027027029E-3</c:v>
                </c:pt>
                <c:pt idx="135">
                  <c:v>2.7027027027027029E-3</c:v>
                </c:pt>
                <c:pt idx="136">
                  <c:v>2.7027027027027029E-3</c:v>
                </c:pt>
                <c:pt idx="137">
                  <c:v>2.7027027027027029E-3</c:v>
                </c:pt>
                <c:pt idx="138">
                  <c:v>2.7027027027027029E-3</c:v>
                </c:pt>
                <c:pt idx="139">
                  <c:v>2.7027027027027029E-3</c:v>
                </c:pt>
                <c:pt idx="140">
                  <c:v>2.7027027027027029E-3</c:v>
                </c:pt>
                <c:pt idx="141">
                  <c:v>2.7027027027027029E-3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8.1081081081081086E-3</c:v>
                </c:pt>
                <c:pt idx="152">
                  <c:v>8.1081081081081086E-3</c:v>
                </c:pt>
                <c:pt idx="153">
                  <c:v>2.7027027027027029E-3</c:v>
                </c:pt>
                <c:pt idx="154">
                  <c:v>2.7027027027027029E-3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2.7027027027027029E-3</c:v>
                </c:pt>
                <c:pt idx="159">
                  <c:v>2.7027027027027029E-3</c:v>
                </c:pt>
                <c:pt idx="160">
                  <c:v>2.7027027027027029E-3</c:v>
                </c:pt>
                <c:pt idx="161">
                  <c:v>0</c:v>
                </c:pt>
                <c:pt idx="162">
                  <c:v>0</c:v>
                </c:pt>
                <c:pt idx="163">
                  <c:v>2.7027027027027029E-3</c:v>
                </c:pt>
                <c:pt idx="164">
                  <c:v>2.7027027027027029E-3</c:v>
                </c:pt>
                <c:pt idx="165">
                  <c:v>2.7027027027027029E-3</c:v>
                </c:pt>
                <c:pt idx="166">
                  <c:v>2.7027027027027029E-3</c:v>
                </c:pt>
                <c:pt idx="167">
                  <c:v>2.7027027027027029E-3</c:v>
                </c:pt>
                <c:pt idx="168">
                  <c:v>2.7027027027027029E-3</c:v>
                </c:pt>
                <c:pt idx="169">
                  <c:v>2.7027027027027029E-3</c:v>
                </c:pt>
                <c:pt idx="170">
                  <c:v>2.7027027027027029E-3</c:v>
                </c:pt>
                <c:pt idx="171">
                  <c:v>2.7027027027027029E-3</c:v>
                </c:pt>
                <c:pt idx="172">
                  <c:v>2.7027027027027029E-3</c:v>
                </c:pt>
                <c:pt idx="173">
                  <c:v>2.7027027027027029E-3</c:v>
                </c:pt>
                <c:pt idx="174">
                  <c:v>2.7027027027027029E-3</c:v>
                </c:pt>
                <c:pt idx="175">
                  <c:v>2.7027027027027029E-3</c:v>
                </c:pt>
                <c:pt idx="176">
                  <c:v>2.7027027027027029E-3</c:v>
                </c:pt>
                <c:pt idx="177">
                  <c:v>2.7027027027027029E-3</c:v>
                </c:pt>
                <c:pt idx="178">
                  <c:v>2.7027027027027029E-3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40-9B49-8421-83CBB7EC7D84}"/>
            </c:ext>
          </c:extLst>
        </c:ser>
        <c:ser>
          <c:idx val="10"/>
          <c:order val="10"/>
          <c:tx>
            <c:strRef>
              <c:f>'Todas Métricas Norm'!$M$194</c:f>
              <c:strCache>
                <c:ptCount val="1"/>
                <c:pt idx="0">
                  <c:v>HVC norm</c:v>
                </c:pt>
              </c:strCache>
            </c:strRef>
          </c:tx>
          <c:spPr>
            <a:solidFill>
              <a:srgbClr val="95288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Norm'!$M$195:$M$380</c:f>
              <c:numCache>
                <c:formatCode>0.0000</c:formatCode>
                <c:ptCount val="186"/>
                <c:pt idx="0">
                  <c:v>1</c:v>
                </c:pt>
                <c:pt idx="1">
                  <c:v>0.93877551020408168</c:v>
                </c:pt>
                <c:pt idx="2">
                  <c:v>0.7142857142857143</c:v>
                </c:pt>
                <c:pt idx="3">
                  <c:v>0.82653061224489799</c:v>
                </c:pt>
                <c:pt idx="4">
                  <c:v>0.46938775510204084</c:v>
                </c:pt>
                <c:pt idx="5">
                  <c:v>0.56122448979591832</c:v>
                </c:pt>
                <c:pt idx="6">
                  <c:v>0.5</c:v>
                </c:pt>
                <c:pt idx="7">
                  <c:v>0.5</c:v>
                </c:pt>
                <c:pt idx="8">
                  <c:v>0.5714285714285714</c:v>
                </c:pt>
                <c:pt idx="9">
                  <c:v>0.5714285714285714</c:v>
                </c:pt>
                <c:pt idx="10">
                  <c:v>0.46938775510204084</c:v>
                </c:pt>
                <c:pt idx="11">
                  <c:v>0.5714285714285714</c:v>
                </c:pt>
                <c:pt idx="12">
                  <c:v>0.2857142857142857</c:v>
                </c:pt>
                <c:pt idx="13">
                  <c:v>0.5</c:v>
                </c:pt>
                <c:pt idx="14">
                  <c:v>0.33673469387755101</c:v>
                </c:pt>
                <c:pt idx="15">
                  <c:v>0.29591836734693877</c:v>
                </c:pt>
                <c:pt idx="16">
                  <c:v>0.29591836734693877</c:v>
                </c:pt>
                <c:pt idx="17">
                  <c:v>0.29591836734693877</c:v>
                </c:pt>
                <c:pt idx="18">
                  <c:v>0.17346938775510204</c:v>
                </c:pt>
                <c:pt idx="19">
                  <c:v>0.22448979591836735</c:v>
                </c:pt>
                <c:pt idx="20">
                  <c:v>0.26530612244897961</c:v>
                </c:pt>
                <c:pt idx="21">
                  <c:v>0.26530612244897961</c:v>
                </c:pt>
                <c:pt idx="22">
                  <c:v>0.15306122448979592</c:v>
                </c:pt>
                <c:pt idx="23">
                  <c:v>0.15306122448979592</c:v>
                </c:pt>
                <c:pt idx="24">
                  <c:v>0.39795918367346939</c:v>
                </c:pt>
                <c:pt idx="25">
                  <c:v>0.20408163265306123</c:v>
                </c:pt>
                <c:pt idx="26">
                  <c:v>0.15306122448979592</c:v>
                </c:pt>
                <c:pt idx="27">
                  <c:v>0.15306122448979592</c:v>
                </c:pt>
                <c:pt idx="28">
                  <c:v>0.11224489795918367</c:v>
                </c:pt>
                <c:pt idx="29">
                  <c:v>0.22448979591836735</c:v>
                </c:pt>
                <c:pt idx="30">
                  <c:v>0.19387755102040816</c:v>
                </c:pt>
                <c:pt idx="31">
                  <c:v>0.12244897959183673</c:v>
                </c:pt>
                <c:pt idx="32">
                  <c:v>0.22448979591836735</c:v>
                </c:pt>
                <c:pt idx="33">
                  <c:v>0.31632653061224492</c:v>
                </c:pt>
                <c:pt idx="34">
                  <c:v>0.11224489795918367</c:v>
                </c:pt>
                <c:pt idx="35">
                  <c:v>0.10204081632653061</c:v>
                </c:pt>
                <c:pt idx="36">
                  <c:v>0.17346938775510204</c:v>
                </c:pt>
                <c:pt idx="37">
                  <c:v>0.21428571428571427</c:v>
                </c:pt>
                <c:pt idx="38">
                  <c:v>0.20408163265306123</c:v>
                </c:pt>
                <c:pt idx="39">
                  <c:v>0.29591836734693877</c:v>
                </c:pt>
                <c:pt idx="40">
                  <c:v>0.19387755102040816</c:v>
                </c:pt>
                <c:pt idx="41">
                  <c:v>0.27551020408163263</c:v>
                </c:pt>
                <c:pt idx="42">
                  <c:v>0.34693877551020408</c:v>
                </c:pt>
                <c:pt idx="43">
                  <c:v>0.25510204081632654</c:v>
                </c:pt>
                <c:pt idx="44">
                  <c:v>0.15306122448979592</c:v>
                </c:pt>
                <c:pt idx="45">
                  <c:v>0.1326530612244898</c:v>
                </c:pt>
                <c:pt idx="46">
                  <c:v>0.25510204081632654</c:v>
                </c:pt>
                <c:pt idx="47">
                  <c:v>0.16326530612244897</c:v>
                </c:pt>
                <c:pt idx="48">
                  <c:v>0.16326530612244897</c:v>
                </c:pt>
                <c:pt idx="49">
                  <c:v>0.16326530612244897</c:v>
                </c:pt>
                <c:pt idx="50">
                  <c:v>0.16326530612244897</c:v>
                </c:pt>
                <c:pt idx="51">
                  <c:v>0.15306122448979592</c:v>
                </c:pt>
                <c:pt idx="52">
                  <c:v>0.15306122448979592</c:v>
                </c:pt>
                <c:pt idx="53">
                  <c:v>0.17346938775510204</c:v>
                </c:pt>
                <c:pt idx="54">
                  <c:v>8.1632653061224483E-2</c:v>
                </c:pt>
                <c:pt idx="55">
                  <c:v>0.17346938775510204</c:v>
                </c:pt>
                <c:pt idx="56">
                  <c:v>0.20408163265306123</c:v>
                </c:pt>
                <c:pt idx="57">
                  <c:v>0.14285714285714285</c:v>
                </c:pt>
                <c:pt idx="58">
                  <c:v>0.18367346938775511</c:v>
                </c:pt>
                <c:pt idx="59">
                  <c:v>0.19387755102040816</c:v>
                </c:pt>
                <c:pt idx="60">
                  <c:v>0.18367346938775511</c:v>
                </c:pt>
                <c:pt idx="61">
                  <c:v>0.21428571428571427</c:v>
                </c:pt>
                <c:pt idx="62">
                  <c:v>8.1632653061224483E-2</c:v>
                </c:pt>
                <c:pt idx="63">
                  <c:v>0.11224489795918367</c:v>
                </c:pt>
                <c:pt idx="64">
                  <c:v>7.1428571428571425E-2</c:v>
                </c:pt>
                <c:pt idx="65">
                  <c:v>0.10204081632653061</c:v>
                </c:pt>
                <c:pt idx="66">
                  <c:v>0.17346938775510204</c:v>
                </c:pt>
                <c:pt idx="67">
                  <c:v>0.19387755102040816</c:v>
                </c:pt>
                <c:pt idx="68">
                  <c:v>0.14285714285714285</c:v>
                </c:pt>
                <c:pt idx="69">
                  <c:v>0.14285714285714285</c:v>
                </c:pt>
                <c:pt idx="70">
                  <c:v>6.1224489795918366E-2</c:v>
                </c:pt>
                <c:pt idx="71">
                  <c:v>0.18367346938775511</c:v>
                </c:pt>
                <c:pt idx="72">
                  <c:v>9.1836734693877556E-2</c:v>
                </c:pt>
                <c:pt idx="73">
                  <c:v>0.10204081632653061</c:v>
                </c:pt>
                <c:pt idx="74">
                  <c:v>0.18367346938775511</c:v>
                </c:pt>
                <c:pt idx="75">
                  <c:v>0.18367346938775511</c:v>
                </c:pt>
                <c:pt idx="76">
                  <c:v>0.12244897959183673</c:v>
                </c:pt>
                <c:pt idx="77">
                  <c:v>6.1224489795918366E-2</c:v>
                </c:pt>
                <c:pt idx="78">
                  <c:v>6.1224489795918366E-2</c:v>
                </c:pt>
                <c:pt idx="79">
                  <c:v>5.1020408163265307E-2</c:v>
                </c:pt>
                <c:pt idx="80">
                  <c:v>5.1020408163265307E-2</c:v>
                </c:pt>
                <c:pt idx="81">
                  <c:v>0.12244897959183673</c:v>
                </c:pt>
                <c:pt idx="82">
                  <c:v>0.10204081632653061</c:v>
                </c:pt>
                <c:pt idx="83">
                  <c:v>4.0816326530612242E-2</c:v>
                </c:pt>
                <c:pt idx="84">
                  <c:v>0.17346938775510204</c:v>
                </c:pt>
                <c:pt idx="85">
                  <c:v>4.0816326530612242E-2</c:v>
                </c:pt>
                <c:pt idx="86">
                  <c:v>3.0612244897959183E-2</c:v>
                </c:pt>
                <c:pt idx="87">
                  <c:v>3.0612244897959183E-2</c:v>
                </c:pt>
                <c:pt idx="88">
                  <c:v>4.0816326530612242E-2</c:v>
                </c:pt>
                <c:pt idx="89">
                  <c:v>4.0816326530612242E-2</c:v>
                </c:pt>
                <c:pt idx="90">
                  <c:v>9.1836734693877556E-2</c:v>
                </c:pt>
                <c:pt idx="91">
                  <c:v>8.1632653061224483E-2</c:v>
                </c:pt>
                <c:pt idx="92">
                  <c:v>9.1836734693877556E-2</c:v>
                </c:pt>
                <c:pt idx="93">
                  <c:v>8.1632653061224483E-2</c:v>
                </c:pt>
                <c:pt idx="94">
                  <c:v>5.1020408163265307E-2</c:v>
                </c:pt>
                <c:pt idx="95">
                  <c:v>4.0816326530612242E-2</c:v>
                </c:pt>
                <c:pt idx="96">
                  <c:v>4.0816326530612242E-2</c:v>
                </c:pt>
                <c:pt idx="97">
                  <c:v>5.1020408163265307E-2</c:v>
                </c:pt>
                <c:pt idx="98">
                  <c:v>5.1020408163265307E-2</c:v>
                </c:pt>
                <c:pt idx="99">
                  <c:v>5.1020408163265307E-2</c:v>
                </c:pt>
                <c:pt idx="100">
                  <c:v>5.1020408163265307E-2</c:v>
                </c:pt>
                <c:pt idx="101">
                  <c:v>3.0612244897959183E-2</c:v>
                </c:pt>
                <c:pt idx="102">
                  <c:v>3.0612244897959183E-2</c:v>
                </c:pt>
                <c:pt idx="103">
                  <c:v>3.0612244897959183E-2</c:v>
                </c:pt>
                <c:pt idx="104">
                  <c:v>3.0612244897959183E-2</c:v>
                </c:pt>
                <c:pt idx="105">
                  <c:v>6.1224489795918366E-2</c:v>
                </c:pt>
                <c:pt idx="106">
                  <c:v>6.1224489795918366E-2</c:v>
                </c:pt>
                <c:pt idx="107">
                  <c:v>3.0612244897959183E-2</c:v>
                </c:pt>
                <c:pt idx="108">
                  <c:v>3.0612244897959183E-2</c:v>
                </c:pt>
                <c:pt idx="109">
                  <c:v>4.0816326530612242E-2</c:v>
                </c:pt>
                <c:pt idx="110">
                  <c:v>4.0816326530612242E-2</c:v>
                </c:pt>
                <c:pt idx="111">
                  <c:v>3.0612244897959183E-2</c:v>
                </c:pt>
                <c:pt idx="112">
                  <c:v>3.0612244897959183E-2</c:v>
                </c:pt>
                <c:pt idx="113">
                  <c:v>5.1020408163265307E-2</c:v>
                </c:pt>
                <c:pt idx="114">
                  <c:v>4.0816326530612242E-2</c:v>
                </c:pt>
                <c:pt idx="115">
                  <c:v>4.0816326530612242E-2</c:v>
                </c:pt>
                <c:pt idx="116">
                  <c:v>4.0816326530612242E-2</c:v>
                </c:pt>
                <c:pt idx="117">
                  <c:v>4.0816326530612242E-2</c:v>
                </c:pt>
                <c:pt idx="118">
                  <c:v>4.0816326530612242E-2</c:v>
                </c:pt>
                <c:pt idx="119">
                  <c:v>3.0612244897959183E-2</c:v>
                </c:pt>
                <c:pt idx="120">
                  <c:v>3.0612244897959183E-2</c:v>
                </c:pt>
                <c:pt idx="121">
                  <c:v>3.0612244897959183E-2</c:v>
                </c:pt>
                <c:pt idx="122">
                  <c:v>3.0612244897959183E-2</c:v>
                </c:pt>
                <c:pt idx="123">
                  <c:v>0.10204081632653061</c:v>
                </c:pt>
                <c:pt idx="124">
                  <c:v>0.11224489795918367</c:v>
                </c:pt>
                <c:pt idx="125">
                  <c:v>8.1632653061224483E-2</c:v>
                </c:pt>
                <c:pt idx="126">
                  <c:v>1.020408163265306E-2</c:v>
                </c:pt>
                <c:pt idx="127">
                  <c:v>1.020408163265306E-2</c:v>
                </c:pt>
                <c:pt idx="128">
                  <c:v>1.020408163265306E-2</c:v>
                </c:pt>
                <c:pt idx="129">
                  <c:v>1.020408163265306E-2</c:v>
                </c:pt>
                <c:pt idx="130">
                  <c:v>1.020408163265306E-2</c:v>
                </c:pt>
                <c:pt idx="131">
                  <c:v>0</c:v>
                </c:pt>
                <c:pt idx="132">
                  <c:v>0</c:v>
                </c:pt>
                <c:pt idx="133">
                  <c:v>4.0816326530612242E-2</c:v>
                </c:pt>
                <c:pt idx="134">
                  <c:v>1.020408163265306E-2</c:v>
                </c:pt>
                <c:pt idx="135">
                  <c:v>1.020408163265306E-2</c:v>
                </c:pt>
                <c:pt idx="136">
                  <c:v>1.020408163265306E-2</c:v>
                </c:pt>
                <c:pt idx="137">
                  <c:v>1.020408163265306E-2</c:v>
                </c:pt>
                <c:pt idx="138">
                  <c:v>1.020408163265306E-2</c:v>
                </c:pt>
                <c:pt idx="139">
                  <c:v>1.020408163265306E-2</c:v>
                </c:pt>
                <c:pt idx="140">
                  <c:v>1.020408163265306E-2</c:v>
                </c:pt>
                <c:pt idx="141">
                  <c:v>1.020408163265306E-2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2.0408163265306121E-2</c:v>
                </c:pt>
                <c:pt idx="152">
                  <c:v>2.0408163265306121E-2</c:v>
                </c:pt>
                <c:pt idx="153">
                  <c:v>1.020408163265306E-2</c:v>
                </c:pt>
                <c:pt idx="154">
                  <c:v>1.020408163265306E-2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1.020408163265306E-2</c:v>
                </c:pt>
                <c:pt idx="159">
                  <c:v>1.020408163265306E-2</c:v>
                </c:pt>
                <c:pt idx="160">
                  <c:v>1.020408163265306E-2</c:v>
                </c:pt>
                <c:pt idx="161">
                  <c:v>0</c:v>
                </c:pt>
                <c:pt idx="162">
                  <c:v>0</c:v>
                </c:pt>
                <c:pt idx="163">
                  <c:v>1.020408163265306E-2</c:v>
                </c:pt>
                <c:pt idx="164">
                  <c:v>1.020408163265306E-2</c:v>
                </c:pt>
                <c:pt idx="165">
                  <c:v>1.020408163265306E-2</c:v>
                </c:pt>
                <c:pt idx="166">
                  <c:v>1.020408163265306E-2</c:v>
                </c:pt>
                <c:pt idx="167">
                  <c:v>1.020408163265306E-2</c:v>
                </c:pt>
                <c:pt idx="168">
                  <c:v>1.020408163265306E-2</c:v>
                </c:pt>
                <c:pt idx="169">
                  <c:v>1.020408163265306E-2</c:v>
                </c:pt>
                <c:pt idx="170">
                  <c:v>1.020408163265306E-2</c:v>
                </c:pt>
                <c:pt idx="171">
                  <c:v>1.020408163265306E-2</c:v>
                </c:pt>
                <c:pt idx="172">
                  <c:v>1.020408163265306E-2</c:v>
                </c:pt>
                <c:pt idx="173">
                  <c:v>1.020408163265306E-2</c:v>
                </c:pt>
                <c:pt idx="174">
                  <c:v>1.020408163265306E-2</c:v>
                </c:pt>
                <c:pt idx="175">
                  <c:v>1.020408163265306E-2</c:v>
                </c:pt>
                <c:pt idx="176">
                  <c:v>1.020408163265306E-2</c:v>
                </c:pt>
                <c:pt idx="177">
                  <c:v>1.020408163265306E-2</c:v>
                </c:pt>
                <c:pt idx="178">
                  <c:v>1.020408163265306E-2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40-9B49-8421-83CBB7EC7D84}"/>
            </c:ext>
          </c:extLst>
        </c:ser>
        <c:ser>
          <c:idx val="11"/>
          <c:order val="11"/>
          <c:tx>
            <c:strRef>
              <c:f>'Todas Métricas Norm'!$N$194</c:f>
              <c:strCache>
                <c:ptCount val="1"/>
                <c:pt idx="0">
                  <c:v>HVL norm</c:v>
                </c:pt>
              </c:strCache>
            </c:strRef>
          </c:tx>
          <c:spPr>
            <a:solidFill>
              <a:srgbClr val="499C2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Norm'!$N$195:$N$380</c:f>
              <c:numCache>
                <c:formatCode>0.0000</c:formatCode>
                <c:ptCount val="186"/>
                <c:pt idx="0">
                  <c:v>1</c:v>
                </c:pt>
                <c:pt idx="1">
                  <c:v>0.77564903871494273</c:v>
                </c:pt>
                <c:pt idx="2">
                  <c:v>0.55346405264009058</c:v>
                </c:pt>
                <c:pt idx="3">
                  <c:v>0.56211634953154777</c:v>
                </c:pt>
                <c:pt idx="4">
                  <c:v>0.3046775846755303</c:v>
                </c:pt>
                <c:pt idx="5">
                  <c:v>0.28110232289002407</c:v>
                </c:pt>
                <c:pt idx="6">
                  <c:v>0.27299945665732878</c:v>
                </c:pt>
                <c:pt idx="7">
                  <c:v>0.27299945665732878</c:v>
                </c:pt>
                <c:pt idx="8">
                  <c:v>0.27999345112322555</c:v>
                </c:pt>
                <c:pt idx="9">
                  <c:v>0.27999345112322555</c:v>
                </c:pt>
                <c:pt idx="10">
                  <c:v>0.19860465777624367</c:v>
                </c:pt>
                <c:pt idx="11">
                  <c:v>0.2230456395586152</c:v>
                </c:pt>
                <c:pt idx="12">
                  <c:v>0.12571109941454808</c:v>
                </c:pt>
                <c:pt idx="13">
                  <c:v>0.185823152706421</c:v>
                </c:pt>
                <c:pt idx="14">
                  <c:v>9.6871117631114209E-2</c:v>
                </c:pt>
                <c:pt idx="15">
                  <c:v>0.18459766942031655</c:v>
                </c:pt>
                <c:pt idx="16">
                  <c:v>0.18459766942031655</c:v>
                </c:pt>
                <c:pt idx="17">
                  <c:v>0.18459766942031655</c:v>
                </c:pt>
                <c:pt idx="18">
                  <c:v>5.1772940456295075E-2</c:v>
                </c:pt>
                <c:pt idx="19">
                  <c:v>9.2925979142473053E-2</c:v>
                </c:pt>
                <c:pt idx="20">
                  <c:v>8.0663178780985514E-2</c:v>
                </c:pt>
                <c:pt idx="21">
                  <c:v>8.0663178780985514E-2</c:v>
                </c:pt>
                <c:pt idx="22">
                  <c:v>2.8733666726239056E-2</c:v>
                </c:pt>
                <c:pt idx="23">
                  <c:v>3.6715263516292479E-2</c:v>
                </c:pt>
                <c:pt idx="24">
                  <c:v>0.12093542050792122</c:v>
                </c:pt>
                <c:pt idx="25">
                  <c:v>4.4147388788607342E-2</c:v>
                </c:pt>
                <c:pt idx="26">
                  <c:v>2.7137347368228374E-2</c:v>
                </c:pt>
                <c:pt idx="27">
                  <c:v>2.7137347368228374E-2</c:v>
                </c:pt>
                <c:pt idx="28">
                  <c:v>2.1202335858663244E-2</c:v>
                </c:pt>
                <c:pt idx="29">
                  <c:v>9.2925979142473053E-2</c:v>
                </c:pt>
                <c:pt idx="30">
                  <c:v>4.3391497720927145E-2</c:v>
                </c:pt>
                <c:pt idx="31">
                  <c:v>2.1971669529655159E-2</c:v>
                </c:pt>
                <c:pt idx="32">
                  <c:v>6.0128560318431987E-2</c:v>
                </c:pt>
                <c:pt idx="33">
                  <c:v>0.13562369144019967</c:v>
                </c:pt>
                <c:pt idx="34">
                  <c:v>1.8375344124515934E-2</c:v>
                </c:pt>
                <c:pt idx="35">
                  <c:v>1.6287654713536492E-2</c:v>
                </c:pt>
                <c:pt idx="36">
                  <c:v>4.8432759975657859E-2</c:v>
                </c:pt>
                <c:pt idx="37">
                  <c:v>4.4866384200389423E-2</c:v>
                </c:pt>
                <c:pt idx="38">
                  <c:v>4.2381504677576502E-2</c:v>
                </c:pt>
                <c:pt idx="39">
                  <c:v>8.1381765603001283E-2</c:v>
                </c:pt>
                <c:pt idx="40">
                  <c:v>9.5461278642449063E-2</c:v>
                </c:pt>
                <c:pt idx="41">
                  <c:v>7.3826327939212955E-2</c:v>
                </c:pt>
                <c:pt idx="42">
                  <c:v>0.14758666863116626</c:v>
                </c:pt>
                <c:pt idx="43">
                  <c:v>5.3128110134227455E-2</c:v>
                </c:pt>
                <c:pt idx="44">
                  <c:v>3.1926305442260425E-2</c:v>
                </c:pt>
                <c:pt idx="45">
                  <c:v>2.570336072437409E-2</c:v>
                </c:pt>
                <c:pt idx="46">
                  <c:v>9.4871601891705251E-2</c:v>
                </c:pt>
                <c:pt idx="47">
                  <c:v>4.5762053827125511E-2</c:v>
                </c:pt>
                <c:pt idx="48">
                  <c:v>4.2493335696616542E-2</c:v>
                </c:pt>
                <c:pt idx="49">
                  <c:v>4.7396412892379988E-2</c:v>
                </c:pt>
                <c:pt idx="50">
                  <c:v>4.7396412892379988E-2</c:v>
                </c:pt>
                <c:pt idx="51">
                  <c:v>4.6293138805379955E-2</c:v>
                </c:pt>
                <c:pt idx="52">
                  <c:v>4.6293138805379955E-2</c:v>
                </c:pt>
                <c:pt idx="53">
                  <c:v>5.0102870645464787E-2</c:v>
                </c:pt>
                <c:pt idx="54">
                  <c:v>1.348346228834948E-2</c:v>
                </c:pt>
                <c:pt idx="55">
                  <c:v>3.3401927383302069E-2</c:v>
                </c:pt>
                <c:pt idx="56">
                  <c:v>7.0635813889976432E-2</c:v>
                </c:pt>
                <c:pt idx="57">
                  <c:v>3.1112925794459897E-2</c:v>
                </c:pt>
                <c:pt idx="58">
                  <c:v>6.6447768785261818E-2</c:v>
                </c:pt>
                <c:pt idx="59">
                  <c:v>6.7690739713364478E-2</c:v>
                </c:pt>
                <c:pt idx="60">
                  <c:v>6.9855325718364142E-2</c:v>
                </c:pt>
                <c:pt idx="61">
                  <c:v>5.5634318042841947E-2</c:v>
                </c:pt>
                <c:pt idx="62">
                  <c:v>9.8061543915268952E-3</c:v>
                </c:pt>
                <c:pt idx="63">
                  <c:v>1.6961868686930594E-2</c:v>
                </c:pt>
                <c:pt idx="64">
                  <c:v>8.0294017927121149E-3</c:v>
                </c:pt>
                <c:pt idx="65">
                  <c:v>1.4930360368819276E-2</c:v>
                </c:pt>
                <c:pt idx="66">
                  <c:v>3.3401927383302069E-2</c:v>
                </c:pt>
                <c:pt idx="67">
                  <c:v>4.3391497720927145E-2</c:v>
                </c:pt>
                <c:pt idx="68">
                  <c:v>2.9557261118197418E-2</c:v>
                </c:pt>
                <c:pt idx="69">
                  <c:v>2.9557261118197418E-2</c:v>
                </c:pt>
                <c:pt idx="70">
                  <c:v>6.3371455575709935E-3</c:v>
                </c:pt>
                <c:pt idx="71">
                  <c:v>4.9409861542820253E-2</c:v>
                </c:pt>
                <c:pt idx="72">
                  <c:v>1.42471982795429E-2</c:v>
                </c:pt>
                <c:pt idx="73">
                  <c:v>2.035957860666477E-2</c:v>
                </c:pt>
                <c:pt idx="74">
                  <c:v>4.9409861542820253E-2</c:v>
                </c:pt>
                <c:pt idx="75">
                  <c:v>3.7483371417985453E-2</c:v>
                </c:pt>
                <c:pt idx="76">
                  <c:v>2.343646384188949E-2</c:v>
                </c:pt>
                <c:pt idx="77">
                  <c:v>6.3371455575709935E-3</c:v>
                </c:pt>
                <c:pt idx="78">
                  <c:v>6.3371455575709935E-3</c:v>
                </c:pt>
                <c:pt idx="79">
                  <c:v>4.7435637509946104E-3</c:v>
                </c:pt>
                <c:pt idx="80">
                  <c:v>4.7435637509946104E-3</c:v>
                </c:pt>
                <c:pt idx="81">
                  <c:v>2.0506916076397461E-2</c:v>
                </c:pt>
                <c:pt idx="82">
                  <c:v>2.1716872951381985E-2</c:v>
                </c:pt>
                <c:pt idx="83">
                  <c:v>3.2687181305089651E-3</c:v>
                </c:pt>
                <c:pt idx="84">
                  <c:v>4.5092579495020643E-2</c:v>
                </c:pt>
                <c:pt idx="85">
                  <c:v>3.2687181305089651E-3</c:v>
                </c:pt>
                <c:pt idx="86">
                  <c:v>1.9428034798446346E-3</c:v>
                </c:pt>
                <c:pt idx="87">
                  <c:v>1.9428034798446346E-3</c:v>
                </c:pt>
                <c:pt idx="88">
                  <c:v>3.2687181305089651E-3</c:v>
                </c:pt>
                <c:pt idx="89">
                  <c:v>3.2687181305089651E-3</c:v>
                </c:pt>
                <c:pt idx="90">
                  <c:v>1.9427993939469718E-2</c:v>
                </c:pt>
                <c:pt idx="91">
                  <c:v>1.1031923690467757E-2</c:v>
                </c:pt>
                <c:pt idx="92">
                  <c:v>1.2952009579305354E-2</c:v>
                </c:pt>
                <c:pt idx="93">
                  <c:v>1.7160770185172067E-2</c:v>
                </c:pt>
                <c:pt idx="94">
                  <c:v>4.7435637509946104E-3</c:v>
                </c:pt>
                <c:pt idx="95">
                  <c:v>3.2687181305089651E-3</c:v>
                </c:pt>
                <c:pt idx="96">
                  <c:v>3.2687181305089651E-3</c:v>
                </c:pt>
                <c:pt idx="97">
                  <c:v>4.7435637509946104E-3</c:v>
                </c:pt>
                <c:pt idx="98">
                  <c:v>4.7435637509946104E-3</c:v>
                </c:pt>
                <c:pt idx="99">
                  <c:v>4.7435637509946104E-3</c:v>
                </c:pt>
                <c:pt idx="100">
                  <c:v>4.7435637509946104E-3</c:v>
                </c:pt>
                <c:pt idx="101">
                  <c:v>1.9428034798446346E-3</c:v>
                </c:pt>
                <c:pt idx="102">
                  <c:v>1.9428034798446346E-3</c:v>
                </c:pt>
                <c:pt idx="103">
                  <c:v>1.9428034798446346E-3</c:v>
                </c:pt>
                <c:pt idx="104">
                  <c:v>1.9428034798446346E-3</c:v>
                </c:pt>
                <c:pt idx="105">
                  <c:v>6.3371455575709935E-3</c:v>
                </c:pt>
                <c:pt idx="106">
                  <c:v>7.3933092445150712E-3</c:v>
                </c:pt>
                <c:pt idx="107">
                  <c:v>1.9428034798446346E-3</c:v>
                </c:pt>
                <c:pt idx="108">
                  <c:v>1.9428034798446346E-3</c:v>
                </c:pt>
                <c:pt idx="109">
                  <c:v>3.2687181305089651E-3</c:v>
                </c:pt>
                <c:pt idx="110">
                  <c:v>3.2687181305089651E-3</c:v>
                </c:pt>
                <c:pt idx="111">
                  <c:v>1.9428034798446346E-3</c:v>
                </c:pt>
                <c:pt idx="112">
                  <c:v>1.9428034798446346E-3</c:v>
                </c:pt>
                <c:pt idx="113">
                  <c:v>4.7435637509946104E-3</c:v>
                </c:pt>
                <c:pt idx="114">
                  <c:v>3.2687181305089651E-3</c:v>
                </c:pt>
                <c:pt idx="115">
                  <c:v>3.2687181305089651E-3</c:v>
                </c:pt>
                <c:pt idx="116">
                  <c:v>3.2687181305089651E-3</c:v>
                </c:pt>
                <c:pt idx="117">
                  <c:v>3.2687181305089651E-3</c:v>
                </c:pt>
                <c:pt idx="118">
                  <c:v>3.2687181305089651E-3</c:v>
                </c:pt>
                <c:pt idx="119">
                  <c:v>1.9428034798446346E-3</c:v>
                </c:pt>
                <c:pt idx="120">
                  <c:v>1.9428034798446346E-3</c:v>
                </c:pt>
                <c:pt idx="121">
                  <c:v>1.9428034798446346E-3</c:v>
                </c:pt>
                <c:pt idx="122">
                  <c:v>1.9428034798446346E-3</c:v>
                </c:pt>
                <c:pt idx="123">
                  <c:v>1.6287654713536492E-2</c:v>
                </c:pt>
                <c:pt idx="124">
                  <c:v>1.8375344124515934E-2</c:v>
                </c:pt>
                <c:pt idx="125">
                  <c:v>1.1031923690467757E-2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3.2687181305089651E-3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1.2257692989408619E-3</c:v>
                </c:pt>
                <c:pt idx="152">
                  <c:v>1.2257692989408619E-3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240-9B49-8421-83CBB7EC7D84}"/>
            </c:ext>
          </c:extLst>
        </c:ser>
        <c:ser>
          <c:idx val="12"/>
          <c:order val="12"/>
          <c:tx>
            <c:strRef>
              <c:f>'Todas Métricas Norm'!$O$194</c:f>
              <c:strCache>
                <c:ptCount val="1"/>
                <c:pt idx="0">
                  <c:v>LAA norm</c:v>
                </c:pt>
              </c:strCache>
            </c:strRef>
          </c:tx>
          <c:spPr>
            <a:solidFill>
              <a:srgbClr val="6D869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Norm'!$O$195:$O$380</c:f>
              <c:numCache>
                <c:formatCode>0.0000</c:formatCode>
                <c:ptCount val="186"/>
                <c:pt idx="0">
                  <c:v>0.2</c:v>
                </c:pt>
                <c:pt idx="1">
                  <c:v>0.77780000000000005</c:v>
                </c:pt>
                <c:pt idx="2">
                  <c:v>0.85709999999999997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0.8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0.28570000000000001</c:v>
                </c:pt>
                <c:pt idx="11">
                  <c:v>0</c:v>
                </c:pt>
                <c:pt idx="12">
                  <c:v>1</c:v>
                </c:pt>
                <c:pt idx="13">
                  <c:v>0.33329999999999999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0.5</c:v>
                </c:pt>
                <c:pt idx="31">
                  <c:v>1</c:v>
                </c:pt>
                <c:pt idx="32">
                  <c:v>0.5</c:v>
                </c:pt>
                <c:pt idx="33">
                  <c:v>0.91669999999999996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0.5</c:v>
                </c:pt>
                <c:pt idx="68">
                  <c:v>0.66669999999999996</c:v>
                </c:pt>
                <c:pt idx="69">
                  <c:v>0.66669999999999996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0.66669999999999996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40-9B49-8421-83CBB7EC7D84}"/>
            </c:ext>
          </c:extLst>
        </c:ser>
        <c:ser>
          <c:idx val="13"/>
          <c:order val="13"/>
          <c:tx>
            <c:strRef>
              <c:f>'Todas Métricas Norm'!$P$194</c:f>
              <c:strCache>
                <c:ptCount val="1"/>
                <c:pt idx="0">
                  <c:v>LND norm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Norm'!$P$195:$P$380</c:f>
              <c:numCache>
                <c:formatCode>0.0000</c:formatCode>
                <c:ptCount val="186"/>
                <c:pt idx="0">
                  <c:v>0.33333333333333331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1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</c:v>
                </c:pt>
                <c:pt idx="19">
                  <c:v>0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0.66666666666666663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0.33333333333333331</c:v>
                </c:pt>
                <c:pt idx="30">
                  <c:v>0</c:v>
                </c:pt>
                <c:pt idx="31">
                  <c:v>0</c:v>
                </c:pt>
                <c:pt idx="32">
                  <c:v>0.33333333333333331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</c:v>
                </c:pt>
                <c:pt idx="37">
                  <c:v>0.33333333333333331</c:v>
                </c:pt>
                <c:pt idx="38">
                  <c:v>0.33333333333333331</c:v>
                </c:pt>
                <c:pt idx="39">
                  <c:v>0.33333333333333331</c:v>
                </c:pt>
                <c:pt idx="40">
                  <c:v>0</c:v>
                </c:pt>
                <c:pt idx="41">
                  <c:v>0.33333333333333331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0.33333333333333331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0.33333333333333331</c:v>
                </c:pt>
                <c:pt idx="50">
                  <c:v>0.33333333333333331</c:v>
                </c:pt>
                <c:pt idx="51">
                  <c:v>0.33333333333333331</c:v>
                </c:pt>
                <c:pt idx="52">
                  <c:v>0.33333333333333331</c:v>
                </c:pt>
                <c:pt idx="53">
                  <c:v>0.33333333333333331</c:v>
                </c:pt>
                <c:pt idx="54">
                  <c:v>0</c:v>
                </c:pt>
                <c:pt idx="55">
                  <c:v>0.33333333333333331</c:v>
                </c:pt>
                <c:pt idx="56">
                  <c:v>0.33333333333333331</c:v>
                </c:pt>
                <c:pt idx="57">
                  <c:v>0</c:v>
                </c:pt>
                <c:pt idx="58">
                  <c:v>0.33333333333333331</c:v>
                </c:pt>
                <c:pt idx="59">
                  <c:v>0.33333333333333331</c:v>
                </c:pt>
                <c:pt idx="60">
                  <c:v>0.33333333333333331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0.33333333333333331</c:v>
                </c:pt>
                <c:pt idx="66">
                  <c:v>0.33333333333333331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0.33333333333333331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0.33333333333333331</c:v>
                </c:pt>
                <c:pt idx="127">
                  <c:v>0.33333333333333331</c:v>
                </c:pt>
                <c:pt idx="128">
                  <c:v>0.33333333333333331</c:v>
                </c:pt>
                <c:pt idx="129">
                  <c:v>0.33333333333333331</c:v>
                </c:pt>
                <c:pt idx="130">
                  <c:v>0.33333333333333331</c:v>
                </c:pt>
                <c:pt idx="131">
                  <c:v>0.33333333333333331</c:v>
                </c:pt>
                <c:pt idx="132">
                  <c:v>0.33333333333333331</c:v>
                </c:pt>
                <c:pt idx="133">
                  <c:v>0</c:v>
                </c:pt>
                <c:pt idx="134">
                  <c:v>0.33333333333333331</c:v>
                </c:pt>
                <c:pt idx="135">
                  <c:v>0.33333333333333331</c:v>
                </c:pt>
                <c:pt idx="136">
                  <c:v>0.33333333333333331</c:v>
                </c:pt>
                <c:pt idx="137">
                  <c:v>0.33333333333333331</c:v>
                </c:pt>
                <c:pt idx="138">
                  <c:v>0.33333333333333331</c:v>
                </c:pt>
                <c:pt idx="139">
                  <c:v>0.33333333333333331</c:v>
                </c:pt>
                <c:pt idx="140">
                  <c:v>0.33333333333333331</c:v>
                </c:pt>
                <c:pt idx="141">
                  <c:v>0.33333333333333331</c:v>
                </c:pt>
                <c:pt idx="142">
                  <c:v>0.33333333333333331</c:v>
                </c:pt>
                <c:pt idx="143">
                  <c:v>0.33333333333333331</c:v>
                </c:pt>
                <c:pt idx="144">
                  <c:v>0.33333333333333331</c:v>
                </c:pt>
                <c:pt idx="145">
                  <c:v>0.33333333333333331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0.33333333333333331</c:v>
                </c:pt>
                <c:pt idx="149">
                  <c:v>0.33333333333333331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0.33333333333333331</c:v>
                </c:pt>
                <c:pt idx="155">
                  <c:v>0.33333333333333331</c:v>
                </c:pt>
                <c:pt idx="156">
                  <c:v>0.33333333333333331</c:v>
                </c:pt>
                <c:pt idx="157">
                  <c:v>0.33333333333333331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240-9B49-8421-83CBB7EC7D84}"/>
            </c:ext>
          </c:extLst>
        </c:ser>
        <c:ser>
          <c:idx val="14"/>
          <c:order val="14"/>
          <c:tx>
            <c:strRef>
              <c:f>'Todas Métricas Norm'!$Q$194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6D8D6F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Norm'!$Q$195:$Q$380</c:f>
              <c:numCache>
                <c:formatCode>0.0000</c:formatCode>
                <c:ptCount val="186"/>
                <c:pt idx="0">
                  <c:v>1</c:v>
                </c:pt>
                <c:pt idx="1">
                  <c:v>0.9242424242424242</c:v>
                </c:pt>
                <c:pt idx="2">
                  <c:v>0.53030303030303028</c:v>
                </c:pt>
                <c:pt idx="3">
                  <c:v>0.53787878787878785</c:v>
                </c:pt>
                <c:pt idx="4">
                  <c:v>0.32575757575757575</c:v>
                </c:pt>
                <c:pt idx="5">
                  <c:v>0.32575757575757575</c:v>
                </c:pt>
                <c:pt idx="6">
                  <c:v>0.34848484848484851</c:v>
                </c:pt>
                <c:pt idx="7">
                  <c:v>0.31818181818181818</c:v>
                </c:pt>
                <c:pt idx="8">
                  <c:v>0.39393939393939392</c:v>
                </c:pt>
                <c:pt idx="9">
                  <c:v>0.37878787878787878</c:v>
                </c:pt>
                <c:pt idx="10">
                  <c:v>0.22727272727272727</c:v>
                </c:pt>
                <c:pt idx="11">
                  <c:v>0.25757575757575757</c:v>
                </c:pt>
                <c:pt idx="12">
                  <c:v>0.25</c:v>
                </c:pt>
                <c:pt idx="13">
                  <c:v>0.33333333333333331</c:v>
                </c:pt>
                <c:pt idx="14">
                  <c:v>0.18939393939393939</c:v>
                </c:pt>
                <c:pt idx="15">
                  <c:v>0.20454545454545456</c:v>
                </c:pt>
                <c:pt idx="16">
                  <c:v>0.20454545454545456</c:v>
                </c:pt>
                <c:pt idx="17">
                  <c:v>0.20454545454545456</c:v>
                </c:pt>
                <c:pt idx="18">
                  <c:v>0.14393939393939395</c:v>
                </c:pt>
                <c:pt idx="19">
                  <c:v>0.14393939393939395</c:v>
                </c:pt>
                <c:pt idx="20">
                  <c:v>0.22727272727272727</c:v>
                </c:pt>
                <c:pt idx="21">
                  <c:v>0.16666666666666666</c:v>
                </c:pt>
                <c:pt idx="22">
                  <c:v>0.15909090909090909</c:v>
                </c:pt>
                <c:pt idx="23">
                  <c:v>0.14393939393939395</c:v>
                </c:pt>
                <c:pt idx="24">
                  <c:v>0.21212121212121213</c:v>
                </c:pt>
                <c:pt idx="25">
                  <c:v>0.12121212121212122</c:v>
                </c:pt>
                <c:pt idx="26">
                  <c:v>6.0606060606060608E-2</c:v>
                </c:pt>
                <c:pt idx="27">
                  <c:v>0.10606060606060606</c:v>
                </c:pt>
                <c:pt idx="28">
                  <c:v>0.15151515151515152</c:v>
                </c:pt>
                <c:pt idx="29">
                  <c:v>0.23484848484848486</c:v>
                </c:pt>
                <c:pt idx="30">
                  <c:v>0.11363636363636363</c:v>
                </c:pt>
                <c:pt idx="31">
                  <c:v>9.8484848484848481E-2</c:v>
                </c:pt>
                <c:pt idx="32">
                  <c:v>0.14393939393939395</c:v>
                </c:pt>
                <c:pt idx="33">
                  <c:v>0.14393939393939395</c:v>
                </c:pt>
                <c:pt idx="34">
                  <c:v>0.14393939393939395</c:v>
                </c:pt>
                <c:pt idx="35">
                  <c:v>0.14393939393939395</c:v>
                </c:pt>
                <c:pt idx="36">
                  <c:v>9.8484848484848481E-2</c:v>
                </c:pt>
                <c:pt idx="37">
                  <c:v>0.15151515151515152</c:v>
                </c:pt>
                <c:pt idx="38">
                  <c:v>0.15151515151515152</c:v>
                </c:pt>
                <c:pt idx="39">
                  <c:v>0.2878787878787879</c:v>
                </c:pt>
                <c:pt idx="40">
                  <c:v>0.27272727272727271</c:v>
                </c:pt>
                <c:pt idx="41">
                  <c:v>0.20454545454545456</c:v>
                </c:pt>
                <c:pt idx="42">
                  <c:v>0.21212121212121213</c:v>
                </c:pt>
                <c:pt idx="43">
                  <c:v>0.12878787878787878</c:v>
                </c:pt>
                <c:pt idx="44">
                  <c:v>9.8484848484848481E-2</c:v>
                </c:pt>
                <c:pt idx="45">
                  <c:v>0.15909090909090909</c:v>
                </c:pt>
                <c:pt idx="46">
                  <c:v>8.3333333333333329E-2</c:v>
                </c:pt>
                <c:pt idx="47">
                  <c:v>0.10606060606060606</c:v>
                </c:pt>
                <c:pt idx="48">
                  <c:v>0.13636363636363635</c:v>
                </c:pt>
                <c:pt idx="49">
                  <c:v>0.14393939393939395</c:v>
                </c:pt>
                <c:pt idx="50">
                  <c:v>0.14393939393939395</c:v>
                </c:pt>
                <c:pt idx="51">
                  <c:v>0.14393939393939395</c:v>
                </c:pt>
                <c:pt idx="52">
                  <c:v>0.14393939393939395</c:v>
                </c:pt>
                <c:pt idx="53">
                  <c:v>7.575757575757576E-2</c:v>
                </c:pt>
                <c:pt idx="54">
                  <c:v>4.5454545454545456E-2</c:v>
                </c:pt>
                <c:pt idx="55">
                  <c:v>0.13636363636363635</c:v>
                </c:pt>
                <c:pt idx="56">
                  <c:v>9.8484848484848481E-2</c:v>
                </c:pt>
                <c:pt idx="57">
                  <c:v>8.3333333333333329E-2</c:v>
                </c:pt>
                <c:pt idx="58">
                  <c:v>9.0909090909090912E-2</c:v>
                </c:pt>
                <c:pt idx="59">
                  <c:v>9.0909090909090912E-2</c:v>
                </c:pt>
                <c:pt idx="60">
                  <c:v>9.0909090909090912E-2</c:v>
                </c:pt>
                <c:pt idx="61">
                  <c:v>0.12878787878787878</c:v>
                </c:pt>
                <c:pt idx="62">
                  <c:v>6.8181818181818177E-2</c:v>
                </c:pt>
                <c:pt idx="63">
                  <c:v>6.0606060606060608E-2</c:v>
                </c:pt>
                <c:pt idx="64">
                  <c:v>4.5454545454545456E-2</c:v>
                </c:pt>
                <c:pt idx="65">
                  <c:v>8.3333333333333329E-2</c:v>
                </c:pt>
                <c:pt idx="66">
                  <c:v>0.15909090909090909</c:v>
                </c:pt>
                <c:pt idx="67">
                  <c:v>0.17424242424242425</c:v>
                </c:pt>
                <c:pt idx="68">
                  <c:v>5.3030303030303032E-2</c:v>
                </c:pt>
                <c:pt idx="69">
                  <c:v>5.3030303030303032E-2</c:v>
                </c:pt>
                <c:pt idx="70">
                  <c:v>9.8484848484848481E-2</c:v>
                </c:pt>
                <c:pt idx="71">
                  <c:v>0.21212121212121213</c:v>
                </c:pt>
                <c:pt idx="72">
                  <c:v>4.5454545454545456E-2</c:v>
                </c:pt>
                <c:pt idx="73">
                  <c:v>9.8484848484848481E-2</c:v>
                </c:pt>
                <c:pt idx="74">
                  <c:v>0.17424242424242425</c:v>
                </c:pt>
                <c:pt idx="75">
                  <c:v>0.10606060606060606</c:v>
                </c:pt>
                <c:pt idx="76">
                  <c:v>9.0909090909090912E-2</c:v>
                </c:pt>
                <c:pt idx="77">
                  <c:v>7.575757575757576E-3</c:v>
                </c:pt>
                <c:pt idx="78">
                  <c:v>7.575757575757576E-3</c:v>
                </c:pt>
                <c:pt idx="79">
                  <c:v>7.575757575757576E-3</c:v>
                </c:pt>
                <c:pt idx="80">
                  <c:v>7.575757575757576E-3</c:v>
                </c:pt>
                <c:pt idx="81">
                  <c:v>8.3333333333333329E-2</c:v>
                </c:pt>
                <c:pt idx="82">
                  <c:v>5.3030303030303032E-2</c:v>
                </c:pt>
                <c:pt idx="83">
                  <c:v>6.8181818181818177E-2</c:v>
                </c:pt>
                <c:pt idx="84">
                  <c:v>9.0909090909090912E-2</c:v>
                </c:pt>
                <c:pt idx="85">
                  <c:v>7.575757575757576E-2</c:v>
                </c:pt>
                <c:pt idx="86">
                  <c:v>7.575757575757576E-3</c:v>
                </c:pt>
                <c:pt idx="87">
                  <c:v>7.575757575757576E-3</c:v>
                </c:pt>
                <c:pt idx="88">
                  <c:v>7.575757575757576E-3</c:v>
                </c:pt>
                <c:pt idx="89">
                  <c:v>7.575757575757576E-3</c:v>
                </c:pt>
                <c:pt idx="90">
                  <c:v>7.575757575757576E-2</c:v>
                </c:pt>
                <c:pt idx="91">
                  <c:v>7.575757575757576E-2</c:v>
                </c:pt>
                <c:pt idx="92">
                  <c:v>8.3333333333333329E-2</c:v>
                </c:pt>
                <c:pt idx="93">
                  <c:v>5.3030303030303032E-2</c:v>
                </c:pt>
                <c:pt idx="94">
                  <c:v>3.0303030303030304E-2</c:v>
                </c:pt>
                <c:pt idx="95">
                  <c:v>3.0303030303030304E-2</c:v>
                </c:pt>
                <c:pt idx="96">
                  <c:v>3.0303030303030304E-2</c:v>
                </c:pt>
                <c:pt idx="97">
                  <c:v>3.787878787878788E-2</c:v>
                </c:pt>
                <c:pt idx="98">
                  <c:v>3.787878787878788E-2</c:v>
                </c:pt>
                <c:pt idx="99">
                  <c:v>3.787878787878788E-2</c:v>
                </c:pt>
                <c:pt idx="100">
                  <c:v>3.787878787878788E-2</c:v>
                </c:pt>
                <c:pt idx="101">
                  <c:v>3.787878787878788E-2</c:v>
                </c:pt>
                <c:pt idx="102">
                  <c:v>3.787878787878788E-2</c:v>
                </c:pt>
                <c:pt idx="103">
                  <c:v>3.787878787878788E-2</c:v>
                </c:pt>
                <c:pt idx="104">
                  <c:v>3.787878787878788E-2</c:v>
                </c:pt>
                <c:pt idx="105">
                  <c:v>6.0606060606060608E-2</c:v>
                </c:pt>
                <c:pt idx="106">
                  <c:v>6.0606060606060608E-2</c:v>
                </c:pt>
                <c:pt idx="107">
                  <c:v>5.3030303030303032E-2</c:v>
                </c:pt>
                <c:pt idx="108">
                  <c:v>5.3030303030303032E-2</c:v>
                </c:pt>
                <c:pt idx="109">
                  <c:v>5.3030303030303032E-2</c:v>
                </c:pt>
                <c:pt idx="110">
                  <c:v>5.3030303030303032E-2</c:v>
                </c:pt>
                <c:pt idx="111">
                  <c:v>6.8181818181818177E-2</c:v>
                </c:pt>
                <c:pt idx="112">
                  <c:v>6.8181818181818177E-2</c:v>
                </c:pt>
                <c:pt idx="113">
                  <c:v>7.575757575757576E-2</c:v>
                </c:pt>
                <c:pt idx="114">
                  <c:v>6.8181818181818177E-2</c:v>
                </c:pt>
                <c:pt idx="115">
                  <c:v>6.8181818181818177E-2</c:v>
                </c:pt>
                <c:pt idx="116">
                  <c:v>6.8181818181818177E-2</c:v>
                </c:pt>
                <c:pt idx="117">
                  <c:v>6.8181818181818177E-2</c:v>
                </c:pt>
                <c:pt idx="118">
                  <c:v>6.8181818181818177E-2</c:v>
                </c:pt>
                <c:pt idx="119">
                  <c:v>7.575757575757576E-2</c:v>
                </c:pt>
                <c:pt idx="120">
                  <c:v>0.11363636363636363</c:v>
                </c:pt>
                <c:pt idx="121">
                  <c:v>0.11363636363636363</c:v>
                </c:pt>
                <c:pt idx="122">
                  <c:v>0.11363636363636363</c:v>
                </c:pt>
                <c:pt idx="123">
                  <c:v>7.575757575757576E-2</c:v>
                </c:pt>
                <c:pt idx="124">
                  <c:v>0.10606060606060606</c:v>
                </c:pt>
                <c:pt idx="125">
                  <c:v>8.3333333333333329E-2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5.3030303030303032E-2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2.2727272727272728E-2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240-9B49-8421-83CBB7EC7D84}"/>
            </c:ext>
          </c:extLst>
        </c:ser>
        <c:ser>
          <c:idx val="15"/>
          <c:order val="15"/>
          <c:tx>
            <c:strRef>
              <c:f>'Todas Métricas Norm'!$R$194</c:f>
              <c:strCache>
                <c:ptCount val="1"/>
                <c:pt idx="0">
                  <c:v>MMI norm</c:v>
                </c:pt>
              </c:strCache>
            </c:strRef>
          </c:tx>
          <c:spPr>
            <a:solidFill>
              <a:srgbClr val="6CAFD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Norm'!$R$195:$R$380</c:f>
              <c:numCache>
                <c:formatCode>0.0000</c:formatCode>
                <c:ptCount val="186"/>
                <c:pt idx="0">
                  <c:v>0.30824852481197357</c:v>
                </c:pt>
                <c:pt idx="1">
                  <c:v>0.32448498920492269</c:v>
                </c:pt>
                <c:pt idx="2">
                  <c:v>0.39067426428520713</c:v>
                </c:pt>
                <c:pt idx="3">
                  <c:v>0.38990378391470842</c:v>
                </c:pt>
                <c:pt idx="4">
                  <c:v>0.4579858515582913</c:v>
                </c:pt>
                <c:pt idx="5">
                  <c:v>0.46138515248829659</c:v>
                </c:pt>
                <c:pt idx="6">
                  <c:v>0.45560446168687174</c:v>
                </c:pt>
                <c:pt idx="7">
                  <c:v>0.46460279544476968</c:v>
                </c:pt>
                <c:pt idx="8">
                  <c:v>0.44242486250370622</c:v>
                </c:pt>
                <c:pt idx="9">
                  <c:v>0.44630440865109561</c:v>
                </c:pt>
                <c:pt idx="10">
                  <c:v>0.5102396632437014</c:v>
                </c:pt>
                <c:pt idx="11">
                  <c:v>0.49422348524394372</c:v>
                </c:pt>
                <c:pt idx="12">
                  <c:v>0.51385403051018741</c:v>
                </c:pt>
                <c:pt idx="13">
                  <c:v>0.4732357252329189</c:v>
                </c:pt>
                <c:pt idx="14">
                  <c:v>0.55009897227523474</c:v>
                </c:pt>
                <c:pt idx="15">
                  <c:v>0.52092198729646999</c:v>
                </c:pt>
                <c:pt idx="16">
                  <c:v>0.52092198729646999</c:v>
                </c:pt>
                <c:pt idx="17">
                  <c:v>0.52092198729646999</c:v>
                </c:pt>
                <c:pt idx="18">
                  <c:v>0.59924685021778068</c:v>
                </c:pt>
                <c:pt idx="19">
                  <c:v>0.5782977186264151</c:v>
                </c:pt>
                <c:pt idx="20">
                  <c:v>0.53833922851737859</c:v>
                </c:pt>
                <c:pt idx="21">
                  <c:v>0.56901541378345533</c:v>
                </c:pt>
                <c:pt idx="22">
                  <c:v>0.60646618864867352</c:v>
                </c:pt>
                <c:pt idx="23">
                  <c:v>0.60802385357114508</c:v>
                </c:pt>
                <c:pt idx="24">
                  <c:v>0.53137045280859929</c:v>
                </c:pt>
                <c:pt idx="25">
                  <c:v>0.61959463127607406</c:v>
                </c:pt>
                <c:pt idx="26">
                  <c:v>0.70378683794020735</c:v>
                </c:pt>
                <c:pt idx="27">
                  <c:v>0.64843753262535442</c:v>
                </c:pt>
                <c:pt idx="28">
                  <c:v>0.62134543829684163</c:v>
                </c:pt>
                <c:pt idx="29">
                  <c:v>0.53059579639273202</c:v>
                </c:pt>
                <c:pt idx="30">
                  <c:v>0.6265717590755906</c:v>
                </c:pt>
                <c:pt idx="31">
                  <c:v>0.66427414067426427</c:v>
                </c:pt>
                <c:pt idx="32">
                  <c:v>0.59281052029349235</c:v>
                </c:pt>
                <c:pt idx="33">
                  <c:v>0.56858319308780969</c:v>
                </c:pt>
                <c:pt idx="34">
                  <c:v>0.6311059003345012</c:v>
                </c:pt>
                <c:pt idx="35">
                  <c:v>0.63493533393746782</c:v>
                </c:pt>
                <c:pt idx="36">
                  <c:v>0.63788988603572183</c:v>
                </c:pt>
                <c:pt idx="37">
                  <c:v>0.5972319083274521</c:v>
                </c:pt>
                <c:pt idx="38">
                  <c:v>0.59902969585861576</c:v>
                </c:pt>
                <c:pt idx="39">
                  <c:v>0.51463808302813396</c:v>
                </c:pt>
                <c:pt idx="40">
                  <c:v>0.51378825779563264</c:v>
                </c:pt>
                <c:pt idx="41">
                  <c:v>0.55122128446803442</c:v>
                </c:pt>
                <c:pt idx="42">
                  <c:v>0.52455723478979877</c:v>
                </c:pt>
                <c:pt idx="43">
                  <c:v>0.6082817243726536</c:v>
                </c:pt>
                <c:pt idx="44">
                  <c:v>0.65200596339278627</c:v>
                </c:pt>
                <c:pt idx="45">
                  <c:v>0.61031859050116721</c:v>
                </c:pt>
                <c:pt idx="46">
                  <c:v>0.63238063818325319</c:v>
                </c:pt>
                <c:pt idx="47">
                  <c:v>0.63319079098475317</c:v>
                </c:pt>
                <c:pt idx="48">
                  <c:v>0.60874004535185267</c:v>
                </c:pt>
                <c:pt idx="49">
                  <c:v>0.60032948997957913</c:v>
                </c:pt>
                <c:pt idx="50">
                  <c:v>0.60032948997957913</c:v>
                </c:pt>
                <c:pt idx="51">
                  <c:v>0.60116156701926404</c:v>
                </c:pt>
                <c:pt idx="52">
                  <c:v>0.60116156701926404</c:v>
                </c:pt>
                <c:pt idx="53">
                  <c:v>0.6627812044550051</c:v>
                </c:pt>
                <c:pt idx="54">
                  <c:v>0.75481602432128814</c:v>
                </c:pt>
                <c:pt idx="55">
                  <c:v>0.61707856394151861</c:v>
                </c:pt>
                <c:pt idx="56">
                  <c:v>0.62535757388468272</c:v>
                </c:pt>
                <c:pt idx="57">
                  <c:v>0.66838023728289775</c:v>
                </c:pt>
                <c:pt idx="58">
                  <c:v>0.63574548673896791</c:v>
                </c:pt>
                <c:pt idx="59">
                  <c:v>0.63516292841005428</c:v>
                </c:pt>
                <c:pt idx="60">
                  <c:v>0.63421496611139183</c:v>
                </c:pt>
                <c:pt idx="61">
                  <c:v>0.6062803546297727</c:v>
                </c:pt>
                <c:pt idx="62">
                  <c:v>0.72579564104384431</c:v>
                </c:pt>
                <c:pt idx="63">
                  <c:v>0.72044403890403863</c:v>
                </c:pt>
                <c:pt idx="64">
                  <c:v>0.77331590530399519</c:v>
                </c:pt>
                <c:pt idx="65">
                  <c:v>0.69210226299898514</c:v>
                </c:pt>
                <c:pt idx="66">
                  <c:v>0.60183286631225963</c:v>
                </c:pt>
                <c:pt idx="67">
                  <c:v>0.58389048738625493</c:v>
                </c:pt>
                <c:pt idx="68">
                  <c:v>0.71577417617064987</c:v>
                </c:pt>
                <c:pt idx="69">
                  <c:v>0.71577417617064987</c:v>
                </c:pt>
                <c:pt idx="70">
                  <c:v>0.70337340944872029</c:v>
                </c:pt>
                <c:pt idx="71">
                  <c:v>0.55992729505013339</c:v>
                </c:pt>
                <c:pt idx="72">
                  <c:v>0.75484108059349964</c:v>
                </c:pt>
                <c:pt idx="73">
                  <c:v>0.66676515173660844</c:v>
                </c:pt>
                <c:pt idx="74">
                  <c:v>0.57963927320106401</c:v>
                </c:pt>
                <c:pt idx="75">
                  <c:v>0.63978267859902027</c:v>
                </c:pt>
                <c:pt idx="76">
                  <c:v>0.66988048158155189</c:v>
                </c:pt>
                <c:pt idx="77">
                  <c:v>0.95803700811405612</c:v>
                </c:pt>
                <c:pt idx="78">
                  <c:v>0.95803700811405612</c:v>
                </c:pt>
                <c:pt idx="79">
                  <c:v>0.96788412309311334</c:v>
                </c:pt>
                <c:pt idx="80">
                  <c:v>0.96788412309311334</c:v>
                </c:pt>
                <c:pt idx="81">
                  <c:v>0.68264665227323018</c:v>
                </c:pt>
                <c:pt idx="82">
                  <c:v>0.72550122984536092</c:v>
                </c:pt>
                <c:pt idx="83">
                  <c:v>0.76067397196203135</c:v>
                </c:pt>
                <c:pt idx="84">
                  <c:v>0.64706256968775699</c:v>
                </c:pt>
                <c:pt idx="85">
                  <c:v>0.75025369475613979</c:v>
                </c:pt>
                <c:pt idx="86">
                  <c:v>1</c:v>
                </c:pt>
                <c:pt idx="87">
                  <c:v>1</c:v>
                </c:pt>
                <c:pt idx="88">
                  <c:v>0.9779943289303894</c:v>
                </c:pt>
                <c:pt idx="89">
                  <c:v>0.9779943289303894</c:v>
                </c:pt>
                <c:pt idx="90">
                  <c:v>0.69209077887422166</c:v>
                </c:pt>
                <c:pt idx="91">
                  <c:v>0.71283424023118591</c:v>
                </c:pt>
                <c:pt idx="92">
                  <c:v>0.69782344515390804</c:v>
                </c:pt>
                <c:pt idx="93">
                  <c:v>0.7328855220683117</c:v>
                </c:pt>
                <c:pt idx="94">
                  <c:v>0.83076993748460071</c:v>
                </c:pt>
                <c:pt idx="95">
                  <c:v>0.84088014332187699</c:v>
                </c:pt>
                <c:pt idx="96">
                  <c:v>0.84088014332187699</c:v>
                </c:pt>
                <c:pt idx="97">
                  <c:v>0.80869953771177772</c:v>
                </c:pt>
                <c:pt idx="98">
                  <c:v>0.80869953771177772</c:v>
                </c:pt>
                <c:pt idx="99">
                  <c:v>0.80869953771177772</c:v>
                </c:pt>
                <c:pt idx="100">
                  <c:v>0.80869953771177772</c:v>
                </c:pt>
                <c:pt idx="101">
                  <c:v>0.84081645863000642</c:v>
                </c:pt>
                <c:pt idx="102">
                  <c:v>0.84081645863000642</c:v>
                </c:pt>
                <c:pt idx="103">
                  <c:v>0.84081645863000642</c:v>
                </c:pt>
                <c:pt idx="104">
                  <c:v>0.84081645863000642</c:v>
                </c:pt>
                <c:pt idx="105">
                  <c:v>0.7523667737126295</c:v>
                </c:pt>
                <c:pt idx="106">
                  <c:v>0.74657877483180968</c:v>
                </c:pt>
                <c:pt idx="107">
                  <c:v>0.80753650907663455</c:v>
                </c:pt>
                <c:pt idx="108">
                  <c:v>0.80753650907663455</c:v>
                </c:pt>
                <c:pt idx="109">
                  <c:v>0.78553083800702417</c:v>
                </c:pt>
                <c:pt idx="110">
                  <c:v>0.78553083800702417</c:v>
                </c:pt>
                <c:pt idx="111">
                  <c:v>0.78268068704298399</c:v>
                </c:pt>
                <c:pt idx="112">
                  <c:v>0.78268068704298399</c:v>
                </c:pt>
                <c:pt idx="113">
                  <c:v>0.7401434889188635</c:v>
                </c:pt>
                <c:pt idx="114">
                  <c:v>0.76067397196203135</c:v>
                </c:pt>
                <c:pt idx="115">
                  <c:v>0.76067397196203135</c:v>
                </c:pt>
                <c:pt idx="116">
                  <c:v>0.76067397196203135</c:v>
                </c:pt>
                <c:pt idx="117">
                  <c:v>0.76067397196203135</c:v>
                </c:pt>
                <c:pt idx="118">
                  <c:v>0.76067397196203135</c:v>
                </c:pt>
                <c:pt idx="119">
                  <c:v>0.77225936582575028</c:v>
                </c:pt>
                <c:pt idx="120">
                  <c:v>0.73215680215149848</c:v>
                </c:pt>
                <c:pt idx="121">
                  <c:v>0.73215680215149848</c:v>
                </c:pt>
                <c:pt idx="122">
                  <c:v>0.73215680215149848</c:v>
                </c:pt>
                <c:pt idx="123">
                  <c:v>0.69996158038260925</c:v>
                </c:pt>
                <c:pt idx="124">
                  <c:v>0.66285219722627065</c:v>
                </c:pt>
                <c:pt idx="125">
                  <c:v>0.70340681781166869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0.78553083800702417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240-9B49-8421-83CBB7EC7D84}"/>
            </c:ext>
          </c:extLst>
        </c:ser>
        <c:ser>
          <c:idx val="16"/>
          <c:order val="16"/>
          <c:tx>
            <c:strRef>
              <c:f>'Todas Métricas Norm'!$S$194</c:f>
              <c:strCache>
                <c:ptCount val="1"/>
                <c:pt idx="0">
                  <c:v>MND norm</c:v>
                </c:pt>
              </c:strCache>
            </c:strRef>
          </c:tx>
          <c:spPr>
            <a:solidFill>
              <a:srgbClr val="B171A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Norm'!$S$195:$S$380</c:f>
              <c:numCache>
                <c:formatCode>0.0000</c:formatCode>
                <c:ptCount val="18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0.83333333333333337</c:v>
                </c:pt>
                <c:pt idx="9">
                  <c:v>0.83333333333333337</c:v>
                </c:pt>
                <c:pt idx="10">
                  <c:v>0.33333333333333331</c:v>
                </c:pt>
                <c:pt idx="11">
                  <c:v>0.33333333333333331</c:v>
                </c:pt>
                <c:pt idx="12">
                  <c:v>0.5</c:v>
                </c:pt>
                <c:pt idx="13">
                  <c:v>0.33333333333333331</c:v>
                </c:pt>
                <c:pt idx="14">
                  <c:v>0.5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0.16666666666666666</c:v>
                </c:pt>
                <c:pt idx="19">
                  <c:v>0.16666666666666666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0.16666666666666666</c:v>
                </c:pt>
                <c:pt idx="23">
                  <c:v>0.33333333333333331</c:v>
                </c:pt>
                <c:pt idx="24">
                  <c:v>0.5</c:v>
                </c:pt>
                <c:pt idx="25">
                  <c:v>0.33333333333333331</c:v>
                </c:pt>
                <c:pt idx="26">
                  <c:v>0.16666666666666666</c:v>
                </c:pt>
                <c:pt idx="27">
                  <c:v>0.16666666666666666</c:v>
                </c:pt>
                <c:pt idx="28">
                  <c:v>0.16666666666666666</c:v>
                </c:pt>
                <c:pt idx="29">
                  <c:v>0.5</c:v>
                </c:pt>
                <c:pt idx="30">
                  <c:v>0.5</c:v>
                </c:pt>
                <c:pt idx="31">
                  <c:v>0.16666666666666666</c:v>
                </c:pt>
                <c:pt idx="32">
                  <c:v>0.33333333333333331</c:v>
                </c:pt>
                <c:pt idx="33">
                  <c:v>0.16666666666666666</c:v>
                </c:pt>
                <c:pt idx="34">
                  <c:v>0.16666666666666666</c:v>
                </c:pt>
                <c:pt idx="35">
                  <c:v>0.16666666666666666</c:v>
                </c:pt>
                <c:pt idx="36">
                  <c:v>0.33333333333333331</c:v>
                </c:pt>
                <c:pt idx="37">
                  <c:v>0.16666666666666666</c:v>
                </c:pt>
                <c:pt idx="38">
                  <c:v>0.16666666666666666</c:v>
                </c:pt>
                <c:pt idx="39">
                  <c:v>0.33333333333333331</c:v>
                </c:pt>
                <c:pt idx="40">
                  <c:v>0.33333333333333331</c:v>
                </c:pt>
                <c:pt idx="41">
                  <c:v>0.5</c:v>
                </c:pt>
                <c:pt idx="42">
                  <c:v>0.33333333333333331</c:v>
                </c:pt>
                <c:pt idx="43">
                  <c:v>0.33333333333333331</c:v>
                </c:pt>
                <c:pt idx="44">
                  <c:v>0.16666666666666666</c:v>
                </c:pt>
                <c:pt idx="45">
                  <c:v>0.33333333333333331</c:v>
                </c:pt>
                <c:pt idx="46">
                  <c:v>0.16666666666666666</c:v>
                </c:pt>
                <c:pt idx="47">
                  <c:v>0.16666666666666666</c:v>
                </c:pt>
                <c:pt idx="48">
                  <c:v>0.33333333333333331</c:v>
                </c:pt>
                <c:pt idx="49">
                  <c:v>0.16666666666666666</c:v>
                </c:pt>
                <c:pt idx="50">
                  <c:v>0.16666666666666666</c:v>
                </c:pt>
                <c:pt idx="51">
                  <c:v>0.16666666666666666</c:v>
                </c:pt>
                <c:pt idx="52">
                  <c:v>0.16666666666666666</c:v>
                </c:pt>
                <c:pt idx="53">
                  <c:v>0.33333333333333331</c:v>
                </c:pt>
                <c:pt idx="54">
                  <c:v>0.33333333333333331</c:v>
                </c:pt>
                <c:pt idx="55">
                  <c:v>0.16666666666666666</c:v>
                </c:pt>
                <c:pt idx="56">
                  <c:v>0.33333333333333331</c:v>
                </c:pt>
                <c:pt idx="57">
                  <c:v>0.16666666666666666</c:v>
                </c:pt>
                <c:pt idx="58">
                  <c:v>0.33333333333333331</c:v>
                </c:pt>
                <c:pt idx="59">
                  <c:v>0.33333333333333331</c:v>
                </c:pt>
                <c:pt idx="60">
                  <c:v>0.33333333333333331</c:v>
                </c:pt>
                <c:pt idx="61">
                  <c:v>0.33333333333333331</c:v>
                </c:pt>
                <c:pt idx="62">
                  <c:v>0.16666666666666666</c:v>
                </c:pt>
                <c:pt idx="63">
                  <c:v>0.16666666666666666</c:v>
                </c:pt>
                <c:pt idx="64">
                  <c:v>0.16666666666666666</c:v>
                </c:pt>
                <c:pt idx="65">
                  <c:v>0.16666666666666666</c:v>
                </c:pt>
                <c:pt idx="66">
                  <c:v>0.16666666666666666</c:v>
                </c:pt>
                <c:pt idx="67">
                  <c:v>0.33333333333333331</c:v>
                </c:pt>
                <c:pt idx="68">
                  <c:v>0.16666666666666666</c:v>
                </c:pt>
                <c:pt idx="69">
                  <c:v>0.16666666666666666</c:v>
                </c:pt>
                <c:pt idx="70">
                  <c:v>0.16666666666666666</c:v>
                </c:pt>
                <c:pt idx="71">
                  <c:v>0.33333333333333331</c:v>
                </c:pt>
                <c:pt idx="72">
                  <c:v>0.16666666666666666</c:v>
                </c:pt>
                <c:pt idx="73">
                  <c:v>0.16666666666666666</c:v>
                </c:pt>
                <c:pt idx="74">
                  <c:v>0.33333333333333331</c:v>
                </c:pt>
                <c:pt idx="75">
                  <c:v>0.16666666666666666</c:v>
                </c:pt>
                <c:pt idx="76">
                  <c:v>0.16666666666666666</c:v>
                </c:pt>
                <c:pt idx="77">
                  <c:v>0.16666666666666666</c:v>
                </c:pt>
                <c:pt idx="78">
                  <c:v>0.16666666666666666</c:v>
                </c:pt>
                <c:pt idx="79">
                  <c:v>0.16666666666666666</c:v>
                </c:pt>
                <c:pt idx="80">
                  <c:v>0.16666666666666666</c:v>
                </c:pt>
                <c:pt idx="81">
                  <c:v>0.16666666666666666</c:v>
                </c:pt>
                <c:pt idx="82">
                  <c:v>0.16666666666666666</c:v>
                </c:pt>
                <c:pt idx="83">
                  <c:v>0.16666666666666666</c:v>
                </c:pt>
                <c:pt idx="84">
                  <c:v>0.16666666666666666</c:v>
                </c:pt>
                <c:pt idx="85">
                  <c:v>0.16666666666666666</c:v>
                </c:pt>
                <c:pt idx="86">
                  <c:v>0.16666666666666666</c:v>
                </c:pt>
                <c:pt idx="87">
                  <c:v>0.16666666666666666</c:v>
                </c:pt>
                <c:pt idx="88">
                  <c:v>0.16666666666666666</c:v>
                </c:pt>
                <c:pt idx="89">
                  <c:v>0.16666666666666666</c:v>
                </c:pt>
                <c:pt idx="90">
                  <c:v>0.16666666666666666</c:v>
                </c:pt>
                <c:pt idx="91">
                  <c:v>0.16666666666666666</c:v>
                </c:pt>
                <c:pt idx="92">
                  <c:v>0.16666666666666666</c:v>
                </c:pt>
                <c:pt idx="93">
                  <c:v>0.16666666666666666</c:v>
                </c:pt>
                <c:pt idx="94">
                  <c:v>0.16666666666666666</c:v>
                </c:pt>
                <c:pt idx="95">
                  <c:v>0.16666666666666666</c:v>
                </c:pt>
                <c:pt idx="96">
                  <c:v>0.16666666666666666</c:v>
                </c:pt>
                <c:pt idx="97">
                  <c:v>0.16666666666666666</c:v>
                </c:pt>
                <c:pt idx="98">
                  <c:v>0.16666666666666666</c:v>
                </c:pt>
                <c:pt idx="99">
                  <c:v>0.16666666666666666</c:v>
                </c:pt>
                <c:pt idx="100">
                  <c:v>0.16666666666666666</c:v>
                </c:pt>
                <c:pt idx="101">
                  <c:v>0.16666666666666666</c:v>
                </c:pt>
                <c:pt idx="102">
                  <c:v>0.16666666666666666</c:v>
                </c:pt>
                <c:pt idx="103">
                  <c:v>0.16666666666666666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0.16666666666666666</c:v>
                </c:pt>
                <c:pt idx="107">
                  <c:v>0.16666666666666666</c:v>
                </c:pt>
                <c:pt idx="108">
                  <c:v>0.16666666666666666</c:v>
                </c:pt>
                <c:pt idx="109">
                  <c:v>0.16666666666666666</c:v>
                </c:pt>
                <c:pt idx="110">
                  <c:v>0.16666666666666666</c:v>
                </c:pt>
                <c:pt idx="111">
                  <c:v>0.16666666666666666</c:v>
                </c:pt>
                <c:pt idx="112">
                  <c:v>0.16666666666666666</c:v>
                </c:pt>
                <c:pt idx="113">
                  <c:v>0.16666666666666666</c:v>
                </c:pt>
                <c:pt idx="114">
                  <c:v>0.16666666666666666</c:v>
                </c:pt>
                <c:pt idx="115">
                  <c:v>0.16666666666666666</c:v>
                </c:pt>
                <c:pt idx="116">
                  <c:v>0.16666666666666666</c:v>
                </c:pt>
                <c:pt idx="117">
                  <c:v>0.16666666666666666</c:v>
                </c:pt>
                <c:pt idx="118">
                  <c:v>0.16666666666666666</c:v>
                </c:pt>
                <c:pt idx="119">
                  <c:v>0.16666666666666666</c:v>
                </c:pt>
                <c:pt idx="120">
                  <c:v>0.16666666666666666</c:v>
                </c:pt>
                <c:pt idx="121">
                  <c:v>0.16666666666666666</c:v>
                </c:pt>
                <c:pt idx="122">
                  <c:v>0.16666666666666666</c:v>
                </c:pt>
                <c:pt idx="123">
                  <c:v>0.16666666666666666</c:v>
                </c:pt>
                <c:pt idx="124">
                  <c:v>0.16666666666666666</c:v>
                </c:pt>
                <c:pt idx="125">
                  <c:v>0.16666666666666666</c:v>
                </c:pt>
                <c:pt idx="126">
                  <c:v>0.16666666666666666</c:v>
                </c:pt>
                <c:pt idx="127">
                  <c:v>0.16666666666666666</c:v>
                </c:pt>
                <c:pt idx="128">
                  <c:v>0.16666666666666666</c:v>
                </c:pt>
                <c:pt idx="129">
                  <c:v>0.16666666666666666</c:v>
                </c:pt>
                <c:pt idx="130">
                  <c:v>0.16666666666666666</c:v>
                </c:pt>
                <c:pt idx="131">
                  <c:v>0.16666666666666666</c:v>
                </c:pt>
                <c:pt idx="132">
                  <c:v>0.16666666666666666</c:v>
                </c:pt>
                <c:pt idx="133">
                  <c:v>0.16666666666666666</c:v>
                </c:pt>
                <c:pt idx="134">
                  <c:v>0.16666666666666666</c:v>
                </c:pt>
                <c:pt idx="135">
                  <c:v>0.16666666666666666</c:v>
                </c:pt>
                <c:pt idx="136">
                  <c:v>0.16666666666666666</c:v>
                </c:pt>
                <c:pt idx="137">
                  <c:v>0.16666666666666666</c:v>
                </c:pt>
                <c:pt idx="138">
                  <c:v>0.16666666666666666</c:v>
                </c:pt>
                <c:pt idx="139">
                  <c:v>0.16666666666666666</c:v>
                </c:pt>
                <c:pt idx="140">
                  <c:v>0.16666666666666666</c:v>
                </c:pt>
                <c:pt idx="141">
                  <c:v>0.16666666666666666</c:v>
                </c:pt>
                <c:pt idx="142">
                  <c:v>0.16666666666666666</c:v>
                </c:pt>
                <c:pt idx="143">
                  <c:v>0.16666666666666666</c:v>
                </c:pt>
                <c:pt idx="144">
                  <c:v>0.16666666666666666</c:v>
                </c:pt>
                <c:pt idx="145">
                  <c:v>0.16666666666666666</c:v>
                </c:pt>
                <c:pt idx="146">
                  <c:v>0.16666666666666666</c:v>
                </c:pt>
                <c:pt idx="147">
                  <c:v>0.16666666666666666</c:v>
                </c:pt>
                <c:pt idx="148">
                  <c:v>0.16666666666666666</c:v>
                </c:pt>
                <c:pt idx="149">
                  <c:v>0.16666666666666666</c:v>
                </c:pt>
                <c:pt idx="150">
                  <c:v>0.16666666666666666</c:v>
                </c:pt>
                <c:pt idx="151">
                  <c:v>0.16666666666666666</c:v>
                </c:pt>
                <c:pt idx="152">
                  <c:v>0.16666666666666666</c:v>
                </c:pt>
                <c:pt idx="153">
                  <c:v>0.16666666666666666</c:v>
                </c:pt>
                <c:pt idx="154">
                  <c:v>0.16666666666666666</c:v>
                </c:pt>
                <c:pt idx="155">
                  <c:v>0.16666666666666666</c:v>
                </c:pt>
                <c:pt idx="156">
                  <c:v>0.16666666666666666</c:v>
                </c:pt>
                <c:pt idx="157">
                  <c:v>0.16666666666666666</c:v>
                </c:pt>
                <c:pt idx="158">
                  <c:v>0.16666666666666666</c:v>
                </c:pt>
                <c:pt idx="159">
                  <c:v>0.16666666666666666</c:v>
                </c:pt>
                <c:pt idx="160">
                  <c:v>0.16666666666666666</c:v>
                </c:pt>
                <c:pt idx="161">
                  <c:v>0.16666666666666666</c:v>
                </c:pt>
                <c:pt idx="162">
                  <c:v>0</c:v>
                </c:pt>
                <c:pt idx="163">
                  <c:v>0.16666666666666666</c:v>
                </c:pt>
                <c:pt idx="164">
                  <c:v>0.16666666666666666</c:v>
                </c:pt>
                <c:pt idx="165">
                  <c:v>0.16666666666666666</c:v>
                </c:pt>
                <c:pt idx="166">
                  <c:v>0.16666666666666666</c:v>
                </c:pt>
                <c:pt idx="167">
                  <c:v>0.16666666666666666</c:v>
                </c:pt>
                <c:pt idx="168">
                  <c:v>0.16666666666666666</c:v>
                </c:pt>
                <c:pt idx="169">
                  <c:v>0.16666666666666666</c:v>
                </c:pt>
                <c:pt idx="170">
                  <c:v>0.16666666666666666</c:v>
                </c:pt>
                <c:pt idx="171">
                  <c:v>0.16666666666666666</c:v>
                </c:pt>
                <c:pt idx="172">
                  <c:v>0.16666666666666666</c:v>
                </c:pt>
                <c:pt idx="173">
                  <c:v>0.16666666666666666</c:v>
                </c:pt>
                <c:pt idx="174">
                  <c:v>0.16666666666666666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0.16666666666666666</c:v>
                </c:pt>
                <c:pt idx="178">
                  <c:v>0.16666666666666666</c:v>
                </c:pt>
                <c:pt idx="179">
                  <c:v>0.16666666666666666</c:v>
                </c:pt>
                <c:pt idx="180">
                  <c:v>0.16666666666666666</c:v>
                </c:pt>
                <c:pt idx="181">
                  <c:v>0.16666666666666666</c:v>
                </c:pt>
                <c:pt idx="182">
                  <c:v>0.16666666666666666</c:v>
                </c:pt>
                <c:pt idx="183">
                  <c:v>0.16666666666666666</c:v>
                </c:pt>
                <c:pt idx="184">
                  <c:v>0.16666666666666666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40-9B49-8421-83CBB7EC7D84}"/>
            </c:ext>
          </c:extLst>
        </c:ser>
        <c:ser>
          <c:idx val="17"/>
          <c:order val="17"/>
          <c:tx>
            <c:strRef>
              <c:f>'Todas Métricas Norm'!$T$194</c:f>
              <c:strCache>
                <c:ptCount val="1"/>
                <c:pt idx="0">
                  <c:v>NOAV norm</c:v>
                </c:pt>
              </c:strCache>
            </c:strRef>
          </c:tx>
          <c:spPr>
            <a:solidFill>
              <a:srgbClr val="7DB67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Norm'!$T$195:$T$380</c:f>
              <c:numCache>
                <c:formatCode>0.0000</c:formatCode>
                <c:ptCount val="186"/>
                <c:pt idx="0">
                  <c:v>1</c:v>
                </c:pt>
                <c:pt idx="1">
                  <c:v>0.77419354838709675</c:v>
                </c:pt>
                <c:pt idx="2">
                  <c:v>0.90322580645161288</c:v>
                </c:pt>
                <c:pt idx="3">
                  <c:v>0.67741935483870963</c:v>
                </c:pt>
                <c:pt idx="4">
                  <c:v>0.70967741935483875</c:v>
                </c:pt>
                <c:pt idx="5">
                  <c:v>0.61290322580645162</c:v>
                </c:pt>
                <c:pt idx="6">
                  <c:v>0.4838709677419355</c:v>
                </c:pt>
                <c:pt idx="7">
                  <c:v>0.4838709677419355</c:v>
                </c:pt>
                <c:pt idx="8">
                  <c:v>0.25806451612903225</c:v>
                </c:pt>
                <c:pt idx="9">
                  <c:v>0.25806451612903225</c:v>
                </c:pt>
                <c:pt idx="10">
                  <c:v>0.54838709677419351</c:v>
                </c:pt>
                <c:pt idx="11">
                  <c:v>0.45161290322580644</c:v>
                </c:pt>
                <c:pt idx="12">
                  <c:v>0.25806451612903225</c:v>
                </c:pt>
                <c:pt idx="13">
                  <c:v>0.41935483870967744</c:v>
                </c:pt>
                <c:pt idx="14">
                  <c:v>0.22580645161290322</c:v>
                </c:pt>
                <c:pt idx="15">
                  <c:v>0.32258064516129031</c:v>
                </c:pt>
                <c:pt idx="16">
                  <c:v>0.32258064516129031</c:v>
                </c:pt>
                <c:pt idx="17">
                  <c:v>0.32258064516129031</c:v>
                </c:pt>
                <c:pt idx="18">
                  <c:v>0.29032258064516131</c:v>
                </c:pt>
                <c:pt idx="19">
                  <c:v>0.12903225806451613</c:v>
                </c:pt>
                <c:pt idx="20">
                  <c:v>0.25806451612903225</c:v>
                </c:pt>
                <c:pt idx="21">
                  <c:v>0.25806451612903225</c:v>
                </c:pt>
                <c:pt idx="22">
                  <c:v>0.12903225806451613</c:v>
                </c:pt>
                <c:pt idx="23">
                  <c:v>0.12903225806451613</c:v>
                </c:pt>
                <c:pt idx="24">
                  <c:v>0.29032258064516131</c:v>
                </c:pt>
                <c:pt idx="25">
                  <c:v>9.6774193548387094E-2</c:v>
                </c:pt>
                <c:pt idx="26">
                  <c:v>9.6774193548387094E-2</c:v>
                </c:pt>
                <c:pt idx="27">
                  <c:v>9.6774193548387094E-2</c:v>
                </c:pt>
                <c:pt idx="28">
                  <c:v>9.6774193548387094E-2</c:v>
                </c:pt>
                <c:pt idx="29">
                  <c:v>0.19354838709677419</c:v>
                </c:pt>
                <c:pt idx="30">
                  <c:v>0.16129032258064516</c:v>
                </c:pt>
                <c:pt idx="31">
                  <c:v>0.22580645161290322</c:v>
                </c:pt>
                <c:pt idx="32">
                  <c:v>0.12903225806451613</c:v>
                </c:pt>
                <c:pt idx="33">
                  <c:v>0.38709677419354838</c:v>
                </c:pt>
                <c:pt idx="34">
                  <c:v>9.6774193548387094E-2</c:v>
                </c:pt>
                <c:pt idx="35">
                  <c:v>9.6774193548387094E-2</c:v>
                </c:pt>
                <c:pt idx="36">
                  <c:v>0.19354838709677419</c:v>
                </c:pt>
                <c:pt idx="37">
                  <c:v>6.4516129032258063E-2</c:v>
                </c:pt>
                <c:pt idx="38">
                  <c:v>6.4516129032258063E-2</c:v>
                </c:pt>
                <c:pt idx="39">
                  <c:v>0.25806451612903225</c:v>
                </c:pt>
                <c:pt idx="40">
                  <c:v>0.29032258064516131</c:v>
                </c:pt>
                <c:pt idx="41">
                  <c:v>0.16129032258064516</c:v>
                </c:pt>
                <c:pt idx="42">
                  <c:v>0.25806451612903225</c:v>
                </c:pt>
                <c:pt idx="43">
                  <c:v>0.25806451612903225</c:v>
                </c:pt>
                <c:pt idx="44">
                  <c:v>0.19354838709677419</c:v>
                </c:pt>
                <c:pt idx="45">
                  <c:v>6.4516129032258063E-2</c:v>
                </c:pt>
                <c:pt idx="46">
                  <c:v>0.29032258064516131</c:v>
                </c:pt>
                <c:pt idx="47">
                  <c:v>0.32258064516129031</c:v>
                </c:pt>
                <c:pt idx="48">
                  <c:v>0.12903225806451613</c:v>
                </c:pt>
                <c:pt idx="49">
                  <c:v>6.4516129032258063E-2</c:v>
                </c:pt>
                <c:pt idx="50">
                  <c:v>6.4516129032258063E-2</c:v>
                </c:pt>
                <c:pt idx="51">
                  <c:v>6.4516129032258063E-2</c:v>
                </c:pt>
                <c:pt idx="52">
                  <c:v>6.4516129032258063E-2</c:v>
                </c:pt>
                <c:pt idx="53">
                  <c:v>0.22580645161290322</c:v>
                </c:pt>
                <c:pt idx="54">
                  <c:v>3.2258064516129031E-2</c:v>
                </c:pt>
                <c:pt idx="55">
                  <c:v>3.2258064516129031E-2</c:v>
                </c:pt>
                <c:pt idx="56">
                  <c:v>9.6774193548387094E-2</c:v>
                </c:pt>
                <c:pt idx="57">
                  <c:v>9.6774193548387094E-2</c:v>
                </c:pt>
                <c:pt idx="58">
                  <c:v>6.4516129032258063E-2</c:v>
                </c:pt>
                <c:pt idx="59">
                  <c:v>6.4516129032258063E-2</c:v>
                </c:pt>
                <c:pt idx="60">
                  <c:v>6.4516129032258063E-2</c:v>
                </c:pt>
                <c:pt idx="61">
                  <c:v>0.12903225806451613</c:v>
                </c:pt>
                <c:pt idx="62">
                  <c:v>0.12903225806451613</c:v>
                </c:pt>
                <c:pt idx="63">
                  <c:v>9.6774193548387094E-2</c:v>
                </c:pt>
                <c:pt idx="64">
                  <c:v>6.4516129032258063E-2</c:v>
                </c:pt>
                <c:pt idx="65">
                  <c:v>9.6774193548387094E-2</c:v>
                </c:pt>
                <c:pt idx="66">
                  <c:v>6.4516129032258063E-2</c:v>
                </c:pt>
                <c:pt idx="67">
                  <c:v>0.12903225806451613</c:v>
                </c:pt>
                <c:pt idx="68">
                  <c:v>0.16129032258064516</c:v>
                </c:pt>
                <c:pt idx="69">
                  <c:v>0.16129032258064516</c:v>
                </c:pt>
                <c:pt idx="70">
                  <c:v>3.2258064516129031E-2</c:v>
                </c:pt>
                <c:pt idx="71">
                  <c:v>0.19354838709677419</c:v>
                </c:pt>
                <c:pt idx="72">
                  <c:v>0.19354838709677419</c:v>
                </c:pt>
                <c:pt idx="73">
                  <c:v>0.19354838709677419</c:v>
                </c:pt>
                <c:pt idx="74">
                  <c:v>0.19354838709677419</c:v>
                </c:pt>
                <c:pt idx="75">
                  <c:v>0.16129032258064516</c:v>
                </c:pt>
                <c:pt idx="76">
                  <c:v>9.6774193548387094E-2</c:v>
                </c:pt>
                <c:pt idx="77">
                  <c:v>6.4516129032258063E-2</c:v>
                </c:pt>
                <c:pt idx="78">
                  <c:v>6.4516129032258063E-2</c:v>
                </c:pt>
                <c:pt idx="79">
                  <c:v>6.4516129032258063E-2</c:v>
                </c:pt>
                <c:pt idx="80">
                  <c:v>6.4516129032258063E-2</c:v>
                </c:pt>
                <c:pt idx="81">
                  <c:v>6.4516129032258063E-2</c:v>
                </c:pt>
                <c:pt idx="82">
                  <c:v>9.6774193548387094E-2</c:v>
                </c:pt>
                <c:pt idx="83">
                  <c:v>6.4516129032258063E-2</c:v>
                </c:pt>
                <c:pt idx="84">
                  <c:v>6.4516129032258063E-2</c:v>
                </c:pt>
                <c:pt idx="85">
                  <c:v>0</c:v>
                </c:pt>
                <c:pt idx="86">
                  <c:v>3.2258064516129031E-2</c:v>
                </c:pt>
                <c:pt idx="87">
                  <c:v>3.2258064516129031E-2</c:v>
                </c:pt>
                <c:pt idx="88">
                  <c:v>3.2258064516129031E-2</c:v>
                </c:pt>
                <c:pt idx="89">
                  <c:v>3.2258064516129031E-2</c:v>
                </c:pt>
                <c:pt idx="90">
                  <c:v>9.6774193548387094E-2</c:v>
                </c:pt>
                <c:pt idx="91">
                  <c:v>9.6774193548387094E-2</c:v>
                </c:pt>
                <c:pt idx="92">
                  <c:v>6.4516129032258063E-2</c:v>
                </c:pt>
                <c:pt idx="93">
                  <c:v>3.2258064516129031E-2</c:v>
                </c:pt>
                <c:pt idx="94">
                  <c:v>3.2258064516129031E-2</c:v>
                </c:pt>
                <c:pt idx="95">
                  <c:v>3.2258064516129031E-2</c:v>
                </c:pt>
                <c:pt idx="96">
                  <c:v>3.2258064516129031E-2</c:v>
                </c:pt>
                <c:pt idx="97">
                  <c:v>3.2258064516129031E-2</c:v>
                </c:pt>
                <c:pt idx="98">
                  <c:v>3.2258064516129031E-2</c:v>
                </c:pt>
                <c:pt idx="99">
                  <c:v>3.2258064516129031E-2</c:v>
                </c:pt>
                <c:pt idx="100">
                  <c:v>3.2258064516129031E-2</c:v>
                </c:pt>
                <c:pt idx="101">
                  <c:v>3.2258064516129031E-2</c:v>
                </c:pt>
                <c:pt idx="102">
                  <c:v>3.2258064516129031E-2</c:v>
                </c:pt>
                <c:pt idx="103">
                  <c:v>3.2258064516129031E-2</c:v>
                </c:pt>
                <c:pt idx="104">
                  <c:v>3.2258064516129031E-2</c:v>
                </c:pt>
                <c:pt idx="105">
                  <c:v>3.2258064516129031E-2</c:v>
                </c:pt>
                <c:pt idx="106">
                  <c:v>3.2258064516129031E-2</c:v>
                </c:pt>
                <c:pt idx="107">
                  <c:v>3.2258064516129031E-2</c:v>
                </c:pt>
                <c:pt idx="108">
                  <c:v>3.2258064516129031E-2</c:v>
                </c:pt>
                <c:pt idx="109">
                  <c:v>3.2258064516129031E-2</c:v>
                </c:pt>
                <c:pt idx="110">
                  <c:v>3.2258064516129031E-2</c:v>
                </c:pt>
                <c:pt idx="111">
                  <c:v>3.2258064516129031E-2</c:v>
                </c:pt>
                <c:pt idx="112">
                  <c:v>3.2258064516129031E-2</c:v>
                </c:pt>
                <c:pt idx="113">
                  <c:v>3.2258064516129031E-2</c:v>
                </c:pt>
                <c:pt idx="114">
                  <c:v>3.2258064516129031E-2</c:v>
                </c:pt>
                <c:pt idx="115">
                  <c:v>3.2258064516129031E-2</c:v>
                </c:pt>
                <c:pt idx="116">
                  <c:v>3.2258064516129031E-2</c:v>
                </c:pt>
                <c:pt idx="117">
                  <c:v>3.2258064516129031E-2</c:v>
                </c:pt>
                <c:pt idx="118">
                  <c:v>3.2258064516129031E-2</c:v>
                </c:pt>
                <c:pt idx="119">
                  <c:v>3.2258064516129031E-2</c:v>
                </c:pt>
                <c:pt idx="120">
                  <c:v>3.2258064516129031E-2</c:v>
                </c:pt>
                <c:pt idx="121">
                  <c:v>3.2258064516129031E-2</c:v>
                </c:pt>
                <c:pt idx="122">
                  <c:v>3.2258064516129031E-2</c:v>
                </c:pt>
                <c:pt idx="123">
                  <c:v>9.6774193548387094E-2</c:v>
                </c:pt>
                <c:pt idx="124">
                  <c:v>3.2258064516129031E-2</c:v>
                </c:pt>
                <c:pt idx="125">
                  <c:v>3.2258064516129031E-2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240-9B49-8421-83CBB7EC7D84}"/>
            </c:ext>
          </c:extLst>
        </c:ser>
        <c:ser>
          <c:idx val="18"/>
          <c:order val="18"/>
          <c:tx>
            <c:strRef>
              <c:f>'Todas Métricas Norm'!$U$194</c:f>
              <c:strCache>
                <c:ptCount val="1"/>
                <c:pt idx="0">
                  <c:v>NOL norm</c:v>
                </c:pt>
              </c:strCache>
            </c:strRef>
          </c:tx>
          <c:spPr>
            <a:solidFill>
              <a:srgbClr val="AFB9C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Norm'!$U$195:$U$380</c:f>
              <c:numCache>
                <c:formatCode>0.0000</c:formatCode>
                <c:ptCount val="186"/>
                <c:pt idx="0">
                  <c:v>0.41666666666666669</c:v>
                </c:pt>
                <c:pt idx="1">
                  <c:v>0.16666666666666666</c:v>
                </c:pt>
                <c:pt idx="2">
                  <c:v>1</c:v>
                </c:pt>
                <c:pt idx="3">
                  <c:v>0.16666666666666666</c:v>
                </c:pt>
                <c:pt idx="4">
                  <c:v>0.75</c:v>
                </c:pt>
                <c:pt idx="5">
                  <c:v>0.25</c:v>
                </c:pt>
                <c:pt idx="6">
                  <c:v>0.5</c:v>
                </c:pt>
                <c:pt idx="7">
                  <c:v>0.5</c:v>
                </c:pt>
                <c:pt idx="8">
                  <c:v>0.16666666666666666</c:v>
                </c:pt>
                <c:pt idx="9">
                  <c:v>0.16666666666666666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8.3333333333333329E-2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</c:v>
                </c:pt>
                <c:pt idx="19">
                  <c:v>0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0.16666666666666666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0</c:v>
                </c:pt>
                <c:pt idx="32">
                  <c:v>8.3333333333333329E-2</c:v>
                </c:pt>
                <c:pt idx="33">
                  <c:v>0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0</c:v>
                </c:pt>
                <c:pt idx="37">
                  <c:v>8.3333333333333329E-2</c:v>
                </c:pt>
                <c:pt idx="38">
                  <c:v>8.3333333333333329E-2</c:v>
                </c:pt>
                <c:pt idx="39">
                  <c:v>8.3333333333333329E-2</c:v>
                </c:pt>
                <c:pt idx="40">
                  <c:v>0</c:v>
                </c:pt>
                <c:pt idx="41">
                  <c:v>8.3333333333333329E-2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8.3333333333333329E-2</c:v>
                </c:pt>
                <c:pt idx="50">
                  <c:v>8.3333333333333329E-2</c:v>
                </c:pt>
                <c:pt idx="51">
                  <c:v>8.3333333333333329E-2</c:v>
                </c:pt>
                <c:pt idx="52">
                  <c:v>8.3333333333333329E-2</c:v>
                </c:pt>
                <c:pt idx="53">
                  <c:v>8.3333333333333329E-2</c:v>
                </c:pt>
                <c:pt idx="54">
                  <c:v>0</c:v>
                </c:pt>
                <c:pt idx="55">
                  <c:v>8.3333333333333329E-2</c:v>
                </c:pt>
                <c:pt idx="56">
                  <c:v>0.16666666666666666</c:v>
                </c:pt>
                <c:pt idx="57">
                  <c:v>0</c:v>
                </c:pt>
                <c:pt idx="58">
                  <c:v>8.3333333333333329E-2</c:v>
                </c:pt>
                <c:pt idx="59">
                  <c:v>8.3333333333333329E-2</c:v>
                </c:pt>
                <c:pt idx="60">
                  <c:v>8.3333333333333329E-2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8.3333333333333329E-2</c:v>
                </c:pt>
                <c:pt idx="66">
                  <c:v>8.3333333333333329E-2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8.3333333333333329E-2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0.33333333333333331</c:v>
                </c:pt>
                <c:pt idx="127">
                  <c:v>0.33333333333333331</c:v>
                </c:pt>
                <c:pt idx="128">
                  <c:v>0.33333333333333331</c:v>
                </c:pt>
                <c:pt idx="129">
                  <c:v>0.33333333333333331</c:v>
                </c:pt>
                <c:pt idx="130">
                  <c:v>0.33333333333333331</c:v>
                </c:pt>
                <c:pt idx="131">
                  <c:v>0.33333333333333331</c:v>
                </c:pt>
                <c:pt idx="132">
                  <c:v>0.33333333333333331</c:v>
                </c:pt>
                <c:pt idx="133">
                  <c:v>0</c:v>
                </c:pt>
                <c:pt idx="134">
                  <c:v>8.3333333333333329E-2</c:v>
                </c:pt>
                <c:pt idx="135">
                  <c:v>0.33333333333333331</c:v>
                </c:pt>
                <c:pt idx="136">
                  <c:v>0.33333333333333331</c:v>
                </c:pt>
                <c:pt idx="137">
                  <c:v>0.33333333333333331</c:v>
                </c:pt>
                <c:pt idx="138">
                  <c:v>0.33333333333333331</c:v>
                </c:pt>
                <c:pt idx="139">
                  <c:v>0.33333333333333331</c:v>
                </c:pt>
                <c:pt idx="140">
                  <c:v>0.33333333333333331</c:v>
                </c:pt>
                <c:pt idx="141">
                  <c:v>0.33333333333333331</c:v>
                </c:pt>
                <c:pt idx="142">
                  <c:v>0.33333333333333331</c:v>
                </c:pt>
                <c:pt idx="143">
                  <c:v>0.33333333333333331</c:v>
                </c:pt>
                <c:pt idx="144">
                  <c:v>0.33333333333333331</c:v>
                </c:pt>
                <c:pt idx="145">
                  <c:v>0.33333333333333331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0.33333333333333331</c:v>
                </c:pt>
                <c:pt idx="149">
                  <c:v>0.33333333333333331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8.3333333333333329E-2</c:v>
                </c:pt>
                <c:pt idx="155">
                  <c:v>8.3333333333333329E-2</c:v>
                </c:pt>
                <c:pt idx="156">
                  <c:v>8.3333333333333329E-2</c:v>
                </c:pt>
                <c:pt idx="157">
                  <c:v>8.3333333333333329E-2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240-9B49-8421-83CBB7EC7D84}"/>
            </c:ext>
          </c:extLst>
        </c:ser>
        <c:ser>
          <c:idx val="19"/>
          <c:order val="19"/>
          <c:tx>
            <c:strRef>
              <c:f>'Todas Métricas Norm'!$V$194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Norm'!$V$195:$V$380</c:f>
              <c:numCache>
                <c:formatCode>0.0000</c:formatCode>
                <c:ptCount val="186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0.25</c:v>
                </c:pt>
                <c:pt idx="10">
                  <c:v>1</c:v>
                </c:pt>
                <c:pt idx="11">
                  <c:v>0.5</c:v>
                </c:pt>
                <c:pt idx="12">
                  <c:v>0.5</c:v>
                </c:pt>
                <c:pt idx="13">
                  <c:v>0.25</c:v>
                </c:pt>
                <c:pt idx="14">
                  <c:v>0.25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0.5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0.75</c:v>
                </c:pt>
                <c:pt idx="32">
                  <c:v>0.25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0.75</c:v>
                </c:pt>
                <c:pt idx="41">
                  <c:v>0</c:v>
                </c:pt>
                <c:pt idx="42">
                  <c:v>0.25</c:v>
                </c:pt>
                <c:pt idx="43">
                  <c:v>0.25</c:v>
                </c:pt>
                <c:pt idx="44">
                  <c:v>0.5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0.5</c:v>
                </c:pt>
                <c:pt idx="69">
                  <c:v>0.5</c:v>
                </c:pt>
                <c:pt idx="70">
                  <c:v>0</c:v>
                </c:pt>
                <c:pt idx="71">
                  <c:v>0.25</c:v>
                </c:pt>
                <c:pt idx="72">
                  <c:v>0.75</c:v>
                </c:pt>
                <c:pt idx="73">
                  <c:v>0.5</c:v>
                </c:pt>
                <c:pt idx="74">
                  <c:v>0.5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0.5</c:v>
                </c:pt>
                <c:pt idx="82">
                  <c:v>0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</c:v>
                </c:pt>
                <c:pt idx="134">
                  <c:v>0.25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240-9B49-8421-83CBB7EC7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01455"/>
        <c:axId val="34656815"/>
      </c:areaChart>
      <c:catAx>
        <c:axId val="444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34656815"/>
        <c:crosses val="autoZero"/>
        <c:auto val="1"/>
        <c:lblAlgn val="ctr"/>
        <c:lblOffset val="100"/>
        <c:noMultiLvlLbl val="0"/>
      </c:catAx>
      <c:valAx>
        <c:axId val="34656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444014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Métricas Normalizadas (3 métricas) - Ordenado Decrescente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'3 Métricas Norm'!$C$194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Norm'!$C$195:$C$380</c:f>
              <c:numCache>
                <c:formatCode>0.0000</c:formatCode>
                <c:ptCount val="186"/>
                <c:pt idx="0">
                  <c:v>1</c:v>
                </c:pt>
                <c:pt idx="1">
                  <c:v>0.47368421052631576</c:v>
                </c:pt>
                <c:pt idx="2">
                  <c:v>0.23684210526315788</c:v>
                </c:pt>
                <c:pt idx="3">
                  <c:v>0.76315789473684215</c:v>
                </c:pt>
                <c:pt idx="4">
                  <c:v>0</c:v>
                </c:pt>
                <c:pt idx="5">
                  <c:v>5.2631578947368418E-2</c:v>
                </c:pt>
                <c:pt idx="6">
                  <c:v>0.18421052631578946</c:v>
                </c:pt>
                <c:pt idx="7">
                  <c:v>2.6315789473684209E-2</c:v>
                </c:pt>
                <c:pt idx="8">
                  <c:v>0.26315789473684209</c:v>
                </c:pt>
                <c:pt idx="9">
                  <c:v>0.31578947368421051</c:v>
                </c:pt>
                <c:pt idx="10">
                  <c:v>0.31578947368421051</c:v>
                </c:pt>
                <c:pt idx="11">
                  <c:v>0.23684210526315788</c:v>
                </c:pt>
                <c:pt idx="12">
                  <c:v>0.23684210526315788</c:v>
                </c:pt>
                <c:pt idx="13">
                  <c:v>0.23684210526315788</c:v>
                </c:pt>
                <c:pt idx="14">
                  <c:v>0.15789473684210525</c:v>
                </c:pt>
                <c:pt idx="15">
                  <c:v>5.2631578947368418E-2</c:v>
                </c:pt>
                <c:pt idx="16">
                  <c:v>2.6315789473684209E-2</c:v>
                </c:pt>
                <c:pt idx="17">
                  <c:v>2.6315789473684209E-2</c:v>
                </c:pt>
                <c:pt idx="18">
                  <c:v>5.2631578947368418E-2</c:v>
                </c:pt>
                <c:pt idx="19">
                  <c:v>0.13157894736842105</c:v>
                </c:pt>
                <c:pt idx="20">
                  <c:v>0.13157894736842105</c:v>
                </c:pt>
                <c:pt idx="21">
                  <c:v>0.13157894736842105</c:v>
                </c:pt>
                <c:pt idx="22">
                  <c:v>0.21052631578947367</c:v>
                </c:pt>
                <c:pt idx="23">
                  <c:v>5.2631578947368418E-2</c:v>
                </c:pt>
                <c:pt idx="24">
                  <c:v>2.6315789473684209E-2</c:v>
                </c:pt>
                <c:pt idx="25">
                  <c:v>2.6315789473684209E-2</c:v>
                </c:pt>
                <c:pt idx="26">
                  <c:v>0.15789473684210525</c:v>
                </c:pt>
                <c:pt idx="27">
                  <c:v>0.15789473684210525</c:v>
                </c:pt>
                <c:pt idx="28">
                  <c:v>7.8947368421052627E-2</c:v>
                </c:pt>
                <c:pt idx="29">
                  <c:v>0.26315789473684209</c:v>
                </c:pt>
                <c:pt idx="30">
                  <c:v>2.6315789473684209E-2</c:v>
                </c:pt>
                <c:pt idx="31">
                  <c:v>0.26315789473684209</c:v>
                </c:pt>
                <c:pt idx="32">
                  <c:v>2.6315789473684209E-2</c:v>
                </c:pt>
                <c:pt idx="33">
                  <c:v>2.6315789473684209E-2</c:v>
                </c:pt>
                <c:pt idx="34">
                  <c:v>7.8947368421052627E-2</c:v>
                </c:pt>
                <c:pt idx="35">
                  <c:v>0.10526315789473684</c:v>
                </c:pt>
                <c:pt idx="36">
                  <c:v>0.10526315789473684</c:v>
                </c:pt>
                <c:pt idx="37">
                  <c:v>2.6315789473684209E-2</c:v>
                </c:pt>
                <c:pt idx="38">
                  <c:v>2.6315789473684209E-2</c:v>
                </c:pt>
                <c:pt idx="39">
                  <c:v>2.6315789473684209E-2</c:v>
                </c:pt>
                <c:pt idx="40">
                  <c:v>7.8947368421052627E-2</c:v>
                </c:pt>
                <c:pt idx="41">
                  <c:v>0.10526315789473684</c:v>
                </c:pt>
                <c:pt idx="42">
                  <c:v>7.8947368421052627E-2</c:v>
                </c:pt>
                <c:pt idx="43">
                  <c:v>7.8947368421052627E-2</c:v>
                </c:pt>
                <c:pt idx="44">
                  <c:v>7.8947368421052627E-2</c:v>
                </c:pt>
                <c:pt idx="45">
                  <c:v>7.8947368421052627E-2</c:v>
                </c:pt>
                <c:pt idx="46">
                  <c:v>7.8947368421052627E-2</c:v>
                </c:pt>
                <c:pt idx="47">
                  <c:v>7.8947368421052627E-2</c:v>
                </c:pt>
                <c:pt idx="48">
                  <c:v>7.8947368421052627E-2</c:v>
                </c:pt>
                <c:pt idx="49">
                  <c:v>7.8947368421052627E-2</c:v>
                </c:pt>
                <c:pt idx="50">
                  <c:v>7.8947368421052627E-2</c:v>
                </c:pt>
                <c:pt idx="51">
                  <c:v>0.10526315789473684</c:v>
                </c:pt>
                <c:pt idx="52">
                  <c:v>7.8947368421052627E-2</c:v>
                </c:pt>
                <c:pt idx="53">
                  <c:v>5.2631578947368418E-2</c:v>
                </c:pt>
                <c:pt idx="54">
                  <c:v>7.8947368421052627E-2</c:v>
                </c:pt>
                <c:pt idx="55">
                  <c:v>7.8947368421052627E-2</c:v>
                </c:pt>
                <c:pt idx="56">
                  <c:v>5.2631578947368418E-2</c:v>
                </c:pt>
                <c:pt idx="57">
                  <c:v>5.2631578947368418E-2</c:v>
                </c:pt>
                <c:pt idx="58">
                  <c:v>5.2631578947368418E-2</c:v>
                </c:pt>
                <c:pt idx="59">
                  <c:v>7.8947368421052627E-2</c:v>
                </c:pt>
                <c:pt idx="60">
                  <c:v>5.2631578947368418E-2</c:v>
                </c:pt>
                <c:pt idx="61">
                  <c:v>5.2631578947368418E-2</c:v>
                </c:pt>
                <c:pt idx="62">
                  <c:v>2.6315789473684209E-2</c:v>
                </c:pt>
                <c:pt idx="63">
                  <c:v>2.6315789473684209E-2</c:v>
                </c:pt>
                <c:pt idx="64">
                  <c:v>2.6315789473684209E-2</c:v>
                </c:pt>
                <c:pt idx="65">
                  <c:v>2.6315789473684209E-2</c:v>
                </c:pt>
                <c:pt idx="66">
                  <c:v>2.6315789473684209E-2</c:v>
                </c:pt>
                <c:pt idx="67">
                  <c:v>2.6315789473684209E-2</c:v>
                </c:pt>
                <c:pt idx="68">
                  <c:v>7.8947368421052627E-2</c:v>
                </c:pt>
                <c:pt idx="69">
                  <c:v>0.10526315789473684</c:v>
                </c:pt>
                <c:pt idx="70">
                  <c:v>2.6315789473684209E-2</c:v>
                </c:pt>
                <c:pt idx="71">
                  <c:v>2.6315789473684209E-2</c:v>
                </c:pt>
                <c:pt idx="72">
                  <c:v>2.6315789473684209E-2</c:v>
                </c:pt>
                <c:pt idx="73">
                  <c:v>2.6315789473684209E-2</c:v>
                </c:pt>
                <c:pt idx="74">
                  <c:v>2.6315789473684209E-2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2.6315789473684209E-2</c:v>
                </c:pt>
                <c:pt idx="79">
                  <c:v>2.6315789473684209E-2</c:v>
                </c:pt>
                <c:pt idx="80">
                  <c:v>2.6315789473684209E-2</c:v>
                </c:pt>
                <c:pt idx="81">
                  <c:v>2.6315789473684209E-2</c:v>
                </c:pt>
                <c:pt idx="82">
                  <c:v>2.6315789473684209E-2</c:v>
                </c:pt>
                <c:pt idx="83">
                  <c:v>2.6315789473684209E-2</c:v>
                </c:pt>
                <c:pt idx="84">
                  <c:v>2.6315789473684209E-2</c:v>
                </c:pt>
                <c:pt idx="85">
                  <c:v>2.6315789473684209E-2</c:v>
                </c:pt>
                <c:pt idx="86">
                  <c:v>2.6315789473684209E-2</c:v>
                </c:pt>
                <c:pt idx="87">
                  <c:v>0.13157894736842105</c:v>
                </c:pt>
                <c:pt idx="88">
                  <c:v>7.8947368421052627E-2</c:v>
                </c:pt>
                <c:pt idx="89">
                  <c:v>7.8947368421052627E-2</c:v>
                </c:pt>
                <c:pt idx="90">
                  <c:v>7.8947368421052627E-2</c:v>
                </c:pt>
                <c:pt idx="91">
                  <c:v>7.8947368421052627E-2</c:v>
                </c:pt>
                <c:pt idx="92">
                  <c:v>7.8947368421052627E-2</c:v>
                </c:pt>
                <c:pt idx="93">
                  <c:v>7.8947368421052627E-2</c:v>
                </c:pt>
                <c:pt idx="94">
                  <c:v>7.8947368421052627E-2</c:v>
                </c:pt>
                <c:pt idx="95">
                  <c:v>7.8947368421052627E-2</c:v>
                </c:pt>
                <c:pt idx="96">
                  <c:v>0.10526315789473684</c:v>
                </c:pt>
                <c:pt idx="97">
                  <c:v>2.6315789473684209E-2</c:v>
                </c:pt>
                <c:pt idx="98">
                  <c:v>5.2631578947368418E-2</c:v>
                </c:pt>
                <c:pt idx="99">
                  <c:v>2.6315789473684209E-2</c:v>
                </c:pt>
                <c:pt idx="100">
                  <c:v>2.6315789473684209E-2</c:v>
                </c:pt>
                <c:pt idx="101">
                  <c:v>2.6315789473684209E-2</c:v>
                </c:pt>
                <c:pt idx="102">
                  <c:v>2.6315789473684209E-2</c:v>
                </c:pt>
                <c:pt idx="103">
                  <c:v>2.6315789473684209E-2</c:v>
                </c:pt>
                <c:pt idx="104">
                  <c:v>2.6315789473684209E-2</c:v>
                </c:pt>
                <c:pt idx="105">
                  <c:v>2.6315789473684209E-2</c:v>
                </c:pt>
                <c:pt idx="106">
                  <c:v>2.6315789473684209E-2</c:v>
                </c:pt>
                <c:pt idx="107">
                  <c:v>2.6315789473684209E-2</c:v>
                </c:pt>
                <c:pt idx="108">
                  <c:v>5.2631578947368418E-2</c:v>
                </c:pt>
                <c:pt idx="109">
                  <c:v>2.6315789473684209E-2</c:v>
                </c:pt>
                <c:pt idx="110">
                  <c:v>2.6315789473684209E-2</c:v>
                </c:pt>
                <c:pt idx="111">
                  <c:v>2.6315789473684209E-2</c:v>
                </c:pt>
                <c:pt idx="112">
                  <c:v>2.6315789473684209E-2</c:v>
                </c:pt>
                <c:pt idx="113">
                  <c:v>2.6315789473684209E-2</c:v>
                </c:pt>
                <c:pt idx="114">
                  <c:v>2.6315789473684209E-2</c:v>
                </c:pt>
                <c:pt idx="115">
                  <c:v>2.6315789473684209E-2</c:v>
                </c:pt>
                <c:pt idx="116">
                  <c:v>2.6315789473684209E-2</c:v>
                </c:pt>
                <c:pt idx="117">
                  <c:v>2.6315789473684209E-2</c:v>
                </c:pt>
                <c:pt idx="118">
                  <c:v>2.6315789473684209E-2</c:v>
                </c:pt>
                <c:pt idx="119">
                  <c:v>2.6315789473684209E-2</c:v>
                </c:pt>
                <c:pt idx="120">
                  <c:v>2.6315789473684209E-2</c:v>
                </c:pt>
                <c:pt idx="121">
                  <c:v>2.6315789473684209E-2</c:v>
                </c:pt>
                <c:pt idx="122">
                  <c:v>2.6315789473684209E-2</c:v>
                </c:pt>
                <c:pt idx="123">
                  <c:v>2.6315789473684209E-2</c:v>
                </c:pt>
                <c:pt idx="124">
                  <c:v>2.6315789473684209E-2</c:v>
                </c:pt>
                <c:pt idx="125">
                  <c:v>2.6315789473684209E-2</c:v>
                </c:pt>
                <c:pt idx="126">
                  <c:v>2.6315789473684209E-2</c:v>
                </c:pt>
                <c:pt idx="127">
                  <c:v>2.6315789473684209E-2</c:v>
                </c:pt>
                <c:pt idx="128">
                  <c:v>2.6315789473684209E-2</c:v>
                </c:pt>
                <c:pt idx="129">
                  <c:v>2.6315789473684209E-2</c:v>
                </c:pt>
                <c:pt idx="130">
                  <c:v>2.6315789473684209E-2</c:v>
                </c:pt>
                <c:pt idx="131">
                  <c:v>2.6315789473684209E-2</c:v>
                </c:pt>
                <c:pt idx="132">
                  <c:v>2.6315789473684209E-2</c:v>
                </c:pt>
                <c:pt idx="133">
                  <c:v>2.6315789473684209E-2</c:v>
                </c:pt>
                <c:pt idx="134">
                  <c:v>2.6315789473684209E-2</c:v>
                </c:pt>
                <c:pt idx="135">
                  <c:v>2.6315789473684209E-2</c:v>
                </c:pt>
                <c:pt idx="136">
                  <c:v>2.6315789473684209E-2</c:v>
                </c:pt>
                <c:pt idx="137">
                  <c:v>2.6315789473684209E-2</c:v>
                </c:pt>
                <c:pt idx="138">
                  <c:v>2.6315789473684209E-2</c:v>
                </c:pt>
                <c:pt idx="139">
                  <c:v>2.6315789473684209E-2</c:v>
                </c:pt>
                <c:pt idx="140">
                  <c:v>2.6315789473684209E-2</c:v>
                </c:pt>
                <c:pt idx="141">
                  <c:v>2.6315789473684209E-2</c:v>
                </c:pt>
                <c:pt idx="142">
                  <c:v>2.6315789473684209E-2</c:v>
                </c:pt>
                <c:pt idx="143">
                  <c:v>2.6315789473684209E-2</c:v>
                </c:pt>
                <c:pt idx="144">
                  <c:v>2.6315789473684209E-2</c:v>
                </c:pt>
                <c:pt idx="145">
                  <c:v>2.6315789473684209E-2</c:v>
                </c:pt>
                <c:pt idx="146">
                  <c:v>2.6315789473684209E-2</c:v>
                </c:pt>
                <c:pt idx="147">
                  <c:v>2.6315789473684209E-2</c:v>
                </c:pt>
                <c:pt idx="148">
                  <c:v>2.6315789473684209E-2</c:v>
                </c:pt>
                <c:pt idx="149">
                  <c:v>2.6315789473684209E-2</c:v>
                </c:pt>
                <c:pt idx="150">
                  <c:v>2.6315789473684209E-2</c:v>
                </c:pt>
                <c:pt idx="151">
                  <c:v>2.6315789473684209E-2</c:v>
                </c:pt>
                <c:pt idx="152">
                  <c:v>2.6315789473684209E-2</c:v>
                </c:pt>
                <c:pt idx="153">
                  <c:v>2.6315789473684209E-2</c:v>
                </c:pt>
                <c:pt idx="154">
                  <c:v>2.6315789473684209E-2</c:v>
                </c:pt>
                <c:pt idx="155">
                  <c:v>2.6315789473684209E-2</c:v>
                </c:pt>
                <c:pt idx="156">
                  <c:v>2.6315789473684209E-2</c:v>
                </c:pt>
                <c:pt idx="157">
                  <c:v>2.6315789473684209E-2</c:v>
                </c:pt>
                <c:pt idx="158">
                  <c:v>2.6315789473684209E-2</c:v>
                </c:pt>
                <c:pt idx="159">
                  <c:v>2.6315789473684209E-2</c:v>
                </c:pt>
                <c:pt idx="160">
                  <c:v>2.6315789473684209E-2</c:v>
                </c:pt>
                <c:pt idx="161">
                  <c:v>2.6315789473684209E-2</c:v>
                </c:pt>
                <c:pt idx="162">
                  <c:v>2.6315789473684209E-2</c:v>
                </c:pt>
                <c:pt idx="163">
                  <c:v>2.6315789473684209E-2</c:v>
                </c:pt>
                <c:pt idx="164">
                  <c:v>2.6315789473684209E-2</c:v>
                </c:pt>
                <c:pt idx="165">
                  <c:v>2.6315789473684209E-2</c:v>
                </c:pt>
                <c:pt idx="166">
                  <c:v>2.6315789473684209E-2</c:v>
                </c:pt>
                <c:pt idx="167">
                  <c:v>2.6315789473684209E-2</c:v>
                </c:pt>
                <c:pt idx="168">
                  <c:v>2.6315789473684209E-2</c:v>
                </c:pt>
                <c:pt idx="169">
                  <c:v>2.6315789473684209E-2</c:v>
                </c:pt>
                <c:pt idx="170">
                  <c:v>2.6315789473684209E-2</c:v>
                </c:pt>
                <c:pt idx="171">
                  <c:v>2.6315789473684209E-2</c:v>
                </c:pt>
                <c:pt idx="172">
                  <c:v>2.6315789473684209E-2</c:v>
                </c:pt>
                <c:pt idx="173">
                  <c:v>2.6315789473684209E-2</c:v>
                </c:pt>
                <c:pt idx="174">
                  <c:v>2.6315789473684209E-2</c:v>
                </c:pt>
                <c:pt idx="175">
                  <c:v>2.6315789473684209E-2</c:v>
                </c:pt>
                <c:pt idx="176">
                  <c:v>2.6315789473684209E-2</c:v>
                </c:pt>
                <c:pt idx="177">
                  <c:v>2.6315789473684209E-2</c:v>
                </c:pt>
                <c:pt idx="178">
                  <c:v>2.6315789473684209E-2</c:v>
                </c:pt>
                <c:pt idx="179">
                  <c:v>2.6315789473684209E-2</c:v>
                </c:pt>
                <c:pt idx="180">
                  <c:v>2.6315789473684209E-2</c:v>
                </c:pt>
                <c:pt idx="181">
                  <c:v>2.6315789473684209E-2</c:v>
                </c:pt>
                <c:pt idx="182">
                  <c:v>2.6315789473684209E-2</c:v>
                </c:pt>
                <c:pt idx="183">
                  <c:v>2.6315789473684209E-2</c:v>
                </c:pt>
                <c:pt idx="184">
                  <c:v>2.6315789473684209E-2</c:v>
                </c:pt>
                <c:pt idx="18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B14C-AAD0-848F6BFA9F65}"/>
            </c:ext>
          </c:extLst>
        </c:ser>
        <c:ser>
          <c:idx val="1"/>
          <c:order val="1"/>
          <c:tx>
            <c:strRef>
              <c:f>'3 Métricas Norm'!$D$194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Norm'!$D$195:$D$380</c:f>
              <c:numCache>
                <c:formatCode>0.0000</c:formatCode>
                <c:ptCount val="186"/>
                <c:pt idx="0">
                  <c:v>1</c:v>
                </c:pt>
                <c:pt idx="1">
                  <c:v>0.32575757575757575</c:v>
                </c:pt>
                <c:pt idx="2">
                  <c:v>0.53787878787878785</c:v>
                </c:pt>
                <c:pt idx="3">
                  <c:v>0.9242424242424242</c:v>
                </c:pt>
                <c:pt idx="4">
                  <c:v>0.53030303030303028</c:v>
                </c:pt>
                <c:pt idx="5">
                  <c:v>0.22727272727272727</c:v>
                </c:pt>
                <c:pt idx="6">
                  <c:v>0.27272727272727271</c:v>
                </c:pt>
                <c:pt idx="7">
                  <c:v>0.14393939393939395</c:v>
                </c:pt>
                <c:pt idx="8">
                  <c:v>0.32575757575757575</c:v>
                </c:pt>
                <c:pt idx="9">
                  <c:v>0.39393939393939392</c:v>
                </c:pt>
                <c:pt idx="10">
                  <c:v>0.37878787878787878</c:v>
                </c:pt>
                <c:pt idx="11">
                  <c:v>0.20454545454545456</c:v>
                </c:pt>
                <c:pt idx="12">
                  <c:v>0.20454545454545456</c:v>
                </c:pt>
                <c:pt idx="13">
                  <c:v>0.20454545454545456</c:v>
                </c:pt>
                <c:pt idx="14">
                  <c:v>0.25</c:v>
                </c:pt>
                <c:pt idx="15">
                  <c:v>9.8484848484848481E-2</c:v>
                </c:pt>
                <c:pt idx="16">
                  <c:v>9.8484848484848481E-2</c:v>
                </c:pt>
                <c:pt idx="17">
                  <c:v>4.5454545454545456E-2</c:v>
                </c:pt>
                <c:pt idx="18">
                  <c:v>0.25757575757575757</c:v>
                </c:pt>
                <c:pt idx="19">
                  <c:v>0.17424242424242425</c:v>
                </c:pt>
                <c:pt idx="20">
                  <c:v>0.14393939393939395</c:v>
                </c:pt>
                <c:pt idx="21">
                  <c:v>0.33333333333333331</c:v>
                </c:pt>
                <c:pt idx="22">
                  <c:v>0.21212121212121213</c:v>
                </c:pt>
                <c:pt idx="23">
                  <c:v>7.575757575757576E-2</c:v>
                </c:pt>
                <c:pt idx="24">
                  <c:v>9.8484848484848481E-2</c:v>
                </c:pt>
                <c:pt idx="25">
                  <c:v>9.8484848484848481E-2</c:v>
                </c:pt>
                <c:pt idx="26">
                  <c:v>0.21212121212121213</c:v>
                </c:pt>
                <c:pt idx="27">
                  <c:v>0.21212121212121213</c:v>
                </c:pt>
                <c:pt idx="28">
                  <c:v>0.2878787878787879</c:v>
                </c:pt>
                <c:pt idx="29">
                  <c:v>0.34848484848484851</c:v>
                </c:pt>
                <c:pt idx="30">
                  <c:v>8.3333333333333329E-2</c:v>
                </c:pt>
                <c:pt idx="31">
                  <c:v>0.31818181818181818</c:v>
                </c:pt>
                <c:pt idx="32">
                  <c:v>5.3030303030303032E-2</c:v>
                </c:pt>
                <c:pt idx="33">
                  <c:v>5.3030303030303032E-2</c:v>
                </c:pt>
                <c:pt idx="34">
                  <c:v>0.22727272727272727</c:v>
                </c:pt>
                <c:pt idx="35">
                  <c:v>0.18939393939393939</c:v>
                </c:pt>
                <c:pt idx="36">
                  <c:v>0.17424242424242425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0.16666666666666666</c:v>
                </c:pt>
                <c:pt idx="41">
                  <c:v>0.13636363636363635</c:v>
                </c:pt>
                <c:pt idx="42">
                  <c:v>0.15909090909090909</c:v>
                </c:pt>
                <c:pt idx="43">
                  <c:v>0.15909090909090909</c:v>
                </c:pt>
                <c:pt idx="44">
                  <c:v>0.15909090909090909</c:v>
                </c:pt>
                <c:pt idx="45">
                  <c:v>0.15151515151515152</c:v>
                </c:pt>
                <c:pt idx="46">
                  <c:v>0.15151515151515152</c:v>
                </c:pt>
                <c:pt idx="47">
                  <c:v>0.15151515151515152</c:v>
                </c:pt>
                <c:pt idx="48">
                  <c:v>0.14393939393939395</c:v>
                </c:pt>
                <c:pt idx="49">
                  <c:v>0.12878787878787878</c:v>
                </c:pt>
                <c:pt idx="50">
                  <c:v>0.12121212121212122</c:v>
                </c:pt>
                <c:pt idx="51">
                  <c:v>9.0909090909090912E-2</c:v>
                </c:pt>
                <c:pt idx="52">
                  <c:v>0.10606060606060606</c:v>
                </c:pt>
                <c:pt idx="53">
                  <c:v>0.12878787878787878</c:v>
                </c:pt>
                <c:pt idx="54">
                  <c:v>9.8484848484848481E-2</c:v>
                </c:pt>
                <c:pt idx="55">
                  <c:v>8.3333333333333329E-2</c:v>
                </c:pt>
                <c:pt idx="56">
                  <c:v>9.0909090909090912E-2</c:v>
                </c:pt>
                <c:pt idx="57">
                  <c:v>9.0909090909090912E-2</c:v>
                </c:pt>
                <c:pt idx="58">
                  <c:v>9.0909090909090912E-2</c:v>
                </c:pt>
                <c:pt idx="59">
                  <c:v>6.0606060606060608E-2</c:v>
                </c:pt>
                <c:pt idx="60">
                  <c:v>8.3333333333333329E-2</c:v>
                </c:pt>
                <c:pt idx="61">
                  <c:v>8.3333333333333329E-2</c:v>
                </c:pt>
                <c:pt idx="62">
                  <c:v>0.10606060606060606</c:v>
                </c:pt>
                <c:pt idx="63">
                  <c:v>0.10606060606060606</c:v>
                </c:pt>
                <c:pt idx="64">
                  <c:v>9.0909090909090912E-2</c:v>
                </c:pt>
                <c:pt idx="65">
                  <c:v>8.3333333333333329E-2</c:v>
                </c:pt>
                <c:pt idx="66">
                  <c:v>7.575757575757576E-2</c:v>
                </c:pt>
                <c:pt idx="67">
                  <c:v>6.8181818181818177E-2</c:v>
                </c:pt>
                <c:pt idx="68">
                  <c:v>0.23484848484848486</c:v>
                </c:pt>
                <c:pt idx="69">
                  <c:v>0.20454545454545456</c:v>
                </c:pt>
                <c:pt idx="70">
                  <c:v>7.575757575757576E-3</c:v>
                </c:pt>
                <c:pt idx="71">
                  <c:v>7.575757575757576E-3</c:v>
                </c:pt>
                <c:pt idx="72">
                  <c:v>7.575757575757576E-3</c:v>
                </c:pt>
                <c:pt idx="73">
                  <c:v>7.575757575757576E-3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0.14393939393939395</c:v>
                </c:pt>
                <c:pt idx="88">
                  <c:v>0.14393939393939395</c:v>
                </c:pt>
                <c:pt idx="89">
                  <c:v>0.14393939393939395</c:v>
                </c:pt>
                <c:pt idx="90">
                  <c:v>0.14393939393939395</c:v>
                </c:pt>
                <c:pt idx="91">
                  <c:v>0.14393939393939395</c:v>
                </c:pt>
                <c:pt idx="92">
                  <c:v>0.14393939393939395</c:v>
                </c:pt>
                <c:pt idx="93">
                  <c:v>0.14393939393939395</c:v>
                </c:pt>
                <c:pt idx="94">
                  <c:v>0.13636363636363635</c:v>
                </c:pt>
                <c:pt idx="95">
                  <c:v>0.11363636363636363</c:v>
                </c:pt>
                <c:pt idx="96">
                  <c:v>7.575757575757576E-2</c:v>
                </c:pt>
                <c:pt idx="97">
                  <c:v>0.14393939393939395</c:v>
                </c:pt>
                <c:pt idx="98">
                  <c:v>9.8484848484848481E-2</c:v>
                </c:pt>
                <c:pt idx="99">
                  <c:v>0.11363636363636363</c:v>
                </c:pt>
                <c:pt idx="100">
                  <c:v>0.11363636363636363</c:v>
                </c:pt>
                <c:pt idx="101">
                  <c:v>0.11363636363636363</c:v>
                </c:pt>
                <c:pt idx="102">
                  <c:v>0.10606060606060606</c:v>
                </c:pt>
                <c:pt idx="103">
                  <c:v>8.3333333333333329E-2</c:v>
                </c:pt>
                <c:pt idx="104">
                  <c:v>7.575757575757576E-2</c:v>
                </c:pt>
                <c:pt idx="105">
                  <c:v>7.575757575757576E-2</c:v>
                </c:pt>
                <c:pt idx="106">
                  <c:v>7.575757575757576E-2</c:v>
                </c:pt>
                <c:pt idx="107">
                  <c:v>7.575757575757576E-2</c:v>
                </c:pt>
                <c:pt idx="108">
                  <c:v>4.5454545454545456E-2</c:v>
                </c:pt>
                <c:pt idx="109">
                  <c:v>6.8181818181818177E-2</c:v>
                </c:pt>
                <c:pt idx="110">
                  <c:v>6.8181818181818177E-2</c:v>
                </c:pt>
                <c:pt idx="111">
                  <c:v>6.8181818181818177E-2</c:v>
                </c:pt>
                <c:pt idx="112">
                  <c:v>6.8181818181818177E-2</c:v>
                </c:pt>
                <c:pt idx="113">
                  <c:v>6.8181818181818177E-2</c:v>
                </c:pt>
                <c:pt idx="114">
                  <c:v>6.8181818181818177E-2</c:v>
                </c:pt>
                <c:pt idx="115">
                  <c:v>6.8181818181818177E-2</c:v>
                </c:pt>
                <c:pt idx="116">
                  <c:v>6.8181818181818177E-2</c:v>
                </c:pt>
                <c:pt idx="117">
                  <c:v>6.0606060606060608E-2</c:v>
                </c:pt>
                <c:pt idx="118">
                  <c:v>6.0606060606060608E-2</c:v>
                </c:pt>
                <c:pt idx="119">
                  <c:v>6.0606060606060608E-2</c:v>
                </c:pt>
                <c:pt idx="120">
                  <c:v>5.3030303030303032E-2</c:v>
                </c:pt>
                <c:pt idx="121">
                  <c:v>5.3030303030303032E-2</c:v>
                </c:pt>
                <c:pt idx="122">
                  <c:v>5.3030303030303032E-2</c:v>
                </c:pt>
                <c:pt idx="123">
                  <c:v>5.3030303030303032E-2</c:v>
                </c:pt>
                <c:pt idx="124">
                  <c:v>5.3030303030303032E-2</c:v>
                </c:pt>
                <c:pt idx="125">
                  <c:v>5.3030303030303032E-2</c:v>
                </c:pt>
                <c:pt idx="126">
                  <c:v>5.3030303030303032E-2</c:v>
                </c:pt>
                <c:pt idx="127">
                  <c:v>4.5454545454545456E-2</c:v>
                </c:pt>
                <c:pt idx="128">
                  <c:v>3.787878787878788E-2</c:v>
                </c:pt>
                <c:pt idx="129">
                  <c:v>3.787878787878788E-2</c:v>
                </c:pt>
                <c:pt idx="130">
                  <c:v>3.787878787878788E-2</c:v>
                </c:pt>
                <c:pt idx="131">
                  <c:v>3.787878787878788E-2</c:v>
                </c:pt>
                <c:pt idx="132">
                  <c:v>3.787878787878788E-2</c:v>
                </c:pt>
                <c:pt idx="133">
                  <c:v>3.787878787878788E-2</c:v>
                </c:pt>
                <c:pt idx="134">
                  <c:v>3.787878787878788E-2</c:v>
                </c:pt>
                <c:pt idx="135">
                  <c:v>3.787878787878788E-2</c:v>
                </c:pt>
                <c:pt idx="136">
                  <c:v>3.0303030303030304E-2</c:v>
                </c:pt>
                <c:pt idx="137">
                  <c:v>3.0303030303030304E-2</c:v>
                </c:pt>
                <c:pt idx="138">
                  <c:v>3.0303030303030304E-2</c:v>
                </c:pt>
                <c:pt idx="139">
                  <c:v>2.2727272727272728E-2</c:v>
                </c:pt>
                <c:pt idx="140">
                  <c:v>7.575757575757576E-3</c:v>
                </c:pt>
                <c:pt idx="141">
                  <c:v>7.575757575757576E-3</c:v>
                </c:pt>
                <c:pt idx="142">
                  <c:v>7.575757575757576E-3</c:v>
                </c:pt>
                <c:pt idx="143">
                  <c:v>7.575757575757576E-3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4-B14C-AAD0-848F6BFA9F65}"/>
            </c:ext>
          </c:extLst>
        </c:ser>
        <c:ser>
          <c:idx val="2"/>
          <c:order val="2"/>
          <c:tx>
            <c:strRef>
              <c:f>'3 Métricas Norm'!$E$194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Norm'!$E$195:$E$380</c:f>
              <c:numCache>
                <c:formatCode>0.0000</c:formatCode>
                <c:ptCount val="186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0.25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0.25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24-B14C-AAD0-848F6BFA9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5418"/>
        <c:axId val="16919029"/>
      </c:areaChart>
      <c:catAx>
        <c:axId val="90565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16919029"/>
        <c:crosses val="autoZero"/>
        <c:auto val="1"/>
        <c:lblAlgn val="ctr"/>
        <c:lblOffset val="100"/>
        <c:noMultiLvlLbl val="0"/>
      </c:catAx>
      <c:valAx>
        <c:axId val="169190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905654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Métricas Normalizadas (20 métricas) - Ordenado Decrescente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'Todas Métricas Norm'!$C$194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104B66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Norm'!$C$195:$C$380</c:f>
              <c:numCache>
                <c:formatCode>0.0000</c:formatCode>
                <c:ptCount val="186"/>
                <c:pt idx="0">
                  <c:v>1</c:v>
                </c:pt>
                <c:pt idx="1">
                  <c:v>0.76315789473684215</c:v>
                </c:pt>
                <c:pt idx="2">
                  <c:v>0</c:v>
                </c:pt>
                <c:pt idx="3">
                  <c:v>0.23684210526315788</c:v>
                </c:pt>
                <c:pt idx="4">
                  <c:v>0.47368421052631576</c:v>
                </c:pt>
                <c:pt idx="5">
                  <c:v>0.26315789473684209</c:v>
                </c:pt>
                <c:pt idx="6">
                  <c:v>0.26315789473684209</c:v>
                </c:pt>
                <c:pt idx="7">
                  <c:v>0.26315789473684209</c:v>
                </c:pt>
                <c:pt idx="8">
                  <c:v>0.31578947368421051</c:v>
                </c:pt>
                <c:pt idx="9">
                  <c:v>0.31578947368421051</c:v>
                </c:pt>
                <c:pt idx="10">
                  <c:v>5.2631578947368418E-2</c:v>
                </c:pt>
                <c:pt idx="11">
                  <c:v>5.2631578947368418E-2</c:v>
                </c:pt>
                <c:pt idx="12">
                  <c:v>0.15789473684210525</c:v>
                </c:pt>
                <c:pt idx="13">
                  <c:v>0.13157894736842105</c:v>
                </c:pt>
                <c:pt idx="14">
                  <c:v>0.10526315789473684</c:v>
                </c:pt>
                <c:pt idx="15">
                  <c:v>0.23684210526315788</c:v>
                </c:pt>
                <c:pt idx="16">
                  <c:v>0.23684210526315788</c:v>
                </c:pt>
                <c:pt idx="17">
                  <c:v>0.23684210526315788</c:v>
                </c:pt>
                <c:pt idx="18">
                  <c:v>2.6315789473684209E-2</c:v>
                </c:pt>
                <c:pt idx="19">
                  <c:v>0.13157894736842105</c:v>
                </c:pt>
                <c:pt idx="20">
                  <c:v>7.8947368421052627E-2</c:v>
                </c:pt>
                <c:pt idx="21">
                  <c:v>7.8947368421052627E-2</c:v>
                </c:pt>
                <c:pt idx="22">
                  <c:v>7.8947368421052627E-2</c:v>
                </c:pt>
                <c:pt idx="23">
                  <c:v>0.13157894736842105</c:v>
                </c:pt>
                <c:pt idx="24">
                  <c:v>0.15789473684210525</c:v>
                </c:pt>
                <c:pt idx="25">
                  <c:v>7.8947368421052627E-2</c:v>
                </c:pt>
                <c:pt idx="26">
                  <c:v>7.8947368421052627E-2</c:v>
                </c:pt>
                <c:pt idx="27">
                  <c:v>7.8947368421052627E-2</c:v>
                </c:pt>
                <c:pt idx="28">
                  <c:v>7.8947368421052627E-2</c:v>
                </c:pt>
                <c:pt idx="29">
                  <c:v>7.8947368421052627E-2</c:v>
                </c:pt>
                <c:pt idx="30">
                  <c:v>7.8947368421052627E-2</c:v>
                </c:pt>
                <c:pt idx="31">
                  <c:v>2.6315789473684209E-2</c:v>
                </c:pt>
                <c:pt idx="32">
                  <c:v>7.8947368421052627E-2</c:v>
                </c:pt>
                <c:pt idx="33">
                  <c:v>2.6315789473684209E-2</c:v>
                </c:pt>
                <c:pt idx="34">
                  <c:v>7.8947368421052627E-2</c:v>
                </c:pt>
                <c:pt idx="35">
                  <c:v>7.8947368421052627E-2</c:v>
                </c:pt>
                <c:pt idx="36">
                  <c:v>5.2631578947368418E-2</c:v>
                </c:pt>
                <c:pt idx="37">
                  <c:v>7.8947368421052627E-2</c:v>
                </c:pt>
                <c:pt idx="38">
                  <c:v>7.8947368421052627E-2</c:v>
                </c:pt>
                <c:pt idx="39">
                  <c:v>7.8947368421052627E-2</c:v>
                </c:pt>
                <c:pt idx="40">
                  <c:v>0.18421052631578946</c:v>
                </c:pt>
                <c:pt idx="41">
                  <c:v>0.10526315789473684</c:v>
                </c:pt>
                <c:pt idx="42">
                  <c:v>0.21052631578947367</c:v>
                </c:pt>
                <c:pt idx="43">
                  <c:v>5.2631578947368418E-2</c:v>
                </c:pt>
                <c:pt idx="44">
                  <c:v>2.6315789473684209E-2</c:v>
                </c:pt>
                <c:pt idx="45">
                  <c:v>7.8947368421052627E-2</c:v>
                </c:pt>
                <c:pt idx="46">
                  <c:v>7.8947368421052627E-2</c:v>
                </c:pt>
                <c:pt idx="47">
                  <c:v>2.6315789473684209E-2</c:v>
                </c:pt>
                <c:pt idx="48">
                  <c:v>0.10526315789473684</c:v>
                </c:pt>
                <c:pt idx="49">
                  <c:v>7.8947368421052627E-2</c:v>
                </c:pt>
                <c:pt idx="50">
                  <c:v>7.8947368421052627E-2</c:v>
                </c:pt>
                <c:pt idx="51">
                  <c:v>7.8947368421052627E-2</c:v>
                </c:pt>
                <c:pt idx="52">
                  <c:v>7.8947368421052627E-2</c:v>
                </c:pt>
                <c:pt idx="53">
                  <c:v>5.2631578947368418E-2</c:v>
                </c:pt>
                <c:pt idx="54">
                  <c:v>5.2631578947368418E-2</c:v>
                </c:pt>
                <c:pt idx="55">
                  <c:v>7.8947368421052627E-2</c:v>
                </c:pt>
                <c:pt idx="56">
                  <c:v>7.8947368421052627E-2</c:v>
                </c:pt>
                <c:pt idx="57">
                  <c:v>5.2631578947368418E-2</c:v>
                </c:pt>
                <c:pt idx="58">
                  <c:v>5.2631578947368418E-2</c:v>
                </c:pt>
                <c:pt idx="59">
                  <c:v>5.2631578947368418E-2</c:v>
                </c:pt>
                <c:pt idx="60">
                  <c:v>5.2631578947368418E-2</c:v>
                </c:pt>
                <c:pt idx="61">
                  <c:v>7.8947368421052627E-2</c:v>
                </c:pt>
                <c:pt idx="62">
                  <c:v>2.6315789473684209E-2</c:v>
                </c:pt>
                <c:pt idx="63">
                  <c:v>2.6315789473684209E-2</c:v>
                </c:pt>
                <c:pt idx="64">
                  <c:v>2.6315789473684209E-2</c:v>
                </c:pt>
                <c:pt idx="65">
                  <c:v>5.2631578947368418E-2</c:v>
                </c:pt>
                <c:pt idx="66">
                  <c:v>7.8947368421052627E-2</c:v>
                </c:pt>
                <c:pt idx="67">
                  <c:v>0.10526315789473684</c:v>
                </c:pt>
                <c:pt idx="68">
                  <c:v>2.6315789473684209E-2</c:v>
                </c:pt>
                <c:pt idx="69">
                  <c:v>2.6315789473684209E-2</c:v>
                </c:pt>
                <c:pt idx="70">
                  <c:v>5.2631578947368418E-2</c:v>
                </c:pt>
                <c:pt idx="71">
                  <c:v>0.15789473684210525</c:v>
                </c:pt>
                <c:pt idx="72">
                  <c:v>2.6315789473684209E-2</c:v>
                </c:pt>
                <c:pt idx="73">
                  <c:v>2.6315789473684209E-2</c:v>
                </c:pt>
                <c:pt idx="74">
                  <c:v>0.13157894736842105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2.6315789473684209E-2</c:v>
                </c:pt>
                <c:pt idx="79">
                  <c:v>2.6315789473684209E-2</c:v>
                </c:pt>
                <c:pt idx="80">
                  <c:v>2.6315789473684209E-2</c:v>
                </c:pt>
                <c:pt idx="81">
                  <c:v>2.6315789473684209E-2</c:v>
                </c:pt>
                <c:pt idx="82">
                  <c:v>2.6315789473684209E-2</c:v>
                </c:pt>
                <c:pt idx="83">
                  <c:v>2.6315789473684209E-2</c:v>
                </c:pt>
                <c:pt idx="84">
                  <c:v>0.10526315789473684</c:v>
                </c:pt>
                <c:pt idx="85">
                  <c:v>2.6315789473684209E-2</c:v>
                </c:pt>
                <c:pt idx="86">
                  <c:v>2.6315789473684209E-2</c:v>
                </c:pt>
                <c:pt idx="87">
                  <c:v>2.6315789473684209E-2</c:v>
                </c:pt>
                <c:pt idx="88">
                  <c:v>2.6315789473684209E-2</c:v>
                </c:pt>
                <c:pt idx="89">
                  <c:v>2.6315789473684209E-2</c:v>
                </c:pt>
                <c:pt idx="90">
                  <c:v>0.10526315789473684</c:v>
                </c:pt>
                <c:pt idx="91">
                  <c:v>2.6315789473684209E-2</c:v>
                </c:pt>
                <c:pt idx="92">
                  <c:v>2.6315789473684209E-2</c:v>
                </c:pt>
                <c:pt idx="93">
                  <c:v>2.6315789473684209E-2</c:v>
                </c:pt>
                <c:pt idx="94">
                  <c:v>2.6315789473684209E-2</c:v>
                </c:pt>
                <c:pt idx="95">
                  <c:v>2.6315789473684209E-2</c:v>
                </c:pt>
                <c:pt idx="96">
                  <c:v>2.6315789473684209E-2</c:v>
                </c:pt>
                <c:pt idx="97">
                  <c:v>2.6315789473684209E-2</c:v>
                </c:pt>
                <c:pt idx="98">
                  <c:v>2.6315789473684209E-2</c:v>
                </c:pt>
                <c:pt idx="99">
                  <c:v>2.6315789473684209E-2</c:v>
                </c:pt>
                <c:pt idx="100">
                  <c:v>2.6315789473684209E-2</c:v>
                </c:pt>
                <c:pt idx="101">
                  <c:v>2.6315789473684209E-2</c:v>
                </c:pt>
                <c:pt idx="102">
                  <c:v>2.6315789473684209E-2</c:v>
                </c:pt>
                <c:pt idx="103">
                  <c:v>2.6315789473684209E-2</c:v>
                </c:pt>
                <c:pt idx="104">
                  <c:v>2.6315789473684209E-2</c:v>
                </c:pt>
                <c:pt idx="105">
                  <c:v>2.6315789473684209E-2</c:v>
                </c:pt>
                <c:pt idx="106">
                  <c:v>2.6315789473684209E-2</c:v>
                </c:pt>
                <c:pt idx="107">
                  <c:v>2.6315789473684209E-2</c:v>
                </c:pt>
                <c:pt idx="108">
                  <c:v>2.6315789473684209E-2</c:v>
                </c:pt>
                <c:pt idx="109">
                  <c:v>2.6315789473684209E-2</c:v>
                </c:pt>
                <c:pt idx="110">
                  <c:v>2.6315789473684209E-2</c:v>
                </c:pt>
                <c:pt idx="111">
                  <c:v>2.6315789473684209E-2</c:v>
                </c:pt>
                <c:pt idx="112">
                  <c:v>2.6315789473684209E-2</c:v>
                </c:pt>
                <c:pt idx="113">
                  <c:v>2.6315789473684209E-2</c:v>
                </c:pt>
                <c:pt idx="114">
                  <c:v>2.6315789473684209E-2</c:v>
                </c:pt>
                <c:pt idx="115">
                  <c:v>2.6315789473684209E-2</c:v>
                </c:pt>
                <c:pt idx="116">
                  <c:v>2.6315789473684209E-2</c:v>
                </c:pt>
                <c:pt idx="117">
                  <c:v>2.6315789473684209E-2</c:v>
                </c:pt>
                <c:pt idx="118">
                  <c:v>2.6315789473684209E-2</c:v>
                </c:pt>
                <c:pt idx="119">
                  <c:v>2.6315789473684209E-2</c:v>
                </c:pt>
                <c:pt idx="120">
                  <c:v>2.6315789473684209E-2</c:v>
                </c:pt>
                <c:pt idx="121">
                  <c:v>2.6315789473684209E-2</c:v>
                </c:pt>
                <c:pt idx="122">
                  <c:v>2.6315789473684209E-2</c:v>
                </c:pt>
                <c:pt idx="123">
                  <c:v>2.6315789473684209E-2</c:v>
                </c:pt>
                <c:pt idx="124">
                  <c:v>2.6315789473684209E-2</c:v>
                </c:pt>
                <c:pt idx="125">
                  <c:v>2.6315789473684209E-2</c:v>
                </c:pt>
                <c:pt idx="126">
                  <c:v>2.6315789473684209E-2</c:v>
                </c:pt>
                <c:pt idx="127">
                  <c:v>2.6315789473684209E-2</c:v>
                </c:pt>
                <c:pt idx="128">
                  <c:v>2.6315789473684209E-2</c:v>
                </c:pt>
                <c:pt idx="129">
                  <c:v>2.6315789473684209E-2</c:v>
                </c:pt>
                <c:pt idx="130">
                  <c:v>2.6315789473684209E-2</c:v>
                </c:pt>
                <c:pt idx="131">
                  <c:v>2.6315789473684209E-2</c:v>
                </c:pt>
                <c:pt idx="132">
                  <c:v>2.6315789473684209E-2</c:v>
                </c:pt>
                <c:pt idx="133">
                  <c:v>2.6315789473684209E-2</c:v>
                </c:pt>
                <c:pt idx="134">
                  <c:v>2.6315789473684209E-2</c:v>
                </c:pt>
                <c:pt idx="135">
                  <c:v>2.6315789473684209E-2</c:v>
                </c:pt>
                <c:pt idx="136">
                  <c:v>2.6315789473684209E-2</c:v>
                </c:pt>
                <c:pt idx="137">
                  <c:v>2.6315789473684209E-2</c:v>
                </c:pt>
                <c:pt idx="138">
                  <c:v>2.6315789473684209E-2</c:v>
                </c:pt>
                <c:pt idx="139">
                  <c:v>2.6315789473684209E-2</c:v>
                </c:pt>
                <c:pt idx="140">
                  <c:v>2.6315789473684209E-2</c:v>
                </c:pt>
                <c:pt idx="141">
                  <c:v>2.6315789473684209E-2</c:v>
                </c:pt>
                <c:pt idx="142">
                  <c:v>2.6315789473684209E-2</c:v>
                </c:pt>
                <c:pt idx="143">
                  <c:v>2.6315789473684209E-2</c:v>
                </c:pt>
                <c:pt idx="144">
                  <c:v>2.6315789473684209E-2</c:v>
                </c:pt>
                <c:pt idx="145">
                  <c:v>2.6315789473684209E-2</c:v>
                </c:pt>
                <c:pt idx="146">
                  <c:v>2.6315789473684209E-2</c:v>
                </c:pt>
                <c:pt idx="147">
                  <c:v>2.6315789473684209E-2</c:v>
                </c:pt>
                <c:pt idx="148">
                  <c:v>2.6315789473684209E-2</c:v>
                </c:pt>
                <c:pt idx="149">
                  <c:v>2.6315789473684209E-2</c:v>
                </c:pt>
                <c:pt idx="150">
                  <c:v>2.6315789473684209E-2</c:v>
                </c:pt>
                <c:pt idx="151">
                  <c:v>2.6315789473684209E-2</c:v>
                </c:pt>
                <c:pt idx="152">
                  <c:v>2.6315789473684209E-2</c:v>
                </c:pt>
                <c:pt idx="153">
                  <c:v>2.6315789473684209E-2</c:v>
                </c:pt>
                <c:pt idx="154">
                  <c:v>2.6315789473684209E-2</c:v>
                </c:pt>
                <c:pt idx="155">
                  <c:v>2.6315789473684209E-2</c:v>
                </c:pt>
                <c:pt idx="156">
                  <c:v>2.6315789473684209E-2</c:v>
                </c:pt>
                <c:pt idx="157">
                  <c:v>2.6315789473684209E-2</c:v>
                </c:pt>
                <c:pt idx="158">
                  <c:v>2.6315789473684209E-2</c:v>
                </c:pt>
                <c:pt idx="159">
                  <c:v>2.6315789473684209E-2</c:v>
                </c:pt>
                <c:pt idx="160">
                  <c:v>2.6315789473684209E-2</c:v>
                </c:pt>
                <c:pt idx="161">
                  <c:v>2.6315789473684209E-2</c:v>
                </c:pt>
                <c:pt idx="162">
                  <c:v>2.6315789473684209E-2</c:v>
                </c:pt>
                <c:pt idx="163">
                  <c:v>2.6315789473684209E-2</c:v>
                </c:pt>
                <c:pt idx="164">
                  <c:v>2.6315789473684209E-2</c:v>
                </c:pt>
                <c:pt idx="165">
                  <c:v>2.6315789473684209E-2</c:v>
                </c:pt>
                <c:pt idx="166">
                  <c:v>2.6315789473684209E-2</c:v>
                </c:pt>
                <c:pt idx="167">
                  <c:v>2.6315789473684209E-2</c:v>
                </c:pt>
                <c:pt idx="168">
                  <c:v>2.6315789473684209E-2</c:v>
                </c:pt>
                <c:pt idx="169">
                  <c:v>2.6315789473684209E-2</c:v>
                </c:pt>
                <c:pt idx="170">
                  <c:v>2.6315789473684209E-2</c:v>
                </c:pt>
                <c:pt idx="171">
                  <c:v>2.6315789473684209E-2</c:v>
                </c:pt>
                <c:pt idx="172">
                  <c:v>2.6315789473684209E-2</c:v>
                </c:pt>
                <c:pt idx="173">
                  <c:v>2.6315789473684209E-2</c:v>
                </c:pt>
                <c:pt idx="174">
                  <c:v>2.6315789473684209E-2</c:v>
                </c:pt>
                <c:pt idx="175">
                  <c:v>2.6315789473684209E-2</c:v>
                </c:pt>
                <c:pt idx="176">
                  <c:v>2.6315789473684209E-2</c:v>
                </c:pt>
                <c:pt idx="177">
                  <c:v>2.6315789473684209E-2</c:v>
                </c:pt>
                <c:pt idx="178">
                  <c:v>2.6315789473684209E-2</c:v>
                </c:pt>
                <c:pt idx="179">
                  <c:v>2.6315789473684209E-2</c:v>
                </c:pt>
                <c:pt idx="180">
                  <c:v>2.6315789473684209E-2</c:v>
                </c:pt>
                <c:pt idx="181">
                  <c:v>2.6315789473684209E-2</c:v>
                </c:pt>
                <c:pt idx="182">
                  <c:v>2.6315789473684209E-2</c:v>
                </c:pt>
                <c:pt idx="183">
                  <c:v>2.6315789473684209E-2</c:v>
                </c:pt>
                <c:pt idx="184">
                  <c:v>2.6315789473684209E-2</c:v>
                </c:pt>
                <c:pt idx="18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1-C94E-839F-56196160731E}"/>
            </c:ext>
          </c:extLst>
        </c:ser>
        <c:ser>
          <c:idx val="1"/>
          <c:order val="1"/>
          <c:tx>
            <c:strRef>
              <c:f>'Todas Métricas Norm'!$D$194</c:f>
              <c:strCache>
                <c:ptCount val="1"/>
                <c:pt idx="0">
                  <c:v>CCM norm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Norm'!$D$195:$D$380</c:f>
              <c:numCache>
                <c:formatCode>0.0000</c:formatCode>
                <c:ptCount val="186"/>
                <c:pt idx="0">
                  <c:v>1</c:v>
                </c:pt>
                <c:pt idx="1">
                  <c:v>0.47499999999999998</c:v>
                </c:pt>
                <c:pt idx="2">
                  <c:v>0.47499999999999998</c:v>
                </c:pt>
                <c:pt idx="3">
                  <c:v>0.22500000000000001</c:v>
                </c:pt>
                <c:pt idx="4">
                  <c:v>0.42499999999999999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0.32500000000000001</c:v>
                </c:pt>
                <c:pt idx="9">
                  <c:v>0.32500000000000001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0.15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0.1</c:v>
                </c:pt>
                <c:pt idx="24">
                  <c:v>0.125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</c:v>
                </c:pt>
                <c:pt idx="32">
                  <c:v>0.05</c:v>
                </c:pt>
                <c:pt idx="33">
                  <c:v>0</c:v>
                </c:pt>
                <c:pt idx="34">
                  <c:v>0.05</c:v>
                </c:pt>
                <c:pt idx="35">
                  <c:v>0.05</c:v>
                </c:pt>
                <c:pt idx="36">
                  <c:v>2.5000000000000001E-2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2.5000000000000001E-2</c:v>
                </c:pt>
                <c:pt idx="41">
                  <c:v>7.4999999999999997E-2</c:v>
                </c:pt>
                <c:pt idx="42">
                  <c:v>0.17499999999999999</c:v>
                </c:pt>
                <c:pt idx="43">
                  <c:v>2.5000000000000001E-2</c:v>
                </c:pt>
                <c:pt idx="44">
                  <c:v>0</c:v>
                </c:pt>
                <c:pt idx="45">
                  <c:v>0.05</c:v>
                </c:pt>
                <c:pt idx="46">
                  <c:v>0.05</c:v>
                </c:pt>
                <c:pt idx="47">
                  <c:v>0</c:v>
                </c:pt>
                <c:pt idx="48">
                  <c:v>7.4999999999999997E-2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2.5000000000000001E-2</c:v>
                </c:pt>
                <c:pt idx="54">
                  <c:v>2.5000000000000001E-2</c:v>
                </c:pt>
                <c:pt idx="55">
                  <c:v>0.05</c:v>
                </c:pt>
                <c:pt idx="56">
                  <c:v>0.05</c:v>
                </c:pt>
                <c:pt idx="57">
                  <c:v>2.5000000000000001E-2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2.5000000000000001E-2</c:v>
                </c:pt>
                <c:pt idx="61">
                  <c:v>0.05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2.5000000000000001E-2</c:v>
                </c:pt>
                <c:pt idx="66">
                  <c:v>7.4999999999999997E-2</c:v>
                </c:pt>
                <c:pt idx="67">
                  <c:v>7.4999999999999997E-2</c:v>
                </c:pt>
                <c:pt idx="68">
                  <c:v>0</c:v>
                </c:pt>
                <c:pt idx="69">
                  <c:v>0</c:v>
                </c:pt>
                <c:pt idx="70">
                  <c:v>2.5000000000000001E-2</c:v>
                </c:pt>
                <c:pt idx="71">
                  <c:v>2.5000000000000001E-2</c:v>
                </c:pt>
                <c:pt idx="72">
                  <c:v>0</c:v>
                </c:pt>
                <c:pt idx="73">
                  <c:v>0</c:v>
                </c:pt>
                <c:pt idx="74">
                  <c:v>2.5000000000000001E-2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2.5000000000000001E-2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1-C94E-839F-56196160731E}"/>
            </c:ext>
          </c:extLst>
        </c:ser>
        <c:ser>
          <c:idx val="2"/>
          <c:order val="2"/>
          <c:tx>
            <c:strRef>
              <c:f>'Todas Métricas Norm'!$E$194</c:f>
              <c:strCache>
                <c:ptCount val="1"/>
                <c:pt idx="0">
                  <c:v>CDISP norm</c:v>
                </c:pt>
              </c:strCache>
            </c:strRef>
          </c:tx>
          <c:spPr>
            <a:solidFill>
              <a:srgbClr val="13541C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Norm'!$E$195:$E$380</c:f>
              <c:numCache>
                <c:formatCode>0.0000</c:formatCode>
                <c:ptCount val="186"/>
                <c:pt idx="0">
                  <c:v>0.45450000000000002</c:v>
                </c:pt>
                <c:pt idx="1">
                  <c:v>0.3125</c:v>
                </c:pt>
                <c:pt idx="2">
                  <c:v>0.5</c:v>
                </c:pt>
                <c:pt idx="3">
                  <c:v>0.35</c:v>
                </c:pt>
                <c:pt idx="4">
                  <c:v>0.5</c:v>
                </c:pt>
                <c:pt idx="5">
                  <c:v>0.5</c:v>
                </c:pt>
                <c:pt idx="6">
                  <c:v>0.5625</c:v>
                </c:pt>
                <c:pt idx="7">
                  <c:v>0.5625</c:v>
                </c:pt>
                <c:pt idx="8">
                  <c:v>0.1905</c:v>
                </c:pt>
                <c:pt idx="9">
                  <c:v>0.1905</c:v>
                </c:pt>
                <c:pt idx="10">
                  <c:v>0.45450000000000002</c:v>
                </c:pt>
                <c:pt idx="11">
                  <c:v>0.26319999999999999</c:v>
                </c:pt>
                <c:pt idx="12">
                  <c:v>0.6</c:v>
                </c:pt>
                <c:pt idx="13">
                  <c:v>0.57140000000000002</c:v>
                </c:pt>
                <c:pt idx="14">
                  <c:v>0.375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0.6</c:v>
                </c:pt>
                <c:pt idx="20">
                  <c:v>0.4</c:v>
                </c:pt>
                <c:pt idx="21">
                  <c:v>0.4</c:v>
                </c:pt>
                <c:pt idx="22">
                  <c:v>1</c:v>
                </c:pt>
                <c:pt idx="23">
                  <c:v>0.5</c:v>
                </c:pt>
                <c:pt idx="24">
                  <c:v>0.44440000000000002</c:v>
                </c:pt>
                <c:pt idx="25">
                  <c:v>0.66669999999999996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0.5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0.5</c:v>
                </c:pt>
                <c:pt idx="38">
                  <c:v>0.5</c:v>
                </c:pt>
                <c:pt idx="39">
                  <c:v>0.71430000000000005</c:v>
                </c:pt>
                <c:pt idx="40">
                  <c:v>0</c:v>
                </c:pt>
                <c:pt idx="41">
                  <c:v>0.75</c:v>
                </c:pt>
                <c:pt idx="42">
                  <c:v>0.375</c:v>
                </c:pt>
                <c:pt idx="43">
                  <c:v>0.75</c:v>
                </c:pt>
                <c:pt idx="44">
                  <c:v>1</c:v>
                </c:pt>
                <c:pt idx="45">
                  <c:v>0.25</c:v>
                </c:pt>
                <c:pt idx="46">
                  <c:v>0.5</c:v>
                </c:pt>
                <c:pt idx="47">
                  <c:v>1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1</c:v>
                </c:pt>
                <c:pt idx="54">
                  <c:v>1</c:v>
                </c:pt>
                <c:pt idx="55">
                  <c:v>0.5</c:v>
                </c:pt>
                <c:pt idx="56">
                  <c:v>0.75</c:v>
                </c:pt>
                <c:pt idx="57">
                  <c:v>0.66669999999999996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0.4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0.6</c:v>
                </c:pt>
                <c:pt idx="67">
                  <c:v>0.25</c:v>
                </c:pt>
                <c:pt idx="68">
                  <c:v>0.33329999999999999</c:v>
                </c:pt>
                <c:pt idx="69">
                  <c:v>0.33329999999999999</c:v>
                </c:pt>
                <c:pt idx="70">
                  <c:v>0.5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</c:v>
                </c:pt>
                <c:pt idx="75">
                  <c:v>0.8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0.6</c:v>
                </c:pt>
                <c:pt idx="82">
                  <c:v>1</c:v>
                </c:pt>
                <c:pt idx="83">
                  <c:v>0</c:v>
                </c:pt>
                <c:pt idx="84">
                  <c:v>0.25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0.66669999999999996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0.5</c:v>
                </c:pt>
                <c:pt idx="124">
                  <c:v>0.5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1-C94E-839F-56196160731E}"/>
            </c:ext>
          </c:extLst>
        </c:ser>
        <c:ser>
          <c:idx val="3"/>
          <c:order val="3"/>
          <c:tx>
            <c:strRef>
              <c:f>'Todas Métricas Norm'!$F$194</c:f>
              <c:strCache>
                <c:ptCount val="1"/>
                <c:pt idx="0">
                  <c:v>CINT norm</c:v>
                </c:pt>
              </c:strCache>
            </c:strRef>
          </c:tx>
          <c:spPr>
            <a:solidFill>
              <a:srgbClr val="0B7CA8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Norm'!$F$195:$F$380</c:f>
              <c:numCache>
                <c:formatCode>0.0000</c:formatCode>
                <c:ptCount val="186"/>
                <c:pt idx="0">
                  <c:v>0.75862068965517238</c:v>
                </c:pt>
                <c:pt idx="1">
                  <c:v>1</c:v>
                </c:pt>
                <c:pt idx="2">
                  <c:v>0.41379310344827586</c:v>
                </c:pt>
                <c:pt idx="3">
                  <c:v>0.65517241379310343</c:v>
                </c:pt>
                <c:pt idx="4">
                  <c:v>0.27586206896551724</c:v>
                </c:pt>
                <c:pt idx="5">
                  <c:v>0.34482758620689657</c:v>
                </c:pt>
                <c:pt idx="6">
                  <c:v>0.48275862068965519</c:v>
                </c:pt>
                <c:pt idx="7">
                  <c:v>0.48275862068965519</c:v>
                </c:pt>
                <c:pt idx="8">
                  <c:v>0.62068965517241381</c:v>
                </c:pt>
                <c:pt idx="9">
                  <c:v>0.62068965517241381</c:v>
                </c:pt>
                <c:pt idx="10">
                  <c:v>0.34482758620689657</c:v>
                </c:pt>
                <c:pt idx="11">
                  <c:v>0.62068965517241381</c:v>
                </c:pt>
                <c:pt idx="12">
                  <c:v>0.13793103448275862</c:v>
                </c:pt>
                <c:pt idx="13">
                  <c:v>0.44827586206896552</c:v>
                </c:pt>
                <c:pt idx="14">
                  <c:v>0.2413793103448276</c:v>
                </c:pt>
                <c:pt idx="15">
                  <c:v>0.20689655172413793</c:v>
                </c:pt>
                <c:pt idx="16">
                  <c:v>0.20689655172413793</c:v>
                </c:pt>
                <c:pt idx="17">
                  <c:v>0.20689655172413793</c:v>
                </c:pt>
                <c:pt idx="18">
                  <c:v>3.4482758620689655E-2</c:v>
                </c:pt>
                <c:pt idx="19">
                  <c:v>0.13793103448275862</c:v>
                </c:pt>
                <c:pt idx="20">
                  <c:v>0.13793103448275862</c:v>
                </c:pt>
                <c:pt idx="21">
                  <c:v>0.13793103448275862</c:v>
                </c:pt>
                <c:pt idx="22">
                  <c:v>0.10344827586206896</c:v>
                </c:pt>
                <c:pt idx="23">
                  <c:v>0.10344827586206896</c:v>
                </c:pt>
                <c:pt idx="24">
                  <c:v>0.31034482758620691</c:v>
                </c:pt>
                <c:pt idx="25">
                  <c:v>0.10344827586206896</c:v>
                </c:pt>
                <c:pt idx="26">
                  <c:v>6.8965517241379309E-2</c:v>
                </c:pt>
                <c:pt idx="27">
                  <c:v>6.8965517241379309E-2</c:v>
                </c:pt>
                <c:pt idx="28">
                  <c:v>3.4482758620689655E-2</c:v>
                </c:pt>
                <c:pt idx="29">
                  <c:v>3.4482758620689655E-2</c:v>
                </c:pt>
                <c:pt idx="30">
                  <c:v>0.13793103448275862</c:v>
                </c:pt>
                <c:pt idx="31">
                  <c:v>3.4482758620689655E-2</c:v>
                </c:pt>
                <c:pt idx="32">
                  <c:v>0.20689655172413793</c:v>
                </c:pt>
                <c:pt idx="33">
                  <c:v>3.4482758620689655E-2</c:v>
                </c:pt>
                <c:pt idx="34">
                  <c:v>6.8965517241379309E-2</c:v>
                </c:pt>
                <c:pt idx="35">
                  <c:v>6.8965517241379309E-2</c:v>
                </c:pt>
                <c:pt idx="36">
                  <c:v>6.8965517241379309E-2</c:v>
                </c:pt>
                <c:pt idx="37">
                  <c:v>6.8965517241379309E-2</c:v>
                </c:pt>
                <c:pt idx="38">
                  <c:v>6.8965517241379309E-2</c:v>
                </c:pt>
                <c:pt idx="39">
                  <c:v>0.2413793103448276</c:v>
                </c:pt>
                <c:pt idx="40">
                  <c:v>0</c:v>
                </c:pt>
                <c:pt idx="41">
                  <c:v>0.10344827586206896</c:v>
                </c:pt>
                <c:pt idx="42">
                  <c:v>0.27586206896551724</c:v>
                </c:pt>
                <c:pt idx="43">
                  <c:v>0.2413793103448276</c:v>
                </c:pt>
                <c:pt idx="44">
                  <c:v>3.4482758620689655E-2</c:v>
                </c:pt>
                <c:pt idx="45">
                  <c:v>0.10344827586206896</c:v>
                </c:pt>
                <c:pt idx="46">
                  <c:v>0.17241379310344829</c:v>
                </c:pt>
                <c:pt idx="47">
                  <c:v>3.4482758620689655E-2</c:v>
                </c:pt>
                <c:pt idx="48">
                  <c:v>6.8965517241379309E-2</c:v>
                </c:pt>
                <c:pt idx="49">
                  <c:v>6.8965517241379309E-2</c:v>
                </c:pt>
                <c:pt idx="50">
                  <c:v>6.8965517241379309E-2</c:v>
                </c:pt>
                <c:pt idx="51">
                  <c:v>6.8965517241379309E-2</c:v>
                </c:pt>
                <c:pt idx="52">
                  <c:v>6.8965517241379309E-2</c:v>
                </c:pt>
                <c:pt idx="53">
                  <c:v>6.8965517241379309E-2</c:v>
                </c:pt>
                <c:pt idx="54">
                  <c:v>3.4482758620689655E-2</c:v>
                </c:pt>
                <c:pt idx="55">
                  <c:v>6.8965517241379309E-2</c:v>
                </c:pt>
                <c:pt idx="56">
                  <c:v>0.13793103448275862</c:v>
                </c:pt>
                <c:pt idx="57">
                  <c:v>0.10344827586206896</c:v>
                </c:pt>
                <c:pt idx="58">
                  <c:v>0.13793103448275862</c:v>
                </c:pt>
                <c:pt idx="59">
                  <c:v>0.13793103448275862</c:v>
                </c:pt>
                <c:pt idx="60">
                  <c:v>0.13793103448275862</c:v>
                </c:pt>
                <c:pt idx="61">
                  <c:v>0.13793103448275862</c:v>
                </c:pt>
                <c:pt idx="62">
                  <c:v>3.4482758620689655E-2</c:v>
                </c:pt>
                <c:pt idx="63">
                  <c:v>3.4482758620689655E-2</c:v>
                </c:pt>
                <c:pt idx="64">
                  <c:v>6.8965517241379309E-2</c:v>
                </c:pt>
                <c:pt idx="65">
                  <c:v>3.4482758620689655E-2</c:v>
                </c:pt>
                <c:pt idx="66">
                  <c:v>0.13793103448275862</c:v>
                </c:pt>
                <c:pt idx="67">
                  <c:v>6.8965517241379309E-2</c:v>
                </c:pt>
                <c:pt idx="68">
                  <c:v>3.4482758620689655E-2</c:v>
                </c:pt>
                <c:pt idx="69">
                  <c:v>3.4482758620689655E-2</c:v>
                </c:pt>
                <c:pt idx="70">
                  <c:v>3.4482758620689655E-2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3.4482758620689655E-2</c:v>
                </c:pt>
                <c:pt idx="75">
                  <c:v>0.13793103448275862</c:v>
                </c:pt>
                <c:pt idx="76">
                  <c:v>3.4482758620689655E-2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0.17241379310344829</c:v>
                </c:pt>
                <c:pt idx="82">
                  <c:v>3.4482758620689655E-2</c:v>
                </c:pt>
                <c:pt idx="83">
                  <c:v>0</c:v>
                </c:pt>
                <c:pt idx="84">
                  <c:v>0.13793103448275862</c:v>
                </c:pt>
                <c:pt idx="85">
                  <c:v>3.4482758620689655E-2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0.10344827586206896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3.4482758620689655E-2</c:v>
                </c:pt>
                <c:pt idx="124">
                  <c:v>6.8965517241379309E-2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01-C94E-839F-56196160731E}"/>
            </c:ext>
          </c:extLst>
        </c:ser>
        <c:ser>
          <c:idx val="4"/>
          <c:order val="4"/>
          <c:tx>
            <c:strRef>
              <c:f>'Todas Métricas Norm'!$G$194</c:f>
              <c:strCache>
                <c:ptCount val="1"/>
                <c:pt idx="0">
                  <c:v>CND norm</c:v>
                </c:pt>
              </c:strCache>
            </c:strRef>
          </c:tx>
          <c:spPr>
            <a:solidFill>
              <a:srgbClr val="7E21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Norm'!$G$195:$G$380</c:f>
              <c:numCache>
                <c:formatCode>0.0000</c:formatCode>
                <c:ptCount val="186"/>
                <c:pt idx="0">
                  <c:v>1</c:v>
                </c:pt>
                <c:pt idx="1">
                  <c:v>0.5</c:v>
                </c:pt>
                <c:pt idx="2">
                  <c:v>0.75</c:v>
                </c:pt>
                <c:pt idx="3">
                  <c:v>0.25</c:v>
                </c:pt>
                <c:pt idx="4">
                  <c:v>0.75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0.25</c:v>
                </c:pt>
                <c:pt idx="11">
                  <c:v>0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</c:v>
                </c:pt>
                <c:pt idx="32">
                  <c:v>0.25</c:v>
                </c:pt>
                <c:pt idx="33">
                  <c:v>0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0.25</c:v>
                </c:pt>
                <c:pt idx="46">
                  <c:v>0</c:v>
                </c:pt>
                <c:pt idx="47">
                  <c:v>0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01-C94E-839F-56196160731E}"/>
            </c:ext>
          </c:extLst>
        </c:ser>
        <c:ser>
          <c:idx val="5"/>
          <c:order val="5"/>
          <c:tx>
            <c:strRef>
              <c:f>'Todas Métricas Norm'!$H$194</c:f>
              <c:strCache>
                <c:ptCount val="1"/>
                <c:pt idx="0">
                  <c:v>FDP norm</c:v>
                </c:pt>
              </c:strCache>
            </c:strRef>
          </c:tx>
          <c:spPr>
            <a:solidFill>
              <a:srgbClr val="3D83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Norm'!$H$195:$H$380</c:f>
              <c:numCache>
                <c:formatCode>0.0000</c:formatCode>
                <c:ptCount val="186"/>
                <c:pt idx="0">
                  <c:v>1</c:v>
                </c:pt>
                <c:pt idx="1">
                  <c:v>0.4</c:v>
                </c:pt>
                <c:pt idx="2">
                  <c:v>0.2</c:v>
                </c:pt>
                <c:pt idx="3">
                  <c:v>0.8</c:v>
                </c:pt>
                <c:pt idx="4">
                  <c:v>0</c:v>
                </c:pt>
                <c:pt idx="5">
                  <c:v>0.8</c:v>
                </c:pt>
                <c:pt idx="6">
                  <c:v>0.2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0.8</c:v>
                </c:pt>
                <c:pt idx="11">
                  <c:v>1</c:v>
                </c:pt>
                <c:pt idx="12">
                  <c:v>0</c:v>
                </c:pt>
                <c:pt idx="13">
                  <c:v>0.4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</c:v>
                </c:pt>
                <c:pt idx="31">
                  <c:v>0</c:v>
                </c:pt>
                <c:pt idx="32">
                  <c:v>0.2</c:v>
                </c:pt>
                <c:pt idx="33">
                  <c:v>0.2</c:v>
                </c:pt>
                <c:pt idx="34">
                  <c:v>0</c:v>
                </c:pt>
                <c:pt idx="35">
                  <c:v>0</c:v>
                </c:pt>
                <c:pt idx="36">
                  <c:v>0.2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</c:v>
                </c:pt>
                <c:pt idx="41">
                  <c:v>0.2</c:v>
                </c:pt>
                <c:pt idx="42">
                  <c:v>0</c:v>
                </c:pt>
                <c:pt idx="43">
                  <c:v>0.4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0.2</c:v>
                </c:pt>
                <c:pt idx="66">
                  <c:v>0</c:v>
                </c:pt>
                <c:pt idx="67">
                  <c:v>0</c:v>
                </c:pt>
                <c:pt idx="68">
                  <c:v>0.2</c:v>
                </c:pt>
                <c:pt idx="69">
                  <c:v>0.2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0.2</c:v>
                </c:pt>
                <c:pt idx="83">
                  <c:v>0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0.2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0.2</c:v>
                </c:pt>
                <c:pt idx="124">
                  <c:v>0.2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01-C94E-839F-56196160731E}"/>
            </c:ext>
          </c:extLst>
        </c:ser>
        <c:ser>
          <c:idx val="6"/>
          <c:order val="6"/>
          <c:tx>
            <c:strRef>
              <c:f>'Todas Métricas Norm'!$I$194</c:f>
              <c:strCache>
                <c:ptCount val="1"/>
                <c:pt idx="0">
                  <c:v>HD norm</c:v>
                </c:pt>
              </c:strCache>
            </c:strRef>
          </c:tx>
          <c:spPr>
            <a:solidFill>
              <a:srgbClr val="13597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Norm'!$I$195:$I$380</c:f>
              <c:numCache>
                <c:formatCode>0.0000</c:formatCode>
                <c:ptCount val="186"/>
                <c:pt idx="0">
                  <c:v>0.76151148851148853</c:v>
                </c:pt>
                <c:pt idx="1">
                  <c:v>1</c:v>
                </c:pt>
                <c:pt idx="2">
                  <c:v>0.45223076923076927</c:v>
                </c:pt>
                <c:pt idx="3">
                  <c:v>0.58741258741258739</c:v>
                </c:pt>
                <c:pt idx="4">
                  <c:v>0.40323276723276724</c:v>
                </c:pt>
                <c:pt idx="5">
                  <c:v>0.27472527472527475</c:v>
                </c:pt>
                <c:pt idx="6">
                  <c:v>0.4337772227772228</c:v>
                </c:pt>
                <c:pt idx="7">
                  <c:v>0.4337772227772228</c:v>
                </c:pt>
                <c:pt idx="8">
                  <c:v>0.45854145854145856</c:v>
                </c:pt>
                <c:pt idx="9">
                  <c:v>0.45854145854145856</c:v>
                </c:pt>
                <c:pt idx="10">
                  <c:v>0.16697602397602401</c:v>
                </c:pt>
                <c:pt idx="11">
                  <c:v>0.28971028971028973</c:v>
                </c:pt>
                <c:pt idx="12">
                  <c:v>0.24702597402597404</c:v>
                </c:pt>
                <c:pt idx="13">
                  <c:v>0.20139860139860141</c:v>
                </c:pt>
                <c:pt idx="14">
                  <c:v>0.20104895104895107</c:v>
                </c:pt>
                <c:pt idx="15">
                  <c:v>0.26973026973026976</c:v>
                </c:pt>
                <c:pt idx="16">
                  <c:v>0.26973026973026976</c:v>
                </c:pt>
                <c:pt idx="17">
                  <c:v>0.26973026973026976</c:v>
                </c:pt>
                <c:pt idx="18">
                  <c:v>3.7462537462537464E-2</c:v>
                </c:pt>
                <c:pt idx="19">
                  <c:v>0.28899700299700298</c:v>
                </c:pt>
                <c:pt idx="20">
                  <c:v>0.12820479520479522</c:v>
                </c:pt>
                <c:pt idx="21">
                  <c:v>0.12820479520479522</c:v>
                </c:pt>
                <c:pt idx="22">
                  <c:v>7.992007992007992E-2</c:v>
                </c:pt>
                <c:pt idx="23">
                  <c:v>0.1098901098901099</c:v>
                </c:pt>
                <c:pt idx="24">
                  <c:v>0.17950849150849155</c:v>
                </c:pt>
                <c:pt idx="25">
                  <c:v>0.10204095904095904</c:v>
                </c:pt>
                <c:pt idx="26">
                  <c:v>5.2447552447552448E-2</c:v>
                </c:pt>
                <c:pt idx="27">
                  <c:v>5.2447552447552448E-2</c:v>
                </c:pt>
                <c:pt idx="28">
                  <c:v>6.1188811188811192E-2</c:v>
                </c:pt>
                <c:pt idx="29">
                  <c:v>0.19480519480519481</c:v>
                </c:pt>
                <c:pt idx="30">
                  <c:v>7.5757242757242771E-2</c:v>
                </c:pt>
                <c:pt idx="31">
                  <c:v>2.4975024975024976E-2</c:v>
                </c:pt>
                <c:pt idx="32">
                  <c:v>9.4905094905094911E-2</c:v>
                </c:pt>
                <c:pt idx="33">
                  <c:v>3.7000000000000005E-2</c:v>
                </c:pt>
                <c:pt idx="34">
                  <c:v>6.6600399600399596E-2</c:v>
                </c:pt>
                <c:pt idx="35">
                  <c:v>5.8274725274725284E-2</c:v>
                </c:pt>
                <c:pt idx="36">
                  <c:v>0.12844255744255745</c:v>
                </c:pt>
                <c:pt idx="37">
                  <c:v>0.1123876123876124</c:v>
                </c:pt>
                <c:pt idx="38">
                  <c:v>0.1048951048951049</c:v>
                </c:pt>
                <c:pt idx="39">
                  <c:v>0.14152547452547454</c:v>
                </c:pt>
                <c:pt idx="40">
                  <c:v>0.13486513486513488</c:v>
                </c:pt>
                <c:pt idx="41">
                  <c:v>0.1436063936063936</c:v>
                </c:pt>
                <c:pt idx="42">
                  <c:v>0.24261438561438561</c:v>
                </c:pt>
                <c:pt idx="43">
                  <c:v>8.9910089910089919E-2</c:v>
                </c:pt>
                <c:pt idx="44">
                  <c:v>3.3299700299700301E-2</c:v>
                </c:pt>
                <c:pt idx="45">
                  <c:v>9.9900099900099903E-2</c:v>
                </c:pt>
                <c:pt idx="46">
                  <c:v>0.10822477522477522</c:v>
                </c:pt>
                <c:pt idx="47">
                  <c:v>2.4975024975024976E-2</c:v>
                </c:pt>
                <c:pt idx="48">
                  <c:v>7.4925074925074928E-2</c:v>
                </c:pt>
                <c:pt idx="49">
                  <c:v>0.13486513486513488</c:v>
                </c:pt>
                <c:pt idx="50">
                  <c:v>0.13486513486513488</c:v>
                </c:pt>
                <c:pt idx="51">
                  <c:v>0.12362637362637363</c:v>
                </c:pt>
                <c:pt idx="52">
                  <c:v>0.12362637362637363</c:v>
                </c:pt>
                <c:pt idx="53">
                  <c:v>6.7432567432567439E-2</c:v>
                </c:pt>
                <c:pt idx="54">
                  <c:v>7.4925074925074928E-2</c:v>
                </c:pt>
                <c:pt idx="55">
                  <c:v>9.7402597402597407E-2</c:v>
                </c:pt>
                <c:pt idx="56">
                  <c:v>0.14842257742257745</c:v>
                </c:pt>
                <c:pt idx="57">
                  <c:v>7.4925074925074928E-2</c:v>
                </c:pt>
                <c:pt idx="58">
                  <c:v>0.18181818181818182</c:v>
                </c:pt>
                <c:pt idx="59">
                  <c:v>0.15151548451548452</c:v>
                </c:pt>
                <c:pt idx="60">
                  <c:v>0.14985014985014986</c:v>
                </c:pt>
                <c:pt idx="61">
                  <c:v>8.7912087912087919E-2</c:v>
                </c:pt>
                <c:pt idx="62">
                  <c:v>1.998001998001998E-2</c:v>
                </c:pt>
                <c:pt idx="63">
                  <c:v>1.4985014985014986E-2</c:v>
                </c:pt>
                <c:pt idx="64">
                  <c:v>2.4975024975024976E-2</c:v>
                </c:pt>
                <c:pt idx="65">
                  <c:v>3.7462537462537464E-2</c:v>
                </c:pt>
                <c:pt idx="66">
                  <c:v>8.3916083916083919E-2</c:v>
                </c:pt>
                <c:pt idx="67">
                  <c:v>0.10275424575424576</c:v>
                </c:pt>
                <c:pt idx="68">
                  <c:v>4.4955044955044959E-2</c:v>
                </c:pt>
                <c:pt idx="69">
                  <c:v>4.4955044955044959E-2</c:v>
                </c:pt>
                <c:pt idx="70">
                  <c:v>2.4975024975024976E-2</c:v>
                </c:pt>
                <c:pt idx="71">
                  <c:v>5.0858141858141866E-2</c:v>
                </c:pt>
                <c:pt idx="72">
                  <c:v>1.4985014985014986E-2</c:v>
                </c:pt>
                <c:pt idx="73">
                  <c:v>1.7125874125874126E-2</c:v>
                </c:pt>
                <c:pt idx="74">
                  <c:v>8.1168831168831168E-2</c:v>
                </c:pt>
                <c:pt idx="75">
                  <c:v>7.8492507492507496E-2</c:v>
                </c:pt>
                <c:pt idx="76">
                  <c:v>5.9940059940059943E-2</c:v>
                </c:pt>
                <c:pt idx="77">
                  <c:v>1.998001998001998E-2</c:v>
                </c:pt>
                <c:pt idx="78">
                  <c:v>1.998001998001998E-2</c:v>
                </c:pt>
                <c:pt idx="79">
                  <c:v>1.4985014985014986E-2</c:v>
                </c:pt>
                <c:pt idx="80">
                  <c:v>1.4985014985014986E-2</c:v>
                </c:pt>
                <c:pt idx="81">
                  <c:v>5.9940059940059943E-2</c:v>
                </c:pt>
                <c:pt idx="82">
                  <c:v>4.6620379620379619E-2</c:v>
                </c:pt>
                <c:pt idx="83">
                  <c:v>9.99000999000999E-3</c:v>
                </c:pt>
                <c:pt idx="84">
                  <c:v>0.14385614385614387</c:v>
                </c:pt>
                <c:pt idx="85">
                  <c:v>0</c:v>
                </c:pt>
                <c:pt idx="86">
                  <c:v>9.99000999000999E-3</c:v>
                </c:pt>
                <c:pt idx="87">
                  <c:v>9.99000999000999E-3</c:v>
                </c:pt>
                <c:pt idx="88">
                  <c:v>1.4985014985014986E-2</c:v>
                </c:pt>
                <c:pt idx="89">
                  <c:v>1.4985014985014986E-2</c:v>
                </c:pt>
                <c:pt idx="90">
                  <c:v>4.9950049950049952E-2</c:v>
                </c:pt>
                <c:pt idx="91">
                  <c:v>1.1655344655344657E-2</c:v>
                </c:pt>
                <c:pt idx="92">
                  <c:v>1.998001998001998E-2</c:v>
                </c:pt>
                <c:pt idx="93">
                  <c:v>5.8274725274725284E-2</c:v>
                </c:pt>
                <c:pt idx="94">
                  <c:v>1.998001998001998E-2</c:v>
                </c:pt>
                <c:pt idx="95">
                  <c:v>1.4985014985014986E-2</c:v>
                </c:pt>
                <c:pt idx="96">
                  <c:v>1.4985014985014986E-2</c:v>
                </c:pt>
                <c:pt idx="97">
                  <c:v>1.998001998001998E-2</c:v>
                </c:pt>
                <c:pt idx="98">
                  <c:v>1.998001998001998E-2</c:v>
                </c:pt>
                <c:pt idx="99">
                  <c:v>1.998001998001998E-2</c:v>
                </c:pt>
                <c:pt idx="100">
                  <c:v>1.998001998001998E-2</c:v>
                </c:pt>
                <c:pt idx="101">
                  <c:v>9.99000999000999E-3</c:v>
                </c:pt>
                <c:pt idx="102">
                  <c:v>9.99000999000999E-3</c:v>
                </c:pt>
                <c:pt idx="103">
                  <c:v>9.99000999000999E-3</c:v>
                </c:pt>
                <c:pt idx="104">
                  <c:v>9.99000999000999E-3</c:v>
                </c:pt>
                <c:pt idx="105">
                  <c:v>1.998001998001998E-2</c:v>
                </c:pt>
                <c:pt idx="106">
                  <c:v>1.998001998001998E-2</c:v>
                </c:pt>
                <c:pt idx="107">
                  <c:v>9.99000999000999E-3</c:v>
                </c:pt>
                <c:pt idx="108">
                  <c:v>9.99000999000999E-3</c:v>
                </c:pt>
                <c:pt idx="109">
                  <c:v>9.99000999000999E-3</c:v>
                </c:pt>
                <c:pt idx="110">
                  <c:v>9.99000999000999E-3</c:v>
                </c:pt>
                <c:pt idx="111">
                  <c:v>9.99000999000999E-3</c:v>
                </c:pt>
                <c:pt idx="112">
                  <c:v>9.99000999000999E-3</c:v>
                </c:pt>
                <c:pt idx="113">
                  <c:v>1.4985014985014986E-2</c:v>
                </c:pt>
                <c:pt idx="114">
                  <c:v>1.4985014985014986E-2</c:v>
                </c:pt>
                <c:pt idx="115">
                  <c:v>1.4985014985014986E-2</c:v>
                </c:pt>
                <c:pt idx="116">
                  <c:v>1.4985014985014986E-2</c:v>
                </c:pt>
                <c:pt idx="117">
                  <c:v>1.4985014985014986E-2</c:v>
                </c:pt>
                <c:pt idx="118">
                  <c:v>1.4985014985014986E-2</c:v>
                </c:pt>
                <c:pt idx="119">
                  <c:v>9.99000999000999E-3</c:v>
                </c:pt>
                <c:pt idx="120">
                  <c:v>9.99000999000999E-3</c:v>
                </c:pt>
                <c:pt idx="121">
                  <c:v>9.99000999000999E-3</c:v>
                </c:pt>
                <c:pt idx="122">
                  <c:v>9.99000999000999E-3</c:v>
                </c:pt>
                <c:pt idx="123">
                  <c:v>4.6620379620379619E-2</c:v>
                </c:pt>
                <c:pt idx="124">
                  <c:v>3.4965034965034968E-2</c:v>
                </c:pt>
                <c:pt idx="125">
                  <c:v>4.4955044955044959E-2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01-C94E-839F-56196160731E}"/>
            </c:ext>
          </c:extLst>
        </c:ser>
        <c:ser>
          <c:idx val="7"/>
          <c:order val="7"/>
          <c:tx>
            <c:strRef>
              <c:f>'Todas Métricas Norm'!$J$194</c:f>
              <c:strCache>
                <c:ptCount val="1"/>
                <c:pt idx="0">
                  <c:v>HEF norm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Norm'!$J$195:$J$380</c:f>
              <c:numCache>
                <c:formatCode>0.0000</c:formatCode>
                <c:ptCount val="186"/>
                <c:pt idx="0">
                  <c:v>0.98177291464677741</c:v>
                </c:pt>
                <c:pt idx="1">
                  <c:v>1</c:v>
                </c:pt>
                <c:pt idx="2">
                  <c:v>0.32268903320162279</c:v>
                </c:pt>
                <c:pt idx="3">
                  <c:v>0.42570052415589471</c:v>
                </c:pt>
                <c:pt idx="4">
                  <c:v>0.15839133698193789</c:v>
                </c:pt>
                <c:pt idx="5">
                  <c:v>9.9562957787337578E-2</c:v>
                </c:pt>
                <c:pt idx="6">
                  <c:v>0.15267318618014067</c:v>
                </c:pt>
                <c:pt idx="7">
                  <c:v>0.15267318618014067</c:v>
                </c:pt>
                <c:pt idx="8">
                  <c:v>0.16552408801436966</c:v>
                </c:pt>
                <c:pt idx="9">
                  <c:v>0.16552408801436966</c:v>
                </c:pt>
                <c:pt idx="10">
                  <c:v>4.2754109776829169E-2</c:v>
                </c:pt>
                <c:pt idx="11">
                  <c:v>8.3309084568773992E-2</c:v>
                </c:pt>
                <c:pt idx="12">
                  <c:v>4.0035985467267464E-2</c:v>
                </c:pt>
                <c:pt idx="13">
                  <c:v>4.824929891010421E-2</c:v>
                </c:pt>
                <c:pt idx="14">
                  <c:v>2.5109085813449131E-2</c:v>
                </c:pt>
                <c:pt idx="15">
                  <c:v>6.4193442626411953E-2</c:v>
                </c:pt>
                <c:pt idx="16">
                  <c:v>6.4193442626411953E-2</c:v>
                </c:pt>
                <c:pt idx="17">
                  <c:v>6.4193442626411953E-2</c:v>
                </c:pt>
                <c:pt idx="18">
                  <c:v>2.5005466556132301E-3</c:v>
                </c:pt>
                <c:pt idx="19">
                  <c:v>3.4623009515577161E-2</c:v>
                </c:pt>
                <c:pt idx="20">
                  <c:v>1.3332616685612352E-2</c:v>
                </c:pt>
                <c:pt idx="21">
                  <c:v>1.3332616685612352E-2</c:v>
                </c:pt>
                <c:pt idx="22">
                  <c:v>2.9606144109659191E-3</c:v>
                </c:pt>
                <c:pt idx="23">
                  <c:v>5.2016353557740565E-3</c:v>
                </c:pt>
                <c:pt idx="24">
                  <c:v>2.7988013814268912E-2</c:v>
                </c:pt>
                <c:pt idx="25">
                  <c:v>5.8078271927148196E-3</c:v>
                </c:pt>
                <c:pt idx="26">
                  <c:v>1.8349643648804699E-3</c:v>
                </c:pt>
                <c:pt idx="27">
                  <c:v>1.8349643648804699E-3</c:v>
                </c:pt>
                <c:pt idx="28">
                  <c:v>1.6725929891912405E-3</c:v>
                </c:pt>
                <c:pt idx="29">
                  <c:v>2.3338472815798879E-2</c:v>
                </c:pt>
                <c:pt idx="30">
                  <c:v>4.238043569487762E-3</c:v>
                </c:pt>
                <c:pt idx="31">
                  <c:v>7.0746351444981898E-4</c:v>
                </c:pt>
                <c:pt idx="32">
                  <c:v>7.3570751497596719E-3</c:v>
                </c:pt>
                <c:pt idx="33">
                  <c:v>6.4695247414298714E-3</c:v>
                </c:pt>
                <c:pt idx="34">
                  <c:v>1.5777746564888981E-3</c:v>
                </c:pt>
                <c:pt idx="35">
                  <c:v>1.223704260482033E-3</c:v>
                </c:pt>
                <c:pt idx="36">
                  <c:v>8.0201856668190141E-3</c:v>
                </c:pt>
                <c:pt idx="37">
                  <c:v>6.5009136884808414E-3</c:v>
                </c:pt>
                <c:pt idx="38">
                  <c:v>5.7314726988682502E-3</c:v>
                </c:pt>
                <c:pt idx="39">
                  <c:v>1.4848941164622268E-2</c:v>
                </c:pt>
                <c:pt idx="40">
                  <c:v>1.659822702331944E-2</c:v>
                </c:pt>
                <c:pt idx="41">
                  <c:v>1.3668467946778378E-2</c:v>
                </c:pt>
                <c:pt idx="42">
                  <c:v>4.6163488722638646E-2</c:v>
                </c:pt>
                <c:pt idx="43">
                  <c:v>6.1583938482240004E-3</c:v>
                </c:pt>
                <c:pt idx="44">
                  <c:v>1.3706550732689447E-3</c:v>
                </c:pt>
                <c:pt idx="45">
                  <c:v>3.3104758979159384E-3</c:v>
                </c:pt>
                <c:pt idx="46">
                  <c:v>1.3237287895072407E-2</c:v>
                </c:pt>
                <c:pt idx="47">
                  <c:v>1.4734865415312499E-3</c:v>
                </c:pt>
                <c:pt idx="48">
                  <c:v>4.104712508551339E-3</c:v>
                </c:pt>
                <c:pt idx="49">
                  <c:v>8.24099972870692E-3</c:v>
                </c:pt>
                <c:pt idx="50">
                  <c:v>8.24099972870692E-3</c:v>
                </c:pt>
                <c:pt idx="51">
                  <c:v>7.378407024919497E-3</c:v>
                </c:pt>
                <c:pt idx="52">
                  <c:v>7.378407024919497E-3</c:v>
                </c:pt>
                <c:pt idx="53">
                  <c:v>4.3557904052667169E-3</c:v>
                </c:pt>
                <c:pt idx="54">
                  <c:v>1.3024568536749443E-3</c:v>
                </c:pt>
                <c:pt idx="55">
                  <c:v>4.1944652050219747E-3</c:v>
                </c:pt>
                <c:pt idx="56">
                  <c:v>1.351639782075003E-2</c:v>
                </c:pt>
                <c:pt idx="57">
                  <c:v>3.0054031393765353E-3</c:v>
                </c:pt>
                <c:pt idx="58">
                  <c:v>1.5575872593756878E-2</c:v>
                </c:pt>
                <c:pt idx="59">
                  <c:v>1.3222695115859315E-2</c:v>
                </c:pt>
                <c:pt idx="60">
                  <c:v>1.3495578508408582E-2</c:v>
                </c:pt>
                <c:pt idx="61">
                  <c:v>6.3055972587037464E-3</c:v>
                </c:pt>
                <c:pt idx="62">
                  <c:v>2.525976928339286E-4</c:v>
                </c:pt>
                <c:pt idx="63">
                  <c:v>3.2769182944229508E-4</c:v>
                </c:pt>
                <c:pt idx="64">
                  <c:v>2.5853742233187974E-4</c:v>
                </c:pt>
                <c:pt idx="65">
                  <c:v>7.2111115729555871E-4</c:v>
                </c:pt>
                <c:pt idx="66">
                  <c:v>3.6136931159033996E-3</c:v>
                </c:pt>
                <c:pt idx="67">
                  <c:v>5.7483035988888913E-3</c:v>
                </c:pt>
                <c:pt idx="68">
                  <c:v>1.7130796631457785E-3</c:v>
                </c:pt>
                <c:pt idx="69">
                  <c:v>1.7130796631457785E-3</c:v>
                </c:pt>
                <c:pt idx="70">
                  <c:v>2.040484162712475E-4</c:v>
                </c:pt>
                <c:pt idx="71">
                  <c:v>3.2397369665281839E-3</c:v>
                </c:pt>
                <c:pt idx="72">
                  <c:v>2.7524623346765069E-4</c:v>
                </c:pt>
                <c:pt idx="73">
                  <c:v>4.4952390665764616E-4</c:v>
                </c:pt>
                <c:pt idx="74">
                  <c:v>5.1705621558391299E-3</c:v>
                </c:pt>
                <c:pt idx="75">
                  <c:v>3.7931821952436749E-3</c:v>
                </c:pt>
                <c:pt idx="76">
                  <c:v>1.8111065127923054E-3</c:v>
                </c:pt>
                <c:pt idx="77">
                  <c:v>1.6323915401315274E-4</c:v>
                </c:pt>
                <c:pt idx="78">
                  <c:v>1.6323915401315274E-4</c:v>
                </c:pt>
                <c:pt idx="79">
                  <c:v>9.1642969205342693E-5</c:v>
                </c:pt>
                <c:pt idx="80">
                  <c:v>9.1642969205342693E-5</c:v>
                </c:pt>
                <c:pt idx="81">
                  <c:v>1.5847184618158641E-3</c:v>
                </c:pt>
                <c:pt idx="82">
                  <c:v>1.305284369099104E-3</c:v>
                </c:pt>
                <c:pt idx="83">
                  <c:v>4.2099615472321428E-5</c:v>
                </c:pt>
                <c:pt idx="84">
                  <c:v>8.3631180833074834E-3</c:v>
                </c:pt>
                <c:pt idx="85">
                  <c:v>0</c:v>
                </c:pt>
                <c:pt idx="86">
                  <c:v>2.5022432701167647E-5</c:v>
                </c:pt>
                <c:pt idx="87">
                  <c:v>2.5022432701167647E-5</c:v>
                </c:pt>
                <c:pt idx="88">
                  <c:v>6.3149423208482149E-5</c:v>
                </c:pt>
                <c:pt idx="89">
                  <c:v>6.3149423208482149E-5</c:v>
                </c:pt>
                <c:pt idx="90">
                  <c:v>1.251118477587222E-3</c:v>
                </c:pt>
                <c:pt idx="91">
                  <c:v>1.6576723592226562E-4</c:v>
                </c:pt>
                <c:pt idx="92">
                  <c:v>3.3363155894024628E-4</c:v>
                </c:pt>
                <c:pt idx="93">
                  <c:v>1.2893007238398437E-3</c:v>
                </c:pt>
                <c:pt idx="94">
                  <c:v>1.2219045019205914E-4</c:v>
                </c:pt>
                <c:pt idx="95">
                  <c:v>6.3149423208482149E-5</c:v>
                </c:pt>
                <c:pt idx="96">
                  <c:v>6.3149423208482149E-5</c:v>
                </c:pt>
                <c:pt idx="97">
                  <c:v>1.2219045019205914E-4</c:v>
                </c:pt>
                <c:pt idx="98">
                  <c:v>1.2219045019205914E-4</c:v>
                </c:pt>
                <c:pt idx="99">
                  <c:v>1.2219045019205914E-4</c:v>
                </c:pt>
                <c:pt idx="100">
                  <c:v>1.2219045019205914E-4</c:v>
                </c:pt>
                <c:pt idx="101">
                  <c:v>2.5022432701167647E-5</c:v>
                </c:pt>
                <c:pt idx="102">
                  <c:v>2.5022432701167647E-5</c:v>
                </c:pt>
                <c:pt idx="103">
                  <c:v>2.5022432701167647E-5</c:v>
                </c:pt>
                <c:pt idx="104">
                  <c:v>2.5022432701167647E-5</c:v>
                </c:pt>
                <c:pt idx="105">
                  <c:v>1.6323915401315274E-4</c:v>
                </c:pt>
                <c:pt idx="106">
                  <c:v>1.9044550426694707E-4</c:v>
                </c:pt>
                <c:pt idx="107">
                  <c:v>2.5022432701167647E-5</c:v>
                </c:pt>
                <c:pt idx="108">
                  <c:v>2.5022432701167647E-5</c:v>
                </c:pt>
                <c:pt idx="109">
                  <c:v>4.2099615472321428E-5</c:v>
                </c:pt>
                <c:pt idx="110">
                  <c:v>4.2099615472321428E-5</c:v>
                </c:pt>
                <c:pt idx="111">
                  <c:v>2.5022432701167647E-5</c:v>
                </c:pt>
                <c:pt idx="112">
                  <c:v>2.5022432701167647E-5</c:v>
                </c:pt>
                <c:pt idx="113">
                  <c:v>9.1642969205342693E-5</c:v>
                </c:pt>
                <c:pt idx="114">
                  <c:v>6.3149423208482149E-5</c:v>
                </c:pt>
                <c:pt idx="115">
                  <c:v>6.3149423208482149E-5</c:v>
                </c:pt>
                <c:pt idx="116">
                  <c:v>6.3149423208482149E-5</c:v>
                </c:pt>
                <c:pt idx="117">
                  <c:v>6.3149423208482149E-5</c:v>
                </c:pt>
                <c:pt idx="118">
                  <c:v>6.3149423208482149E-5</c:v>
                </c:pt>
                <c:pt idx="119">
                  <c:v>2.5022432701167647E-5</c:v>
                </c:pt>
                <c:pt idx="120">
                  <c:v>2.5022432701167647E-5</c:v>
                </c:pt>
                <c:pt idx="121">
                  <c:v>2.5022432701167647E-5</c:v>
                </c:pt>
                <c:pt idx="122">
                  <c:v>2.5022432701167647E-5</c:v>
                </c:pt>
                <c:pt idx="123">
                  <c:v>9.7896340838562633E-4</c:v>
                </c:pt>
                <c:pt idx="124">
                  <c:v>8.2833151047085371E-4</c:v>
                </c:pt>
                <c:pt idx="125">
                  <c:v>6.3938790998588173E-4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01-C94E-839F-56196160731E}"/>
            </c:ext>
          </c:extLst>
        </c:ser>
        <c:ser>
          <c:idx val="8"/>
          <c:order val="8"/>
          <c:tx>
            <c:strRef>
              <c:f>'Todas Métricas Norm'!$K$194</c:f>
              <c:strCache>
                <c:ptCount val="1"/>
                <c:pt idx="0">
                  <c:v>HER norm</c:v>
                </c:pt>
              </c:strCache>
            </c:strRef>
          </c:tx>
          <c:spPr>
            <a:solidFill>
              <a:srgbClr val="17642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Norm'!$K$195:$K$380</c:f>
              <c:numCache>
                <c:formatCode>0.0000</c:formatCode>
                <c:ptCount val="186"/>
                <c:pt idx="0">
                  <c:v>0.98774732256307873</c:v>
                </c:pt>
                <c:pt idx="1">
                  <c:v>1</c:v>
                </c:pt>
                <c:pt idx="2">
                  <c:v>0.47041205300417499</c:v>
                </c:pt>
                <c:pt idx="3">
                  <c:v>0.56589217643855516</c:v>
                </c:pt>
                <c:pt idx="4">
                  <c:v>0.29270284988201128</c:v>
                </c:pt>
                <c:pt idx="5">
                  <c:v>0.21483027772735525</c:v>
                </c:pt>
                <c:pt idx="6">
                  <c:v>0.2856235251406789</c:v>
                </c:pt>
                <c:pt idx="7">
                  <c:v>0.2856235251406789</c:v>
                </c:pt>
                <c:pt idx="8">
                  <c:v>0.3014158649482665</c:v>
                </c:pt>
                <c:pt idx="9">
                  <c:v>0.3014158649482665</c:v>
                </c:pt>
                <c:pt idx="10">
                  <c:v>0.12225449264839354</c:v>
                </c:pt>
                <c:pt idx="11">
                  <c:v>0.19077872572154658</c:v>
                </c:pt>
                <c:pt idx="12">
                  <c:v>0.11699037937919768</c:v>
                </c:pt>
                <c:pt idx="13">
                  <c:v>0.1325104374659648</c:v>
                </c:pt>
                <c:pt idx="14">
                  <c:v>8.5768742058449823E-2</c:v>
                </c:pt>
                <c:pt idx="15">
                  <c:v>0.16028317298965331</c:v>
                </c:pt>
                <c:pt idx="16">
                  <c:v>0.16028317298965331</c:v>
                </c:pt>
                <c:pt idx="17">
                  <c:v>0.16028317298965331</c:v>
                </c:pt>
                <c:pt idx="18">
                  <c:v>1.8424396442185517E-2</c:v>
                </c:pt>
                <c:pt idx="19">
                  <c:v>0.1061898711199855</c:v>
                </c:pt>
                <c:pt idx="20">
                  <c:v>5.61807950626248E-2</c:v>
                </c:pt>
                <c:pt idx="21">
                  <c:v>5.61807950626248E-2</c:v>
                </c:pt>
                <c:pt idx="22">
                  <c:v>2.0602650208749324E-2</c:v>
                </c:pt>
                <c:pt idx="23">
                  <c:v>3.004174986385914E-2</c:v>
                </c:pt>
                <c:pt idx="24">
                  <c:v>9.221274278453441E-2</c:v>
                </c:pt>
                <c:pt idx="25">
                  <c:v>3.2310764204029771E-2</c:v>
                </c:pt>
                <c:pt idx="26">
                  <c:v>1.497549464512616E-2</c:v>
                </c:pt>
                <c:pt idx="27">
                  <c:v>1.497549464512616E-2</c:v>
                </c:pt>
                <c:pt idx="28">
                  <c:v>1.4067888909057906E-2</c:v>
                </c:pt>
                <c:pt idx="29">
                  <c:v>8.1684516246142674E-2</c:v>
                </c:pt>
                <c:pt idx="30">
                  <c:v>2.6229805772372484E-2</c:v>
                </c:pt>
                <c:pt idx="31">
                  <c:v>7.896169903793793E-3</c:v>
                </c:pt>
                <c:pt idx="32">
                  <c:v>3.7847159194046111E-2</c:v>
                </c:pt>
                <c:pt idx="33">
                  <c:v>3.4761299691414053E-2</c:v>
                </c:pt>
                <c:pt idx="34">
                  <c:v>1.3523325467416955E-2</c:v>
                </c:pt>
                <c:pt idx="35">
                  <c:v>1.1435832274459976E-2</c:v>
                </c:pt>
                <c:pt idx="36">
                  <c:v>4.0025412960609914E-2</c:v>
                </c:pt>
                <c:pt idx="37">
                  <c:v>3.4852060265020877E-2</c:v>
                </c:pt>
                <c:pt idx="38">
                  <c:v>3.2038482483209292E-2</c:v>
                </c:pt>
                <c:pt idx="39">
                  <c:v>6.044654202214559E-2</c:v>
                </c:pt>
                <c:pt idx="40">
                  <c:v>6.5075331276093676E-2</c:v>
                </c:pt>
                <c:pt idx="41">
                  <c:v>5.7179161372299878E-2</c:v>
                </c:pt>
                <c:pt idx="42">
                  <c:v>0.12869849337447814</c:v>
                </c:pt>
                <c:pt idx="43">
                  <c:v>3.3581412234525321E-2</c:v>
                </c:pt>
                <c:pt idx="44">
                  <c:v>1.2343438010528228E-2</c:v>
                </c:pt>
                <c:pt idx="45">
                  <c:v>2.2236340533672176E-2</c:v>
                </c:pt>
                <c:pt idx="46">
                  <c:v>5.5999273915411152E-2</c:v>
                </c:pt>
                <c:pt idx="47">
                  <c:v>1.2978762025776004E-2</c:v>
                </c:pt>
                <c:pt idx="48">
                  <c:v>2.5594481757124705E-2</c:v>
                </c:pt>
                <c:pt idx="49">
                  <c:v>4.0842258123071337E-2</c:v>
                </c:pt>
                <c:pt idx="50">
                  <c:v>4.0842258123071337E-2</c:v>
                </c:pt>
                <c:pt idx="51">
                  <c:v>3.7937919767652935E-2</c:v>
                </c:pt>
                <c:pt idx="52">
                  <c:v>3.7937919767652935E-2</c:v>
                </c:pt>
                <c:pt idx="53">
                  <c:v>2.6683608640406611E-2</c:v>
                </c:pt>
                <c:pt idx="54">
                  <c:v>1.1889635142494102E-2</c:v>
                </c:pt>
                <c:pt idx="55">
                  <c:v>2.6048284625158832E-2</c:v>
                </c:pt>
                <c:pt idx="56">
                  <c:v>5.6725358504265751E-2</c:v>
                </c:pt>
                <c:pt idx="57">
                  <c:v>2.0784171355962971E-2</c:v>
                </c:pt>
                <c:pt idx="58">
                  <c:v>6.2352514067888914E-2</c:v>
                </c:pt>
                <c:pt idx="59">
                  <c:v>5.5908513341804328E-2</c:v>
                </c:pt>
                <c:pt idx="60">
                  <c:v>5.6725358504265751E-2</c:v>
                </c:pt>
                <c:pt idx="61">
                  <c:v>3.4125975676166279E-2</c:v>
                </c:pt>
                <c:pt idx="62">
                  <c:v>3.9934652387003094E-3</c:v>
                </c:pt>
                <c:pt idx="63">
                  <c:v>4.71954982755491E-3</c:v>
                </c:pt>
                <c:pt idx="64">
                  <c:v>4.0842258123071342E-3</c:v>
                </c:pt>
                <c:pt idx="65">
                  <c:v>8.0776910510074428E-3</c:v>
                </c:pt>
                <c:pt idx="66">
                  <c:v>2.3506988564167726E-2</c:v>
                </c:pt>
                <c:pt idx="67">
                  <c:v>3.2129243056816123E-2</c:v>
                </c:pt>
                <c:pt idx="68">
                  <c:v>1.4340170629878383E-2</c:v>
                </c:pt>
                <c:pt idx="69">
                  <c:v>1.4340170629878383E-2</c:v>
                </c:pt>
                <c:pt idx="70">
                  <c:v>3.4489017970593576E-3</c:v>
                </c:pt>
                <c:pt idx="71">
                  <c:v>2.1873298239244873E-2</c:v>
                </c:pt>
                <c:pt idx="72">
                  <c:v>4.2657469595207848E-3</c:v>
                </c:pt>
                <c:pt idx="73">
                  <c:v>5.8994372844436383E-3</c:v>
                </c:pt>
                <c:pt idx="74">
                  <c:v>2.9860228716645492E-2</c:v>
                </c:pt>
                <c:pt idx="75">
                  <c:v>2.4323833726629156E-2</c:v>
                </c:pt>
                <c:pt idx="76">
                  <c:v>1.4884734071519334E-2</c:v>
                </c:pt>
                <c:pt idx="77">
                  <c:v>2.9950989290252316E-3</c:v>
                </c:pt>
                <c:pt idx="78">
                  <c:v>2.9950989290252316E-3</c:v>
                </c:pt>
                <c:pt idx="79">
                  <c:v>1.9967326193501547E-3</c:v>
                </c:pt>
                <c:pt idx="80">
                  <c:v>1.9967326193501547E-3</c:v>
                </c:pt>
                <c:pt idx="81">
                  <c:v>1.3614086041023781E-2</c:v>
                </c:pt>
                <c:pt idx="82">
                  <c:v>1.1980395716100926E-2</c:v>
                </c:pt>
                <c:pt idx="83">
                  <c:v>1.1798874568887275E-3</c:v>
                </c:pt>
                <c:pt idx="84">
                  <c:v>4.1205300417498647E-2</c:v>
                </c:pt>
                <c:pt idx="85">
                  <c:v>0</c:v>
                </c:pt>
                <c:pt idx="86">
                  <c:v>8.1684516246142676E-4</c:v>
                </c:pt>
                <c:pt idx="87">
                  <c:v>8.1684516246142676E-4</c:v>
                </c:pt>
                <c:pt idx="88">
                  <c:v>1.5429297513160284E-3</c:v>
                </c:pt>
                <c:pt idx="89">
                  <c:v>1.5429297513160284E-3</c:v>
                </c:pt>
                <c:pt idx="90">
                  <c:v>1.1617353421673627E-2</c:v>
                </c:pt>
                <c:pt idx="91">
                  <c:v>2.9950989290252316E-3</c:v>
                </c:pt>
                <c:pt idx="92">
                  <c:v>4.8103104011617357E-3</c:v>
                </c:pt>
                <c:pt idx="93">
                  <c:v>1.1889635142494102E-2</c:v>
                </c:pt>
                <c:pt idx="94">
                  <c:v>2.4505354873842807E-3</c:v>
                </c:pt>
                <c:pt idx="95">
                  <c:v>1.5429297513160284E-3</c:v>
                </c:pt>
                <c:pt idx="96">
                  <c:v>1.5429297513160284E-3</c:v>
                </c:pt>
                <c:pt idx="97">
                  <c:v>2.4505354873842807E-3</c:v>
                </c:pt>
                <c:pt idx="98">
                  <c:v>2.4505354873842807E-3</c:v>
                </c:pt>
                <c:pt idx="99">
                  <c:v>2.4505354873842807E-3</c:v>
                </c:pt>
                <c:pt idx="100">
                  <c:v>2.4505354873842807E-3</c:v>
                </c:pt>
                <c:pt idx="101">
                  <c:v>8.1684516246142676E-4</c:v>
                </c:pt>
                <c:pt idx="102">
                  <c:v>8.1684516246142676E-4</c:v>
                </c:pt>
                <c:pt idx="103">
                  <c:v>8.1684516246142676E-4</c:v>
                </c:pt>
                <c:pt idx="104">
                  <c:v>8.1684516246142676E-4</c:v>
                </c:pt>
                <c:pt idx="105">
                  <c:v>2.9950989290252316E-3</c:v>
                </c:pt>
                <c:pt idx="106">
                  <c:v>3.267380649845707E-3</c:v>
                </c:pt>
                <c:pt idx="107">
                  <c:v>8.1684516246142676E-4</c:v>
                </c:pt>
                <c:pt idx="108">
                  <c:v>8.1684516246142676E-4</c:v>
                </c:pt>
                <c:pt idx="109">
                  <c:v>1.1798874568887275E-3</c:v>
                </c:pt>
                <c:pt idx="110">
                  <c:v>1.1798874568887275E-3</c:v>
                </c:pt>
                <c:pt idx="111">
                  <c:v>8.1684516246142676E-4</c:v>
                </c:pt>
                <c:pt idx="112">
                  <c:v>8.1684516246142676E-4</c:v>
                </c:pt>
                <c:pt idx="113">
                  <c:v>1.9967326193501547E-3</c:v>
                </c:pt>
                <c:pt idx="114">
                  <c:v>1.5429297513160284E-3</c:v>
                </c:pt>
                <c:pt idx="115">
                  <c:v>1.5429297513160284E-3</c:v>
                </c:pt>
                <c:pt idx="116">
                  <c:v>1.5429297513160284E-3</c:v>
                </c:pt>
                <c:pt idx="117">
                  <c:v>1.5429297513160284E-3</c:v>
                </c:pt>
                <c:pt idx="118">
                  <c:v>1.5429297513160284E-3</c:v>
                </c:pt>
                <c:pt idx="119">
                  <c:v>8.1684516246142676E-4</c:v>
                </c:pt>
                <c:pt idx="120">
                  <c:v>8.1684516246142676E-4</c:v>
                </c:pt>
                <c:pt idx="121">
                  <c:v>8.1684516246142676E-4</c:v>
                </c:pt>
                <c:pt idx="122">
                  <c:v>8.1684516246142676E-4</c:v>
                </c:pt>
                <c:pt idx="123">
                  <c:v>9.8929025231439469E-3</c:v>
                </c:pt>
                <c:pt idx="124">
                  <c:v>8.8037756398620451E-3</c:v>
                </c:pt>
                <c:pt idx="125">
                  <c:v>7.442367035759667E-3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01-C94E-839F-56196160731E}"/>
            </c:ext>
          </c:extLst>
        </c:ser>
        <c:ser>
          <c:idx val="9"/>
          <c:order val="9"/>
          <c:tx>
            <c:strRef>
              <c:f>'Todas Métricas Norm'!$L$194</c:f>
              <c:strCache>
                <c:ptCount val="1"/>
                <c:pt idx="0">
                  <c:v>HL norm</c:v>
                </c:pt>
              </c:strCache>
            </c:strRef>
          </c:tx>
          <c:spPr>
            <a:solidFill>
              <a:srgbClr val="0E93C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Norm'!$L$195:$L$380</c:f>
              <c:numCache>
                <c:formatCode>0.0000</c:formatCode>
                <c:ptCount val="186"/>
                <c:pt idx="0">
                  <c:v>1</c:v>
                </c:pt>
                <c:pt idx="1">
                  <c:v>0.78648648648648645</c:v>
                </c:pt>
                <c:pt idx="2">
                  <c:v>0.5972972972972973</c:v>
                </c:pt>
                <c:pt idx="3">
                  <c:v>0.58648648648648649</c:v>
                </c:pt>
                <c:pt idx="4">
                  <c:v>0.36486486486486486</c:v>
                </c:pt>
                <c:pt idx="5">
                  <c:v>0.32162162162162161</c:v>
                </c:pt>
                <c:pt idx="6">
                  <c:v>0.32162162162162161</c:v>
                </c:pt>
                <c:pt idx="7">
                  <c:v>0.32162162162162161</c:v>
                </c:pt>
                <c:pt idx="8">
                  <c:v>0.31891891891891894</c:v>
                </c:pt>
                <c:pt idx="9">
                  <c:v>0.31891891891891894</c:v>
                </c:pt>
                <c:pt idx="10">
                  <c:v>0.23783783783783785</c:v>
                </c:pt>
                <c:pt idx="11">
                  <c:v>0.25405405405405407</c:v>
                </c:pt>
                <c:pt idx="12">
                  <c:v>0.17297297297297298</c:v>
                </c:pt>
                <c:pt idx="13">
                  <c:v>0.21891891891891893</c:v>
                </c:pt>
                <c:pt idx="14">
                  <c:v>0.12702702702702703</c:v>
                </c:pt>
                <c:pt idx="15">
                  <c:v>0.25135135135135134</c:v>
                </c:pt>
                <c:pt idx="16">
                  <c:v>0.25135135135135134</c:v>
                </c:pt>
                <c:pt idx="17">
                  <c:v>0.25135135135135134</c:v>
                </c:pt>
                <c:pt idx="18">
                  <c:v>8.3783783783783788E-2</c:v>
                </c:pt>
                <c:pt idx="19">
                  <c:v>0.13783783783783785</c:v>
                </c:pt>
                <c:pt idx="20">
                  <c:v>0.11351351351351352</c:v>
                </c:pt>
                <c:pt idx="21">
                  <c:v>0.11351351351351352</c:v>
                </c:pt>
                <c:pt idx="22">
                  <c:v>4.8648648648648651E-2</c:v>
                </c:pt>
                <c:pt idx="23">
                  <c:v>6.2162162162162166E-2</c:v>
                </c:pt>
                <c:pt idx="24">
                  <c:v>0.15135135135135136</c:v>
                </c:pt>
                <c:pt idx="25">
                  <c:v>6.7567567567567571E-2</c:v>
                </c:pt>
                <c:pt idx="26">
                  <c:v>4.5945945945945948E-2</c:v>
                </c:pt>
                <c:pt idx="27">
                  <c:v>4.5945945945945948E-2</c:v>
                </c:pt>
                <c:pt idx="28">
                  <c:v>4.0540540540540543E-2</c:v>
                </c:pt>
                <c:pt idx="29">
                  <c:v>0.13783783783783785</c:v>
                </c:pt>
                <c:pt idx="30">
                  <c:v>6.7567567567567571E-2</c:v>
                </c:pt>
                <c:pt idx="31">
                  <c:v>4.0540540540540543E-2</c:v>
                </c:pt>
                <c:pt idx="32">
                  <c:v>8.9189189189189194E-2</c:v>
                </c:pt>
                <c:pt idx="33">
                  <c:v>0.18108108108108109</c:v>
                </c:pt>
                <c:pt idx="34">
                  <c:v>3.5135135135135137E-2</c:v>
                </c:pt>
                <c:pt idx="35">
                  <c:v>3.2432432432432434E-2</c:v>
                </c:pt>
                <c:pt idx="36">
                  <c:v>7.8378378378378383E-2</c:v>
                </c:pt>
                <c:pt idx="37">
                  <c:v>6.7567567567567571E-2</c:v>
                </c:pt>
                <c:pt idx="38">
                  <c:v>6.4864864864864868E-2</c:v>
                </c:pt>
                <c:pt idx="39">
                  <c:v>0.11081081081081082</c:v>
                </c:pt>
                <c:pt idx="40">
                  <c:v>0.14864864864864866</c:v>
                </c:pt>
                <c:pt idx="41">
                  <c:v>0.10270270270270271</c:v>
                </c:pt>
                <c:pt idx="42">
                  <c:v>0.1918918918918919</c:v>
                </c:pt>
                <c:pt idx="43">
                  <c:v>7.567567567567568E-2</c:v>
                </c:pt>
                <c:pt idx="44">
                  <c:v>5.4054054054054057E-2</c:v>
                </c:pt>
                <c:pt idx="45">
                  <c:v>4.5945945945945948E-2</c:v>
                </c:pt>
                <c:pt idx="46">
                  <c:v>0.13513513513513514</c:v>
                </c:pt>
                <c:pt idx="47">
                  <c:v>7.567567567567568E-2</c:v>
                </c:pt>
                <c:pt idx="48">
                  <c:v>7.0270270270270274E-2</c:v>
                </c:pt>
                <c:pt idx="49">
                  <c:v>7.8378378378378383E-2</c:v>
                </c:pt>
                <c:pt idx="50">
                  <c:v>7.8378378378378383E-2</c:v>
                </c:pt>
                <c:pt idx="51">
                  <c:v>7.8378378378378383E-2</c:v>
                </c:pt>
                <c:pt idx="52">
                  <c:v>7.8378378378378383E-2</c:v>
                </c:pt>
                <c:pt idx="53">
                  <c:v>8.1081081081081086E-2</c:v>
                </c:pt>
                <c:pt idx="54">
                  <c:v>2.9729729729729731E-2</c:v>
                </c:pt>
                <c:pt idx="55">
                  <c:v>5.4054054054054057E-2</c:v>
                </c:pt>
                <c:pt idx="56">
                  <c:v>0.10810810810810811</c:v>
                </c:pt>
                <c:pt idx="57">
                  <c:v>5.4054054054054057E-2</c:v>
                </c:pt>
                <c:pt idx="58">
                  <c:v>0.10540540540540541</c:v>
                </c:pt>
                <c:pt idx="59">
                  <c:v>0.10540540540540541</c:v>
                </c:pt>
                <c:pt idx="60">
                  <c:v>0.11081081081081082</c:v>
                </c:pt>
                <c:pt idx="61">
                  <c:v>8.3783783783783788E-2</c:v>
                </c:pt>
                <c:pt idx="62">
                  <c:v>2.1621621621621623E-2</c:v>
                </c:pt>
                <c:pt idx="63">
                  <c:v>3.2432432432432434E-2</c:v>
                </c:pt>
                <c:pt idx="64">
                  <c:v>1.891891891891892E-2</c:v>
                </c:pt>
                <c:pt idx="65">
                  <c:v>2.9729729729729731E-2</c:v>
                </c:pt>
                <c:pt idx="66">
                  <c:v>5.4054054054054057E-2</c:v>
                </c:pt>
                <c:pt idx="67">
                  <c:v>6.7567567567567571E-2</c:v>
                </c:pt>
                <c:pt idx="68">
                  <c:v>5.1351351351351354E-2</c:v>
                </c:pt>
                <c:pt idx="69">
                  <c:v>5.1351351351351354E-2</c:v>
                </c:pt>
                <c:pt idx="70">
                  <c:v>1.6216216216216217E-2</c:v>
                </c:pt>
                <c:pt idx="71">
                  <c:v>7.8378378378378383E-2</c:v>
                </c:pt>
                <c:pt idx="72">
                  <c:v>2.9729729729729731E-2</c:v>
                </c:pt>
                <c:pt idx="73">
                  <c:v>4.0540540540540543E-2</c:v>
                </c:pt>
                <c:pt idx="74">
                  <c:v>7.8378378378378383E-2</c:v>
                </c:pt>
                <c:pt idx="75">
                  <c:v>5.9459459459459463E-2</c:v>
                </c:pt>
                <c:pt idx="76">
                  <c:v>4.3243243243243246E-2</c:v>
                </c:pt>
                <c:pt idx="77">
                  <c:v>1.6216216216216217E-2</c:v>
                </c:pt>
                <c:pt idx="78">
                  <c:v>1.6216216216216217E-2</c:v>
                </c:pt>
                <c:pt idx="79">
                  <c:v>1.3513513513513514E-2</c:v>
                </c:pt>
                <c:pt idx="80">
                  <c:v>1.3513513513513514E-2</c:v>
                </c:pt>
                <c:pt idx="81">
                  <c:v>3.783783783783784E-2</c:v>
                </c:pt>
                <c:pt idx="82">
                  <c:v>4.3243243243243246E-2</c:v>
                </c:pt>
                <c:pt idx="83">
                  <c:v>1.0810810810810811E-2</c:v>
                </c:pt>
                <c:pt idx="84">
                  <c:v>7.2972972972972977E-2</c:v>
                </c:pt>
                <c:pt idx="85">
                  <c:v>1.0810810810810811E-2</c:v>
                </c:pt>
                <c:pt idx="86">
                  <c:v>8.1081081081081086E-3</c:v>
                </c:pt>
                <c:pt idx="87">
                  <c:v>8.1081081081081086E-3</c:v>
                </c:pt>
                <c:pt idx="88">
                  <c:v>1.0810810810810811E-2</c:v>
                </c:pt>
                <c:pt idx="89">
                  <c:v>1.0810810810810811E-2</c:v>
                </c:pt>
                <c:pt idx="90">
                  <c:v>4.0540540540540543E-2</c:v>
                </c:pt>
                <c:pt idx="91">
                  <c:v>2.4324324324324326E-2</c:v>
                </c:pt>
                <c:pt idx="92">
                  <c:v>2.7027027027027029E-2</c:v>
                </c:pt>
                <c:pt idx="93">
                  <c:v>3.783783783783784E-2</c:v>
                </c:pt>
                <c:pt idx="94">
                  <c:v>1.3513513513513514E-2</c:v>
                </c:pt>
                <c:pt idx="95">
                  <c:v>1.0810810810810811E-2</c:v>
                </c:pt>
                <c:pt idx="96">
                  <c:v>1.0810810810810811E-2</c:v>
                </c:pt>
                <c:pt idx="97">
                  <c:v>1.3513513513513514E-2</c:v>
                </c:pt>
                <c:pt idx="98">
                  <c:v>1.3513513513513514E-2</c:v>
                </c:pt>
                <c:pt idx="99">
                  <c:v>1.3513513513513514E-2</c:v>
                </c:pt>
                <c:pt idx="100">
                  <c:v>1.3513513513513514E-2</c:v>
                </c:pt>
                <c:pt idx="101">
                  <c:v>8.1081081081081086E-3</c:v>
                </c:pt>
                <c:pt idx="102">
                  <c:v>8.1081081081081086E-3</c:v>
                </c:pt>
                <c:pt idx="103">
                  <c:v>8.1081081081081086E-3</c:v>
                </c:pt>
                <c:pt idx="104">
                  <c:v>8.1081081081081086E-3</c:v>
                </c:pt>
                <c:pt idx="105">
                  <c:v>1.6216216216216217E-2</c:v>
                </c:pt>
                <c:pt idx="106">
                  <c:v>1.891891891891892E-2</c:v>
                </c:pt>
                <c:pt idx="107">
                  <c:v>8.1081081081081086E-3</c:v>
                </c:pt>
                <c:pt idx="108">
                  <c:v>8.1081081081081086E-3</c:v>
                </c:pt>
                <c:pt idx="109">
                  <c:v>1.0810810810810811E-2</c:v>
                </c:pt>
                <c:pt idx="110">
                  <c:v>1.0810810810810811E-2</c:v>
                </c:pt>
                <c:pt idx="111">
                  <c:v>8.1081081081081086E-3</c:v>
                </c:pt>
                <c:pt idx="112">
                  <c:v>8.1081081081081086E-3</c:v>
                </c:pt>
                <c:pt idx="113">
                  <c:v>1.3513513513513514E-2</c:v>
                </c:pt>
                <c:pt idx="114">
                  <c:v>1.0810810810810811E-2</c:v>
                </c:pt>
                <c:pt idx="115">
                  <c:v>1.0810810810810811E-2</c:v>
                </c:pt>
                <c:pt idx="116">
                  <c:v>1.0810810810810811E-2</c:v>
                </c:pt>
                <c:pt idx="117">
                  <c:v>1.0810810810810811E-2</c:v>
                </c:pt>
                <c:pt idx="118">
                  <c:v>1.0810810810810811E-2</c:v>
                </c:pt>
                <c:pt idx="119">
                  <c:v>8.1081081081081086E-3</c:v>
                </c:pt>
                <c:pt idx="120">
                  <c:v>8.1081081081081086E-3</c:v>
                </c:pt>
                <c:pt idx="121">
                  <c:v>8.1081081081081086E-3</c:v>
                </c:pt>
                <c:pt idx="122">
                  <c:v>8.1081081081081086E-3</c:v>
                </c:pt>
                <c:pt idx="123">
                  <c:v>3.2432432432432434E-2</c:v>
                </c:pt>
                <c:pt idx="124">
                  <c:v>3.5135135135135137E-2</c:v>
                </c:pt>
                <c:pt idx="125">
                  <c:v>2.4324324324324326E-2</c:v>
                </c:pt>
                <c:pt idx="126">
                  <c:v>2.7027027027027029E-3</c:v>
                </c:pt>
                <c:pt idx="127">
                  <c:v>2.7027027027027029E-3</c:v>
                </c:pt>
                <c:pt idx="128">
                  <c:v>2.7027027027027029E-3</c:v>
                </c:pt>
                <c:pt idx="129">
                  <c:v>2.7027027027027029E-3</c:v>
                </c:pt>
                <c:pt idx="130">
                  <c:v>2.7027027027027029E-3</c:v>
                </c:pt>
                <c:pt idx="131">
                  <c:v>0</c:v>
                </c:pt>
                <c:pt idx="132">
                  <c:v>0</c:v>
                </c:pt>
                <c:pt idx="133">
                  <c:v>1.0810810810810811E-2</c:v>
                </c:pt>
                <c:pt idx="134">
                  <c:v>2.7027027027027029E-3</c:v>
                </c:pt>
                <c:pt idx="135">
                  <c:v>2.7027027027027029E-3</c:v>
                </c:pt>
                <c:pt idx="136">
                  <c:v>2.7027027027027029E-3</c:v>
                </c:pt>
                <c:pt idx="137">
                  <c:v>2.7027027027027029E-3</c:v>
                </c:pt>
                <c:pt idx="138">
                  <c:v>2.7027027027027029E-3</c:v>
                </c:pt>
                <c:pt idx="139">
                  <c:v>2.7027027027027029E-3</c:v>
                </c:pt>
                <c:pt idx="140">
                  <c:v>2.7027027027027029E-3</c:v>
                </c:pt>
                <c:pt idx="141">
                  <c:v>2.7027027027027029E-3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8.1081081081081086E-3</c:v>
                </c:pt>
                <c:pt idx="152">
                  <c:v>8.1081081081081086E-3</c:v>
                </c:pt>
                <c:pt idx="153">
                  <c:v>2.7027027027027029E-3</c:v>
                </c:pt>
                <c:pt idx="154">
                  <c:v>2.7027027027027029E-3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2.7027027027027029E-3</c:v>
                </c:pt>
                <c:pt idx="159">
                  <c:v>2.7027027027027029E-3</c:v>
                </c:pt>
                <c:pt idx="160">
                  <c:v>2.7027027027027029E-3</c:v>
                </c:pt>
                <c:pt idx="161">
                  <c:v>0</c:v>
                </c:pt>
                <c:pt idx="162">
                  <c:v>0</c:v>
                </c:pt>
                <c:pt idx="163">
                  <c:v>2.7027027027027029E-3</c:v>
                </c:pt>
                <c:pt idx="164">
                  <c:v>2.7027027027027029E-3</c:v>
                </c:pt>
                <c:pt idx="165">
                  <c:v>2.7027027027027029E-3</c:v>
                </c:pt>
                <c:pt idx="166">
                  <c:v>2.7027027027027029E-3</c:v>
                </c:pt>
                <c:pt idx="167">
                  <c:v>2.7027027027027029E-3</c:v>
                </c:pt>
                <c:pt idx="168">
                  <c:v>2.7027027027027029E-3</c:v>
                </c:pt>
                <c:pt idx="169">
                  <c:v>2.7027027027027029E-3</c:v>
                </c:pt>
                <c:pt idx="170">
                  <c:v>2.7027027027027029E-3</c:v>
                </c:pt>
                <c:pt idx="171">
                  <c:v>2.7027027027027029E-3</c:v>
                </c:pt>
                <c:pt idx="172">
                  <c:v>2.7027027027027029E-3</c:v>
                </c:pt>
                <c:pt idx="173">
                  <c:v>2.7027027027027029E-3</c:v>
                </c:pt>
                <c:pt idx="174">
                  <c:v>2.7027027027027029E-3</c:v>
                </c:pt>
                <c:pt idx="175">
                  <c:v>2.7027027027027029E-3</c:v>
                </c:pt>
                <c:pt idx="176">
                  <c:v>2.7027027027027029E-3</c:v>
                </c:pt>
                <c:pt idx="177">
                  <c:v>2.7027027027027029E-3</c:v>
                </c:pt>
                <c:pt idx="178">
                  <c:v>2.7027027027027029E-3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01-C94E-839F-56196160731E}"/>
            </c:ext>
          </c:extLst>
        </c:ser>
        <c:ser>
          <c:idx val="10"/>
          <c:order val="10"/>
          <c:tx>
            <c:strRef>
              <c:f>'Todas Métricas Norm'!$M$194</c:f>
              <c:strCache>
                <c:ptCount val="1"/>
                <c:pt idx="0">
                  <c:v>HVC norm</c:v>
                </c:pt>
              </c:strCache>
            </c:strRef>
          </c:tx>
          <c:spPr>
            <a:solidFill>
              <a:srgbClr val="95288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Norm'!$M$195:$M$380</c:f>
              <c:numCache>
                <c:formatCode>0.0000</c:formatCode>
                <c:ptCount val="186"/>
                <c:pt idx="0">
                  <c:v>1</c:v>
                </c:pt>
                <c:pt idx="1">
                  <c:v>0.93877551020408168</c:v>
                </c:pt>
                <c:pt idx="2">
                  <c:v>0.7142857142857143</c:v>
                </c:pt>
                <c:pt idx="3">
                  <c:v>0.82653061224489799</c:v>
                </c:pt>
                <c:pt idx="4">
                  <c:v>0.46938775510204084</c:v>
                </c:pt>
                <c:pt idx="5">
                  <c:v>0.56122448979591832</c:v>
                </c:pt>
                <c:pt idx="6">
                  <c:v>0.5</c:v>
                </c:pt>
                <c:pt idx="7">
                  <c:v>0.5</c:v>
                </c:pt>
                <c:pt idx="8">
                  <c:v>0.5714285714285714</c:v>
                </c:pt>
                <c:pt idx="9">
                  <c:v>0.5714285714285714</c:v>
                </c:pt>
                <c:pt idx="10">
                  <c:v>0.46938775510204084</c:v>
                </c:pt>
                <c:pt idx="11">
                  <c:v>0.5714285714285714</c:v>
                </c:pt>
                <c:pt idx="12">
                  <c:v>0.2857142857142857</c:v>
                </c:pt>
                <c:pt idx="13">
                  <c:v>0.5</c:v>
                </c:pt>
                <c:pt idx="14">
                  <c:v>0.33673469387755101</c:v>
                </c:pt>
                <c:pt idx="15">
                  <c:v>0.29591836734693877</c:v>
                </c:pt>
                <c:pt idx="16">
                  <c:v>0.29591836734693877</c:v>
                </c:pt>
                <c:pt idx="17">
                  <c:v>0.29591836734693877</c:v>
                </c:pt>
                <c:pt idx="18">
                  <c:v>0.17346938775510204</c:v>
                </c:pt>
                <c:pt idx="19">
                  <c:v>0.22448979591836735</c:v>
                </c:pt>
                <c:pt idx="20">
                  <c:v>0.26530612244897961</c:v>
                </c:pt>
                <c:pt idx="21">
                  <c:v>0.26530612244897961</c:v>
                </c:pt>
                <c:pt idx="22">
                  <c:v>0.15306122448979592</c:v>
                </c:pt>
                <c:pt idx="23">
                  <c:v>0.15306122448979592</c:v>
                </c:pt>
                <c:pt idx="24">
                  <c:v>0.39795918367346939</c:v>
                </c:pt>
                <c:pt idx="25">
                  <c:v>0.20408163265306123</c:v>
                </c:pt>
                <c:pt idx="26">
                  <c:v>0.15306122448979592</c:v>
                </c:pt>
                <c:pt idx="27">
                  <c:v>0.15306122448979592</c:v>
                </c:pt>
                <c:pt idx="28">
                  <c:v>0.11224489795918367</c:v>
                </c:pt>
                <c:pt idx="29">
                  <c:v>0.22448979591836735</c:v>
                </c:pt>
                <c:pt idx="30">
                  <c:v>0.19387755102040816</c:v>
                </c:pt>
                <c:pt idx="31">
                  <c:v>0.12244897959183673</c:v>
                </c:pt>
                <c:pt idx="32">
                  <c:v>0.22448979591836735</c:v>
                </c:pt>
                <c:pt idx="33">
                  <c:v>0.31632653061224492</c:v>
                </c:pt>
                <c:pt idx="34">
                  <c:v>0.11224489795918367</c:v>
                </c:pt>
                <c:pt idx="35">
                  <c:v>0.10204081632653061</c:v>
                </c:pt>
                <c:pt idx="36">
                  <c:v>0.17346938775510204</c:v>
                </c:pt>
                <c:pt idx="37">
                  <c:v>0.21428571428571427</c:v>
                </c:pt>
                <c:pt idx="38">
                  <c:v>0.20408163265306123</c:v>
                </c:pt>
                <c:pt idx="39">
                  <c:v>0.29591836734693877</c:v>
                </c:pt>
                <c:pt idx="40">
                  <c:v>0.19387755102040816</c:v>
                </c:pt>
                <c:pt idx="41">
                  <c:v>0.27551020408163263</c:v>
                </c:pt>
                <c:pt idx="42">
                  <c:v>0.34693877551020408</c:v>
                </c:pt>
                <c:pt idx="43">
                  <c:v>0.25510204081632654</c:v>
                </c:pt>
                <c:pt idx="44">
                  <c:v>0.15306122448979592</c:v>
                </c:pt>
                <c:pt idx="45">
                  <c:v>0.1326530612244898</c:v>
                </c:pt>
                <c:pt idx="46">
                  <c:v>0.25510204081632654</c:v>
                </c:pt>
                <c:pt idx="47">
                  <c:v>0.16326530612244897</c:v>
                </c:pt>
                <c:pt idx="48">
                  <c:v>0.16326530612244897</c:v>
                </c:pt>
                <c:pt idx="49">
                  <c:v>0.16326530612244897</c:v>
                </c:pt>
                <c:pt idx="50">
                  <c:v>0.16326530612244897</c:v>
                </c:pt>
                <c:pt idx="51">
                  <c:v>0.15306122448979592</c:v>
                </c:pt>
                <c:pt idx="52">
                  <c:v>0.15306122448979592</c:v>
                </c:pt>
                <c:pt idx="53">
                  <c:v>0.17346938775510204</c:v>
                </c:pt>
                <c:pt idx="54">
                  <c:v>8.1632653061224483E-2</c:v>
                </c:pt>
                <c:pt idx="55">
                  <c:v>0.17346938775510204</c:v>
                </c:pt>
                <c:pt idx="56">
                  <c:v>0.20408163265306123</c:v>
                </c:pt>
                <c:pt idx="57">
                  <c:v>0.14285714285714285</c:v>
                </c:pt>
                <c:pt idx="58">
                  <c:v>0.18367346938775511</c:v>
                </c:pt>
                <c:pt idx="59">
                  <c:v>0.19387755102040816</c:v>
                </c:pt>
                <c:pt idx="60">
                  <c:v>0.18367346938775511</c:v>
                </c:pt>
                <c:pt idx="61">
                  <c:v>0.21428571428571427</c:v>
                </c:pt>
                <c:pt idx="62">
                  <c:v>8.1632653061224483E-2</c:v>
                </c:pt>
                <c:pt idx="63">
                  <c:v>0.11224489795918367</c:v>
                </c:pt>
                <c:pt idx="64">
                  <c:v>7.1428571428571425E-2</c:v>
                </c:pt>
                <c:pt idx="65">
                  <c:v>0.10204081632653061</c:v>
                </c:pt>
                <c:pt idx="66">
                  <c:v>0.17346938775510204</c:v>
                </c:pt>
                <c:pt idx="67">
                  <c:v>0.19387755102040816</c:v>
                </c:pt>
                <c:pt idx="68">
                  <c:v>0.14285714285714285</c:v>
                </c:pt>
                <c:pt idx="69">
                  <c:v>0.14285714285714285</c:v>
                </c:pt>
                <c:pt idx="70">
                  <c:v>6.1224489795918366E-2</c:v>
                </c:pt>
                <c:pt idx="71">
                  <c:v>0.18367346938775511</c:v>
                </c:pt>
                <c:pt idx="72">
                  <c:v>9.1836734693877556E-2</c:v>
                </c:pt>
                <c:pt idx="73">
                  <c:v>0.10204081632653061</c:v>
                </c:pt>
                <c:pt idx="74">
                  <c:v>0.18367346938775511</c:v>
                </c:pt>
                <c:pt idx="75">
                  <c:v>0.18367346938775511</c:v>
                </c:pt>
                <c:pt idx="76">
                  <c:v>0.12244897959183673</c:v>
                </c:pt>
                <c:pt idx="77">
                  <c:v>6.1224489795918366E-2</c:v>
                </c:pt>
                <c:pt idx="78">
                  <c:v>6.1224489795918366E-2</c:v>
                </c:pt>
                <c:pt idx="79">
                  <c:v>5.1020408163265307E-2</c:v>
                </c:pt>
                <c:pt idx="80">
                  <c:v>5.1020408163265307E-2</c:v>
                </c:pt>
                <c:pt idx="81">
                  <c:v>0.12244897959183673</c:v>
                </c:pt>
                <c:pt idx="82">
                  <c:v>0.10204081632653061</c:v>
                </c:pt>
                <c:pt idx="83">
                  <c:v>4.0816326530612242E-2</c:v>
                </c:pt>
                <c:pt idx="84">
                  <c:v>0.17346938775510204</c:v>
                </c:pt>
                <c:pt idx="85">
                  <c:v>4.0816326530612242E-2</c:v>
                </c:pt>
                <c:pt idx="86">
                  <c:v>3.0612244897959183E-2</c:v>
                </c:pt>
                <c:pt idx="87">
                  <c:v>3.0612244897959183E-2</c:v>
                </c:pt>
                <c:pt idx="88">
                  <c:v>4.0816326530612242E-2</c:v>
                </c:pt>
                <c:pt idx="89">
                  <c:v>4.0816326530612242E-2</c:v>
                </c:pt>
                <c:pt idx="90">
                  <c:v>9.1836734693877556E-2</c:v>
                </c:pt>
                <c:pt idx="91">
                  <c:v>8.1632653061224483E-2</c:v>
                </c:pt>
                <c:pt idx="92">
                  <c:v>9.1836734693877556E-2</c:v>
                </c:pt>
                <c:pt idx="93">
                  <c:v>8.1632653061224483E-2</c:v>
                </c:pt>
                <c:pt idx="94">
                  <c:v>5.1020408163265307E-2</c:v>
                </c:pt>
                <c:pt idx="95">
                  <c:v>4.0816326530612242E-2</c:v>
                </c:pt>
                <c:pt idx="96">
                  <c:v>4.0816326530612242E-2</c:v>
                </c:pt>
                <c:pt idx="97">
                  <c:v>5.1020408163265307E-2</c:v>
                </c:pt>
                <c:pt idx="98">
                  <c:v>5.1020408163265307E-2</c:v>
                </c:pt>
                <c:pt idx="99">
                  <c:v>5.1020408163265307E-2</c:v>
                </c:pt>
                <c:pt idx="100">
                  <c:v>5.1020408163265307E-2</c:v>
                </c:pt>
                <c:pt idx="101">
                  <c:v>3.0612244897959183E-2</c:v>
                </c:pt>
                <c:pt idx="102">
                  <c:v>3.0612244897959183E-2</c:v>
                </c:pt>
                <c:pt idx="103">
                  <c:v>3.0612244897959183E-2</c:v>
                </c:pt>
                <c:pt idx="104">
                  <c:v>3.0612244897959183E-2</c:v>
                </c:pt>
                <c:pt idx="105">
                  <c:v>6.1224489795918366E-2</c:v>
                </c:pt>
                <c:pt idx="106">
                  <c:v>6.1224489795918366E-2</c:v>
                </c:pt>
                <c:pt idx="107">
                  <c:v>3.0612244897959183E-2</c:v>
                </c:pt>
                <c:pt idx="108">
                  <c:v>3.0612244897959183E-2</c:v>
                </c:pt>
                <c:pt idx="109">
                  <c:v>4.0816326530612242E-2</c:v>
                </c:pt>
                <c:pt idx="110">
                  <c:v>4.0816326530612242E-2</c:v>
                </c:pt>
                <c:pt idx="111">
                  <c:v>3.0612244897959183E-2</c:v>
                </c:pt>
                <c:pt idx="112">
                  <c:v>3.0612244897959183E-2</c:v>
                </c:pt>
                <c:pt idx="113">
                  <c:v>5.1020408163265307E-2</c:v>
                </c:pt>
                <c:pt idx="114">
                  <c:v>4.0816326530612242E-2</c:v>
                </c:pt>
                <c:pt idx="115">
                  <c:v>4.0816326530612242E-2</c:v>
                </c:pt>
                <c:pt idx="116">
                  <c:v>4.0816326530612242E-2</c:v>
                </c:pt>
                <c:pt idx="117">
                  <c:v>4.0816326530612242E-2</c:v>
                </c:pt>
                <c:pt idx="118">
                  <c:v>4.0816326530612242E-2</c:v>
                </c:pt>
                <c:pt idx="119">
                  <c:v>3.0612244897959183E-2</c:v>
                </c:pt>
                <c:pt idx="120">
                  <c:v>3.0612244897959183E-2</c:v>
                </c:pt>
                <c:pt idx="121">
                  <c:v>3.0612244897959183E-2</c:v>
                </c:pt>
                <c:pt idx="122">
                  <c:v>3.0612244897959183E-2</c:v>
                </c:pt>
                <c:pt idx="123">
                  <c:v>0.10204081632653061</c:v>
                </c:pt>
                <c:pt idx="124">
                  <c:v>0.11224489795918367</c:v>
                </c:pt>
                <c:pt idx="125">
                  <c:v>8.1632653061224483E-2</c:v>
                </c:pt>
                <c:pt idx="126">
                  <c:v>1.020408163265306E-2</c:v>
                </c:pt>
                <c:pt idx="127">
                  <c:v>1.020408163265306E-2</c:v>
                </c:pt>
                <c:pt idx="128">
                  <c:v>1.020408163265306E-2</c:v>
                </c:pt>
                <c:pt idx="129">
                  <c:v>1.020408163265306E-2</c:v>
                </c:pt>
                <c:pt idx="130">
                  <c:v>1.020408163265306E-2</c:v>
                </c:pt>
                <c:pt idx="131">
                  <c:v>0</c:v>
                </c:pt>
                <c:pt idx="132">
                  <c:v>0</c:v>
                </c:pt>
                <c:pt idx="133">
                  <c:v>4.0816326530612242E-2</c:v>
                </c:pt>
                <c:pt idx="134">
                  <c:v>1.020408163265306E-2</c:v>
                </c:pt>
                <c:pt idx="135">
                  <c:v>1.020408163265306E-2</c:v>
                </c:pt>
                <c:pt idx="136">
                  <c:v>1.020408163265306E-2</c:v>
                </c:pt>
                <c:pt idx="137">
                  <c:v>1.020408163265306E-2</c:v>
                </c:pt>
                <c:pt idx="138">
                  <c:v>1.020408163265306E-2</c:v>
                </c:pt>
                <c:pt idx="139">
                  <c:v>1.020408163265306E-2</c:v>
                </c:pt>
                <c:pt idx="140">
                  <c:v>1.020408163265306E-2</c:v>
                </c:pt>
                <c:pt idx="141">
                  <c:v>1.020408163265306E-2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2.0408163265306121E-2</c:v>
                </c:pt>
                <c:pt idx="152">
                  <c:v>2.0408163265306121E-2</c:v>
                </c:pt>
                <c:pt idx="153">
                  <c:v>1.020408163265306E-2</c:v>
                </c:pt>
                <c:pt idx="154">
                  <c:v>1.020408163265306E-2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1.020408163265306E-2</c:v>
                </c:pt>
                <c:pt idx="159">
                  <c:v>1.020408163265306E-2</c:v>
                </c:pt>
                <c:pt idx="160">
                  <c:v>1.020408163265306E-2</c:v>
                </c:pt>
                <c:pt idx="161">
                  <c:v>0</c:v>
                </c:pt>
                <c:pt idx="162">
                  <c:v>0</c:v>
                </c:pt>
                <c:pt idx="163">
                  <c:v>1.020408163265306E-2</c:v>
                </c:pt>
                <c:pt idx="164">
                  <c:v>1.020408163265306E-2</c:v>
                </c:pt>
                <c:pt idx="165">
                  <c:v>1.020408163265306E-2</c:v>
                </c:pt>
                <c:pt idx="166">
                  <c:v>1.020408163265306E-2</c:v>
                </c:pt>
                <c:pt idx="167">
                  <c:v>1.020408163265306E-2</c:v>
                </c:pt>
                <c:pt idx="168">
                  <c:v>1.020408163265306E-2</c:v>
                </c:pt>
                <c:pt idx="169">
                  <c:v>1.020408163265306E-2</c:v>
                </c:pt>
                <c:pt idx="170">
                  <c:v>1.020408163265306E-2</c:v>
                </c:pt>
                <c:pt idx="171">
                  <c:v>1.020408163265306E-2</c:v>
                </c:pt>
                <c:pt idx="172">
                  <c:v>1.020408163265306E-2</c:v>
                </c:pt>
                <c:pt idx="173">
                  <c:v>1.020408163265306E-2</c:v>
                </c:pt>
                <c:pt idx="174">
                  <c:v>1.020408163265306E-2</c:v>
                </c:pt>
                <c:pt idx="175">
                  <c:v>1.020408163265306E-2</c:v>
                </c:pt>
                <c:pt idx="176">
                  <c:v>1.020408163265306E-2</c:v>
                </c:pt>
                <c:pt idx="177">
                  <c:v>1.020408163265306E-2</c:v>
                </c:pt>
                <c:pt idx="178">
                  <c:v>1.020408163265306E-2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01-C94E-839F-56196160731E}"/>
            </c:ext>
          </c:extLst>
        </c:ser>
        <c:ser>
          <c:idx val="11"/>
          <c:order val="11"/>
          <c:tx>
            <c:strRef>
              <c:f>'Todas Métricas Norm'!$N$194</c:f>
              <c:strCache>
                <c:ptCount val="1"/>
                <c:pt idx="0">
                  <c:v>HVL norm</c:v>
                </c:pt>
              </c:strCache>
            </c:strRef>
          </c:tx>
          <c:spPr>
            <a:solidFill>
              <a:srgbClr val="499C2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Norm'!$N$195:$N$380</c:f>
              <c:numCache>
                <c:formatCode>0.0000</c:formatCode>
                <c:ptCount val="186"/>
                <c:pt idx="0">
                  <c:v>1</c:v>
                </c:pt>
                <c:pt idx="1">
                  <c:v>0.77564903871494273</c:v>
                </c:pt>
                <c:pt idx="2">
                  <c:v>0.55346405264009058</c:v>
                </c:pt>
                <c:pt idx="3">
                  <c:v>0.56211634953154777</c:v>
                </c:pt>
                <c:pt idx="4">
                  <c:v>0.3046775846755303</c:v>
                </c:pt>
                <c:pt idx="5">
                  <c:v>0.28110232289002407</c:v>
                </c:pt>
                <c:pt idx="6">
                  <c:v>0.27299945665732878</c:v>
                </c:pt>
                <c:pt idx="7">
                  <c:v>0.27299945665732878</c:v>
                </c:pt>
                <c:pt idx="8">
                  <c:v>0.27999345112322555</c:v>
                </c:pt>
                <c:pt idx="9">
                  <c:v>0.27999345112322555</c:v>
                </c:pt>
                <c:pt idx="10">
                  <c:v>0.19860465777624367</c:v>
                </c:pt>
                <c:pt idx="11">
                  <c:v>0.2230456395586152</c:v>
                </c:pt>
                <c:pt idx="12">
                  <c:v>0.12571109941454808</c:v>
                </c:pt>
                <c:pt idx="13">
                  <c:v>0.185823152706421</c:v>
                </c:pt>
                <c:pt idx="14">
                  <c:v>9.6871117631114209E-2</c:v>
                </c:pt>
                <c:pt idx="15">
                  <c:v>0.18459766942031655</c:v>
                </c:pt>
                <c:pt idx="16">
                  <c:v>0.18459766942031655</c:v>
                </c:pt>
                <c:pt idx="17">
                  <c:v>0.18459766942031655</c:v>
                </c:pt>
                <c:pt idx="18">
                  <c:v>5.1772940456295075E-2</c:v>
                </c:pt>
                <c:pt idx="19">
                  <c:v>9.2925979142473053E-2</c:v>
                </c:pt>
                <c:pt idx="20">
                  <c:v>8.0663178780985514E-2</c:v>
                </c:pt>
                <c:pt idx="21">
                  <c:v>8.0663178780985514E-2</c:v>
                </c:pt>
                <c:pt idx="22">
                  <c:v>2.8733666726239056E-2</c:v>
                </c:pt>
                <c:pt idx="23">
                  <c:v>3.6715263516292479E-2</c:v>
                </c:pt>
                <c:pt idx="24">
                  <c:v>0.12093542050792122</c:v>
                </c:pt>
                <c:pt idx="25">
                  <c:v>4.4147388788607342E-2</c:v>
                </c:pt>
                <c:pt idx="26">
                  <c:v>2.7137347368228374E-2</c:v>
                </c:pt>
                <c:pt idx="27">
                  <c:v>2.7137347368228374E-2</c:v>
                </c:pt>
                <c:pt idx="28">
                  <c:v>2.1202335858663244E-2</c:v>
                </c:pt>
                <c:pt idx="29">
                  <c:v>9.2925979142473053E-2</c:v>
                </c:pt>
                <c:pt idx="30">
                  <c:v>4.3391497720927145E-2</c:v>
                </c:pt>
                <c:pt idx="31">
                  <c:v>2.1971669529655159E-2</c:v>
                </c:pt>
                <c:pt idx="32">
                  <c:v>6.0128560318431987E-2</c:v>
                </c:pt>
                <c:pt idx="33">
                  <c:v>0.13562369144019967</c:v>
                </c:pt>
                <c:pt idx="34">
                  <c:v>1.8375344124515934E-2</c:v>
                </c:pt>
                <c:pt idx="35">
                  <c:v>1.6287654713536492E-2</c:v>
                </c:pt>
                <c:pt idx="36">
                  <c:v>4.8432759975657859E-2</c:v>
                </c:pt>
                <c:pt idx="37">
                  <c:v>4.4866384200389423E-2</c:v>
                </c:pt>
                <c:pt idx="38">
                  <c:v>4.2381504677576502E-2</c:v>
                </c:pt>
                <c:pt idx="39">
                  <c:v>8.1381765603001283E-2</c:v>
                </c:pt>
                <c:pt idx="40">
                  <c:v>9.5461278642449063E-2</c:v>
                </c:pt>
                <c:pt idx="41">
                  <c:v>7.3826327939212955E-2</c:v>
                </c:pt>
                <c:pt idx="42">
                  <c:v>0.14758666863116626</c:v>
                </c:pt>
                <c:pt idx="43">
                  <c:v>5.3128110134227455E-2</c:v>
                </c:pt>
                <c:pt idx="44">
                  <c:v>3.1926305442260425E-2</c:v>
                </c:pt>
                <c:pt idx="45">
                  <c:v>2.570336072437409E-2</c:v>
                </c:pt>
                <c:pt idx="46">
                  <c:v>9.4871601891705251E-2</c:v>
                </c:pt>
                <c:pt idx="47">
                  <c:v>4.5762053827125511E-2</c:v>
                </c:pt>
                <c:pt idx="48">
                  <c:v>4.2493335696616542E-2</c:v>
                </c:pt>
                <c:pt idx="49">
                  <c:v>4.7396412892379988E-2</c:v>
                </c:pt>
                <c:pt idx="50">
                  <c:v>4.7396412892379988E-2</c:v>
                </c:pt>
                <c:pt idx="51">
                  <c:v>4.6293138805379955E-2</c:v>
                </c:pt>
                <c:pt idx="52">
                  <c:v>4.6293138805379955E-2</c:v>
                </c:pt>
                <c:pt idx="53">
                  <c:v>5.0102870645464787E-2</c:v>
                </c:pt>
                <c:pt idx="54">
                  <c:v>1.348346228834948E-2</c:v>
                </c:pt>
                <c:pt idx="55">
                  <c:v>3.3401927383302069E-2</c:v>
                </c:pt>
                <c:pt idx="56">
                  <c:v>7.0635813889976432E-2</c:v>
                </c:pt>
                <c:pt idx="57">
                  <c:v>3.1112925794459897E-2</c:v>
                </c:pt>
                <c:pt idx="58">
                  <c:v>6.6447768785261818E-2</c:v>
                </c:pt>
                <c:pt idx="59">
                  <c:v>6.7690739713364478E-2</c:v>
                </c:pt>
                <c:pt idx="60">
                  <c:v>6.9855325718364142E-2</c:v>
                </c:pt>
                <c:pt idx="61">
                  <c:v>5.5634318042841947E-2</c:v>
                </c:pt>
                <c:pt idx="62">
                  <c:v>9.8061543915268952E-3</c:v>
                </c:pt>
                <c:pt idx="63">
                  <c:v>1.6961868686930594E-2</c:v>
                </c:pt>
                <c:pt idx="64">
                  <c:v>8.0294017927121149E-3</c:v>
                </c:pt>
                <c:pt idx="65">
                  <c:v>1.4930360368819276E-2</c:v>
                </c:pt>
                <c:pt idx="66">
                  <c:v>3.3401927383302069E-2</c:v>
                </c:pt>
                <c:pt idx="67">
                  <c:v>4.3391497720927145E-2</c:v>
                </c:pt>
                <c:pt idx="68">
                  <c:v>2.9557261118197418E-2</c:v>
                </c:pt>
                <c:pt idx="69">
                  <c:v>2.9557261118197418E-2</c:v>
                </c:pt>
                <c:pt idx="70">
                  <c:v>6.3371455575709935E-3</c:v>
                </c:pt>
                <c:pt idx="71">
                  <c:v>4.9409861542820253E-2</c:v>
                </c:pt>
                <c:pt idx="72">
                  <c:v>1.42471982795429E-2</c:v>
                </c:pt>
                <c:pt idx="73">
                  <c:v>2.035957860666477E-2</c:v>
                </c:pt>
                <c:pt idx="74">
                  <c:v>4.9409861542820253E-2</c:v>
                </c:pt>
                <c:pt idx="75">
                  <c:v>3.7483371417985453E-2</c:v>
                </c:pt>
                <c:pt idx="76">
                  <c:v>2.343646384188949E-2</c:v>
                </c:pt>
                <c:pt idx="77">
                  <c:v>6.3371455575709935E-3</c:v>
                </c:pt>
                <c:pt idx="78">
                  <c:v>6.3371455575709935E-3</c:v>
                </c:pt>
                <c:pt idx="79">
                  <c:v>4.7435637509946104E-3</c:v>
                </c:pt>
                <c:pt idx="80">
                  <c:v>4.7435637509946104E-3</c:v>
                </c:pt>
                <c:pt idx="81">
                  <c:v>2.0506916076397461E-2</c:v>
                </c:pt>
                <c:pt idx="82">
                  <c:v>2.1716872951381985E-2</c:v>
                </c:pt>
                <c:pt idx="83">
                  <c:v>3.2687181305089651E-3</c:v>
                </c:pt>
                <c:pt idx="84">
                  <c:v>4.5092579495020643E-2</c:v>
                </c:pt>
                <c:pt idx="85">
                  <c:v>3.2687181305089651E-3</c:v>
                </c:pt>
                <c:pt idx="86">
                  <c:v>1.9428034798446346E-3</c:v>
                </c:pt>
                <c:pt idx="87">
                  <c:v>1.9428034798446346E-3</c:v>
                </c:pt>
                <c:pt idx="88">
                  <c:v>3.2687181305089651E-3</c:v>
                </c:pt>
                <c:pt idx="89">
                  <c:v>3.2687181305089651E-3</c:v>
                </c:pt>
                <c:pt idx="90">
                  <c:v>1.9427993939469718E-2</c:v>
                </c:pt>
                <c:pt idx="91">
                  <c:v>1.1031923690467757E-2</c:v>
                </c:pt>
                <c:pt idx="92">
                  <c:v>1.2952009579305354E-2</c:v>
                </c:pt>
                <c:pt idx="93">
                  <c:v>1.7160770185172067E-2</c:v>
                </c:pt>
                <c:pt idx="94">
                  <c:v>4.7435637509946104E-3</c:v>
                </c:pt>
                <c:pt idx="95">
                  <c:v>3.2687181305089651E-3</c:v>
                </c:pt>
                <c:pt idx="96">
                  <c:v>3.2687181305089651E-3</c:v>
                </c:pt>
                <c:pt idx="97">
                  <c:v>4.7435637509946104E-3</c:v>
                </c:pt>
                <c:pt idx="98">
                  <c:v>4.7435637509946104E-3</c:v>
                </c:pt>
                <c:pt idx="99">
                  <c:v>4.7435637509946104E-3</c:v>
                </c:pt>
                <c:pt idx="100">
                  <c:v>4.7435637509946104E-3</c:v>
                </c:pt>
                <c:pt idx="101">
                  <c:v>1.9428034798446346E-3</c:v>
                </c:pt>
                <c:pt idx="102">
                  <c:v>1.9428034798446346E-3</c:v>
                </c:pt>
                <c:pt idx="103">
                  <c:v>1.9428034798446346E-3</c:v>
                </c:pt>
                <c:pt idx="104">
                  <c:v>1.9428034798446346E-3</c:v>
                </c:pt>
                <c:pt idx="105">
                  <c:v>6.3371455575709935E-3</c:v>
                </c:pt>
                <c:pt idx="106">
                  <c:v>7.3933092445150712E-3</c:v>
                </c:pt>
                <c:pt idx="107">
                  <c:v>1.9428034798446346E-3</c:v>
                </c:pt>
                <c:pt idx="108">
                  <c:v>1.9428034798446346E-3</c:v>
                </c:pt>
                <c:pt idx="109">
                  <c:v>3.2687181305089651E-3</c:v>
                </c:pt>
                <c:pt idx="110">
                  <c:v>3.2687181305089651E-3</c:v>
                </c:pt>
                <c:pt idx="111">
                  <c:v>1.9428034798446346E-3</c:v>
                </c:pt>
                <c:pt idx="112">
                  <c:v>1.9428034798446346E-3</c:v>
                </c:pt>
                <c:pt idx="113">
                  <c:v>4.7435637509946104E-3</c:v>
                </c:pt>
                <c:pt idx="114">
                  <c:v>3.2687181305089651E-3</c:v>
                </c:pt>
                <c:pt idx="115">
                  <c:v>3.2687181305089651E-3</c:v>
                </c:pt>
                <c:pt idx="116">
                  <c:v>3.2687181305089651E-3</c:v>
                </c:pt>
                <c:pt idx="117">
                  <c:v>3.2687181305089651E-3</c:v>
                </c:pt>
                <c:pt idx="118">
                  <c:v>3.2687181305089651E-3</c:v>
                </c:pt>
                <c:pt idx="119">
                  <c:v>1.9428034798446346E-3</c:v>
                </c:pt>
                <c:pt idx="120">
                  <c:v>1.9428034798446346E-3</c:v>
                </c:pt>
                <c:pt idx="121">
                  <c:v>1.9428034798446346E-3</c:v>
                </c:pt>
                <c:pt idx="122">
                  <c:v>1.9428034798446346E-3</c:v>
                </c:pt>
                <c:pt idx="123">
                  <c:v>1.6287654713536492E-2</c:v>
                </c:pt>
                <c:pt idx="124">
                  <c:v>1.8375344124515934E-2</c:v>
                </c:pt>
                <c:pt idx="125">
                  <c:v>1.1031923690467757E-2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3.2687181305089651E-3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1.2257692989408619E-3</c:v>
                </c:pt>
                <c:pt idx="152">
                  <c:v>1.2257692989408619E-3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01-C94E-839F-56196160731E}"/>
            </c:ext>
          </c:extLst>
        </c:ser>
        <c:ser>
          <c:idx val="12"/>
          <c:order val="12"/>
          <c:tx>
            <c:strRef>
              <c:f>'Todas Métricas Norm'!$O$194</c:f>
              <c:strCache>
                <c:ptCount val="1"/>
                <c:pt idx="0">
                  <c:v>LAA norm</c:v>
                </c:pt>
              </c:strCache>
            </c:strRef>
          </c:tx>
          <c:spPr>
            <a:solidFill>
              <a:srgbClr val="6D869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Norm'!$O$195:$O$380</c:f>
              <c:numCache>
                <c:formatCode>0.0000</c:formatCode>
                <c:ptCount val="186"/>
                <c:pt idx="0">
                  <c:v>0.2</c:v>
                </c:pt>
                <c:pt idx="1">
                  <c:v>0.77780000000000005</c:v>
                </c:pt>
                <c:pt idx="2">
                  <c:v>0.85709999999999997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0.8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0.28570000000000001</c:v>
                </c:pt>
                <c:pt idx="11">
                  <c:v>0</c:v>
                </c:pt>
                <c:pt idx="12">
                  <c:v>1</c:v>
                </c:pt>
                <c:pt idx="13">
                  <c:v>0.33329999999999999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0.5</c:v>
                </c:pt>
                <c:pt idx="31">
                  <c:v>1</c:v>
                </c:pt>
                <c:pt idx="32">
                  <c:v>0.5</c:v>
                </c:pt>
                <c:pt idx="33">
                  <c:v>0.91669999999999996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0.5</c:v>
                </c:pt>
                <c:pt idx="68">
                  <c:v>0.66669999999999996</c:v>
                </c:pt>
                <c:pt idx="69">
                  <c:v>0.66669999999999996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0.66669999999999996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01-C94E-839F-56196160731E}"/>
            </c:ext>
          </c:extLst>
        </c:ser>
        <c:ser>
          <c:idx val="13"/>
          <c:order val="13"/>
          <c:tx>
            <c:strRef>
              <c:f>'Todas Métricas Norm'!$P$194</c:f>
              <c:strCache>
                <c:ptCount val="1"/>
                <c:pt idx="0">
                  <c:v>LND norm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Norm'!$P$195:$P$380</c:f>
              <c:numCache>
                <c:formatCode>0.0000</c:formatCode>
                <c:ptCount val="186"/>
                <c:pt idx="0">
                  <c:v>0.33333333333333331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1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</c:v>
                </c:pt>
                <c:pt idx="19">
                  <c:v>0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0.66666666666666663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0.33333333333333331</c:v>
                </c:pt>
                <c:pt idx="30">
                  <c:v>0</c:v>
                </c:pt>
                <c:pt idx="31">
                  <c:v>0</c:v>
                </c:pt>
                <c:pt idx="32">
                  <c:v>0.33333333333333331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</c:v>
                </c:pt>
                <c:pt idx="37">
                  <c:v>0.33333333333333331</c:v>
                </c:pt>
                <c:pt idx="38">
                  <c:v>0.33333333333333331</c:v>
                </c:pt>
                <c:pt idx="39">
                  <c:v>0.33333333333333331</c:v>
                </c:pt>
                <c:pt idx="40">
                  <c:v>0</c:v>
                </c:pt>
                <c:pt idx="41">
                  <c:v>0.33333333333333331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0.33333333333333331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0.33333333333333331</c:v>
                </c:pt>
                <c:pt idx="50">
                  <c:v>0.33333333333333331</c:v>
                </c:pt>
                <c:pt idx="51">
                  <c:v>0.33333333333333331</c:v>
                </c:pt>
                <c:pt idx="52">
                  <c:v>0.33333333333333331</c:v>
                </c:pt>
                <c:pt idx="53">
                  <c:v>0.33333333333333331</c:v>
                </c:pt>
                <c:pt idx="54">
                  <c:v>0</c:v>
                </c:pt>
                <c:pt idx="55">
                  <c:v>0.33333333333333331</c:v>
                </c:pt>
                <c:pt idx="56">
                  <c:v>0.33333333333333331</c:v>
                </c:pt>
                <c:pt idx="57">
                  <c:v>0</c:v>
                </c:pt>
                <c:pt idx="58">
                  <c:v>0.33333333333333331</c:v>
                </c:pt>
                <c:pt idx="59">
                  <c:v>0.33333333333333331</c:v>
                </c:pt>
                <c:pt idx="60">
                  <c:v>0.33333333333333331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0.33333333333333331</c:v>
                </c:pt>
                <c:pt idx="66">
                  <c:v>0.33333333333333331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0.33333333333333331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0.33333333333333331</c:v>
                </c:pt>
                <c:pt idx="127">
                  <c:v>0.33333333333333331</c:v>
                </c:pt>
                <c:pt idx="128">
                  <c:v>0.33333333333333331</c:v>
                </c:pt>
                <c:pt idx="129">
                  <c:v>0.33333333333333331</c:v>
                </c:pt>
                <c:pt idx="130">
                  <c:v>0.33333333333333331</c:v>
                </c:pt>
                <c:pt idx="131">
                  <c:v>0.33333333333333331</c:v>
                </c:pt>
                <c:pt idx="132">
                  <c:v>0.33333333333333331</c:v>
                </c:pt>
                <c:pt idx="133">
                  <c:v>0</c:v>
                </c:pt>
                <c:pt idx="134">
                  <c:v>0.33333333333333331</c:v>
                </c:pt>
                <c:pt idx="135">
                  <c:v>0.33333333333333331</c:v>
                </c:pt>
                <c:pt idx="136">
                  <c:v>0.33333333333333331</c:v>
                </c:pt>
                <c:pt idx="137">
                  <c:v>0.33333333333333331</c:v>
                </c:pt>
                <c:pt idx="138">
                  <c:v>0.33333333333333331</c:v>
                </c:pt>
                <c:pt idx="139">
                  <c:v>0.33333333333333331</c:v>
                </c:pt>
                <c:pt idx="140">
                  <c:v>0.33333333333333331</c:v>
                </c:pt>
                <c:pt idx="141">
                  <c:v>0.33333333333333331</c:v>
                </c:pt>
                <c:pt idx="142">
                  <c:v>0.33333333333333331</c:v>
                </c:pt>
                <c:pt idx="143">
                  <c:v>0.33333333333333331</c:v>
                </c:pt>
                <c:pt idx="144">
                  <c:v>0.33333333333333331</c:v>
                </c:pt>
                <c:pt idx="145">
                  <c:v>0.33333333333333331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0.33333333333333331</c:v>
                </c:pt>
                <c:pt idx="149">
                  <c:v>0.33333333333333331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0.33333333333333331</c:v>
                </c:pt>
                <c:pt idx="155">
                  <c:v>0.33333333333333331</c:v>
                </c:pt>
                <c:pt idx="156">
                  <c:v>0.33333333333333331</c:v>
                </c:pt>
                <c:pt idx="157">
                  <c:v>0.33333333333333331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01-C94E-839F-56196160731E}"/>
            </c:ext>
          </c:extLst>
        </c:ser>
        <c:ser>
          <c:idx val="14"/>
          <c:order val="14"/>
          <c:tx>
            <c:strRef>
              <c:f>'Todas Métricas Norm'!$Q$194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6D8D6F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Norm'!$Q$195:$Q$380</c:f>
              <c:numCache>
                <c:formatCode>0.0000</c:formatCode>
                <c:ptCount val="186"/>
                <c:pt idx="0">
                  <c:v>1</c:v>
                </c:pt>
                <c:pt idx="1">
                  <c:v>0.9242424242424242</c:v>
                </c:pt>
                <c:pt idx="2">
                  <c:v>0.53030303030303028</c:v>
                </c:pt>
                <c:pt idx="3">
                  <c:v>0.53787878787878785</c:v>
                </c:pt>
                <c:pt idx="4">
                  <c:v>0.32575757575757575</c:v>
                </c:pt>
                <c:pt idx="5">
                  <c:v>0.32575757575757575</c:v>
                </c:pt>
                <c:pt idx="6">
                  <c:v>0.34848484848484851</c:v>
                </c:pt>
                <c:pt idx="7">
                  <c:v>0.31818181818181818</c:v>
                </c:pt>
                <c:pt idx="8">
                  <c:v>0.39393939393939392</c:v>
                </c:pt>
                <c:pt idx="9">
                  <c:v>0.37878787878787878</c:v>
                </c:pt>
                <c:pt idx="10">
                  <c:v>0.22727272727272727</c:v>
                </c:pt>
                <c:pt idx="11">
                  <c:v>0.25757575757575757</c:v>
                </c:pt>
                <c:pt idx="12">
                  <c:v>0.25</c:v>
                </c:pt>
                <c:pt idx="13">
                  <c:v>0.33333333333333331</c:v>
                </c:pt>
                <c:pt idx="14">
                  <c:v>0.18939393939393939</c:v>
                </c:pt>
                <c:pt idx="15">
                  <c:v>0.20454545454545456</c:v>
                </c:pt>
                <c:pt idx="16">
                  <c:v>0.20454545454545456</c:v>
                </c:pt>
                <c:pt idx="17">
                  <c:v>0.20454545454545456</c:v>
                </c:pt>
                <c:pt idx="18">
                  <c:v>0.14393939393939395</c:v>
                </c:pt>
                <c:pt idx="19">
                  <c:v>0.14393939393939395</c:v>
                </c:pt>
                <c:pt idx="20">
                  <c:v>0.22727272727272727</c:v>
                </c:pt>
                <c:pt idx="21">
                  <c:v>0.16666666666666666</c:v>
                </c:pt>
                <c:pt idx="22">
                  <c:v>0.15909090909090909</c:v>
                </c:pt>
                <c:pt idx="23">
                  <c:v>0.14393939393939395</c:v>
                </c:pt>
                <c:pt idx="24">
                  <c:v>0.21212121212121213</c:v>
                </c:pt>
                <c:pt idx="25">
                  <c:v>0.12121212121212122</c:v>
                </c:pt>
                <c:pt idx="26">
                  <c:v>6.0606060606060608E-2</c:v>
                </c:pt>
                <c:pt idx="27">
                  <c:v>0.10606060606060606</c:v>
                </c:pt>
                <c:pt idx="28">
                  <c:v>0.15151515151515152</c:v>
                </c:pt>
                <c:pt idx="29">
                  <c:v>0.23484848484848486</c:v>
                </c:pt>
                <c:pt idx="30">
                  <c:v>0.11363636363636363</c:v>
                </c:pt>
                <c:pt idx="31">
                  <c:v>9.8484848484848481E-2</c:v>
                </c:pt>
                <c:pt idx="32">
                  <c:v>0.14393939393939395</c:v>
                </c:pt>
                <c:pt idx="33">
                  <c:v>0.14393939393939395</c:v>
                </c:pt>
                <c:pt idx="34">
                  <c:v>0.14393939393939395</c:v>
                </c:pt>
                <c:pt idx="35">
                  <c:v>0.14393939393939395</c:v>
                </c:pt>
                <c:pt idx="36">
                  <c:v>9.8484848484848481E-2</c:v>
                </c:pt>
                <c:pt idx="37">
                  <c:v>0.15151515151515152</c:v>
                </c:pt>
                <c:pt idx="38">
                  <c:v>0.15151515151515152</c:v>
                </c:pt>
                <c:pt idx="39">
                  <c:v>0.2878787878787879</c:v>
                </c:pt>
                <c:pt idx="40">
                  <c:v>0.27272727272727271</c:v>
                </c:pt>
                <c:pt idx="41">
                  <c:v>0.20454545454545456</c:v>
                </c:pt>
                <c:pt idx="42">
                  <c:v>0.21212121212121213</c:v>
                </c:pt>
                <c:pt idx="43">
                  <c:v>0.12878787878787878</c:v>
                </c:pt>
                <c:pt idx="44">
                  <c:v>9.8484848484848481E-2</c:v>
                </c:pt>
                <c:pt idx="45">
                  <c:v>0.15909090909090909</c:v>
                </c:pt>
                <c:pt idx="46">
                  <c:v>8.3333333333333329E-2</c:v>
                </c:pt>
                <c:pt idx="47">
                  <c:v>0.10606060606060606</c:v>
                </c:pt>
                <c:pt idx="48">
                  <c:v>0.13636363636363635</c:v>
                </c:pt>
                <c:pt idx="49">
                  <c:v>0.14393939393939395</c:v>
                </c:pt>
                <c:pt idx="50">
                  <c:v>0.14393939393939395</c:v>
                </c:pt>
                <c:pt idx="51">
                  <c:v>0.14393939393939395</c:v>
                </c:pt>
                <c:pt idx="52">
                  <c:v>0.14393939393939395</c:v>
                </c:pt>
                <c:pt idx="53">
                  <c:v>7.575757575757576E-2</c:v>
                </c:pt>
                <c:pt idx="54">
                  <c:v>4.5454545454545456E-2</c:v>
                </c:pt>
                <c:pt idx="55">
                  <c:v>0.13636363636363635</c:v>
                </c:pt>
                <c:pt idx="56">
                  <c:v>9.8484848484848481E-2</c:v>
                </c:pt>
                <c:pt idx="57">
                  <c:v>8.3333333333333329E-2</c:v>
                </c:pt>
                <c:pt idx="58">
                  <c:v>9.0909090909090912E-2</c:v>
                </c:pt>
                <c:pt idx="59">
                  <c:v>9.0909090909090912E-2</c:v>
                </c:pt>
                <c:pt idx="60">
                  <c:v>9.0909090909090912E-2</c:v>
                </c:pt>
                <c:pt idx="61">
                  <c:v>0.12878787878787878</c:v>
                </c:pt>
                <c:pt idx="62">
                  <c:v>6.8181818181818177E-2</c:v>
                </c:pt>
                <c:pt idx="63">
                  <c:v>6.0606060606060608E-2</c:v>
                </c:pt>
                <c:pt idx="64">
                  <c:v>4.5454545454545456E-2</c:v>
                </c:pt>
                <c:pt idx="65">
                  <c:v>8.3333333333333329E-2</c:v>
                </c:pt>
                <c:pt idx="66">
                  <c:v>0.15909090909090909</c:v>
                </c:pt>
                <c:pt idx="67">
                  <c:v>0.17424242424242425</c:v>
                </c:pt>
                <c:pt idx="68">
                  <c:v>5.3030303030303032E-2</c:v>
                </c:pt>
                <c:pt idx="69">
                  <c:v>5.3030303030303032E-2</c:v>
                </c:pt>
                <c:pt idx="70">
                  <c:v>9.8484848484848481E-2</c:v>
                </c:pt>
                <c:pt idx="71">
                  <c:v>0.21212121212121213</c:v>
                </c:pt>
                <c:pt idx="72">
                  <c:v>4.5454545454545456E-2</c:v>
                </c:pt>
                <c:pt idx="73">
                  <c:v>9.8484848484848481E-2</c:v>
                </c:pt>
                <c:pt idx="74">
                  <c:v>0.17424242424242425</c:v>
                </c:pt>
                <c:pt idx="75">
                  <c:v>0.10606060606060606</c:v>
                </c:pt>
                <c:pt idx="76">
                  <c:v>9.0909090909090912E-2</c:v>
                </c:pt>
                <c:pt idx="77">
                  <c:v>7.575757575757576E-3</c:v>
                </c:pt>
                <c:pt idx="78">
                  <c:v>7.575757575757576E-3</c:v>
                </c:pt>
                <c:pt idx="79">
                  <c:v>7.575757575757576E-3</c:v>
                </c:pt>
                <c:pt idx="80">
                  <c:v>7.575757575757576E-3</c:v>
                </c:pt>
                <c:pt idx="81">
                  <c:v>8.3333333333333329E-2</c:v>
                </c:pt>
                <c:pt idx="82">
                  <c:v>5.3030303030303032E-2</c:v>
                </c:pt>
                <c:pt idx="83">
                  <c:v>6.8181818181818177E-2</c:v>
                </c:pt>
                <c:pt idx="84">
                  <c:v>9.0909090909090912E-2</c:v>
                </c:pt>
                <c:pt idx="85">
                  <c:v>7.575757575757576E-2</c:v>
                </c:pt>
                <c:pt idx="86">
                  <c:v>7.575757575757576E-3</c:v>
                </c:pt>
                <c:pt idx="87">
                  <c:v>7.575757575757576E-3</c:v>
                </c:pt>
                <c:pt idx="88">
                  <c:v>7.575757575757576E-3</c:v>
                </c:pt>
                <c:pt idx="89">
                  <c:v>7.575757575757576E-3</c:v>
                </c:pt>
                <c:pt idx="90">
                  <c:v>7.575757575757576E-2</c:v>
                </c:pt>
                <c:pt idx="91">
                  <c:v>7.575757575757576E-2</c:v>
                </c:pt>
                <c:pt idx="92">
                  <c:v>8.3333333333333329E-2</c:v>
                </c:pt>
                <c:pt idx="93">
                  <c:v>5.3030303030303032E-2</c:v>
                </c:pt>
                <c:pt idx="94">
                  <c:v>3.0303030303030304E-2</c:v>
                </c:pt>
                <c:pt idx="95">
                  <c:v>3.0303030303030304E-2</c:v>
                </c:pt>
                <c:pt idx="96">
                  <c:v>3.0303030303030304E-2</c:v>
                </c:pt>
                <c:pt idx="97">
                  <c:v>3.787878787878788E-2</c:v>
                </c:pt>
                <c:pt idx="98">
                  <c:v>3.787878787878788E-2</c:v>
                </c:pt>
                <c:pt idx="99">
                  <c:v>3.787878787878788E-2</c:v>
                </c:pt>
                <c:pt idx="100">
                  <c:v>3.787878787878788E-2</c:v>
                </c:pt>
                <c:pt idx="101">
                  <c:v>3.787878787878788E-2</c:v>
                </c:pt>
                <c:pt idx="102">
                  <c:v>3.787878787878788E-2</c:v>
                </c:pt>
                <c:pt idx="103">
                  <c:v>3.787878787878788E-2</c:v>
                </c:pt>
                <c:pt idx="104">
                  <c:v>3.787878787878788E-2</c:v>
                </c:pt>
                <c:pt idx="105">
                  <c:v>6.0606060606060608E-2</c:v>
                </c:pt>
                <c:pt idx="106">
                  <c:v>6.0606060606060608E-2</c:v>
                </c:pt>
                <c:pt idx="107">
                  <c:v>5.3030303030303032E-2</c:v>
                </c:pt>
                <c:pt idx="108">
                  <c:v>5.3030303030303032E-2</c:v>
                </c:pt>
                <c:pt idx="109">
                  <c:v>5.3030303030303032E-2</c:v>
                </c:pt>
                <c:pt idx="110">
                  <c:v>5.3030303030303032E-2</c:v>
                </c:pt>
                <c:pt idx="111">
                  <c:v>6.8181818181818177E-2</c:v>
                </c:pt>
                <c:pt idx="112">
                  <c:v>6.8181818181818177E-2</c:v>
                </c:pt>
                <c:pt idx="113">
                  <c:v>7.575757575757576E-2</c:v>
                </c:pt>
                <c:pt idx="114">
                  <c:v>6.8181818181818177E-2</c:v>
                </c:pt>
                <c:pt idx="115">
                  <c:v>6.8181818181818177E-2</c:v>
                </c:pt>
                <c:pt idx="116">
                  <c:v>6.8181818181818177E-2</c:v>
                </c:pt>
                <c:pt idx="117">
                  <c:v>6.8181818181818177E-2</c:v>
                </c:pt>
                <c:pt idx="118">
                  <c:v>6.8181818181818177E-2</c:v>
                </c:pt>
                <c:pt idx="119">
                  <c:v>7.575757575757576E-2</c:v>
                </c:pt>
                <c:pt idx="120">
                  <c:v>0.11363636363636363</c:v>
                </c:pt>
                <c:pt idx="121">
                  <c:v>0.11363636363636363</c:v>
                </c:pt>
                <c:pt idx="122">
                  <c:v>0.11363636363636363</c:v>
                </c:pt>
                <c:pt idx="123">
                  <c:v>7.575757575757576E-2</c:v>
                </c:pt>
                <c:pt idx="124">
                  <c:v>0.10606060606060606</c:v>
                </c:pt>
                <c:pt idx="125">
                  <c:v>8.3333333333333329E-2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5.3030303030303032E-2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2.2727272727272728E-2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01-C94E-839F-56196160731E}"/>
            </c:ext>
          </c:extLst>
        </c:ser>
        <c:ser>
          <c:idx val="15"/>
          <c:order val="15"/>
          <c:tx>
            <c:strRef>
              <c:f>'Todas Métricas Norm'!$R$194</c:f>
              <c:strCache>
                <c:ptCount val="1"/>
                <c:pt idx="0">
                  <c:v>MMI norm</c:v>
                </c:pt>
              </c:strCache>
            </c:strRef>
          </c:tx>
          <c:spPr>
            <a:solidFill>
              <a:srgbClr val="6CAFDB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Norm'!$R$195:$R$380</c:f>
              <c:numCache>
                <c:formatCode>0.0000</c:formatCode>
                <c:ptCount val="186"/>
                <c:pt idx="0">
                  <c:v>0.30824852481197357</c:v>
                </c:pt>
                <c:pt idx="1">
                  <c:v>0.32448498920492269</c:v>
                </c:pt>
                <c:pt idx="2">
                  <c:v>0.39067426428520713</c:v>
                </c:pt>
                <c:pt idx="3">
                  <c:v>0.38990378391470842</c:v>
                </c:pt>
                <c:pt idx="4">
                  <c:v>0.4579858515582913</c:v>
                </c:pt>
                <c:pt idx="5">
                  <c:v>0.46138515248829659</c:v>
                </c:pt>
                <c:pt idx="6">
                  <c:v>0.45560446168687174</c:v>
                </c:pt>
                <c:pt idx="7">
                  <c:v>0.46460279544476968</c:v>
                </c:pt>
                <c:pt idx="8">
                  <c:v>0.44242486250370622</c:v>
                </c:pt>
                <c:pt idx="9">
                  <c:v>0.44630440865109561</c:v>
                </c:pt>
                <c:pt idx="10">
                  <c:v>0.5102396632437014</c:v>
                </c:pt>
                <c:pt idx="11">
                  <c:v>0.49422348524394372</c:v>
                </c:pt>
                <c:pt idx="12">
                  <c:v>0.51385403051018741</c:v>
                </c:pt>
                <c:pt idx="13">
                  <c:v>0.4732357252329189</c:v>
                </c:pt>
                <c:pt idx="14">
                  <c:v>0.55009897227523474</c:v>
                </c:pt>
                <c:pt idx="15">
                  <c:v>0.52092198729646999</c:v>
                </c:pt>
                <c:pt idx="16">
                  <c:v>0.52092198729646999</c:v>
                </c:pt>
                <c:pt idx="17">
                  <c:v>0.52092198729646999</c:v>
                </c:pt>
                <c:pt idx="18">
                  <c:v>0.59924685021778068</c:v>
                </c:pt>
                <c:pt idx="19">
                  <c:v>0.5782977186264151</c:v>
                </c:pt>
                <c:pt idx="20">
                  <c:v>0.53833922851737859</c:v>
                </c:pt>
                <c:pt idx="21">
                  <c:v>0.56901541378345533</c:v>
                </c:pt>
                <c:pt idx="22">
                  <c:v>0.60646618864867352</c:v>
                </c:pt>
                <c:pt idx="23">
                  <c:v>0.60802385357114508</c:v>
                </c:pt>
                <c:pt idx="24">
                  <c:v>0.53137045280859929</c:v>
                </c:pt>
                <c:pt idx="25">
                  <c:v>0.61959463127607406</c:v>
                </c:pt>
                <c:pt idx="26">
                  <c:v>0.70378683794020735</c:v>
                </c:pt>
                <c:pt idx="27">
                  <c:v>0.64843753262535442</c:v>
                </c:pt>
                <c:pt idx="28">
                  <c:v>0.62134543829684163</c:v>
                </c:pt>
                <c:pt idx="29">
                  <c:v>0.53059579639273202</c:v>
                </c:pt>
                <c:pt idx="30">
                  <c:v>0.6265717590755906</c:v>
                </c:pt>
                <c:pt idx="31">
                  <c:v>0.66427414067426427</c:v>
                </c:pt>
                <c:pt idx="32">
                  <c:v>0.59281052029349235</c:v>
                </c:pt>
                <c:pt idx="33">
                  <c:v>0.56858319308780969</c:v>
                </c:pt>
                <c:pt idx="34">
                  <c:v>0.6311059003345012</c:v>
                </c:pt>
                <c:pt idx="35">
                  <c:v>0.63493533393746782</c:v>
                </c:pt>
                <c:pt idx="36">
                  <c:v>0.63788988603572183</c:v>
                </c:pt>
                <c:pt idx="37">
                  <c:v>0.5972319083274521</c:v>
                </c:pt>
                <c:pt idx="38">
                  <c:v>0.59902969585861576</c:v>
                </c:pt>
                <c:pt idx="39">
                  <c:v>0.51463808302813396</c:v>
                </c:pt>
                <c:pt idx="40">
                  <c:v>0.51378825779563264</c:v>
                </c:pt>
                <c:pt idx="41">
                  <c:v>0.55122128446803442</c:v>
                </c:pt>
                <c:pt idx="42">
                  <c:v>0.52455723478979877</c:v>
                </c:pt>
                <c:pt idx="43">
                  <c:v>0.6082817243726536</c:v>
                </c:pt>
                <c:pt idx="44">
                  <c:v>0.65200596339278627</c:v>
                </c:pt>
                <c:pt idx="45">
                  <c:v>0.61031859050116721</c:v>
                </c:pt>
                <c:pt idx="46">
                  <c:v>0.63238063818325319</c:v>
                </c:pt>
                <c:pt idx="47">
                  <c:v>0.63319079098475317</c:v>
                </c:pt>
                <c:pt idx="48">
                  <c:v>0.60874004535185267</c:v>
                </c:pt>
                <c:pt idx="49">
                  <c:v>0.60032948997957913</c:v>
                </c:pt>
                <c:pt idx="50">
                  <c:v>0.60032948997957913</c:v>
                </c:pt>
                <c:pt idx="51">
                  <c:v>0.60116156701926404</c:v>
                </c:pt>
                <c:pt idx="52">
                  <c:v>0.60116156701926404</c:v>
                </c:pt>
                <c:pt idx="53">
                  <c:v>0.6627812044550051</c:v>
                </c:pt>
                <c:pt idx="54">
                  <c:v>0.75481602432128814</c:v>
                </c:pt>
                <c:pt idx="55">
                  <c:v>0.61707856394151861</c:v>
                </c:pt>
                <c:pt idx="56">
                  <c:v>0.62535757388468272</c:v>
                </c:pt>
                <c:pt idx="57">
                  <c:v>0.66838023728289775</c:v>
                </c:pt>
                <c:pt idx="58">
                  <c:v>0.63574548673896791</c:v>
                </c:pt>
                <c:pt idx="59">
                  <c:v>0.63516292841005428</c:v>
                </c:pt>
                <c:pt idx="60">
                  <c:v>0.63421496611139183</c:v>
                </c:pt>
                <c:pt idx="61">
                  <c:v>0.6062803546297727</c:v>
                </c:pt>
                <c:pt idx="62">
                  <c:v>0.72579564104384431</c:v>
                </c:pt>
                <c:pt idx="63">
                  <c:v>0.72044403890403863</c:v>
                </c:pt>
                <c:pt idx="64">
                  <c:v>0.77331590530399519</c:v>
                </c:pt>
                <c:pt idx="65">
                  <c:v>0.69210226299898514</c:v>
                </c:pt>
                <c:pt idx="66">
                  <c:v>0.60183286631225963</c:v>
                </c:pt>
                <c:pt idx="67">
                  <c:v>0.58389048738625493</c:v>
                </c:pt>
                <c:pt idx="68">
                  <c:v>0.71577417617064987</c:v>
                </c:pt>
                <c:pt idx="69">
                  <c:v>0.71577417617064987</c:v>
                </c:pt>
                <c:pt idx="70">
                  <c:v>0.70337340944872029</c:v>
                </c:pt>
                <c:pt idx="71">
                  <c:v>0.55992729505013339</c:v>
                </c:pt>
                <c:pt idx="72">
                  <c:v>0.75484108059349964</c:v>
                </c:pt>
                <c:pt idx="73">
                  <c:v>0.66676515173660844</c:v>
                </c:pt>
                <c:pt idx="74">
                  <c:v>0.57963927320106401</c:v>
                </c:pt>
                <c:pt idx="75">
                  <c:v>0.63978267859902027</c:v>
                </c:pt>
                <c:pt idx="76">
                  <c:v>0.66988048158155189</c:v>
                </c:pt>
                <c:pt idx="77">
                  <c:v>0.95803700811405612</c:v>
                </c:pt>
                <c:pt idx="78">
                  <c:v>0.95803700811405612</c:v>
                </c:pt>
                <c:pt idx="79">
                  <c:v>0.96788412309311334</c:v>
                </c:pt>
                <c:pt idx="80">
                  <c:v>0.96788412309311334</c:v>
                </c:pt>
                <c:pt idx="81">
                  <c:v>0.68264665227323018</c:v>
                </c:pt>
                <c:pt idx="82">
                  <c:v>0.72550122984536092</c:v>
                </c:pt>
                <c:pt idx="83">
                  <c:v>0.76067397196203135</c:v>
                </c:pt>
                <c:pt idx="84">
                  <c:v>0.64706256968775699</c:v>
                </c:pt>
                <c:pt idx="85">
                  <c:v>0.75025369475613979</c:v>
                </c:pt>
                <c:pt idx="86">
                  <c:v>1</c:v>
                </c:pt>
                <c:pt idx="87">
                  <c:v>1</c:v>
                </c:pt>
                <c:pt idx="88">
                  <c:v>0.9779943289303894</c:v>
                </c:pt>
                <c:pt idx="89">
                  <c:v>0.9779943289303894</c:v>
                </c:pt>
                <c:pt idx="90">
                  <c:v>0.69209077887422166</c:v>
                </c:pt>
                <c:pt idx="91">
                  <c:v>0.71283424023118591</c:v>
                </c:pt>
                <c:pt idx="92">
                  <c:v>0.69782344515390804</c:v>
                </c:pt>
                <c:pt idx="93">
                  <c:v>0.7328855220683117</c:v>
                </c:pt>
                <c:pt idx="94">
                  <c:v>0.83076993748460071</c:v>
                </c:pt>
                <c:pt idx="95">
                  <c:v>0.84088014332187699</c:v>
                </c:pt>
                <c:pt idx="96">
                  <c:v>0.84088014332187699</c:v>
                </c:pt>
                <c:pt idx="97">
                  <c:v>0.80869953771177772</c:v>
                </c:pt>
                <c:pt idx="98">
                  <c:v>0.80869953771177772</c:v>
                </c:pt>
                <c:pt idx="99">
                  <c:v>0.80869953771177772</c:v>
                </c:pt>
                <c:pt idx="100">
                  <c:v>0.80869953771177772</c:v>
                </c:pt>
                <c:pt idx="101">
                  <c:v>0.84081645863000642</c:v>
                </c:pt>
                <c:pt idx="102">
                  <c:v>0.84081645863000642</c:v>
                </c:pt>
                <c:pt idx="103">
                  <c:v>0.84081645863000642</c:v>
                </c:pt>
                <c:pt idx="104">
                  <c:v>0.84081645863000642</c:v>
                </c:pt>
                <c:pt idx="105">
                  <c:v>0.7523667737126295</c:v>
                </c:pt>
                <c:pt idx="106">
                  <c:v>0.74657877483180968</c:v>
                </c:pt>
                <c:pt idx="107">
                  <c:v>0.80753650907663455</c:v>
                </c:pt>
                <c:pt idx="108">
                  <c:v>0.80753650907663455</c:v>
                </c:pt>
                <c:pt idx="109">
                  <c:v>0.78553083800702417</c:v>
                </c:pt>
                <c:pt idx="110">
                  <c:v>0.78553083800702417</c:v>
                </c:pt>
                <c:pt idx="111">
                  <c:v>0.78268068704298399</c:v>
                </c:pt>
                <c:pt idx="112">
                  <c:v>0.78268068704298399</c:v>
                </c:pt>
                <c:pt idx="113">
                  <c:v>0.7401434889188635</c:v>
                </c:pt>
                <c:pt idx="114">
                  <c:v>0.76067397196203135</c:v>
                </c:pt>
                <c:pt idx="115">
                  <c:v>0.76067397196203135</c:v>
                </c:pt>
                <c:pt idx="116">
                  <c:v>0.76067397196203135</c:v>
                </c:pt>
                <c:pt idx="117">
                  <c:v>0.76067397196203135</c:v>
                </c:pt>
                <c:pt idx="118">
                  <c:v>0.76067397196203135</c:v>
                </c:pt>
                <c:pt idx="119">
                  <c:v>0.77225936582575028</c:v>
                </c:pt>
                <c:pt idx="120">
                  <c:v>0.73215680215149848</c:v>
                </c:pt>
                <c:pt idx="121">
                  <c:v>0.73215680215149848</c:v>
                </c:pt>
                <c:pt idx="122">
                  <c:v>0.73215680215149848</c:v>
                </c:pt>
                <c:pt idx="123">
                  <c:v>0.69996158038260925</c:v>
                </c:pt>
                <c:pt idx="124">
                  <c:v>0.66285219722627065</c:v>
                </c:pt>
                <c:pt idx="125">
                  <c:v>0.70340681781166869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0.78553083800702417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01-C94E-839F-56196160731E}"/>
            </c:ext>
          </c:extLst>
        </c:ser>
        <c:ser>
          <c:idx val="16"/>
          <c:order val="16"/>
          <c:tx>
            <c:strRef>
              <c:f>'Todas Métricas Norm'!$S$194</c:f>
              <c:strCache>
                <c:ptCount val="1"/>
                <c:pt idx="0">
                  <c:v>MND norm</c:v>
                </c:pt>
              </c:strCache>
            </c:strRef>
          </c:tx>
          <c:spPr>
            <a:solidFill>
              <a:srgbClr val="B171A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Norm'!$S$195:$S$380</c:f>
              <c:numCache>
                <c:formatCode>0.0000</c:formatCode>
                <c:ptCount val="18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0.83333333333333337</c:v>
                </c:pt>
                <c:pt idx="9">
                  <c:v>0.83333333333333337</c:v>
                </c:pt>
                <c:pt idx="10">
                  <c:v>0.33333333333333331</c:v>
                </c:pt>
                <c:pt idx="11">
                  <c:v>0.33333333333333331</c:v>
                </c:pt>
                <c:pt idx="12">
                  <c:v>0.5</c:v>
                </c:pt>
                <c:pt idx="13">
                  <c:v>0.33333333333333331</c:v>
                </c:pt>
                <c:pt idx="14">
                  <c:v>0.5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0.16666666666666666</c:v>
                </c:pt>
                <c:pt idx="19">
                  <c:v>0.16666666666666666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0.16666666666666666</c:v>
                </c:pt>
                <c:pt idx="23">
                  <c:v>0.33333333333333331</c:v>
                </c:pt>
                <c:pt idx="24">
                  <c:v>0.5</c:v>
                </c:pt>
                <c:pt idx="25">
                  <c:v>0.33333333333333331</c:v>
                </c:pt>
                <c:pt idx="26">
                  <c:v>0.16666666666666666</c:v>
                </c:pt>
                <c:pt idx="27">
                  <c:v>0.16666666666666666</c:v>
                </c:pt>
                <c:pt idx="28">
                  <c:v>0.16666666666666666</c:v>
                </c:pt>
                <c:pt idx="29">
                  <c:v>0.5</c:v>
                </c:pt>
                <c:pt idx="30">
                  <c:v>0.5</c:v>
                </c:pt>
                <c:pt idx="31">
                  <c:v>0.16666666666666666</c:v>
                </c:pt>
                <c:pt idx="32">
                  <c:v>0.33333333333333331</c:v>
                </c:pt>
                <c:pt idx="33">
                  <c:v>0.16666666666666666</c:v>
                </c:pt>
                <c:pt idx="34">
                  <c:v>0.16666666666666666</c:v>
                </c:pt>
                <c:pt idx="35">
                  <c:v>0.16666666666666666</c:v>
                </c:pt>
                <c:pt idx="36">
                  <c:v>0.33333333333333331</c:v>
                </c:pt>
                <c:pt idx="37">
                  <c:v>0.16666666666666666</c:v>
                </c:pt>
                <c:pt idx="38">
                  <c:v>0.16666666666666666</c:v>
                </c:pt>
                <c:pt idx="39">
                  <c:v>0.33333333333333331</c:v>
                </c:pt>
                <c:pt idx="40">
                  <c:v>0.33333333333333331</c:v>
                </c:pt>
                <c:pt idx="41">
                  <c:v>0.5</c:v>
                </c:pt>
                <c:pt idx="42">
                  <c:v>0.33333333333333331</c:v>
                </c:pt>
                <c:pt idx="43">
                  <c:v>0.33333333333333331</c:v>
                </c:pt>
                <c:pt idx="44">
                  <c:v>0.16666666666666666</c:v>
                </c:pt>
                <c:pt idx="45">
                  <c:v>0.33333333333333331</c:v>
                </c:pt>
                <c:pt idx="46">
                  <c:v>0.16666666666666666</c:v>
                </c:pt>
                <c:pt idx="47">
                  <c:v>0.16666666666666666</c:v>
                </c:pt>
                <c:pt idx="48">
                  <c:v>0.33333333333333331</c:v>
                </c:pt>
                <c:pt idx="49">
                  <c:v>0.16666666666666666</c:v>
                </c:pt>
                <c:pt idx="50">
                  <c:v>0.16666666666666666</c:v>
                </c:pt>
                <c:pt idx="51">
                  <c:v>0.16666666666666666</c:v>
                </c:pt>
                <c:pt idx="52">
                  <c:v>0.16666666666666666</c:v>
                </c:pt>
                <c:pt idx="53">
                  <c:v>0.33333333333333331</c:v>
                </c:pt>
                <c:pt idx="54">
                  <c:v>0.33333333333333331</c:v>
                </c:pt>
                <c:pt idx="55">
                  <c:v>0.16666666666666666</c:v>
                </c:pt>
                <c:pt idx="56">
                  <c:v>0.33333333333333331</c:v>
                </c:pt>
                <c:pt idx="57">
                  <c:v>0.16666666666666666</c:v>
                </c:pt>
                <c:pt idx="58">
                  <c:v>0.33333333333333331</c:v>
                </c:pt>
                <c:pt idx="59">
                  <c:v>0.33333333333333331</c:v>
                </c:pt>
                <c:pt idx="60">
                  <c:v>0.33333333333333331</c:v>
                </c:pt>
                <c:pt idx="61">
                  <c:v>0.33333333333333331</c:v>
                </c:pt>
                <c:pt idx="62">
                  <c:v>0.16666666666666666</c:v>
                </c:pt>
                <c:pt idx="63">
                  <c:v>0.16666666666666666</c:v>
                </c:pt>
                <c:pt idx="64">
                  <c:v>0.16666666666666666</c:v>
                </c:pt>
                <c:pt idx="65">
                  <c:v>0.16666666666666666</c:v>
                </c:pt>
                <c:pt idx="66">
                  <c:v>0.16666666666666666</c:v>
                </c:pt>
                <c:pt idx="67">
                  <c:v>0.33333333333333331</c:v>
                </c:pt>
                <c:pt idx="68">
                  <c:v>0.16666666666666666</c:v>
                </c:pt>
                <c:pt idx="69">
                  <c:v>0.16666666666666666</c:v>
                </c:pt>
                <c:pt idx="70">
                  <c:v>0.16666666666666666</c:v>
                </c:pt>
                <c:pt idx="71">
                  <c:v>0.33333333333333331</c:v>
                </c:pt>
                <c:pt idx="72">
                  <c:v>0.16666666666666666</c:v>
                </c:pt>
                <c:pt idx="73">
                  <c:v>0.16666666666666666</c:v>
                </c:pt>
                <c:pt idx="74">
                  <c:v>0.33333333333333331</c:v>
                </c:pt>
                <c:pt idx="75">
                  <c:v>0.16666666666666666</c:v>
                </c:pt>
                <c:pt idx="76">
                  <c:v>0.16666666666666666</c:v>
                </c:pt>
                <c:pt idx="77">
                  <c:v>0.16666666666666666</c:v>
                </c:pt>
                <c:pt idx="78">
                  <c:v>0.16666666666666666</c:v>
                </c:pt>
                <c:pt idx="79">
                  <c:v>0.16666666666666666</c:v>
                </c:pt>
                <c:pt idx="80">
                  <c:v>0.16666666666666666</c:v>
                </c:pt>
                <c:pt idx="81">
                  <c:v>0.16666666666666666</c:v>
                </c:pt>
                <c:pt idx="82">
                  <c:v>0.16666666666666666</c:v>
                </c:pt>
                <c:pt idx="83">
                  <c:v>0.16666666666666666</c:v>
                </c:pt>
                <c:pt idx="84">
                  <c:v>0.16666666666666666</c:v>
                </c:pt>
                <c:pt idx="85">
                  <c:v>0.16666666666666666</c:v>
                </c:pt>
                <c:pt idx="86">
                  <c:v>0.16666666666666666</c:v>
                </c:pt>
                <c:pt idx="87">
                  <c:v>0.16666666666666666</c:v>
                </c:pt>
                <c:pt idx="88">
                  <c:v>0.16666666666666666</c:v>
                </c:pt>
                <c:pt idx="89">
                  <c:v>0.16666666666666666</c:v>
                </c:pt>
                <c:pt idx="90">
                  <c:v>0.16666666666666666</c:v>
                </c:pt>
                <c:pt idx="91">
                  <c:v>0.16666666666666666</c:v>
                </c:pt>
                <c:pt idx="92">
                  <c:v>0.16666666666666666</c:v>
                </c:pt>
                <c:pt idx="93">
                  <c:v>0.16666666666666666</c:v>
                </c:pt>
                <c:pt idx="94">
                  <c:v>0.16666666666666666</c:v>
                </c:pt>
                <c:pt idx="95">
                  <c:v>0.16666666666666666</c:v>
                </c:pt>
                <c:pt idx="96">
                  <c:v>0.16666666666666666</c:v>
                </c:pt>
                <c:pt idx="97">
                  <c:v>0.16666666666666666</c:v>
                </c:pt>
                <c:pt idx="98">
                  <c:v>0.16666666666666666</c:v>
                </c:pt>
                <c:pt idx="99">
                  <c:v>0.16666666666666666</c:v>
                </c:pt>
                <c:pt idx="100">
                  <c:v>0.16666666666666666</c:v>
                </c:pt>
                <c:pt idx="101">
                  <c:v>0.16666666666666666</c:v>
                </c:pt>
                <c:pt idx="102">
                  <c:v>0.16666666666666666</c:v>
                </c:pt>
                <c:pt idx="103">
                  <c:v>0.16666666666666666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0.16666666666666666</c:v>
                </c:pt>
                <c:pt idx="107">
                  <c:v>0.16666666666666666</c:v>
                </c:pt>
                <c:pt idx="108">
                  <c:v>0.16666666666666666</c:v>
                </c:pt>
                <c:pt idx="109">
                  <c:v>0.16666666666666666</c:v>
                </c:pt>
                <c:pt idx="110">
                  <c:v>0.16666666666666666</c:v>
                </c:pt>
                <c:pt idx="111">
                  <c:v>0.16666666666666666</c:v>
                </c:pt>
                <c:pt idx="112">
                  <c:v>0.16666666666666666</c:v>
                </c:pt>
                <c:pt idx="113">
                  <c:v>0.16666666666666666</c:v>
                </c:pt>
                <c:pt idx="114">
                  <c:v>0.16666666666666666</c:v>
                </c:pt>
                <c:pt idx="115">
                  <c:v>0.16666666666666666</c:v>
                </c:pt>
                <c:pt idx="116">
                  <c:v>0.16666666666666666</c:v>
                </c:pt>
                <c:pt idx="117">
                  <c:v>0.16666666666666666</c:v>
                </c:pt>
                <c:pt idx="118">
                  <c:v>0.16666666666666666</c:v>
                </c:pt>
                <c:pt idx="119">
                  <c:v>0.16666666666666666</c:v>
                </c:pt>
                <c:pt idx="120">
                  <c:v>0.16666666666666666</c:v>
                </c:pt>
                <c:pt idx="121">
                  <c:v>0.16666666666666666</c:v>
                </c:pt>
                <c:pt idx="122">
                  <c:v>0.16666666666666666</c:v>
                </c:pt>
                <c:pt idx="123">
                  <c:v>0.16666666666666666</c:v>
                </c:pt>
                <c:pt idx="124">
                  <c:v>0.16666666666666666</c:v>
                </c:pt>
                <c:pt idx="125">
                  <c:v>0.16666666666666666</c:v>
                </c:pt>
                <c:pt idx="126">
                  <c:v>0.16666666666666666</c:v>
                </c:pt>
                <c:pt idx="127">
                  <c:v>0.16666666666666666</c:v>
                </c:pt>
                <c:pt idx="128">
                  <c:v>0.16666666666666666</c:v>
                </c:pt>
                <c:pt idx="129">
                  <c:v>0.16666666666666666</c:v>
                </c:pt>
                <c:pt idx="130">
                  <c:v>0.16666666666666666</c:v>
                </c:pt>
                <c:pt idx="131">
                  <c:v>0.16666666666666666</c:v>
                </c:pt>
                <c:pt idx="132">
                  <c:v>0.16666666666666666</c:v>
                </c:pt>
                <c:pt idx="133">
                  <c:v>0.16666666666666666</c:v>
                </c:pt>
                <c:pt idx="134">
                  <c:v>0.16666666666666666</c:v>
                </c:pt>
                <c:pt idx="135">
                  <c:v>0.16666666666666666</c:v>
                </c:pt>
                <c:pt idx="136">
                  <c:v>0.16666666666666666</c:v>
                </c:pt>
                <c:pt idx="137">
                  <c:v>0.16666666666666666</c:v>
                </c:pt>
                <c:pt idx="138">
                  <c:v>0.16666666666666666</c:v>
                </c:pt>
                <c:pt idx="139">
                  <c:v>0.16666666666666666</c:v>
                </c:pt>
                <c:pt idx="140">
                  <c:v>0.16666666666666666</c:v>
                </c:pt>
                <c:pt idx="141">
                  <c:v>0.16666666666666666</c:v>
                </c:pt>
                <c:pt idx="142">
                  <c:v>0.16666666666666666</c:v>
                </c:pt>
                <c:pt idx="143">
                  <c:v>0.16666666666666666</c:v>
                </c:pt>
                <c:pt idx="144">
                  <c:v>0.16666666666666666</c:v>
                </c:pt>
                <c:pt idx="145">
                  <c:v>0.16666666666666666</c:v>
                </c:pt>
                <c:pt idx="146">
                  <c:v>0.16666666666666666</c:v>
                </c:pt>
                <c:pt idx="147">
                  <c:v>0.16666666666666666</c:v>
                </c:pt>
                <c:pt idx="148">
                  <c:v>0.16666666666666666</c:v>
                </c:pt>
                <c:pt idx="149">
                  <c:v>0.16666666666666666</c:v>
                </c:pt>
                <c:pt idx="150">
                  <c:v>0.16666666666666666</c:v>
                </c:pt>
                <c:pt idx="151">
                  <c:v>0.16666666666666666</c:v>
                </c:pt>
                <c:pt idx="152">
                  <c:v>0.16666666666666666</c:v>
                </c:pt>
                <c:pt idx="153">
                  <c:v>0.16666666666666666</c:v>
                </c:pt>
                <c:pt idx="154">
                  <c:v>0.16666666666666666</c:v>
                </c:pt>
                <c:pt idx="155">
                  <c:v>0.16666666666666666</c:v>
                </c:pt>
                <c:pt idx="156">
                  <c:v>0.16666666666666666</c:v>
                </c:pt>
                <c:pt idx="157">
                  <c:v>0.16666666666666666</c:v>
                </c:pt>
                <c:pt idx="158">
                  <c:v>0.16666666666666666</c:v>
                </c:pt>
                <c:pt idx="159">
                  <c:v>0.16666666666666666</c:v>
                </c:pt>
                <c:pt idx="160">
                  <c:v>0.16666666666666666</c:v>
                </c:pt>
                <c:pt idx="161">
                  <c:v>0.16666666666666666</c:v>
                </c:pt>
                <c:pt idx="162">
                  <c:v>0</c:v>
                </c:pt>
                <c:pt idx="163">
                  <c:v>0.16666666666666666</c:v>
                </c:pt>
                <c:pt idx="164">
                  <c:v>0.16666666666666666</c:v>
                </c:pt>
                <c:pt idx="165">
                  <c:v>0.16666666666666666</c:v>
                </c:pt>
                <c:pt idx="166">
                  <c:v>0.16666666666666666</c:v>
                </c:pt>
                <c:pt idx="167">
                  <c:v>0.16666666666666666</c:v>
                </c:pt>
                <c:pt idx="168">
                  <c:v>0.16666666666666666</c:v>
                </c:pt>
                <c:pt idx="169">
                  <c:v>0.16666666666666666</c:v>
                </c:pt>
                <c:pt idx="170">
                  <c:v>0.16666666666666666</c:v>
                </c:pt>
                <c:pt idx="171">
                  <c:v>0.16666666666666666</c:v>
                </c:pt>
                <c:pt idx="172">
                  <c:v>0.16666666666666666</c:v>
                </c:pt>
                <c:pt idx="173">
                  <c:v>0.16666666666666666</c:v>
                </c:pt>
                <c:pt idx="174">
                  <c:v>0.16666666666666666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0.16666666666666666</c:v>
                </c:pt>
                <c:pt idx="178">
                  <c:v>0.16666666666666666</c:v>
                </c:pt>
                <c:pt idx="179">
                  <c:v>0.16666666666666666</c:v>
                </c:pt>
                <c:pt idx="180">
                  <c:v>0.16666666666666666</c:v>
                </c:pt>
                <c:pt idx="181">
                  <c:v>0.16666666666666666</c:v>
                </c:pt>
                <c:pt idx="182">
                  <c:v>0.16666666666666666</c:v>
                </c:pt>
                <c:pt idx="183">
                  <c:v>0.16666666666666666</c:v>
                </c:pt>
                <c:pt idx="184">
                  <c:v>0.16666666666666666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01-C94E-839F-56196160731E}"/>
            </c:ext>
          </c:extLst>
        </c:ser>
        <c:ser>
          <c:idx val="17"/>
          <c:order val="17"/>
          <c:tx>
            <c:strRef>
              <c:f>'Todas Métricas Norm'!$T$194</c:f>
              <c:strCache>
                <c:ptCount val="1"/>
                <c:pt idx="0">
                  <c:v>NOAV norm</c:v>
                </c:pt>
              </c:strCache>
            </c:strRef>
          </c:tx>
          <c:spPr>
            <a:solidFill>
              <a:srgbClr val="7DB67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Norm'!$T$195:$T$380</c:f>
              <c:numCache>
                <c:formatCode>0.0000</c:formatCode>
                <c:ptCount val="186"/>
                <c:pt idx="0">
                  <c:v>1</c:v>
                </c:pt>
                <c:pt idx="1">
                  <c:v>0.77419354838709675</c:v>
                </c:pt>
                <c:pt idx="2">
                  <c:v>0.90322580645161288</c:v>
                </c:pt>
                <c:pt idx="3">
                  <c:v>0.67741935483870963</c:v>
                </c:pt>
                <c:pt idx="4">
                  <c:v>0.70967741935483875</c:v>
                </c:pt>
                <c:pt idx="5">
                  <c:v>0.61290322580645162</c:v>
                </c:pt>
                <c:pt idx="6">
                  <c:v>0.4838709677419355</c:v>
                </c:pt>
                <c:pt idx="7">
                  <c:v>0.4838709677419355</c:v>
                </c:pt>
                <c:pt idx="8">
                  <c:v>0.25806451612903225</c:v>
                </c:pt>
                <c:pt idx="9">
                  <c:v>0.25806451612903225</c:v>
                </c:pt>
                <c:pt idx="10">
                  <c:v>0.54838709677419351</c:v>
                </c:pt>
                <c:pt idx="11">
                  <c:v>0.45161290322580644</c:v>
                </c:pt>
                <c:pt idx="12">
                  <c:v>0.25806451612903225</c:v>
                </c:pt>
                <c:pt idx="13">
                  <c:v>0.41935483870967744</c:v>
                </c:pt>
                <c:pt idx="14">
                  <c:v>0.22580645161290322</c:v>
                </c:pt>
                <c:pt idx="15">
                  <c:v>0.32258064516129031</c:v>
                </c:pt>
                <c:pt idx="16">
                  <c:v>0.32258064516129031</c:v>
                </c:pt>
                <c:pt idx="17">
                  <c:v>0.32258064516129031</c:v>
                </c:pt>
                <c:pt idx="18">
                  <c:v>0.29032258064516131</c:v>
                </c:pt>
                <c:pt idx="19">
                  <c:v>0.12903225806451613</c:v>
                </c:pt>
                <c:pt idx="20">
                  <c:v>0.25806451612903225</c:v>
                </c:pt>
                <c:pt idx="21">
                  <c:v>0.25806451612903225</c:v>
                </c:pt>
                <c:pt idx="22">
                  <c:v>0.12903225806451613</c:v>
                </c:pt>
                <c:pt idx="23">
                  <c:v>0.12903225806451613</c:v>
                </c:pt>
                <c:pt idx="24">
                  <c:v>0.29032258064516131</c:v>
                </c:pt>
                <c:pt idx="25">
                  <c:v>9.6774193548387094E-2</c:v>
                </c:pt>
                <c:pt idx="26">
                  <c:v>9.6774193548387094E-2</c:v>
                </c:pt>
                <c:pt idx="27">
                  <c:v>9.6774193548387094E-2</c:v>
                </c:pt>
                <c:pt idx="28">
                  <c:v>9.6774193548387094E-2</c:v>
                </c:pt>
                <c:pt idx="29">
                  <c:v>0.19354838709677419</c:v>
                </c:pt>
                <c:pt idx="30">
                  <c:v>0.16129032258064516</c:v>
                </c:pt>
                <c:pt idx="31">
                  <c:v>0.22580645161290322</c:v>
                </c:pt>
                <c:pt idx="32">
                  <c:v>0.12903225806451613</c:v>
                </c:pt>
                <c:pt idx="33">
                  <c:v>0.38709677419354838</c:v>
                </c:pt>
                <c:pt idx="34">
                  <c:v>9.6774193548387094E-2</c:v>
                </c:pt>
                <c:pt idx="35">
                  <c:v>9.6774193548387094E-2</c:v>
                </c:pt>
                <c:pt idx="36">
                  <c:v>0.19354838709677419</c:v>
                </c:pt>
                <c:pt idx="37">
                  <c:v>6.4516129032258063E-2</c:v>
                </c:pt>
                <c:pt idx="38">
                  <c:v>6.4516129032258063E-2</c:v>
                </c:pt>
                <c:pt idx="39">
                  <c:v>0.25806451612903225</c:v>
                </c:pt>
                <c:pt idx="40">
                  <c:v>0.29032258064516131</c:v>
                </c:pt>
                <c:pt idx="41">
                  <c:v>0.16129032258064516</c:v>
                </c:pt>
                <c:pt idx="42">
                  <c:v>0.25806451612903225</c:v>
                </c:pt>
                <c:pt idx="43">
                  <c:v>0.25806451612903225</c:v>
                </c:pt>
                <c:pt idx="44">
                  <c:v>0.19354838709677419</c:v>
                </c:pt>
                <c:pt idx="45">
                  <c:v>6.4516129032258063E-2</c:v>
                </c:pt>
                <c:pt idx="46">
                  <c:v>0.29032258064516131</c:v>
                </c:pt>
                <c:pt idx="47">
                  <c:v>0.32258064516129031</c:v>
                </c:pt>
                <c:pt idx="48">
                  <c:v>0.12903225806451613</c:v>
                </c:pt>
                <c:pt idx="49">
                  <c:v>6.4516129032258063E-2</c:v>
                </c:pt>
                <c:pt idx="50">
                  <c:v>6.4516129032258063E-2</c:v>
                </c:pt>
                <c:pt idx="51">
                  <c:v>6.4516129032258063E-2</c:v>
                </c:pt>
                <c:pt idx="52">
                  <c:v>6.4516129032258063E-2</c:v>
                </c:pt>
                <c:pt idx="53">
                  <c:v>0.22580645161290322</c:v>
                </c:pt>
                <c:pt idx="54">
                  <c:v>3.2258064516129031E-2</c:v>
                </c:pt>
                <c:pt idx="55">
                  <c:v>3.2258064516129031E-2</c:v>
                </c:pt>
                <c:pt idx="56">
                  <c:v>9.6774193548387094E-2</c:v>
                </c:pt>
                <c:pt idx="57">
                  <c:v>9.6774193548387094E-2</c:v>
                </c:pt>
                <c:pt idx="58">
                  <c:v>6.4516129032258063E-2</c:v>
                </c:pt>
                <c:pt idx="59">
                  <c:v>6.4516129032258063E-2</c:v>
                </c:pt>
                <c:pt idx="60">
                  <c:v>6.4516129032258063E-2</c:v>
                </c:pt>
                <c:pt idx="61">
                  <c:v>0.12903225806451613</c:v>
                </c:pt>
                <c:pt idx="62">
                  <c:v>0.12903225806451613</c:v>
                </c:pt>
                <c:pt idx="63">
                  <c:v>9.6774193548387094E-2</c:v>
                </c:pt>
                <c:pt idx="64">
                  <c:v>6.4516129032258063E-2</c:v>
                </c:pt>
                <c:pt idx="65">
                  <c:v>9.6774193548387094E-2</c:v>
                </c:pt>
                <c:pt idx="66">
                  <c:v>6.4516129032258063E-2</c:v>
                </c:pt>
                <c:pt idx="67">
                  <c:v>0.12903225806451613</c:v>
                </c:pt>
                <c:pt idx="68">
                  <c:v>0.16129032258064516</c:v>
                </c:pt>
                <c:pt idx="69">
                  <c:v>0.16129032258064516</c:v>
                </c:pt>
                <c:pt idx="70">
                  <c:v>3.2258064516129031E-2</c:v>
                </c:pt>
                <c:pt idx="71">
                  <c:v>0.19354838709677419</c:v>
                </c:pt>
                <c:pt idx="72">
                  <c:v>0.19354838709677419</c:v>
                </c:pt>
                <c:pt idx="73">
                  <c:v>0.19354838709677419</c:v>
                </c:pt>
                <c:pt idx="74">
                  <c:v>0.19354838709677419</c:v>
                </c:pt>
                <c:pt idx="75">
                  <c:v>0.16129032258064516</c:v>
                </c:pt>
                <c:pt idx="76">
                  <c:v>9.6774193548387094E-2</c:v>
                </c:pt>
                <c:pt idx="77">
                  <c:v>6.4516129032258063E-2</c:v>
                </c:pt>
                <c:pt idx="78">
                  <c:v>6.4516129032258063E-2</c:v>
                </c:pt>
                <c:pt idx="79">
                  <c:v>6.4516129032258063E-2</c:v>
                </c:pt>
                <c:pt idx="80">
                  <c:v>6.4516129032258063E-2</c:v>
                </c:pt>
                <c:pt idx="81">
                  <c:v>6.4516129032258063E-2</c:v>
                </c:pt>
                <c:pt idx="82">
                  <c:v>9.6774193548387094E-2</c:v>
                </c:pt>
                <c:pt idx="83">
                  <c:v>6.4516129032258063E-2</c:v>
                </c:pt>
                <c:pt idx="84">
                  <c:v>6.4516129032258063E-2</c:v>
                </c:pt>
                <c:pt idx="85">
                  <c:v>0</c:v>
                </c:pt>
                <c:pt idx="86">
                  <c:v>3.2258064516129031E-2</c:v>
                </c:pt>
                <c:pt idx="87">
                  <c:v>3.2258064516129031E-2</c:v>
                </c:pt>
                <c:pt idx="88">
                  <c:v>3.2258064516129031E-2</c:v>
                </c:pt>
                <c:pt idx="89">
                  <c:v>3.2258064516129031E-2</c:v>
                </c:pt>
                <c:pt idx="90">
                  <c:v>9.6774193548387094E-2</c:v>
                </c:pt>
                <c:pt idx="91">
                  <c:v>9.6774193548387094E-2</c:v>
                </c:pt>
                <c:pt idx="92">
                  <c:v>6.4516129032258063E-2</c:v>
                </c:pt>
                <c:pt idx="93">
                  <c:v>3.2258064516129031E-2</c:v>
                </c:pt>
                <c:pt idx="94">
                  <c:v>3.2258064516129031E-2</c:v>
                </c:pt>
                <c:pt idx="95">
                  <c:v>3.2258064516129031E-2</c:v>
                </c:pt>
                <c:pt idx="96">
                  <c:v>3.2258064516129031E-2</c:v>
                </c:pt>
                <c:pt idx="97">
                  <c:v>3.2258064516129031E-2</c:v>
                </c:pt>
                <c:pt idx="98">
                  <c:v>3.2258064516129031E-2</c:v>
                </c:pt>
                <c:pt idx="99">
                  <c:v>3.2258064516129031E-2</c:v>
                </c:pt>
                <c:pt idx="100">
                  <c:v>3.2258064516129031E-2</c:v>
                </c:pt>
                <c:pt idx="101">
                  <c:v>3.2258064516129031E-2</c:v>
                </c:pt>
                <c:pt idx="102">
                  <c:v>3.2258064516129031E-2</c:v>
                </c:pt>
                <c:pt idx="103">
                  <c:v>3.2258064516129031E-2</c:v>
                </c:pt>
                <c:pt idx="104">
                  <c:v>3.2258064516129031E-2</c:v>
                </c:pt>
                <c:pt idx="105">
                  <c:v>3.2258064516129031E-2</c:v>
                </c:pt>
                <c:pt idx="106">
                  <c:v>3.2258064516129031E-2</c:v>
                </c:pt>
                <c:pt idx="107">
                  <c:v>3.2258064516129031E-2</c:v>
                </c:pt>
                <c:pt idx="108">
                  <c:v>3.2258064516129031E-2</c:v>
                </c:pt>
                <c:pt idx="109">
                  <c:v>3.2258064516129031E-2</c:v>
                </c:pt>
                <c:pt idx="110">
                  <c:v>3.2258064516129031E-2</c:v>
                </c:pt>
                <c:pt idx="111">
                  <c:v>3.2258064516129031E-2</c:v>
                </c:pt>
                <c:pt idx="112">
                  <c:v>3.2258064516129031E-2</c:v>
                </c:pt>
                <c:pt idx="113">
                  <c:v>3.2258064516129031E-2</c:v>
                </c:pt>
                <c:pt idx="114">
                  <c:v>3.2258064516129031E-2</c:v>
                </c:pt>
                <c:pt idx="115">
                  <c:v>3.2258064516129031E-2</c:v>
                </c:pt>
                <c:pt idx="116">
                  <c:v>3.2258064516129031E-2</c:v>
                </c:pt>
                <c:pt idx="117">
                  <c:v>3.2258064516129031E-2</c:v>
                </c:pt>
                <c:pt idx="118">
                  <c:v>3.2258064516129031E-2</c:v>
                </c:pt>
                <c:pt idx="119">
                  <c:v>3.2258064516129031E-2</c:v>
                </c:pt>
                <c:pt idx="120">
                  <c:v>3.2258064516129031E-2</c:v>
                </c:pt>
                <c:pt idx="121">
                  <c:v>3.2258064516129031E-2</c:v>
                </c:pt>
                <c:pt idx="122">
                  <c:v>3.2258064516129031E-2</c:v>
                </c:pt>
                <c:pt idx="123">
                  <c:v>9.6774193548387094E-2</c:v>
                </c:pt>
                <c:pt idx="124">
                  <c:v>3.2258064516129031E-2</c:v>
                </c:pt>
                <c:pt idx="125">
                  <c:v>3.2258064516129031E-2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301-C94E-839F-56196160731E}"/>
            </c:ext>
          </c:extLst>
        </c:ser>
        <c:ser>
          <c:idx val="18"/>
          <c:order val="18"/>
          <c:tx>
            <c:strRef>
              <c:f>'Todas Métricas Norm'!$U$194</c:f>
              <c:strCache>
                <c:ptCount val="1"/>
                <c:pt idx="0">
                  <c:v>NOL norm</c:v>
                </c:pt>
              </c:strCache>
            </c:strRef>
          </c:tx>
          <c:spPr>
            <a:solidFill>
              <a:srgbClr val="AFB9C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Norm'!$U$195:$U$380</c:f>
              <c:numCache>
                <c:formatCode>0.0000</c:formatCode>
                <c:ptCount val="186"/>
                <c:pt idx="0">
                  <c:v>0.41666666666666669</c:v>
                </c:pt>
                <c:pt idx="1">
                  <c:v>0.16666666666666666</c:v>
                </c:pt>
                <c:pt idx="2">
                  <c:v>1</c:v>
                </c:pt>
                <c:pt idx="3">
                  <c:v>0.16666666666666666</c:v>
                </c:pt>
                <c:pt idx="4">
                  <c:v>0.75</c:v>
                </c:pt>
                <c:pt idx="5">
                  <c:v>0.25</c:v>
                </c:pt>
                <c:pt idx="6">
                  <c:v>0.5</c:v>
                </c:pt>
                <c:pt idx="7">
                  <c:v>0.5</c:v>
                </c:pt>
                <c:pt idx="8">
                  <c:v>0.16666666666666666</c:v>
                </c:pt>
                <c:pt idx="9">
                  <c:v>0.16666666666666666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8.3333333333333329E-2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</c:v>
                </c:pt>
                <c:pt idx="19">
                  <c:v>0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0.16666666666666666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0</c:v>
                </c:pt>
                <c:pt idx="32">
                  <c:v>8.3333333333333329E-2</c:v>
                </c:pt>
                <c:pt idx="33">
                  <c:v>0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0</c:v>
                </c:pt>
                <c:pt idx="37">
                  <c:v>8.3333333333333329E-2</c:v>
                </c:pt>
                <c:pt idx="38">
                  <c:v>8.3333333333333329E-2</c:v>
                </c:pt>
                <c:pt idx="39">
                  <c:v>8.3333333333333329E-2</c:v>
                </c:pt>
                <c:pt idx="40">
                  <c:v>0</c:v>
                </c:pt>
                <c:pt idx="41">
                  <c:v>8.3333333333333329E-2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8.3333333333333329E-2</c:v>
                </c:pt>
                <c:pt idx="50">
                  <c:v>8.3333333333333329E-2</c:v>
                </c:pt>
                <c:pt idx="51">
                  <c:v>8.3333333333333329E-2</c:v>
                </c:pt>
                <c:pt idx="52">
                  <c:v>8.3333333333333329E-2</c:v>
                </c:pt>
                <c:pt idx="53">
                  <c:v>8.3333333333333329E-2</c:v>
                </c:pt>
                <c:pt idx="54">
                  <c:v>0</c:v>
                </c:pt>
                <c:pt idx="55">
                  <c:v>8.3333333333333329E-2</c:v>
                </c:pt>
                <c:pt idx="56">
                  <c:v>0.16666666666666666</c:v>
                </c:pt>
                <c:pt idx="57">
                  <c:v>0</c:v>
                </c:pt>
                <c:pt idx="58">
                  <c:v>8.3333333333333329E-2</c:v>
                </c:pt>
                <c:pt idx="59">
                  <c:v>8.3333333333333329E-2</c:v>
                </c:pt>
                <c:pt idx="60">
                  <c:v>8.3333333333333329E-2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8.3333333333333329E-2</c:v>
                </c:pt>
                <c:pt idx="66">
                  <c:v>8.3333333333333329E-2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8.3333333333333329E-2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0.33333333333333331</c:v>
                </c:pt>
                <c:pt idx="127">
                  <c:v>0.33333333333333331</c:v>
                </c:pt>
                <c:pt idx="128">
                  <c:v>0.33333333333333331</c:v>
                </c:pt>
                <c:pt idx="129">
                  <c:v>0.33333333333333331</c:v>
                </c:pt>
                <c:pt idx="130">
                  <c:v>0.33333333333333331</c:v>
                </c:pt>
                <c:pt idx="131">
                  <c:v>0.33333333333333331</c:v>
                </c:pt>
                <c:pt idx="132">
                  <c:v>0.33333333333333331</c:v>
                </c:pt>
                <c:pt idx="133">
                  <c:v>0</c:v>
                </c:pt>
                <c:pt idx="134">
                  <c:v>8.3333333333333329E-2</c:v>
                </c:pt>
                <c:pt idx="135">
                  <c:v>0.33333333333333331</c:v>
                </c:pt>
                <c:pt idx="136">
                  <c:v>0.33333333333333331</c:v>
                </c:pt>
                <c:pt idx="137">
                  <c:v>0.33333333333333331</c:v>
                </c:pt>
                <c:pt idx="138">
                  <c:v>0.33333333333333331</c:v>
                </c:pt>
                <c:pt idx="139">
                  <c:v>0.33333333333333331</c:v>
                </c:pt>
                <c:pt idx="140">
                  <c:v>0.33333333333333331</c:v>
                </c:pt>
                <c:pt idx="141">
                  <c:v>0.33333333333333331</c:v>
                </c:pt>
                <c:pt idx="142">
                  <c:v>0.33333333333333331</c:v>
                </c:pt>
                <c:pt idx="143">
                  <c:v>0.33333333333333331</c:v>
                </c:pt>
                <c:pt idx="144">
                  <c:v>0.33333333333333331</c:v>
                </c:pt>
                <c:pt idx="145">
                  <c:v>0.33333333333333331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0.33333333333333331</c:v>
                </c:pt>
                <c:pt idx="149">
                  <c:v>0.33333333333333331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8.3333333333333329E-2</c:v>
                </c:pt>
                <c:pt idx="155">
                  <c:v>8.3333333333333329E-2</c:v>
                </c:pt>
                <c:pt idx="156">
                  <c:v>8.3333333333333329E-2</c:v>
                </c:pt>
                <c:pt idx="157">
                  <c:v>8.3333333333333329E-2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01-C94E-839F-56196160731E}"/>
            </c:ext>
          </c:extLst>
        </c:ser>
        <c:ser>
          <c:idx val="19"/>
          <c:order val="19"/>
          <c:tx>
            <c:strRef>
              <c:f>'Todas Métricas Norm'!$V$194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'Todas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Tasks: menu()</c:v>
                </c:pt>
                <c:pt idx="3">
                  <c:v>Game: printBoard(IFleet, List&lt;IMove&gt;, boolean, boolean)</c:v>
                </c:pt>
                <c:pt idx="4">
                  <c:v>PdfExporter: printMoveSection(PDDocument, PdfState, String, List&lt;IMove&gt;)</c:v>
                </c:pt>
                <c:pt idx="5">
                  <c:v>Game: buildMap(IFleet, List&lt;IMove&gt;, boolean, boolean)</c:v>
                </c:pt>
                <c:pt idx="6">
                  <c:v>BoardWindow: createBoardPanel(char[][], List&lt;IPosition&gt;)</c:v>
                </c:pt>
                <c:pt idx="7">
                  <c:v>Game: randomEnemyFire()</c:v>
                </c:pt>
                <c:pt idx="8">
                  <c:v>Game: randomPlayerFire()</c:v>
                </c:pt>
                <c:pt idx="9">
                  <c:v>Game: readEnemyFire(Scanner)</c:v>
                </c:pt>
                <c:pt idx="10">
                  <c:v>Game: readAlienFire(Scanner)</c:v>
                </c:pt>
                <c:pt idx="11">
                  <c:v>BoardWindow: show(char[][], char[][], List&lt;IPosition&gt;, List&lt;IPosition&gt;)</c:v>
                </c:pt>
                <c:pt idx="12">
                  <c:v>PdfExporter: exportGameReport(IGame, String)</c:v>
                </c:pt>
                <c:pt idx="13">
                  <c:v>Game: fireSingleShot(IPosition, boolean)</c:v>
                </c:pt>
                <c:pt idx="14">
                  <c:v>Scoreboard: displayScoreboard(int)</c:v>
                </c:pt>
                <c:pt idx="15">
                  <c:v>Tasks: buildFleet(Scanner)</c:v>
                </c:pt>
                <c:pt idx="16">
                  <c:v>Caravel: Caravel(Compass, IPosition)</c:v>
                </c:pt>
                <c:pt idx="17">
                  <c:v>Caravel: Caravel(Compass, IPosition)</c:v>
                </c:pt>
                <c:pt idx="18">
                  <c:v>Caravel: Caravel(Compass, IPosition)</c:v>
                </c:pt>
                <c:pt idx="19">
                  <c:v>Ship: Ship(String, Compass, IPosition, int)</c:v>
                </c:pt>
                <c:pt idx="20">
                  <c:v>Game: fireSingleShotAtAlien(IPosition, boolean)</c:v>
                </c:pt>
                <c:pt idx="21">
                  <c:v>Game: fireShots(List&lt;IPosition&gt;)</c:v>
                </c:pt>
                <c:pt idx="22">
                  <c:v>Game: fireShotsAtAlien(List&lt;IPosition&gt;)</c:v>
                </c:pt>
                <c:pt idx="23">
                  <c:v>Fleet: getShipsLike(String)</c:v>
                </c:pt>
                <c:pt idx="24">
                  <c:v>Ship: getAdjacentPositions()</c:v>
                </c:pt>
                <c:pt idx="25">
                  <c:v>Game: jsonToShots(String)</c:v>
                </c:pt>
                <c:pt idx="26">
                  <c:v>Fleet: colisionRisk(IShip)</c:v>
                </c:pt>
                <c:pt idx="27">
                  <c:v>Game: repeatedShot(IPosition)</c:v>
                </c:pt>
                <c:pt idx="28">
                  <c:v>Game: repeatedShotAtAlien(IPosition)</c:v>
                </c:pt>
                <c:pt idx="29">
                  <c:v>Fleet: shipAt(IPosition)</c:v>
                </c:pt>
                <c:pt idx="30">
                  <c:v>Position: adjacentPositions()</c:v>
                </c:pt>
                <c:pt idx="31">
                  <c:v>Scoreboard: loadResults()</c:v>
                </c:pt>
                <c:pt idx="32">
                  <c:v>GameResult: GameResult(String, int, boolean)</c:v>
                </c:pt>
                <c:pt idx="33">
                  <c:v>Tasks: askPlayerName(Scanner)</c:v>
                </c:pt>
                <c:pt idx="34">
                  <c:v>Tasks: menuHelp()</c:v>
                </c:pt>
                <c:pt idx="35">
                  <c:v>Fleet: getSunkShips()</c:v>
                </c:pt>
                <c:pt idx="36">
                  <c:v>Fleet: getFloatingShips()</c:v>
                </c:pt>
                <c:pt idx="37">
                  <c:v>PdfExporter: checkPagination(PDDocument, PdfState, float)</c:v>
                </c:pt>
                <c:pt idx="38">
                  <c:v>Ship: tooCloseTo(IPosition)</c:v>
                </c:pt>
                <c:pt idx="39">
                  <c:v>Ship: occupies(IPosition)</c:v>
                </c:pt>
                <c:pt idx="40">
                  <c:v>Game: jsonShots(List&lt;IPosition&gt;)</c:v>
                </c:pt>
                <c:pt idx="41">
                  <c:v>Ship: buildShip(String, Compass, Position)</c:v>
                </c:pt>
                <c:pt idx="42">
                  <c:v>Fleet: createRandom()</c:v>
                </c:pt>
                <c:pt idx="43">
                  <c:v>Tasks: readClassicPosition(Scanner)</c:v>
                </c:pt>
                <c:pt idx="44">
                  <c:v>Scoreboard: saveResult(GameResult)</c:v>
                </c:pt>
                <c:pt idx="45">
                  <c:v>Position: Position(char, int)</c:v>
                </c:pt>
                <c:pt idx="46">
                  <c:v>Ship: shoot(IPosition)</c:v>
                </c:pt>
                <c:pt idx="47">
                  <c:v>Game: printBothBoards(boolean)</c:v>
                </c:pt>
                <c:pt idx="48">
                  <c:v>Game: Game(IFleet)</c:v>
                </c:pt>
                <c:pt idx="49">
                  <c:v>Position: equals(Object)</c:v>
                </c:pt>
                <c:pt idx="50">
                  <c:v>Ship: getBottomMostPos()</c:v>
                </c:pt>
                <c:pt idx="51">
                  <c:v>Ship: getBottomMostPos()</c:v>
                </c:pt>
                <c:pt idx="52">
                  <c:v>Ship: getLeftMostPos()</c:v>
                </c:pt>
                <c:pt idx="53">
                  <c:v>Ship: getLeftMostPos()</c:v>
                </c:pt>
                <c:pt idx="54">
                  <c:v>IMove: readMove(int, Scanner)</c:v>
                </c:pt>
                <c:pt idx="55">
                  <c:v>BoardWindow: close()</c:v>
                </c:pt>
                <c:pt idx="56">
                  <c:v>Ship: stillFloating()</c:v>
                </c:pt>
                <c:pt idx="57">
                  <c:v>Galleon: fillSouth(IPosition)</c:v>
                </c:pt>
                <c:pt idx="58">
                  <c:v>Position: isAdjacentTo(IPosition)</c:v>
                </c:pt>
                <c:pt idx="59">
                  <c:v>Galleon: fillWest(IPosition)</c:v>
                </c:pt>
                <c:pt idx="60">
                  <c:v>Galleon: fillEast(IPosition)</c:v>
                </c:pt>
                <c:pt idx="61">
                  <c:v>Galleon: fillNorth(IPosition)</c:v>
                </c:pt>
                <c:pt idx="62">
                  <c:v>Scoreboard: interactiveDisplay(Scanner)</c:v>
                </c:pt>
                <c:pt idx="63">
                  <c:v>Position: hashCode()</c:v>
                </c:pt>
                <c:pt idx="64">
                  <c:v>Move: toString()</c:v>
                </c:pt>
                <c:pt idx="65">
                  <c:v>Game: getRemainingShips()</c:v>
                </c:pt>
                <c:pt idx="66">
                  <c:v>Fleet: printShips(List&lt;IShip&gt;)</c:v>
                </c:pt>
                <c:pt idx="67">
                  <c:v>Ship: tooCloseTo(IShip)</c:v>
                </c:pt>
                <c:pt idx="68">
                  <c:v>Fleet: addShip(IShip)</c:v>
                </c:pt>
                <c:pt idx="69">
                  <c:v>Game: printAlienBoard(boolean, boolean)</c:v>
                </c:pt>
                <c:pt idx="70">
                  <c:v>Game: printAlienBoard(boolean, boolean)</c:v>
                </c:pt>
                <c:pt idx="71">
                  <c:v>Ship: sink()</c:v>
                </c:pt>
                <c:pt idx="72">
                  <c:v>Compass: charToCompass(char)</c:v>
                </c:pt>
                <c:pt idx="73">
                  <c:v>Move: Move(int, List&lt;IPosition&gt;, List&lt;ShotResult&gt;)</c:v>
                </c:pt>
                <c:pt idx="74">
                  <c:v>Position: Position(int, int)</c:v>
                </c:pt>
                <c:pt idx="75">
                  <c:v>Galleon: Galleon(Compass, IPosition)</c:v>
                </c:pt>
                <c:pt idx="76">
                  <c:v>Tasks: readShip(Scanner)</c:v>
                </c:pt>
                <c:pt idx="77">
                  <c:v>Tasks: readPosition(Scanner)</c:v>
                </c:pt>
                <c:pt idx="78">
                  <c:v>GameResult: setPlayerWon(boolean)</c:v>
                </c:pt>
                <c:pt idx="79">
                  <c:v>GameResult: setPlayerWon(boolean)</c:v>
                </c:pt>
                <c:pt idx="80">
                  <c:v>GameResult: setDate(LocalDateTime)</c:v>
                </c:pt>
                <c:pt idx="81">
                  <c:v>GameResult: setDate(LocalDateTime)</c:v>
                </c:pt>
                <c:pt idx="82">
                  <c:v>Barge: Barge(Compass, IPosition)</c:v>
                </c:pt>
                <c:pt idx="83">
                  <c:v>Position: randomPosition()</c:v>
                </c:pt>
                <c:pt idx="84">
                  <c:v>Compass: Compass(char)</c:v>
                </c:pt>
                <c:pt idx="85">
                  <c:v>Fleet: isInsideBoard(IShip)</c:v>
                </c:pt>
                <c:pt idx="86">
                  <c:v>Main: main(String[])</c:v>
                </c:pt>
                <c:pt idx="87">
                  <c:v>GameResult: getDate()</c:v>
                </c:pt>
                <c:pt idx="88">
                  <c:v>GameResult: getDate()</c:v>
                </c:pt>
                <c:pt idx="89">
                  <c:v>GameResult: getTotalMoves()</c:v>
                </c:pt>
                <c:pt idx="90">
                  <c:v>GameResult: getTotalMoves()</c:v>
                </c:pt>
                <c:pt idx="91">
                  <c:v>Position: isInside()</c:v>
                </c:pt>
                <c:pt idx="92">
                  <c:v>Ship: toString()</c:v>
                </c:pt>
                <c:pt idx="93">
                  <c:v>Position: toString()</c:v>
                </c:pt>
                <c:pt idx="94">
                  <c:v>Game: over()</c:v>
                </c:pt>
                <c:pt idx="95">
                  <c:v>Move: getNumber()</c:v>
                </c:pt>
                <c:pt idx="96">
                  <c:v>Move: getShotResults()</c:v>
                </c:pt>
                <c:pt idx="97">
                  <c:v>Move: getShotResults()</c:v>
                </c:pt>
                <c:pt idx="98">
                  <c:v>Game: getHits()</c:v>
                </c:pt>
                <c:pt idx="99">
                  <c:v>Game: getHits()</c:v>
                </c:pt>
                <c:pt idx="100">
                  <c:v>Game: getHits()</c:v>
                </c:pt>
                <c:pt idx="101">
                  <c:v>Game: getHits()</c:v>
                </c:pt>
                <c:pt idx="102">
                  <c:v>Game: getAlienFleet()</c:v>
                </c:pt>
                <c:pt idx="103">
                  <c:v>Game: getAlienFleet()</c:v>
                </c:pt>
                <c:pt idx="104">
                  <c:v>Game: getAlienFleet()</c:v>
                </c:pt>
                <c:pt idx="105">
                  <c:v>Game: getAlienFleet()</c:v>
                </c:pt>
                <c:pt idx="106">
                  <c:v>Position: getClassicColumn()</c:v>
                </c:pt>
                <c:pt idx="107">
                  <c:v>Position: getClassicRow()</c:v>
                </c:pt>
                <c:pt idx="108">
                  <c:v>Fleet: Fleet()</c:v>
                </c:pt>
                <c:pt idx="109">
                  <c:v>Fleet: Fleet()</c:v>
                </c:pt>
                <c:pt idx="110">
                  <c:v>Position: occupy()</c:v>
                </c:pt>
                <c:pt idx="111">
                  <c:v>Position: occupy()</c:v>
                </c:pt>
                <c:pt idx="112">
                  <c:v>Ship: getPositions()</c:v>
                </c:pt>
                <c:pt idx="113">
                  <c:v>Ship: getPositions()</c:v>
                </c:pt>
                <c:pt idx="114">
                  <c:v>Compass: toString()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Compass: getDirection()</c:v>
                </c:pt>
                <c:pt idx="119">
                  <c:v>Compass: getDirection()</c:v>
                </c:pt>
                <c:pt idx="120">
                  <c:v>Fleet: getShips()</c:v>
                </c:pt>
                <c:pt idx="121">
                  <c:v>Ship: getBearing()</c:v>
                </c:pt>
                <c:pt idx="122">
                  <c:v>Ship: getBearing()</c:v>
                </c:pt>
                <c:pt idx="123">
                  <c:v>Ship: getBearing()</c:v>
                </c:pt>
                <c:pt idx="124">
                  <c:v>Compass: randomBearing()</c:v>
                </c:pt>
                <c:pt idx="125">
                  <c:v>Fleet: printStatus()</c:v>
                </c:pt>
                <c:pt idx="126">
                  <c:v>Fleet: printShipsByCategory(String)</c:v>
                </c:pt>
                <c:pt idx="127">
                  <c:v>IFleet: addShip(IShip)</c:v>
                </c:pt>
                <c:pt idx="128">
                  <c:v>IFleet: addShip(IShip)</c:v>
                </c:pt>
                <c:pt idx="129">
                  <c:v>IFleet: addShip(IShip)</c:v>
                </c:pt>
                <c:pt idx="130">
                  <c:v>IFleet: addShip(IShip)</c:v>
                </c:pt>
                <c:pt idx="131">
                  <c:v>IFleet: addShip(IShip)</c:v>
                </c:pt>
                <c:pt idx="132">
                  <c:v>IFleet: getShipsLike(String)</c:v>
                </c:pt>
                <c:pt idx="133">
                  <c:v>IFleet: getShipsLike(String)</c:v>
                </c:pt>
                <c:pt idx="134">
                  <c:v>Fleet: printFloatingShips()</c:v>
                </c:pt>
                <c:pt idx="135">
                  <c:v>IMove: processEnemyFire(boolean)</c:v>
                </c:pt>
                <c:pt idx="136">
                  <c:v>IFleet: printStatus()</c:v>
                </c:pt>
                <c:pt idx="137">
                  <c:v>IFleet: printStatus()</c:v>
                </c:pt>
                <c:pt idx="138">
                  <c:v>IFleet: printStatus()</c:v>
                </c:pt>
                <c:pt idx="139">
                  <c:v>IFleet: printStatus()</c:v>
                </c:pt>
                <c:pt idx="140">
                  <c:v>IFleet: printStatus()</c:v>
                </c:pt>
                <c:pt idx="141">
                  <c:v>IFleet: printStatus()</c:v>
                </c:pt>
                <c:pt idx="142">
                  <c:v>IFleet: printStatus()</c:v>
                </c:pt>
                <c:pt idx="143">
                  <c:v>IFleet: getFloatingShips()</c:v>
                </c:pt>
                <c:pt idx="144">
                  <c:v>IFleet: getFloatingShips()</c:v>
                </c:pt>
                <c:pt idx="145">
                  <c:v>IFleet: getFloatingShips()</c:v>
                </c:pt>
                <c:pt idx="146">
                  <c:v>IFleet: getFloatingShips()</c:v>
                </c:pt>
                <c:pt idx="147">
                  <c:v>IFleet: getFloatingShips()</c:v>
                </c:pt>
                <c:pt idx="148">
                  <c:v>IFleet: getFloatingShips()</c:v>
                </c:pt>
                <c:pt idx="149">
                  <c:v>IFleet: getFloatingShips()</c:v>
                </c:pt>
                <c:pt idx="150">
                  <c:v>IFleet: getFloatingShips()</c:v>
                </c:pt>
                <c:pt idx="151">
                  <c:v>IFleet: getFloatingShips()</c:v>
                </c:pt>
                <c:pt idx="152">
                  <c:v>IGame: printAlienBoard(boolean, boolean)</c:v>
                </c:pt>
                <c:pt idx="153">
                  <c:v>IGame: printAlienBoard(boolean, boolean)</c:v>
                </c:pt>
                <c:pt idx="154">
                  <c:v>IGame: fireSingleShot(IPosition, boolean)</c:v>
                </c:pt>
                <c:pt idx="155">
                  <c:v>IMove: getNumber()</c:v>
                </c:pt>
                <c:pt idx="156">
                  <c:v>IMove: getShotResults()</c:v>
                </c:pt>
                <c:pt idx="157">
                  <c:v>IMove: getShotResults()</c:v>
                </c:pt>
                <c:pt idx="158">
                  <c:v>IMove: getShotResults()</c:v>
                </c:pt>
                <c:pt idx="159">
                  <c:v>IGame: fireShots(List&lt;IPosition&gt;)</c:v>
                </c:pt>
                <c:pt idx="160">
                  <c:v>IGame: fireShots(List&lt;IPosition&gt;)</c:v>
                </c:pt>
                <c:pt idx="161">
                  <c:v>IGame: fireShots(List&lt;IPosition&gt;)</c:v>
                </c:pt>
                <c:pt idx="162">
                  <c:v>IGame: readEnemyFire(Scanner)</c:v>
                </c:pt>
                <c:pt idx="163">
                  <c:v>Compass: valueOf(String)</c:v>
                </c:pt>
                <c:pt idx="164">
                  <c:v>GameResult: GameResult()</c:v>
                </c:pt>
                <c:pt idx="165">
                  <c:v>IGame: getHits()</c:v>
                </c:pt>
                <c:pt idx="166">
                  <c:v>IGame: getHits()</c:v>
                </c:pt>
                <c:pt idx="167">
                  <c:v>IGame: getHits()</c:v>
                </c:pt>
                <c:pt idx="168">
                  <c:v>IGame: getHits()</c:v>
                </c:pt>
                <c:pt idx="169">
                  <c:v>IGame: getHits()</c:v>
                </c:pt>
                <c:pt idx="170">
                  <c:v>IGame: getHits()</c:v>
                </c:pt>
                <c:pt idx="171">
                  <c:v>IGame: getHits()</c:v>
                </c:pt>
                <c:pt idx="172">
                  <c:v>IGame: getHits()</c:v>
                </c:pt>
                <c:pt idx="173">
                  <c:v>IGame: getHits()</c:v>
                </c:pt>
                <c:pt idx="174">
                  <c:v>IGame: getHits()</c:v>
                </c:pt>
                <c:pt idx="175">
                  <c:v>IGame: getHits()</c:v>
                </c:pt>
                <c:pt idx="176">
                  <c:v>IGame: getHits()</c:v>
                </c:pt>
                <c:pt idx="177">
                  <c:v>IGame: getHits()</c:v>
                </c:pt>
                <c:pt idx="178">
                  <c:v>IGame: getHits()</c:v>
                </c:pt>
                <c:pt idx="179">
                  <c:v>IGame: getHits()</c:v>
                </c:pt>
                <c:pt idx="180">
                  <c:v>IGame: getAlienFleet()</c:v>
                </c:pt>
                <c:pt idx="181">
                  <c:v>IGame: getAlienFleet()</c:v>
                </c:pt>
                <c:pt idx="182">
                  <c:v>IGame: getAlienFleet()</c:v>
                </c:pt>
                <c:pt idx="183">
                  <c:v>IGame: getAlienFleet()</c:v>
                </c:pt>
                <c:pt idx="184">
                  <c:v>IGame: getAlienFleet()</c:v>
                </c:pt>
                <c:pt idx="185">
                  <c:v>IGame: getAlienFleet()</c:v>
                </c:pt>
                <c:pt idx="186">
                  <c:v>Compass: values()</c:v>
                </c:pt>
              </c:strCache>
            </c:strRef>
          </c:cat>
          <c:val>
            <c:numRef>
              <c:f>'Todas Métricas Norm'!$V$195:$V$380</c:f>
              <c:numCache>
                <c:formatCode>0.0000</c:formatCode>
                <c:ptCount val="186"/>
                <c:pt idx="0">
                  <c:v>0.25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0.25</c:v>
                </c:pt>
                <c:pt idx="10">
                  <c:v>1</c:v>
                </c:pt>
                <c:pt idx="11">
                  <c:v>0.5</c:v>
                </c:pt>
                <c:pt idx="12">
                  <c:v>0.5</c:v>
                </c:pt>
                <c:pt idx="13">
                  <c:v>0.25</c:v>
                </c:pt>
                <c:pt idx="14">
                  <c:v>0.25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0.5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0.75</c:v>
                </c:pt>
                <c:pt idx="32">
                  <c:v>0.25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0.75</c:v>
                </c:pt>
                <c:pt idx="41">
                  <c:v>0</c:v>
                </c:pt>
                <c:pt idx="42">
                  <c:v>0.25</c:v>
                </c:pt>
                <c:pt idx="43">
                  <c:v>0.25</c:v>
                </c:pt>
                <c:pt idx="44">
                  <c:v>0.5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0.5</c:v>
                </c:pt>
                <c:pt idx="69">
                  <c:v>0.5</c:v>
                </c:pt>
                <c:pt idx="70">
                  <c:v>0</c:v>
                </c:pt>
                <c:pt idx="71">
                  <c:v>0.25</c:v>
                </c:pt>
                <c:pt idx="72">
                  <c:v>0.75</c:v>
                </c:pt>
                <c:pt idx="73">
                  <c:v>0.5</c:v>
                </c:pt>
                <c:pt idx="74">
                  <c:v>0.5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0.5</c:v>
                </c:pt>
                <c:pt idx="82">
                  <c:v>0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</c:v>
                </c:pt>
                <c:pt idx="134">
                  <c:v>0.25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01-C94E-839F-561961607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01455"/>
        <c:axId val="34656815"/>
      </c:areaChart>
      <c:catAx>
        <c:axId val="444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34656815"/>
        <c:crosses val="autoZero"/>
        <c:auto val="1"/>
        <c:lblAlgn val="ctr"/>
        <c:lblOffset val="100"/>
        <c:noMultiLvlLbl val="0"/>
      </c:catAx>
      <c:valAx>
        <c:axId val="34656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444014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Métricas Normalizadas (3 métricas) - Ordenado Decrescente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'3 Métricas Norm'!$C$194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Norm'!$C$195:$C$380</c:f>
              <c:numCache>
                <c:formatCode>0.0000</c:formatCode>
                <c:ptCount val="186"/>
                <c:pt idx="0">
                  <c:v>1</c:v>
                </c:pt>
                <c:pt idx="1">
                  <c:v>0.47368421052631576</c:v>
                </c:pt>
                <c:pt idx="2">
                  <c:v>0.23684210526315788</c:v>
                </c:pt>
                <c:pt idx="3">
                  <c:v>0.76315789473684215</c:v>
                </c:pt>
                <c:pt idx="4">
                  <c:v>0</c:v>
                </c:pt>
                <c:pt idx="5">
                  <c:v>5.2631578947368418E-2</c:v>
                </c:pt>
                <c:pt idx="6">
                  <c:v>0.18421052631578946</c:v>
                </c:pt>
                <c:pt idx="7">
                  <c:v>2.6315789473684209E-2</c:v>
                </c:pt>
                <c:pt idx="8">
                  <c:v>0.26315789473684209</c:v>
                </c:pt>
                <c:pt idx="9">
                  <c:v>0.31578947368421051</c:v>
                </c:pt>
                <c:pt idx="10">
                  <c:v>0.31578947368421051</c:v>
                </c:pt>
                <c:pt idx="11">
                  <c:v>0.23684210526315788</c:v>
                </c:pt>
                <c:pt idx="12">
                  <c:v>0.23684210526315788</c:v>
                </c:pt>
                <c:pt idx="13">
                  <c:v>0.23684210526315788</c:v>
                </c:pt>
                <c:pt idx="14">
                  <c:v>0.15789473684210525</c:v>
                </c:pt>
                <c:pt idx="15">
                  <c:v>5.2631578947368418E-2</c:v>
                </c:pt>
                <c:pt idx="16">
                  <c:v>2.6315789473684209E-2</c:v>
                </c:pt>
                <c:pt idx="17">
                  <c:v>2.6315789473684209E-2</c:v>
                </c:pt>
                <c:pt idx="18">
                  <c:v>5.2631578947368418E-2</c:v>
                </c:pt>
                <c:pt idx="19">
                  <c:v>0.13157894736842105</c:v>
                </c:pt>
                <c:pt idx="20">
                  <c:v>0.13157894736842105</c:v>
                </c:pt>
                <c:pt idx="21">
                  <c:v>0.13157894736842105</c:v>
                </c:pt>
                <c:pt idx="22">
                  <c:v>0.21052631578947367</c:v>
                </c:pt>
                <c:pt idx="23">
                  <c:v>5.2631578947368418E-2</c:v>
                </c:pt>
                <c:pt idx="24">
                  <c:v>2.6315789473684209E-2</c:v>
                </c:pt>
                <c:pt idx="25">
                  <c:v>2.6315789473684209E-2</c:v>
                </c:pt>
                <c:pt idx="26">
                  <c:v>0.15789473684210525</c:v>
                </c:pt>
                <c:pt idx="27">
                  <c:v>0.15789473684210525</c:v>
                </c:pt>
                <c:pt idx="28">
                  <c:v>7.8947368421052627E-2</c:v>
                </c:pt>
                <c:pt idx="29">
                  <c:v>0.26315789473684209</c:v>
                </c:pt>
                <c:pt idx="30">
                  <c:v>2.6315789473684209E-2</c:v>
                </c:pt>
                <c:pt idx="31">
                  <c:v>0.26315789473684209</c:v>
                </c:pt>
                <c:pt idx="32">
                  <c:v>2.6315789473684209E-2</c:v>
                </c:pt>
                <c:pt idx="33">
                  <c:v>2.6315789473684209E-2</c:v>
                </c:pt>
                <c:pt idx="34">
                  <c:v>7.8947368421052627E-2</c:v>
                </c:pt>
                <c:pt idx="35">
                  <c:v>0.10526315789473684</c:v>
                </c:pt>
                <c:pt idx="36">
                  <c:v>0.10526315789473684</c:v>
                </c:pt>
                <c:pt idx="37">
                  <c:v>2.6315789473684209E-2</c:v>
                </c:pt>
                <c:pt idx="38">
                  <c:v>2.6315789473684209E-2</c:v>
                </c:pt>
                <c:pt idx="39">
                  <c:v>2.6315789473684209E-2</c:v>
                </c:pt>
                <c:pt idx="40">
                  <c:v>7.8947368421052627E-2</c:v>
                </c:pt>
                <c:pt idx="41">
                  <c:v>0.10526315789473684</c:v>
                </c:pt>
                <c:pt idx="42">
                  <c:v>7.8947368421052627E-2</c:v>
                </c:pt>
                <c:pt idx="43">
                  <c:v>7.8947368421052627E-2</c:v>
                </c:pt>
                <c:pt idx="44">
                  <c:v>7.8947368421052627E-2</c:v>
                </c:pt>
                <c:pt idx="45">
                  <c:v>7.8947368421052627E-2</c:v>
                </c:pt>
                <c:pt idx="46">
                  <c:v>7.8947368421052627E-2</c:v>
                </c:pt>
                <c:pt idx="47">
                  <c:v>7.8947368421052627E-2</c:v>
                </c:pt>
                <c:pt idx="48">
                  <c:v>7.8947368421052627E-2</c:v>
                </c:pt>
                <c:pt idx="49">
                  <c:v>7.8947368421052627E-2</c:v>
                </c:pt>
                <c:pt idx="50">
                  <c:v>7.8947368421052627E-2</c:v>
                </c:pt>
                <c:pt idx="51">
                  <c:v>0.10526315789473684</c:v>
                </c:pt>
                <c:pt idx="52">
                  <c:v>7.8947368421052627E-2</c:v>
                </c:pt>
                <c:pt idx="53">
                  <c:v>5.2631578947368418E-2</c:v>
                </c:pt>
                <c:pt idx="54">
                  <c:v>7.8947368421052627E-2</c:v>
                </c:pt>
                <c:pt idx="55">
                  <c:v>7.8947368421052627E-2</c:v>
                </c:pt>
                <c:pt idx="56">
                  <c:v>5.2631578947368418E-2</c:v>
                </c:pt>
                <c:pt idx="57">
                  <c:v>5.2631578947368418E-2</c:v>
                </c:pt>
                <c:pt idx="58">
                  <c:v>5.2631578947368418E-2</c:v>
                </c:pt>
                <c:pt idx="59">
                  <c:v>7.8947368421052627E-2</c:v>
                </c:pt>
                <c:pt idx="60">
                  <c:v>5.2631578947368418E-2</c:v>
                </c:pt>
                <c:pt idx="61">
                  <c:v>5.2631578947368418E-2</c:v>
                </c:pt>
                <c:pt idx="62">
                  <c:v>2.6315789473684209E-2</c:v>
                </c:pt>
                <c:pt idx="63">
                  <c:v>2.6315789473684209E-2</c:v>
                </c:pt>
                <c:pt idx="64">
                  <c:v>2.6315789473684209E-2</c:v>
                </c:pt>
                <c:pt idx="65">
                  <c:v>2.6315789473684209E-2</c:v>
                </c:pt>
                <c:pt idx="66">
                  <c:v>2.6315789473684209E-2</c:v>
                </c:pt>
                <c:pt idx="67">
                  <c:v>2.6315789473684209E-2</c:v>
                </c:pt>
                <c:pt idx="68">
                  <c:v>7.8947368421052627E-2</c:v>
                </c:pt>
                <c:pt idx="69">
                  <c:v>0.10526315789473684</c:v>
                </c:pt>
                <c:pt idx="70">
                  <c:v>2.6315789473684209E-2</c:v>
                </c:pt>
                <c:pt idx="71">
                  <c:v>2.6315789473684209E-2</c:v>
                </c:pt>
                <c:pt idx="72">
                  <c:v>2.6315789473684209E-2</c:v>
                </c:pt>
                <c:pt idx="73">
                  <c:v>2.6315789473684209E-2</c:v>
                </c:pt>
                <c:pt idx="74">
                  <c:v>2.6315789473684209E-2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2.6315789473684209E-2</c:v>
                </c:pt>
                <c:pt idx="79">
                  <c:v>2.6315789473684209E-2</c:v>
                </c:pt>
                <c:pt idx="80">
                  <c:v>2.6315789473684209E-2</c:v>
                </c:pt>
                <c:pt idx="81">
                  <c:v>2.6315789473684209E-2</c:v>
                </c:pt>
                <c:pt idx="82">
                  <c:v>2.6315789473684209E-2</c:v>
                </c:pt>
                <c:pt idx="83">
                  <c:v>2.6315789473684209E-2</c:v>
                </c:pt>
                <c:pt idx="84">
                  <c:v>2.6315789473684209E-2</c:v>
                </c:pt>
                <c:pt idx="85">
                  <c:v>2.6315789473684209E-2</c:v>
                </c:pt>
                <c:pt idx="86">
                  <c:v>2.6315789473684209E-2</c:v>
                </c:pt>
                <c:pt idx="87">
                  <c:v>0.13157894736842105</c:v>
                </c:pt>
                <c:pt idx="88">
                  <c:v>7.8947368421052627E-2</c:v>
                </c:pt>
                <c:pt idx="89">
                  <c:v>7.8947368421052627E-2</c:v>
                </c:pt>
                <c:pt idx="90">
                  <c:v>7.8947368421052627E-2</c:v>
                </c:pt>
                <c:pt idx="91">
                  <c:v>7.8947368421052627E-2</c:v>
                </c:pt>
                <c:pt idx="92">
                  <c:v>7.8947368421052627E-2</c:v>
                </c:pt>
                <c:pt idx="93">
                  <c:v>7.8947368421052627E-2</c:v>
                </c:pt>
                <c:pt idx="94">
                  <c:v>7.8947368421052627E-2</c:v>
                </c:pt>
                <c:pt idx="95">
                  <c:v>7.8947368421052627E-2</c:v>
                </c:pt>
                <c:pt idx="96">
                  <c:v>0.10526315789473684</c:v>
                </c:pt>
                <c:pt idx="97">
                  <c:v>2.6315789473684209E-2</c:v>
                </c:pt>
                <c:pt idx="98">
                  <c:v>5.2631578947368418E-2</c:v>
                </c:pt>
                <c:pt idx="99">
                  <c:v>2.6315789473684209E-2</c:v>
                </c:pt>
                <c:pt idx="100">
                  <c:v>2.6315789473684209E-2</c:v>
                </c:pt>
                <c:pt idx="101">
                  <c:v>2.6315789473684209E-2</c:v>
                </c:pt>
                <c:pt idx="102">
                  <c:v>2.6315789473684209E-2</c:v>
                </c:pt>
                <c:pt idx="103">
                  <c:v>2.6315789473684209E-2</c:v>
                </c:pt>
                <c:pt idx="104">
                  <c:v>2.6315789473684209E-2</c:v>
                </c:pt>
                <c:pt idx="105">
                  <c:v>2.6315789473684209E-2</c:v>
                </c:pt>
                <c:pt idx="106">
                  <c:v>2.6315789473684209E-2</c:v>
                </c:pt>
                <c:pt idx="107">
                  <c:v>2.6315789473684209E-2</c:v>
                </c:pt>
                <c:pt idx="108">
                  <c:v>5.2631578947368418E-2</c:v>
                </c:pt>
                <c:pt idx="109">
                  <c:v>2.6315789473684209E-2</c:v>
                </c:pt>
                <c:pt idx="110">
                  <c:v>2.6315789473684209E-2</c:v>
                </c:pt>
                <c:pt idx="111">
                  <c:v>2.6315789473684209E-2</c:v>
                </c:pt>
                <c:pt idx="112">
                  <c:v>2.6315789473684209E-2</c:v>
                </c:pt>
                <c:pt idx="113">
                  <c:v>2.6315789473684209E-2</c:v>
                </c:pt>
                <c:pt idx="114">
                  <c:v>2.6315789473684209E-2</c:v>
                </c:pt>
                <c:pt idx="115">
                  <c:v>2.6315789473684209E-2</c:v>
                </c:pt>
                <c:pt idx="116">
                  <c:v>2.6315789473684209E-2</c:v>
                </c:pt>
                <c:pt idx="117">
                  <c:v>2.6315789473684209E-2</c:v>
                </c:pt>
                <c:pt idx="118">
                  <c:v>2.6315789473684209E-2</c:v>
                </c:pt>
                <c:pt idx="119">
                  <c:v>2.6315789473684209E-2</c:v>
                </c:pt>
                <c:pt idx="120">
                  <c:v>2.6315789473684209E-2</c:v>
                </c:pt>
                <c:pt idx="121">
                  <c:v>2.6315789473684209E-2</c:v>
                </c:pt>
                <c:pt idx="122">
                  <c:v>2.6315789473684209E-2</c:v>
                </c:pt>
                <c:pt idx="123">
                  <c:v>2.6315789473684209E-2</c:v>
                </c:pt>
                <c:pt idx="124">
                  <c:v>2.6315789473684209E-2</c:v>
                </c:pt>
                <c:pt idx="125">
                  <c:v>2.6315789473684209E-2</c:v>
                </c:pt>
                <c:pt idx="126">
                  <c:v>2.6315789473684209E-2</c:v>
                </c:pt>
                <c:pt idx="127">
                  <c:v>2.6315789473684209E-2</c:v>
                </c:pt>
                <c:pt idx="128">
                  <c:v>2.6315789473684209E-2</c:v>
                </c:pt>
                <c:pt idx="129">
                  <c:v>2.6315789473684209E-2</c:v>
                </c:pt>
                <c:pt idx="130">
                  <c:v>2.6315789473684209E-2</c:v>
                </c:pt>
                <c:pt idx="131">
                  <c:v>2.6315789473684209E-2</c:v>
                </c:pt>
                <c:pt idx="132">
                  <c:v>2.6315789473684209E-2</c:v>
                </c:pt>
                <c:pt idx="133">
                  <c:v>2.6315789473684209E-2</c:v>
                </c:pt>
                <c:pt idx="134">
                  <c:v>2.6315789473684209E-2</c:v>
                </c:pt>
                <c:pt idx="135">
                  <c:v>2.6315789473684209E-2</c:v>
                </c:pt>
                <c:pt idx="136">
                  <c:v>2.6315789473684209E-2</c:v>
                </c:pt>
                <c:pt idx="137">
                  <c:v>2.6315789473684209E-2</c:v>
                </c:pt>
                <c:pt idx="138">
                  <c:v>2.6315789473684209E-2</c:v>
                </c:pt>
                <c:pt idx="139">
                  <c:v>2.6315789473684209E-2</c:v>
                </c:pt>
                <c:pt idx="140">
                  <c:v>2.6315789473684209E-2</c:v>
                </c:pt>
                <c:pt idx="141">
                  <c:v>2.6315789473684209E-2</c:v>
                </c:pt>
                <c:pt idx="142">
                  <c:v>2.6315789473684209E-2</c:v>
                </c:pt>
                <c:pt idx="143">
                  <c:v>2.6315789473684209E-2</c:v>
                </c:pt>
                <c:pt idx="144">
                  <c:v>2.6315789473684209E-2</c:v>
                </c:pt>
                <c:pt idx="145">
                  <c:v>2.6315789473684209E-2</c:v>
                </c:pt>
                <c:pt idx="146">
                  <c:v>2.6315789473684209E-2</c:v>
                </c:pt>
                <c:pt idx="147">
                  <c:v>2.6315789473684209E-2</c:v>
                </c:pt>
                <c:pt idx="148">
                  <c:v>2.6315789473684209E-2</c:v>
                </c:pt>
                <c:pt idx="149">
                  <c:v>2.6315789473684209E-2</c:v>
                </c:pt>
                <c:pt idx="150">
                  <c:v>2.6315789473684209E-2</c:v>
                </c:pt>
                <c:pt idx="151">
                  <c:v>2.6315789473684209E-2</c:v>
                </c:pt>
                <c:pt idx="152">
                  <c:v>2.6315789473684209E-2</c:v>
                </c:pt>
                <c:pt idx="153">
                  <c:v>2.6315789473684209E-2</c:v>
                </c:pt>
                <c:pt idx="154">
                  <c:v>2.6315789473684209E-2</c:v>
                </c:pt>
                <c:pt idx="155">
                  <c:v>2.6315789473684209E-2</c:v>
                </c:pt>
                <c:pt idx="156">
                  <c:v>2.6315789473684209E-2</c:v>
                </c:pt>
                <c:pt idx="157">
                  <c:v>2.6315789473684209E-2</c:v>
                </c:pt>
                <c:pt idx="158">
                  <c:v>2.6315789473684209E-2</c:v>
                </c:pt>
                <c:pt idx="159">
                  <c:v>2.6315789473684209E-2</c:v>
                </c:pt>
                <c:pt idx="160">
                  <c:v>2.6315789473684209E-2</c:v>
                </c:pt>
                <c:pt idx="161">
                  <c:v>2.6315789473684209E-2</c:v>
                </c:pt>
                <c:pt idx="162">
                  <c:v>2.6315789473684209E-2</c:v>
                </c:pt>
                <c:pt idx="163">
                  <c:v>2.6315789473684209E-2</c:v>
                </c:pt>
                <c:pt idx="164">
                  <c:v>2.6315789473684209E-2</c:v>
                </c:pt>
                <c:pt idx="165">
                  <c:v>2.6315789473684209E-2</c:v>
                </c:pt>
                <c:pt idx="166">
                  <c:v>2.6315789473684209E-2</c:v>
                </c:pt>
                <c:pt idx="167">
                  <c:v>2.6315789473684209E-2</c:v>
                </c:pt>
                <c:pt idx="168">
                  <c:v>2.6315789473684209E-2</c:v>
                </c:pt>
                <c:pt idx="169">
                  <c:v>2.6315789473684209E-2</c:v>
                </c:pt>
                <c:pt idx="170">
                  <c:v>2.6315789473684209E-2</c:v>
                </c:pt>
                <c:pt idx="171">
                  <c:v>2.6315789473684209E-2</c:v>
                </c:pt>
                <c:pt idx="172">
                  <c:v>2.6315789473684209E-2</c:v>
                </c:pt>
                <c:pt idx="173">
                  <c:v>2.6315789473684209E-2</c:v>
                </c:pt>
                <c:pt idx="174">
                  <c:v>2.6315789473684209E-2</c:v>
                </c:pt>
                <c:pt idx="175">
                  <c:v>2.6315789473684209E-2</c:v>
                </c:pt>
                <c:pt idx="176">
                  <c:v>2.6315789473684209E-2</c:v>
                </c:pt>
                <c:pt idx="177">
                  <c:v>2.6315789473684209E-2</c:v>
                </c:pt>
                <c:pt idx="178">
                  <c:v>2.6315789473684209E-2</c:v>
                </c:pt>
                <c:pt idx="179">
                  <c:v>2.6315789473684209E-2</c:v>
                </c:pt>
                <c:pt idx="180">
                  <c:v>2.6315789473684209E-2</c:v>
                </c:pt>
                <c:pt idx="181">
                  <c:v>2.6315789473684209E-2</c:v>
                </c:pt>
                <c:pt idx="182">
                  <c:v>2.6315789473684209E-2</c:v>
                </c:pt>
                <c:pt idx="183">
                  <c:v>2.6315789473684209E-2</c:v>
                </c:pt>
                <c:pt idx="184">
                  <c:v>2.6315789473684209E-2</c:v>
                </c:pt>
                <c:pt idx="185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3443-94E6-B2EA9A98FF4D}"/>
            </c:ext>
          </c:extLst>
        </c:ser>
        <c:ser>
          <c:idx val="1"/>
          <c:order val="1"/>
          <c:tx>
            <c:strRef>
              <c:f>'3 Métricas Norm'!$D$194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Norm'!$D$195:$D$380</c:f>
              <c:numCache>
                <c:formatCode>0.0000</c:formatCode>
                <c:ptCount val="186"/>
                <c:pt idx="0">
                  <c:v>1</c:v>
                </c:pt>
                <c:pt idx="1">
                  <c:v>0.32575757575757575</c:v>
                </c:pt>
                <c:pt idx="2">
                  <c:v>0.53787878787878785</c:v>
                </c:pt>
                <c:pt idx="3">
                  <c:v>0.9242424242424242</c:v>
                </c:pt>
                <c:pt idx="4">
                  <c:v>0.53030303030303028</c:v>
                </c:pt>
                <c:pt idx="5">
                  <c:v>0.22727272727272727</c:v>
                </c:pt>
                <c:pt idx="6">
                  <c:v>0.27272727272727271</c:v>
                </c:pt>
                <c:pt idx="7">
                  <c:v>0.14393939393939395</c:v>
                </c:pt>
                <c:pt idx="8">
                  <c:v>0.32575757575757575</c:v>
                </c:pt>
                <c:pt idx="9">
                  <c:v>0.39393939393939392</c:v>
                </c:pt>
                <c:pt idx="10">
                  <c:v>0.37878787878787878</c:v>
                </c:pt>
                <c:pt idx="11">
                  <c:v>0.20454545454545456</c:v>
                </c:pt>
                <c:pt idx="12">
                  <c:v>0.20454545454545456</c:v>
                </c:pt>
                <c:pt idx="13">
                  <c:v>0.20454545454545456</c:v>
                </c:pt>
                <c:pt idx="14">
                  <c:v>0.25</c:v>
                </c:pt>
                <c:pt idx="15">
                  <c:v>9.8484848484848481E-2</c:v>
                </c:pt>
                <c:pt idx="16">
                  <c:v>9.8484848484848481E-2</c:v>
                </c:pt>
                <c:pt idx="17">
                  <c:v>4.5454545454545456E-2</c:v>
                </c:pt>
                <c:pt idx="18">
                  <c:v>0.25757575757575757</c:v>
                </c:pt>
                <c:pt idx="19">
                  <c:v>0.17424242424242425</c:v>
                </c:pt>
                <c:pt idx="20">
                  <c:v>0.14393939393939395</c:v>
                </c:pt>
                <c:pt idx="21">
                  <c:v>0.33333333333333331</c:v>
                </c:pt>
                <c:pt idx="22">
                  <c:v>0.21212121212121213</c:v>
                </c:pt>
                <c:pt idx="23">
                  <c:v>7.575757575757576E-2</c:v>
                </c:pt>
                <c:pt idx="24">
                  <c:v>9.8484848484848481E-2</c:v>
                </c:pt>
                <c:pt idx="25">
                  <c:v>9.8484848484848481E-2</c:v>
                </c:pt>
                <c:pt idx="26">
                  <c:v>0.21212121212121213</c:v>
                </c:pt>
                <c:pt idx="27">
                  <c:v>0.21212121212121213</c:v>
                </c:pt>
                <c:pt idx="28">
                  <c:v>0.2878787878787879</c:v>
                </c:pt>
                <c:pt idx="29">
                  <c:v>0.34848484848484851</c:v>
                </c:pt>
                <c:pt idx="30">
                  <c:v>8.3333333333333329E-2</c:v>
                </c:pt>
                <c:pt idx="31">
                  <c:v>0.31818181818181818</c:v>
                </c:pt>
                <c:pt idx="32">
                  <c:v>5.3030303030303032E-2</c:v>
                </c:pt>
                <c:pt idx="33">
                  <c:v>5.3030303030303032E-2</c:v>
                </c:pt>
                <c:pt idx="34">
                  <c:v>0.22727272727272727</c:v>
                </c:pt>
                <c:pt idx="35">
                  <c:v>0.18939393939393939</c:v>
                </c:pt>
                <c:pt idx="36">
                  <c:v>0.17424242424242425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0.16666666666666666</c:v>
                </c:pt>
                <c:pt idx="41">
                  <c:v>0.13636363636363635</c:v>
                </c:pt>
                <c:pt idx="42">
                  <c:v>0.15909090909090909</c:v>
                </c:pt>
                <c:pt idx="43">
                  <c:v>0.15909090909090909</c:v>
                </c:pt>
                <c:pt idx="44">
                  <c:v>0.15909090909090909</c:v>
                </c:pt>
                <c:pt idx="45">
                  <c:v>0.15151515151515152</c:v>
                </c:pt>
                <c:pt idx="46">
                  <c:v>0.15151515151515152</c:v>
                </c:pt>
                <c:pt idx="47">
                  <c:v>0.15151515151515152</c:v>
                </c:pt>
                <c:pt idx="48">
                  <c:v>0.14393939393939395</c:v>
                </c:pt>
                <c:pt idx="49">
                  <c:v>0.12878787878787878</c:v>
                </c:pt>
                <c:pt idx="50">
                  <c:v>0.12121212121212122</c:v>
                </c:pt>
                <c:pt idx="51">
                  <c:v>9.0909090909090912E-2</c:v>
                </c:pt>
                <c:pt idx="52">
                  <c:v>0.10606060606060606</c:v>
                </c:pt>
                <c:pt idx="53">
                  <c:v>0.12878787878787878</c:v>
                </c:pt>
                <c:pt idx="54">
                  <c:v>9.8484848484848481E-2</c:v>
                </c:pt>
                <c:pt idx="55">
                  <c:v>8.3333333333333329E-2</c:v>
                </c:pt>
                <c:pt idx="56">
                  <c:v>9.0909090909090912E-2</c:v>
                </c:pt>
                <c:pt idx="57">
                  <c:v>9.0909090909090912E-2</c:v>
                </c:pt>
                <c:pt idx="58">
                  <c:v>9.0909090909090912E-2</c:v>
                </c:pt>
                <c:pt idx="59">
                  <c:v>6.0606060606060608E-2</c:v>
                </c:pt>
                <c:pt idx="60">
                  <c:v>8.3333333333333329E-2</c:v>
                </c:pt>
                <c:pt idx="61">
                  <c:v>8.3333333333333329E-2</c:v>
                </c:pt>
                <c:pt idx="62">
                  <c:v>0.10606060606060606</c:v>
                </c:pt>
                <c:pt idx="63">
                  <c:v>0.10606060606060606</c:v>
                </c:pt>
                <c:pt idx="64">
                  <c:v>9.0909090909090912E-2</c:v>
                </c:pt>
                <c:pt idx="65">
                  <c:v>8.3333333333333329E-2</c:v>
                </c:pt>
                <c:pt idx="66">
                  <c:v>7.575757575757576E-2</c:v>
                </c:pt>
                <c:pt idx="67">
                  <c:v>6.8181818181818177E-2</c:v>
                </c:pt>
                <c:pt idx="68">
                  <c:v>0.23484848484848486</c:v>
                </c:pt>
                <c:pt idx="69">
                  <c:v>0.20454545454545456</c:v>
                </c:pt>
                <c:pt idx="70">
                  <c:v>7.575757575757576E-3</c:v>
                </c:pt>
                <c:pt idx="71">
                  <c:v>7.575757575757576E-3</c:v>
                </c:pt>
                <c:pt idx="72">
                  <c:v>7.575757575757576E-3</c:v>
                </c:pt>
                <c:pt idx="73">
                  <c:v>7.575757575757576E-3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0.14393939393939395</c:v>
                </c:pt>
                <c:pt idx="88">
                  <c:v>0.14393939393939395</c:v>
                </c:pt>
                <c:pt idx="89">
                  <c:v>0.14393939393939395</c:v>
                </c:pt>
                <c:pt idx="90">
                  <c:v>0.14393939393939395</c:v>
                </c:pt>
                <c:pt idx="91">
                  <c:v>0.14393939393939395</c:v>
                </c:pt>
                <c:pt idx="92">
                  <c:v>0.14393939393939395</c:v>
                </c:pt>
                <c:pt idx="93">
                  <c:v>0.14393939393939395</c:v>
                </c:pt>
                <c:pt idx="94">
                  <c:v>0.13636363636363635</c:v>
                </c:pt>
                <c:pt idx="95">
                  <c:v>0.11363636363636363</c:v>
                </c:pt>
                <c:pt idx="96">
                  <c:v>7.575757575757576E-2</c:v>
                </c:pt>
                <c:pt idx="97">
                  <c:v>0.14393939393939395</c:v>
                </c:pt>
                <c:pt idx="98">
                  <c:v>9.8484848484848481E-2</c:v>
                </c:pt>
                <c:pt idx="99">
                  <c:v>0.11363636363636363</c:v>
                </c:pt>
                <c:pt idx="100">
                  <c:v>0.11363636363636363</c:v>
                </c:pt>
                <c:pt idx="101">
                  <c:v>0.11363636363636363</c:v>
                </c:pt>
                <c:pt idx="102">
                  <c:v>0.10606060606060606</c:v>
                </c:pt>
                <c:pt idx="103">
                  <c:v>8.3333333333333329E-2</c:v>
                </c:pt>
                <c:pt idx="104">
                  <c:v>7.575757575757576E-2</c:v>
                </c:pt>
                <c:pt idx="105">
                  <c:v>7.575757575757576E-2</c:v>
                </c:pt>
                <c:pt idx="106">
                  <c:v>7.575757575757576E-2</c:v>
                </c:pt>
                <c:pt idx="107">
                  <c:v>7.575757575757576E-2</c:v>
                </c:pt>
                <c:pt idx="108">
                  <c:v>4.5454545454545456E-2</c:v>
                </c:pt>
                <c:pt idx="109">
                  <c:v>6.8181818181818177E-2</c:v>
                </c:pt>
                <c:pt idx="110">
                  <c:v>6.8181818181818177E-2</c:v>
                </c:pt>
                <c:pt idx="111">
                  <c:v>6.8181818181818177E-2</c:v>
                </c:pt>
                <c:pt idx="112">
                  <c:v>6.8181818181818177E-2</c:v>
                </c:pt>
                <c:pt idx="113">
                  <c:v>6.8181818181818177E-2</c:v>
                </c:pt>
                <c:pt idx="114">
                  <c:v>6.8181818181818177E-2</c:v>
                </c:pt>
                <c:pt idx="115">
                  <c:v>6.8181818181818177E-2</c:v>
                </c:pt>
                <c:pt idx="116">
                  <c:v>6.8181818181818177E-2</c:v>
                </c:pt>
                <c:pt idx="117">
                  <c:v>6.0606060606060608E-2</c:v>
                </c:pt>
                <c:pt idx="118">
                  <c:v>6.0606060606060608E-2</c:v>
                </c:pt>
                <c:pt idx="119">
                  <c:v>6.0606060606060608E-2</c:v>
                </c:pt>
                <c:pt idx="120">
                  <c:v>5.3030303030303032E-2</c:v>
                </c:pt>
                <c:pt idx="121">
                  <c:v>5.3030303030303032E-2</c:v>
                </c:pt>
                <c:pt idx="122">
                  <c:v>5.3030303030303032E-2</c:v>
                </c:pt>
                <c:pt idx="123">
                  <c:v>5.3030303030303032E-2</c:v>
                </c:pt>
                <c:pt idx="124">
                  <c:v>5.3030303030303032E-2</c:v>
                </c:pt>
                <c:pt idx="125">
                  <c:v>5.3030303030303032E-2</c:v>
                </c:pt>
                <c:pt idx="126">
                  <c:v>5.3030303030303032E-2</c:v>
                </c:pt>
                <c:pt idx="127">
                  <c:v>4.5454545454545456E-2</c:v>
                </c:pt>
                <c:pt idx="128">
                  <c:v>3.787878787878788E-2</c:v>
                </c:pt>
                <c:pt idx="129">
                  <c:v>3.787878787878788E-2</c:v>
                </c:pt>
                <c:pt idx="130">
                  <c:v>3.787878787878788E-2</c:v>
                </c:pt>
                <c:pt idx="131">
                  <c:v>3.787878787878788E-2</c:v>
                </c:pt>
                <c:pt idx="132">
                  <c:v>3.787878787878788E-2</c:v>
                </c:pt>
                <c:pt idx="133">
                  <c:v>3.787878787878788E-2</c:v>
                </c:pt>
                <c:pt idx="134">
                  <c:v>3.787878787878788E-2</c:v>
                </c:pt>
                <c:pt idx="135">
                  <c:v>3.787878787878788E-2</c:v>
                </c:pt>
                <c:pt idx="136">
                  <c:v>3.0303030303030304E-2</c:v>
                </c:pt>
                <c:pt idx="137">
                  <c:v>3.0303030303030304E-2</c:v>
                </c:pt>
                <c:pt idx="138">
                  <c:v>3.0303030303030304E-2</c:v>
                </c:pt>
                <c:pt idx="139">
                  <c:v>2.2727272727272728E-2</c:v>
                </c:pt>
                <c:pt idx="140">
                  <c:v>7.575757575757576E-3</c:v>
                </c:pt>
                <c:pt idx="141">
                  <c:v>7.575757575757576E-3</c:v>
                </c:pt>
                <c:pt idx="142">
                  <c:v>7.575757575757576E-3</c:v>
                </c:pt>
                <c:pt idx="143">
                  <c:v>7.575757575757576E-3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3443-94E6-B2EA9A98FF4D}"/>
            </c:ext>
          </c:extLst>
        </c:ser>
        <c:ser>
          <c:idx val="2"/>
          <c:order val="2"/>
          <c:tx>
            <c:strRef>
              <c:f>'3 Métricas Norm'!$E$194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196B2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Métricas Norm'!$B$194:$B$380</c:f>
              <c:strCache>
                <c:ptCount val="187"/>
                <c:pt idx="0">
                  <c:v>Classe.Método</c:v>
                </c:pt>
                <c:pt idx="1">
                  <c:v>Move: processEnemyFire(boolean)</c:v>
                </c:pt>
                <c:pt idx="2">
                  <c:v>Game: buildMap(IFleet, List&lt;IMove&gt;, boolean, boolean)</c:v>
                </c:pt>
                <c:pt idx="3">
                  <c:v>PdfExporter: printMoveSection(PDDocument, PdfState, String, List&lt;IMove&gt;)</c:v>
                </c:pt>
                <c:pt idx="4">
                  <c:v>Tasks: menu()</c:v>
                </c:pt>
                <c:pt idx="5">
                  <c:v>Game: printBoard(IFleet, List&lt;IMove&gt;, boolean, boolean)</c:v>
                </c:pt>
                <c:pt idx="6">
                  <c:v>BoardWindow: show(char[][], char[][], List&lt;IPosition&gt;, List&lt;IPosition&gt;)</c:v>
                </c:pt>
                <c:pt idx="7">
                  <c:v>Ship: buildShip(String, Compass, Position)</c:v>
                </c:pt>
                <c:pt idx="8">
                  <c:v>Ship: Ship(String, Compass, IPosition, int)</c:v>
                </c:pt>
                <c:pt idx="9">
                  <c:v>BoardWindow: createBoardPanel(char[][], List&lt;IPosition&gt;)</c:v>
                </c:pt>
                <c:pt idx="10">
                  <c:v>Game: readEnemyFire(Scanner)</c:v>
                </c:pt>
                <c:pt idx="11">
                  <c:v>Game: readAlienFire(Scanner)</c:v>
                </c:pt>
                <c:pt idx="12">
                  <c:v>Caravel: Caravel(Compass, IPosition)</c:v>
                </c:pt>
                <c:pt idx="13">
                  <c:v>Caravel: Caravel(Compass, IPosition)</c:v>
                </c:pt>
                <c:pt idx="14">
                  <c:v>Caravel: Caravel(Compass, IPosition)</c:v>
                </c:pt>
                <c:pt idx="15">
                  <c:v>Game: fireSingleShot(IPosition, boolean)</c:v>
                </c:pt>
                <c:pt idx="16">
                  <c:v>PdfExporter: checkPagination(PDDocument, PdfState, float)</c:v>
                </c:pt>
                <c:pt idx="17">
                  <c:v>GameResult: GameResult(String, int, boolean)</c:v>
                </c:pt>
                <c:pt idx="18">
                  <c:v>Move: Move(int, List&lt;IPosition&gt;, List&lt;ShotResult&gt;)</c:v>
                </c:pt>
                <c:pt idx="19">
                  <c:v>PdfExporter: exportGameReport(IGame, String)</c:v>
                </c:pt>
                <c:pt idx="20">
                  <c:v>Galleon: Galleon(Compass, IPosition)</c:v>
                </c:pt>
                <c:pt idx="21">
                  <c:v>Game: fireSingleShotAtAlien(IPosition, boolean)</c:v>
                </c:pt>
                <c:pt idx="22">
                  <c:v>Scoreboard: displayScoreboard(int)</c:v>
                </c:pt>
                <c:pt idx="23">
                  <c:v>Tasks: readClassicPosition(Scanner)</c:v>
                </c:pt>
                <c:pt idx="24">
                  <c:v>IMove: readMove(int, Scanner)</c:v>
                </c:pt>
                <c:pt idx="25">
                  <c:v>Position: Position(char, int)</c:v>
                </c:pt>
                <c:pt idx="26">
                  <c:v>Position: Position(char, int)</c:v>
                </c:pt>
                <c:pt idx="27">
                  <c:v>Compass: charToCompass(char)</c:v>
                </c:pt>
                <c:pt idx="28">
                  <c:v>Compass: charToCompass(char)</c:v>
                </c:pt>
                <c:pt idx="29">
                  <c:v>Game: jsonShots(List&lt;IPosition&gt;)</c:v>
                </c:pt>
                <c:pt idx="30">
                  <c:v>Game: randomEnemyFire()</c:v>
                </c:pt>
                <c:pt idx="31">
                  <c:v>Barge: Barge(Compass, IPosition)</c:v>
                </c:pt>
                <c:pt idx="32">
                  <c:v>Game: randomPlayerFire()</c:v>
                </c:pt>
                <c:pt idx="33">
                  <c:v>Game: printAlienBoard(boolean, boolean)</c:v>
                </c:pt>
                <c:pt idx="34">
                  <c:v>Game: printAlienBoard(boolean, boolean)</c:v>
                </c:pt>
                <c:pt idx="35">
                  <c:v>Game: fireShots(List&lt;IPosition&gt;)</c:v>
                </c:pt>
                <c:pt idx="36">
                  <c:v>Tasks: buildFleet(Scanner)</c:v>
                </c:pt>
                <c:pt idx="37">
                  <c:v>Fleet: addShip(IShip)</c:v>
                </c:pt>
                <c:pt idx="38">
                  <c:v>IGame: fireSingleShot(IPosition, boolean)</c:v>
                </c:pt>
                <c:pt idx="39">
                  <c:v>IGame: fireSingleShot(IPosition, boolean)</c:v>
                </c:pt>
                <c:pt idx="40">
                  <c:v>IGame: fireSingleShot(IPosition, boolean)</c:v>
                </c:pt>
                <c:pt idx="41">
                  <c:v>Game: fireShotsAtAlien(List&lt;IPosition&gt;)</c:v>
                </c:pt>
                <c:pt idx="42">
                  <c:v>Position: equals(Object)</c:v>
                </c:pt>
                <c:pt idx="43">
                  <c:v>Fleet: getShipsLike(String)</c:v>
                </c:pt>
                <c:pt idx="44">
                  <c:v>Fleet: getShipsLike(String)</c:v>
                </c:pt>
                <c:pt idx="45">
                  <c:v>Fleet: getShipsLike(String)</c:v>
                </c:pt>
                <c:pt idx="46">
                  <c:v>Fleet: shipAt(IPosition)</c:v>
                </c:pt>
                <c:pt idx="47">
                  <c:v>Fleet: shipAt(IPosition)</c:v>
                </c:pt>
                <c:pt idx="48">
                  <c:v>Fleet: shipAt(IPosition)</c:v>
                </c:pt>
                <c:pt idx="49">
                  <c:v>Tasks: askPlayerName(Scanner)</c:v>
                </c:pt>
                <c:pt idx="50">
                  <c:v>Scoreboard: interactiveDisplay(Scanner)</c:v>
                </c:pt>
                <c:pt idx="51">
                  <c:v>Fleet: colisionRisk(IShip)</c:v>
                </c:pt>
                <c:pt idx="52">
                  <c:v>Fleet: isInsideBoard(IShip)</c:v>
                </c:pt>
                <c:pt idx="53">
                  <c:v>Game: repeatedShotAtAlien(IPosition)</c:v>
                </c:pt>
                <c:pt idx="54">
                  <c:v>Scoreboard: saveResult(GameResult)</c:v>
                </c:pt>
                <c:pt idx="55">
                  <c:v>Galleon: fillSouth(IPosition)</c:v>
                </c:pt>
                <c:pt idx="56">
                  <c:v>Game: printBothBoards(boolean)</c:v>
                </c:pt>
                <c:pt idx="57">
                  <c:v>Galleon: fillEast(IPosition)</c:v>
                </c:pt>
                <c:pt idx="58">
                  <c:v>Galleon: fillEast(IPosition)</c:v>
                </c:pt>
                <c:pt idx="59">
                  <c:v>Galleon: fillEast(IPosition)</c:v>
                </c:pt>
                <c:pt idx="60">
                  <c:v>Game: repeatedShot(IPosition)</c:v>
                </c:pt>
                <c:pt idx="61">
                  <c:v>Fleet: printShips(List&lt;IShip&gt;)</c:v>
                </c:pt>
                <c:pt idx="62">
                  <c:v>Fleet: printShips(List&lt;IShip&gt;)</c:v>
                </c:pt>
                <c:pt idx="63">
                  <c:v>Game: Game(IFleet)</c:v>
                </c:pt>
                <c:pt idx="64">
                  <c:v>Game: Game(IFleet)</c:v>
                </c:pt>
                <c:pt idx="65">
                  <c:v>Tasks: readPosition(Scanner)</c:v>
                </c:pt>
                <c:pt idx="66">
                  <c:v>Fleet: printShipsByCategory(String)</c:v>
                </c:pt>
                <c:pt idx="67">
                  <c:v>Main: main(String[])</c:v>
                </c:pt>
                <c:pt idx="68">
                  <c:v>Compass: Compass(char)</c:v>
                </c:pt>
                <c:pt idx="69">
                  <c:v>Position: adjacentPositions()</c:v>
                </c:pt>
                <c:pt idx="70">
                  <c:v>Fleet: createRandom()</c:v>
                </c:pt>
                <c:pt idx="71">
                  <c:v>GameResult: setDate(LocalDateTime)</c:v>
                </c:pt>
                <c:pt idx="72">
                  <c:v>GameResult: setDate(LocalDateTime)</c:v>
                </c:pt>
                <c:pt idx="73">
                  <c:v>GameResult: setDate(LocalDateTime)</c:v>
                </c:pt>
                <c:pt idx="74">
                  <c:v>GameResult: setDate(LocalDateTime)</c:v>
                </c:pt>
                <c:pt idx="75">
                  <c:v>Compass: valueOf(String)</c:v>
                </c:pt>
                <c:pt idx="76">
                  <c:v>Compass: valueOf(String)</c:v>
                </c:pt>
                <c:pt idx="77">
                  <c:v>Compass: valueOf(String)</c:v>
                </c:pt>
                <c:pt idx="78">
                  <c:v>Compass: valueOf(String)</c:v>
                </c:pt>
                <c:pt idx="79">
                  <c:v>Compass: valueOf(String)</c:v>
                </c:pt>
                <c:pt idx="80">
                  <c:v>Compass: valueOf(String)</c:v>
                </c:pt>
                <c:pt idx="81">
                  <c:v>Compass: valueOf(String)</c:v>
                </c:pt>
                <c:pt idx="82">
                  <c:v>Compass: valueOf(String)</c:v>
                </c:pt>
                <c:pt idx="83">
                  <c:v>Compass: valueOf(String)</c:v>
                </c:pt>
                <c:pt idx="84">
                  <c:v>Compass: valueOf(String)</c:v>
                </c:pt>
                <c:pt idx="85">
                  <c:v>Compass: valueOf(String)</c:v>
                </c:pt>
                <c:pt idx="86">
                  <c:v>Compass: valueOf(String)</c:v>
                </c:pt>
                <c:pt idx="87">
                  <c:v>Compass: valueOf(String)</c:v>
                </c:pt>
                <c:pt idx="88">
                  <c:v>Ship: getAdjacentPositions()</c:v>
                </c:pt>
                <c:pt idx="89">
                  <c:v>Fleet: getFloatingShips()</c:v>
                </c:pt>
                <c:pt idx="90">
                  <c:v>Fleet: getFloatingShips()</c:v>
                </c:pt>
                <c:pt idx="91">
                  <c:v>Fleet: getFloatingShips()</c:v>
                </c:pt>
                <c:pt idx="92">
                  <c:v>Fleet: getFloatingShips()</c:v>
                </c:pt>
                <c:pt idx="93">
                  <c:v>Fleet: getFloatingShips()</c:v>
                </c:pt>
                <c:pt idx="94">
                  <c:v>Fleet: getFloatingShips()</c:v>
                </c:pt>
                <c:pt idx="95">
                  <c:v>Ship: stillFloating()</c:v>
                </c:pt>
                <c:pt idx="96">
                  <c:v>Scoreboard: loadResults()</c:v>
                </c:pt>
                <c:pt idx="97">
                  <c:v>Position: isInside()</c:v>
                </c:pt>
                <c:pt idx="98">
                  <c:v>Tasks: menuHelp()</c:v>
                </c:pt>
                <c:pt idx="99">
                  <c:v>Ship: sink()</c:v>
                </c:pt>
                <c:pt idx="100">
                  <c:v>Ship: getBearing()</c:v>
                </c:pt>
                <c:pt idx="101">
                  <c:v>Ship: getBearing()</c:v>
                </c:pt>
                <c:pt idx="102">
                  <c:v>Ship: getBearing()</c:v>
                </c:pt>
                <c:pt idx="103">
                  <c:v>Fleet: printStatus()</c:v>
                </c:pt>
                <c:pt idx="104">
                  <c:v>Position: toString()</c:v>
                </c:pt>
                <c:pt idx="105">
                  <c:v>Compass: randomBearing()</c:v>
                </c:pt>
                <c:pt idx="106">
                  <c:v>Compass: randomBearing()</c:v>
                </c:pt>
                <c:pt idx="107">
                  <c:v>Compass: randomBearing()</c:v>
                </c:pt>
                <c:pt idx="108">
                  <c:v>Compass: randomBearing()</c:v>
                </c:pt>
                <c:pt idx="109">
                  <c:v>BoardWindow: close()</c:v>
                </c:pt>
                <c:pt idx="110">
                  <c:v>Compass: getDirection()</c:v>
                </c:pt>
                <c:pt idx="111">
                  <c:v>Compass: getDirection()</c:v>
                </c:pt>
                <c:pt idx="112">
                  <c:v>Compass: getDirection()</c:v>
                </c:pt>
                <c:pt idx="113">
                  <c:v>Compass: getDirection()</c:v>
                </c:pt>
                <c:pt idx="114">
                  <c:v>Compass: getDirection()</c:v>
                </c:pt>
                <c:pt idx="115">
                  <c:v>Compass: getDirection()</c:v>
                </c:pt>
                <c:pt idx="116">
                  <c:v>Compass: getDirection()</c:v>
                </c:pt>
                <c:pt idx="117">
                  <c:v>Compass: getDirection()</c:v>
                </c:pt>
                <c:pt idx="118">
                  <c:v>Move: toString()</c:v>
                </c:pt>
                <c:pt idx="119">
                  <c:v>Move: toString()</c:v>
                </c:pt>
                <c:pt idx="120">
                  <c:v>Move: toString()</c:v>
                </c:pt>
                <c:pt idx="121">
                  <c:v>Fleet: Fleet()</c:v>
                </c:pt>
                <c:pt idx="122">
                  <c:v>Fleet: Fleet()</c:v>
                </c:pt>
                <c:pt idx="123">
                  <c:v>Fleet: Fleet()</c:v>
                </c:pt>
                <c:pt idx="124">
                  <c:v>Fleet: Fleet()</c:v>
                </c:pt>
                <c:pt idx="125">
                  <c:v>Fleet: Fleet()</c:v>
                </c:pt>
                <c:pt idx="126">
                  <c:v>Fleet: Fleet()</c:v>
                </c:pt>
                <c:pt idx="127">
                  <c:v>Fleet: Fleet()</c:v>
                </c:pt>
                <c:pt idx="128">
                  <c:v>Game: getRemainingShips()</c:v>
                </c:pt>
                <c:pt idx="129">
                  <c:v>Game: getAlienFleet()</c:v>
                </c:pt>
                <c:pt idx="130">
                  <c:v>Game: getAlienFleet()</c:v>
                </c:pt>
                <c:pt idx="131">
                  <c:v>Game: getAlienFleet()</c:v>
                </c:pt>
                <c:pt idx="132">
                  <c:v>Game: getAlienFleet()</c:v>
                </c:pt>
                <c:pt idx="133">
                  <c:v>Game: getAlienFleet()</c:v>
                </c:pt>
                <c:pt idx="134">
                  <c:v>Game: getAlienFleet()</c:v>
                </c:pt>
                <c:pt idx="135">
                  <c:v>Game: getAlienFleet()</c:v>
                </c:pt>
                <c:pt idx="136">
                  <c:v>Game: getAlienFleet()</c:v>
                </c:pt>
                <c:pt idx="137">
                  <c:v>Move: getNumber()</c:v>
                </c:pt>
                <c:pt idx="138">
                  <c:v>Move: getNumber()</c:v>
                </c:pt>
                <c:pt idx="139">
                  <c:v>Move: getNumber()</c:v>
                </c:pt>
                <c:pt idx="140">
                  <c:v>GameResult: GameResult()</c:v>
                </c:pt>
                <c:pt idx="141">
                  <c:v>GameResult: getDate()</c:v>
                </c:pt>
                <c:pt idx="142">
                  <c:v>GameResult: getDate()</c:v>
                </c:pt>
                <c:pt idx="143">
                  <c:v>GameResult: getDate()</c:v>
                </c:pt>
                <c:pt idx="144">
                  <c:v>GameResult: getDate()</c:v>
                </c:pt>
                <c:pt idx="145">
                  <c:v>Compass: values()</c:v>
                </c:pt>
                <c:pt idx="146">
                  <c:v>Compass: values()</c:v>
                </c:pt>
                <c:pt idx="147">
                  <c:v>Compass: values()</c:v>
                </c:pt>
                <c:pt idx="148">
                  <c:v>Compass: values()</c:v>
                </c:pt>
                <c:pt idx="149">
                  <c:v>Compass: values()</c:v>
                </c:pt>
                <c:pt idx="150">
                  <c:v>Compass: values()</c:v>
                </c:pt>
                <c:pt idx="151">
                  <c:v>Compass: values()</c:v>
                </c:pt>
                <c:pt idx="152">
                  <c:v>Compass: values()</c:v>
                </c:pt>
                <c:pt idx="153">
                  <c:v>Compass: values()</c:v>
                </c:pt>
                <c:pt idx="154">
                  <c:v>Compass: values()</c:v>
                </c:pt>
                <c:pt idx="155">
                  <c:v>Compass: values()</c:v>
                </c:pt>
                <c:pt idx="156">
                  <c:v>Compass: values()</c:v>
                </c:pt>
                <c:pt idx="157">
                  <c:v>Compass: values()</c:v>
                </c:pt>
                <c:pt idx="158">
                  <c:v>Compass: values()</c:v>
                </c:pt>
                <c:pt idx="159">
                  <c:v>Compass: values()</c:v>
                </c:pt>
                <c:pt idx="160">
                  <c:v>Compass: values()</c:v>
                </c:pt>
                <c:pt idx="161">
                  <c:v>Compass: values()</c:v>
                </c:pt>
                <c:pt idx="162">
                  <c:v>Compass: values()</c:v>
                </c:pt>
                <c:pt idx="163">
                  <c:v>Compass: values()</c:v>
                </c:pt>
                <c:pt idx="164">
                  <c:v>Compass: values()</c:v>
                </c:pt>
                <c:pt idx="165">
                  <c:v>Compass: values()</c:v>
                </c:pt>
                <c:pt idx="166">
                  <c:v>Compass: values()</c:v>
                </c:pt>
                <c:pt idx="167">
                  <c:v>Compass: values()</c:v>
                </c:pt>
                <c:pt idx="168">
                  <c:v>Compass: values()</c:v>
                </c:pt>
                <c:pt idx="169">
                  <c:v>Compass: values()</c:v>
                </c:pt>
                <c:pt idx="170">
                  <c:v>Compass: values()</c:v>
                </c:pt>
                <c:pt idx="171">
                  <c:v>Compass: values()</c:v>
                </c:pt>
                <c:pt idx="172">
                  <c:v>Compass: values()</c:v>
                </c:pt>
                <c:pt idx="173">
                  <c:v>Compass: values()</c:v>
                </c:pt>
                <c:pt idx="174">
                  <c:v>Compass: values()</c:v>
                </c:pt>
                <c:pt idx="175">
                  <c:v>Compass: values()</c:v>
                </c:pt>
                <c:pt idx="176">
                  <c:v>Compass: values()</c:v>
                </c:pt>
                <c:pt idx="177">
                  <c:v>Compass: values()</c:v>
                </c:pt>
                <c:pt idx="178">
                  <c:v>Compass: values()</c:v>
                </c:pt>
                <c:pt idx="179">
                  <c:v>Compass: values()</c:v>
                </c:pt>
                <c:pt idx="180">
                  <c:v>Compass: values()</c:v>
                </c:pt>
                <c:pt idx="181">
                  <c:v>Compass: values()</c:v>
                </c:pt>
                <c:pt idx="182">
                  <c:v>Compass: values()</c:v>
                </c:pt>
                <c:pt idx="183">
                  <c:v>Compass: values()</c:v>
                </c:pt>
                <c:pt idx="184">
                  <c:v>Compass: values()</c:v>
                </c:pt>
                <c:pt idx="185">
                  <c:v>Compass: values()</c:v>
                </c:pt>
                <c:pt idx="186">
                  <c:v>Compass: values()</c:v>
                </c:pt>
              </c:strCache>
            </c:strRef>
          </c:cat>
          <c:val>
            <c:numRef>
              <c:f>'3 Métricas Norm'!$E$195:$E$380</c:f>
              <c:numCache>
                <c:formatCode>0.0000</c:formatCode>
                <c:ptCount val="186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0.5</c:v>
                </c:pt>
                <c:pt idx="9">
                  <c:v>0.25</c:v>
                </c:pt>
                <c:pt idx="10">
                  <c:v>0.25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0.25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3443-94E6-B2EA9A98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5418"/>
        <c:axId val="16919029"/>
      </c:areaChart>
      <c:catAx>
        <c:axId val="90565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16919029"/>
        <c:crosses val="autoZero"/>
        <c:auto val="1"/>
        <c:lblAlgn val="ctr"/>
        <c:lblOffset val="100"/>
        <c:noMultiLvlLbl val="0"/>
      </c:catAx>
      <c:valAx>
        <c:axId val="169190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905654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1359000</xdr:colOff>
      <xdr:row>96</xdr:row>
      <xdr:rowOff>25560</xdr:rowOff>
    </xdr:from>
    <xdr:to>
      <xdr:col>7</xdr:col>
      <xdr:colOff>3377160</xdr:colOff>
      <xdr:row>140</xdr:row>
      <xdr:rowOff>75240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62280</xdr:colOff>
      <xdr:row>44</xdr:row>
      <xdr:rowOff>49680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317500</xdr:colOff>
      <xdr:row>2</xdr:row>
      <xdr:rowOff>0</xdr:rowOff>
    </xdr:from>
    <xdr:to>
      <xdr:col>37</xdr:col>
      <xdr:colOff>596900</xdr:colOff>
      <xdr:row>47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2DB82B-E6BF-9A42-8FB3-9A4FFE9B4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38100</xdr:colOff>
      <xdr:row>45</xdr:row>
      <xdr:rowOff>63500</xdr:rowOff>
    </xdr:from>
    <xdr:to>
      <xdr:col>20</xdr:col>
      <xdr:colOff>584200</xdr:colOff>
      <xdr:row>90</xdr:row>
      <xdr:rowOff>165100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14FAF48-C892-A84B-8858-A1D6E20FF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382</xdr:row>
      <xdr:rowOff>0</xdr:rowOff>
    </xdr:from>
    <xdr:to>
      <xdr:col>10</xdr:col>
      <xdr:colOff>848880</xdr:colOff>
      <xdr:row>419</xdr:row>
      <xdr:rowOff>150840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382</xdr:row>
      <xdr:rowOff>0</xdr:rowOff>
    </xdr:from>
    <xdr:to>
      <xdr:col>11</xdr:col>
      <xdr:colOff>170640</xdr:colOff>
      <xdr:row>419</xdr:row>
      <xdr:rowOff>150840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4588" totalsRowShown="0">
  <autoFilter ref="A1:Z4588" xr:uid="{00000000-0009-0000-0100-000001000000}"/>
  <tableColumns count="26">
    <tableColumn id="1" xr3:uid="{00000000-0010-0000-0000-000001000000}" name="/Metrics/Metric/@description"/>
    <tableColumn id="2" xr3:uid="{00000000-0010-0000-0000-000002000000}" name="/Metrics/Metric/@name"/>
    <tableColumn id="3" xr3:uid="{00000000-0010-0000-0000-000003000000}" name="/Metrics/Metric/@value"/>
    <tableColumn id="4" xr3:uid="{00000000-0010-0000-0000-000004000000}" name="/Packages/Package/@name"/>
    <tableColumn id="5" xr3:uid="{00000000-0010-0000-0000-000005000000}" name="/Packages/Package/Class/@name"/>
    <tableColumn id="6" xr3:uid="{00000000-0010-0000-0000-000006000000}" name="/Packages/Package/Class/#id"/>
    <tableColumn id="7" xr3:uid="{00000000-0010-0000-0000-000007000000}" name="/Packages/Package/Class/Class/@name"/>
    <tableColumn id="8" xr3:uid="{00000000-0010-0000-0000-000008000000}" name="/Packages/Package/Class/Class/Method/@name"/>
    <tableColumn id="9" xr3:uid="{00000000-0010-0000-0000-000009000000}" name="/Packages/Package/Class/Class/Method/#id"/>
    <tableColumn id="10" xr3:uid="{00000000-0010-0000-0000-00000A000000}" name="/Packages/Package/Class/Class/Method/Metrics/Metric/@description"/>
    <tableColumn id="11" xr3:uid="{00000000-0010-0000-0000-00000B000000}" name="/Packages/Package/Class/Class/Method/Metrics/Metric/@name"/>
    <tableColumn id="12" xr3:uid="{00000000-0010-0000-0000-00000C000000}" name="/Packages/Package/Class/Class/Method/Metrics/Metric/@value"/>
    <tableColumn id="13" xr3:uid="{00000000-0010-0000-0000-00000D000000}" name="/Packages/Package/Class/Class/Metrics/Metric/@description"/>
    <tableColumn id="14" xr3:uid="{00000000-0010-0000-0000-00000E000000}" name="/Packages/Package/Class/Class/Metrics/Metric/@name"/>
    <tableColumn id="15" xr3:uid="{00000000-0010-0000-0000-00000F000000}" name="/Packages/Package/Class/Class/Metrics/Metric/@value"/>
    <tableColumn id="16" xr3:uid="{00000000-0010-0000-0000-000010000000}" name="/Packages/Package/Class/Method/@name"/>
    <tableColumn id="17" xr3:uid="{00000000-0010-0000-0000-000011000000}" name="/Packages/Package/Class/Method/#id"/>
    <tableColumn id="18" xr3:uid="{00000000-0010-0000-0000-000012000000}" name="/Packages/Package/Class/Method/Metrics/Metric/@description"/>
    <tableColumn id="19" xr3:uid="{00000000-0010-0000-0000-000013000000}" name="/Packages/Package/Class/Method/Metrics/Metric/@name"/>
    <tableColumn id="20" xr3:uid="{00000000-0010-0000-0000-000014000000}" name="/Packages/Package/Class/Method/Metrics/Metric/@value"/>
    <tableColumn id="21" xr3:uid="{00000000-0010-0000-0000-000015000000}" name="/Packages/Package/Class/Metrics/Metric/@description"/>
    <tableColumn id="22" xr3:uid="{00000000-0010-0000-0000-000016000000}" name="/Packages/Package/Class/Metrics/Metric/@name"/>
    <tableColumn id="23" xr3:uid="{00000000-0010-0000-0000-000017000000}" name="/Packages/Package/Class/Metrics/Metric/@value"/>
    <tableColumn id="24" xr3:uid="{00000000-0010-0000-0000-000018000000}" name="/Packages/Package/Metrics/Metric/@description"/>
    <tableColumn id="25" xr3:uid="{00000000-0010-0000-0000-000019000000}" name="/Packages/Package/Metrics/Metric/@name"/>
    <tableColumn id="26" xr3:uid="{00000000-0010-0000-0000-00001A000000}" name="/Packages/Package/Metrics/Metric/@val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O4588" totalsRowShown="0">
  <autoFilter ref="A1:O4588" xr:uid="{00000000-0009-0000-0100-000002000000}">
    <filterColumn colId="7">
      <filters>
        <filter val="CC"/>
        <filter val="LOC"/>
        <filter val="NOPM"/>
      </filters>
    </filterColumn>
  </autoFilter>
  <tableColumns count="15">
    <tableColumn id="1" xr3:uid="{00000000-0010-0000-0100-000001000000}" name="/Packages/Package/Class/Class/Method/Metrics/Metric/@value"/>
    <tableColumn id="2" xr3:uid="{00000000-0010-0000-0100-000002000000}" name="/Packages/Package/Class/Class/Metrics/Metric/@description"/>
    <tableColumn id="3" xr3:uid="{00000000-0010-0000-0100-000003000000}" name="/Packages/Package/Class/Class/Metrics/Metric/@name"/>
    <tableColumn id="4" xr3:uid="{00000000-0010-0000-0100-000004000000}" name="/Packages/Package/Class/Class/Metrics/Metric/@value"/>
    <tableColumn id="5" xr3:uid="{00000000-0010-0000-0100-000005000000}" name="/Packages/Package/Class/Method/@name"/>
    <tableColumn id="6" xr3:uid="{00000000-0010-0000-0100-000006000000}" name="/Packages/Package/Class/Method/#id"/>
    <tableColumn id="7" xr3:uid="{00000000-0010-0000-0100-000007000000}" name="/Packages/Package/Class/Method/Metrics/Metric/@description"/>
    <tableColumn id="8" xr3:uid="{00000000-0010-0000-0100-000008000000}" name="/Packages/Package/Class/Method/Metrics/Metric/@name"/>
    <tableColumn id="9" xr3:uid="{00000000-0010-0000-0100-000009000000}" name="/Packages/Package/Class/Method/Metrics/Metric/@value"/>
    <tableColumn id="10" xr3:uid="{00000000-0010-0000-0100-00000A000000}" name="/Packages/Package/Class/Metrics/Metric/@description"/>
    <tableColumn id="11" xr3:uid="{00000000-0010-0000-0100-00000B000000}" name="/Packages/Package/Class/Metrics/Metric/@name"/>
    <tableColumn id="12" xr3:uid="{00000000-0010-0000-0100-00000C000000}" name="/Packages/Package/Class/Metrics/Metric/@value"/>
    <tableColumn id="13" xr3:uid="{00000000-0010-0000-0100-00000D000000}" name="/Packages/Package/Metrics/Metric/@description"/>
    <tableColumn id="14" xr3:uid="{00000000-0010-0000-0100-00000E000000}" name="/Packages/Package/Metrics/Metric/@name"/>
    <tableColumn id="15" xr3:uid="{00000000-0010-0000-0100-00000F000000}" name="/Packages/Package/Metrics/Metric/@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zoomScaleNormal="100" workbookViewId="0"/>
  </sheetViews>
  <sheetFormatPr baseColWidth="10" defaultColWidth="8.5" defaultRowHeight="16" x14ac:dyDescent="0.2"/>
  <cols>
    <col min="1" max="1" width="50" customWidth="1"/>
    <col min="2" max="21" width="12" customWidth="1"/>
  </cols>
  <sheetData>
    <row r="1" spans="1:21" ht="1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" customHeight="1" x14ac:dyDescent="0.2">
      <c r="A2" s="3" t="s">
        <v>21</v>
      </c>
      <c r="B2" s="4">
        <v>1</v>
      </c>
      <c r="C2" s="4">
        <v>0</v>
      </c>
      <c r="D2" s="4">
        <v>0.6</v>
      </c>
      <c r="E2" s="4">
        <v>5</v>
      </c>
      <c r="F2" s="4">
        <v>0</v>
      </c>
      <c r="G2" s="4">
        <v>0</v>
      </c>
      <c r="H2" s="4">
        <v>6</v>
      </c>
      <c r="I2" s="4">
        <v>301.13690000000003</v>
      </c>
      <c r="J2" s="4">
        <v>1.4999999999999999E-2</v>
      </c>
      <c r="K2" s="4">
        <v>14</v>
      </c>
      <c r="L2" s="4">
        <v>12</v>
      </c>
      <c r="M2" s="4">
        <v>50.189500000000002</v>
      </c>
      <c r="N2" s="4">
        <v>0</v>
      </c>
      <c r="O2" s="4">
        <v>0</v>
      </c>
      <c r="P2" s="4">
        <v>11</v>
      </c>
      <c r="Q2" s="4">
        <v>65.386899999999997</v>
      </c>
      <c r="R2" s="4">
        <v>0</v>
      </c>
      <c r="S2" s="4">
        <v>2</v>
      </c>
      <c r="T2" s="4">
        <v>0</v>
      </c>
      <c r="U2" s="4">
        <v>2</v>
      </c>
    </row>
    <row r="3" spans="1:21" ht="15" customHeight="1" x14ac:dyDescent="0.2">
      <c r="A3" s="3" t="s">
        <v>22</v>
      </c>
      <c r="B3" s="4">
        <v>2</v>
      </c>
      <c r="C3" s="4">
        <v>1</v>
      </c>
      <c r="D3" s="4">
        <v>1</v>
      </c>
      <c r="E3" s="4">
        <v>1</v>
      </c>
      <c r="F3" s="4">
        <v>1</v>
      </c>
      <c r="G3" s="4">
        <v>0</v>
      </c>
      <c r="H3" s="4">
        <v>7.5</v>
      </c>
      <c r="I3" s="4">
        <v>247.5</v>
      </c>
      <c r="J3" s="4">
        <v>1.3100000000000001E-2</v>
      </c>
      <c r="K3" s="4">
        <v>11</v>
      </c>
      <c r="L3" s="4">
        <v>8</v>
      </c>
      <c r="M3" s="4">
        <v>33</v>
      </c>
      <c r="N3" s="4">
        <v>1</v>
      </c>
      <c r="O3" s="4">
        <v>0</v>
      </c>
      <c r="P3" s="4">
        <v>6</v>
      </c>
      <c r="Q3" s="4">
        <v>72.299599999999998</v>
      </c>
      <c r="R3" s="4">
        <v>1</v>
      </c>
      <c r="S3" s="4">
        <v>1</v>
      </c>
      <c r="T3" s="4">
        <v>0</v>
      </c>
      <c r="U3" s="4">
        <v>0</v>
      </c>
    </row>
    <row r="4" spans="1:21" ht="15" customHeight="1" x14ac:dyDescent="0.2">
      <c r="A4" s="3" t="s">
        <v>23</v>
      </c>
      <c r="B4" s="4">
        <v>10</v>
      </c>
      <c r="C4" s="4">
        <v>10</v>
      </c>
      <c r="D4" s="4">
        <v>0.5</v>
      </c>
      <c r="E4" s="4">
        <v>10</v>
      </c>
      <c r="F4" s="4">
        <v>2</v>
      </c>
      <c r="G4" s="4">
        <v>4</v>
      </c>
      <c r="H4" s="4">
        <v>27.5</v>
      </c>
      <c r="I4" s="4">
        <v>18919.4997</v>
      </c>
      <c r="J4" s="4">
        <v>0.23669999999999999</v>
      </c>
      <c r="K4" s="4">
        <v>119</v>
      </c>
      <c r="L4" s="4">
        <v>55</v>
      </c>
      <c r="M4" s="4">
        <v>687.98180000000002</v>
      </c>
      <c r="N4" s="4">
        <v>0</v>
      </c>
      <c r="O4" s="4">
        <v>3</v>
      </c>
      <c r="P4" s="4">
        <v>43</v>
      </c>
      <c r="Q4" s="4">
        <v>44.1935</v>
      </c>
      <c r="R4" s="4">
        <v>5</v>
      </c>
      <c r="S4" s="4">
        <v>19</v>
      </c>
      <c r="T4" s="4">
        <v>3</v>
      </c>
      <c r="U4" s="4">
        <v>2</v>
      </c>
    </row>
    <row r="5" spans="1:21" ht="15" customHeight="1" x14ac:dyDescent="0.2">
      <c r="A5" s="3" t="s">
        <v>24</v>
      </c>
      <c r="B5" s="4">
        <v>2</v>
      </c>
      <c r="C5" s="4">
        <v>1</v>
      </c>
      <c r="D5" s="4">
        <v>0.45450000000000002</v>
      </c>
      <c r="E5" s="4">
        <v>10</v>
      </c>
      <c r="F5" s="4">
        <v>1</v>
      </c>
      <c r="G5" s="4">
        <v>4</v>
      </c>
      <c r="H5" s="4">
        <v>16.714300000000001</v>
      </c>
      <c r="I5" s="4">
        <v>8124.3706000000002</v>
      </c>
      <c r="J5" s="4">
        <v>0.13469999999999999</v>
      </c>
      <c r="K5" s="4">
        <v>88</v>
      </c>
      <c r="L5" s="4">
        <v>46</v>
      </c>
      <c r="M5" s="4">
        <v>486.07350000000002</v>
      </c>
      <c r="N5" s="4">
        <v>0.28570000000000001</v>
      </c>
      <c r="O5" s="4">
        <v>0</v>
      </c>
      <c r="P5" s="4">
        <v>30</v>
      </c>
      <c r="Q5" s="4">
        <v>48.872999999999998</v>
      </c>
      <c r="R5" s="4">
        <v>1</v>
      </c>
      <c r="S5" s="4">
        <v>17</v>
      </c>
      <c r="T5" s="4">
        <v>0</v>
      </c>
      <c r="U5" s="4">
        <v>4</v>
      </c>
    </row>
    <row r="6" spans="1:21" ht="15" customHeight="1" x14ac:dyDescent="0.2">
      <c r="A6" s="3" t="s">
        <v>25</v>
      </c>
      <c r="B6" s="4">
        <v>9</v>
      </c>
      <c r="C6" s="4">
        <v>5</v>
      </c>
      <c r="D6" s="4">
        <v>0.5</v>
      </c>
      <c r="E6" s="4">
        <v>6</v>
      </c>
      <c r="F6" s="4">
        <v>0</v>
      </c>
      <c r="G6" s="4">
        <v>1</v>
      </c>
      <c r="H6" s="4">
        <v>27</v>
      </c>
      <c r="I6" s="4">
        <v>12198.390299999999</v>
      </c>
      <c r="J6" s="4">
        <v>0.17660000000000001</v>
      </c>
      <c r="K6" s="4">
        <v>93</v>
      </c>
      <c r="L6" s="4">
        <v>29</v>
      </c>
      <c r="M6" s="4">
        <v>451.79219999999998</v>
      </c>
      <c r="N6" s="4">
        <v>0</v>
      </c>
      <c r="O6" s="4">
        <v>1</v>
      </c>
      <c r="P6" s="4">
        <v>27</v>
      </c>
      <c r="Q6" s="4">
        <v>49.8962</v>
      </c>
      <c r="R6" s="4">
        <v>1</v>
      </c>
      <c r="S6" s="4">
        <v>10</v>
      </c>
      <c r="T6" s="4">
        <v>4</v>
      </c>
      <c r="U6" s="4">
        <v>2</v>
      </c>
    </row>
    <row r="7" spans="1:21" ht="15" customHeight="1" x14ac:dyDescent="0.2">
      <c r="A7" s="3" t="s">
        <v>26</v>
      </c>
      <c r="B7" s="4">
        <v>9</v>
      </c>
      <c r="C7" s="4">
        <v>5</v>
      </c>
      <c r="D7" s="4">
        <v>0.5</v>
      </c>
      <c r="E7" s="4">
        <v>6</v>
      </c>
      <c r="F7" s="4">
        <v>0</v>
      </c>
      <c r="G7" s="4">
        <v>1</v>
      </c>
      <c r="H7" s="4">
        <v>27</v>
      </c>
      <c r="I7" s="4">
        <v>12198.390299999999</v>
      </c>
      <c r="J7" s="4">
        <v>0.17660000000000001</v>
      </c>
      <c r="K7" s="4">
        <v>93</v>
      </c>
      <c r="L7" s="4">
        <v>29</v>
      </c>
      <c r="M7" s="4">
        <v>451.79219999999998</v>
      </c>
      <c r="N7" s="4">
        <v>0</v>
      </c>
      <c r="O7" s="4">
        <v>1</v>
      </c>
      <c r="P7" s="4">
        <v>27</v>
      </c>
      <c r="Q7" s="4">
        <v>49.8962</v>
      </c>
      <c r="R7" s="4">
        <v>1</v>
      </c>
      <c r="S7" s="4">
        <v>10</v>
      </c>
      <c r="T7" s="4">
        <v>4</v>
      </c>
      <c r="U7" s="4">
        <v>2</v>
      </c>
    </row>
    <row r="8" spans="1:21" ht="15" customHeight="1" x14ac:dyDescent="0.2">
      <c r="A8" s="3" t="s">
        <v>27</v>
      </c>
      <c r="B8" s="4">
        <v>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8</v>
      </c>
      <c r="J8" s="4">
        <v>1.2999999999999999E-3</v>
      </c>
      <c r="K8" s="4">
        <v>4</v>
      </c>
      <c r="L8" s="4">
        <v>4</v>
      </c>
      <c r="M8" s="4">
        <v>8</v>
      </c>
      <c r="N8" s="4">
        <v>1</v>
      </c>
      <c r="O8" s="4">
        <v>0</v>
      </c>
      <c r="P8" s="4">
        <v>9</v>
      </c>
      <c r="Q8" s="4">
        <v>72.860699999999994</v>
      </c>
      <c r="R8" s="4">
        <v>0</v>
      </c>
      <c r="S8" s="4">
        <v>2</v>
      </c>
      <c r="T8" s="4">
        <v>0</v>
      </c>
      <c r="U8" s="4">
        <v>1</v>
      </c>
    </row>
    <row r="9" spans="1:21" ht="15" customHeight="1" x14ac:dyDescent="0.2">
      <c r="A9" s="3" t="s">
        <v>28</v>
      </c>
      <c r="B9" s="4">
        <v>6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5.0909000000000004</v>
      </c>
      <c r="I9" s="4">
        <v>615.63260000000002</v>
      </c>
      <c r="J9" s="4">
        <v>2.41E-2</v>
      </c>
      <c r="K9" s="4">
        <v>29</v>
      </c>
      <c r="L9" s="4">
        <v>18</v>
      </c>
      <c r="M9" s="4">
        <v>120.9278</v>
      </c>
      <c r="N9" s="4">
        <v>1</v>
      </c>
      <c r="O9" s="4">
        <v>0</v>
      </c>
      <c r="P9" s="4">
        <v>28</v>
      </c>
      <c r="Q9" s="4">
        <v>53.632300000000001</v>
      </c>
      <c r="R9" s="4">
        <v>1</v>
      </c>
      <c r="S9" s="4">
        <v>6</v>
      </c>
      <c r="T9" s="4">
        <v>0</v>
      </c>
      <c r="U9" s="4">
        <v>1</v>
      </c>
    </row>
    <row r="10" spans="1:21" ht="15" customHeight="1" x14ac:dyDescent="0.2">
      <c r="A10" s="3" t="s">
        <v>29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1.5</v>
      </c>
      <c r="I10" s="4">
        <v>12</v>
      </c>
      <c r="J10" s="4">
        <v>1.6999999999999999E-3</v>
      </c>
      <c r="K10" s="4">
        <v>4</v>
      </c>
      <c r="L10" s="4">
        <v>4</v>
      </c>
      <c r="M10" s="4">
        <v>8</v>
      </c>
      <c r="N10" s="4">
        <v>1</v>
      </c>
      <c r="O10" s="4">
        <v>0</v>
      </c>
      <c r="P10" s="4">
        <v>9</v>
      </c>
      <c r="Q10" s="4">
        <v>72.860699999999994</v>
      </c>
      <c r="R10" s="4">
        <v>0</v>
      </c>
      <c r="S10" s="4">
        <v>1</v>
      </c>
      <c r="T10" s="4">
        <v>0</v>
      </c>
      <c r="U10" s="4">
        <v>0</v>
      </c>
    </row>
    <row r="11" spans="1:21" ht="15" customHeight="1" x14ac:dyDescent="0.2">
      <c r="A11" s="3" t="s">
        <v>30</v>
      </c>
      <c r="B11" s="4">
        <v>1</v>
      </c>
      <c r="C11" s="4">
        <v>0</v>
      </c>
      <c r="D11" s="4">
        <v>0.5</v>
      </c>
      <c r="E11" s="4">
        <v>1</v>
      </c>
      <c r="F11" s="4">
        <v>0</v>
      </c>
      <c r="G11" s="4">
        <v>1</v>
      </c>
      <c r="H11" s="4">
        <v>4.6666999999999996</v>
      </c>
      <c r="I11" s="4">
        <v>186.02799999999999</v>
      </c>
      <c r="J11" s="4">
        <v>1.09E-2</v>
      </c>
      <c r="K11" s="4">
        <v>12</v>
      </c>
      <c r="L11" s="4">
        <v>10</v>
      </c>
      <c r="M11" s="4">
        <v>39.863100000000003</v>
      </c>
      <c r="N11" s="4">
        <v>0</v>
      </c>
      <c r="O11" s="4">
        <v>0</v>
      </c>
      <c r="P11" s="4">
        <v>10</v>
      </c>
      <c r="Q11" s="4">
        <v>67.045400000000001</v>
      </c>
      <c r="R11" s="4">
        <v>0</v>
      </c>
      <c r="S11" s="4">
        <v>3</v>
      </c>
      <c r="T11" s="4">
        <v>0</v>
      </c>
      <c r="U11" s="4">
        <v>0</v>
      </c>
    </row>
    <row r="12" spans="1:21" ht="15" customHeight="1" x14ac:dyDescent="0.2">
      <c r="A12" s="3" t="s">
        <v>31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1.5</v>
      </c>
      <c r="I12" s="4">
        <v>17.4145</v>
      </c>
      <c r="J12" s="4">
        <v>2.2000000000000001E-3</v>
      </c>
      <c r="K12" s="4">
        <v>5</v>
      </c>
      <c r="L12" s="4">
        <v>5</v>
      </c>
      <c r="M12" s="4">
        <v>11.6096</v>
      </c>
      <c r="N12" s="4">
        <v>1</v>
      </c>
      <c r="O12" s="4">
        <v>0</v>
      </c>
      <c r="P12" s="4">
        <v>10</v>
      </c>
      <c r="Q12" s="4">
        <v>70.894199999999998</v>
      </c>
      <c r="R12" s="4">
        <v>0</v>
      </c>
      <c r="S12" s="4">
        <v>1</v>
      </c>
      <c r="T12" s="4">
        <v>0</v>
      </c>
      <c r="U12" s="4">
        <v>0</v>
      </c>
    </row>
    <row r="13" spans="1:21" ht="15" customHeight="1" x14ac:dyDescent="0.2">
      <c r="A13" s="3" t="s">
        <v>32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/>
      <c r="J13" s="4"/>
      <c r="K13" s="4">
        <v>0</v>
      </c>
      <c r="L13" s="4">
        <v>0</v>
      </c>
      <c r="M13" s="4"/>
      <c r="N13" s="4">
        <v>0</v>
      </c>
      <c r="O13" s="4">
        <v>0</v>
      </c>
      <c r="P13" s="4">
        <v>0</v>
      </c>
      <c r="Q13" s="4">
        <v>0</v>
      </c>
      <c r="R13" s="4">
        <v>-1</v>
      </c>
      <c r="S13" s="4">
        <v>0</v>
      </c>
      <c r="T13" s="4">
        <v>0</v>
      </c>
      <c r="U13" s="4">
        <v>1</v>
      </c>
    </row>
    <row r="14" spans="1:21" ht="15" customHeight="1" x14ac:dyDescent="0.2">
      <c r="A14" s="3" t="s">
        <v>33</v>
      </c>
      <c r="B14" s="4">
        <v>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/>
      <c r="J14" s="4"/>
      <c r="K14" s="4">
        <v>0</v>
      </c>
      <c r="L14" s="4">
        <v>0</v>
      </c>
      <c r="M14" s="4"/>
      <c r="N14" s="4">
        <v>0</v>
      </c>
      <c r="O14" s="4">
        <v>0</v>
      </c>
      <c r="P14" s="4">
        <v>0</v>
      </c>
      <c r="Q14" s="4">
        <v>0</v>
      </c>
      <c r="R14" s="4">
        <v>-1</v>
      </c>
      <c r="S14" s="4">
        <v>0</v>
      </c>
      <c r="T14" s="4">
        <v>0</v>
      </c>
      <c r="U14" s="4">
        <v>0</v>
      </c>
    </row>
    <row r="15" spans="1:21" ht="15" customHeight="1" x14ac:dyDescent="0.2">
      <c r="A15" s="3" t="s">
        <v>34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4.7549000000000001</v>
      </c>
      <c r="J15" s="4">
        <v>8.9999999999999998E-4</v>
      </c>
      <c r="K15" s="4">
        <v>3</v>
      </c>
      <c r="L15" s="4">
        <v>3</v>
      </c>
      <c r="M15" s="4">
        <v>4.7549000000000001</v>
      </c>
      <c r="N15" s="4">
        <v>1</v>
      </c>
      <c r="O15" s="4">
        <v>0</v>
      </c>
      <c r="P15" s="4">
        <v>7</v>
      </c>
      <c r="Q15" s="4">
        <v>77.349400000000003</v>
      </c>
      <c r="R15" s="4">
        <v>0</v>
      </c>
      <c r="S15" s="4">
        <v>1</v>
      </c>
      <c r="T15" s="4">
        <v>0</v>
      </c>
      <c r="U15" s="4">
        <v>0</v>
      </c>
    </row>
    <row r="16" spans="1:21" ht="15" customHeight="1" x14ac:dyDescent="0.2">
      <c r="A16" s="3" t="s">
        <v>35</v>
      </c>
      <c r="B16" s="4">
        <v>4</v>
      </c>
      <c r="C16" s="4">
        <v>3</v>
      </c>
      <c r="D16" s="4">
        <v>0.25</v>
      </c>
      <c r="E16" s="4">
        <v>2</v>
      </c>
      <c r="F16" s="4">
        <v>1</v>
      </c>
      <c r="G16" s="4">
        <v>0</v>
      </c>
      <c r="H16" s="4">
        <v>10.2857</v>
      </c>
      <c r="I16" s="4">
        <v>1092.3242</v>
      </c>
      <c r="J16" s="4">
        <v>3.5400000000000001E-2</v>
      </c>
      <c r="K16" s="4">
        <v>25</v>
      </c>
      <c r="L16" s="4">
        <v>19</v>
      </c>
      <c r="M16" s="4">
        <v>106.1982</v>
      </c>
      <c r="N16" s="4">
        <v>0.5</v>
      </c>
      <c r="O16" s="4">
        <v>0</v>
      </c>
      <c r="P16" s="4">
        <v>23</v>
      </c>
      <c r="Q16" s="4">
        <v>55.927599999999998</v>
      </c>
      <c r="R16" s="4">
        <v>1</v>
      </c>
      <c r="S16" s="4">
        <v>4</v>
      </c>
      <c r="T16" s="4">
        <v>0</v>
      </c>
      <c r="U16" s="4">
        <v>1</v>
      </c>
    </row>
    <row r="17" spans="1:21" ht="15" customHeight="1" x14ac:dyDescent="0.2">
      <c r="A17" s="3" t="s">
        <v>36</v>
      </c>
      <c r="B17" s="4">
        <v>3</v>
      </c>
      <c r="C17" s="4">
        <v>2</v>
      </c>
      <c r="D17" s="4">
        <v>0.66669999999999996</v>
      </c>
      <c r="E17" s="4">
        <v>3</v>
      </c>
      <c r="F17" s="4">
        <v>1</v>
      </c>
      <c r="G17" s="4">
        <v>0</v>
      </c>
      <c r="H17" s="4">
        <v>10.2143</v>
      </c>
      <c r="I17" s="4">
        <v>1103.6351999999999</v>
      </c>
      <c r="J17" s="4">
        <v>3.56E-2</v>
      </c>
      <c r="K17" s="4">
        <v>25</v>
      </c>
      <c r="L17" s="4">
        <v>20</v>
      </c>
      <c r="M17" s="4">
        <v>108.04819999999999</v>
      </c>
      <c r="N17" s="4">
        <v>1</v>
      </c>
      <c r="O17" s="4">
        <v>1</v>
      </c>
      <c r="P17" s="4">
        <v>16</v>
      </c>
      <c r="Q17" s="4">
        <v>59.347499999999997</v>
      </c>
      <c r="R17" s="4">
        <v>1</v>
      </c>
      <c r="S17" s="4">
        <v>3</v>
      </c>
      <c r="T17" s="4">
        <v>1</v>
      </c>
      <c r="U17" s="4">
        <v>1</v>
      </c>
    </row>
    <row r="18" spans="1:21" ht="15" customHeight="1" x14ac:dyDescent="0.2">
      <c r="A18" s="3" t="s">
        <v>37</v>
      </c>
      <c r="B18" s="4">
        <v>4</v>
      </c>
      <c r="C18" s="4">
        <v>3</v>
      </c>
      <c r="D18" s="4">
        <v>0.75</v>
      </c>
      <c r="E18" s="4">
        <v>3</v>
      </c>
      <c r="F18" s="4">
        <v>1</v>
      </c>
      <c r="G18" s="4">
        <v>1</v>
      </c>
      <c r="H18" s="4">
        <v>14.375</v>
      </c>
      <c r="I18" s="4">
        <v>2597.3573000000001</v>
      </c>
      <c r="J18" s="4">
        <v>6.3E-2</v>
      </c>
      <c r="K18" s="4">
        <v>38</v>
      </c>
      <c r="L18" s="4">
        <v>27</v>
      </c>
      <c r="M18" s="4">
        <v>180.6857</v>
      </c>
      <c r="N18" s="4">
        <v>0</v>
      </c>
      <c r="O18" s="4">
        <v>1</v>
      </c>
      <c r="P18" s="4">
        <v>27</v>
      </c>
      <c r="Q18" s="4">
        <v>52.798400000000001</v>
      </c>
      <c r="R18" s="4">
        <v>2</v>
      </c>
      <c r="S18" s="4">
        <v>5</v>
      </c>
      <c r="T18" s="4">
        <v>1</v>
      </c>
      <c r="U18" s="4">
        <v>0</v>
      </c>
    </row>
    <row r="19" spans="1:21" ht="15" customHeight="1" x14ac:dyDescent="0.2">
      <c r="A19" s="3" t="s">
        <v>38</v>
      </c>
      <c r="B19" s="4">
        <v>3</v>
      </c>
      <c r="C19" s="4">
        <v>2</v>
      </c>
      <c r="D19" s="4">
        <v>1</v>
      </c>
      <c r="E19" s="4">
        <v>2</v>
      </c>
      <c r="F19" s="4">
        <v>1</v>
      </c>
      <c r="G19" s="4">
        <v>0</v>
      </c>
      <c r="H19" s="4">
        <v>5.8333000000000004</v>
      </c>
      <c r="I19" s="4">
        <v>232.535</v>
      </c>
      <c r="J19" s="4">
        <v>1.26E-2</v>
      </c>
      <c r="K19" s="4">
        <v>12</v>
      </c>
      <c r="L19" s="4">
        <v>10</v>
      </c>
      <c r="M19" s="4">
        <v>39.863100000000003</v>
      </c>
      <c r="N19" s="4">
        <v>1</v>
      </c>
      <c r="O19" s="4">
        <v>1</v>
      </c>
      <c r="P19" s="4">
        <v>19</v>
      </c>
      <c r="Q19" s="4">
        <v>60.816899999999997</v>
      </c>
      <c r="R19" s="4">
        <v>0</v>
      </c>
      <c r="S19" s="4">
        <v>3</v>
      </c>
      <c r="T19" s="4">
        <v>1</v>
      </c>
      <c r="U19" s="4">
        <v>0</v>
      </c>
    </row>
    <row r="20" spans="1:21" ht="15" customHeight="1" x14ac:dyDescent="0.2">
      <c r="A20" s="3" t="s">
        <v>39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4.7549000000000001</v>
      </c>
      <c r="J20" s="4">
        <v>8.9999999999999998E-4</v>
      </c>
      <c r="K20" s="4">
        <v>3</v>
      </c>
      <c r="L20" s="4">
        <v>3</v>
      </c>
      <c r="M20" s="4">
        <v>4.7549000000000001</v>
      </c>
      <c r="N20" s="4">
        <v>1</v>
      </c>
      <c r="O20" s="4">
        <v>0</v>
      </c>
      <c r="P20" s="4">
        <v>10</v>
      </c>
      <c r="Q20" s="4">
        <v>73.970399999999998</v>
      </c>
      <c r="R20" s="4">
        <v>0</v>
      </c>
      <c r="S20" s="4">
        <v>1</v>
      </c>
      <c r="T20" s="4">
        <v>0</v>
      </c>
      <c r="U20" s="4">
        <v>0</v>
      </c>
    </row>
    <row r="21" spans="1:21" ht="15" customHeight="1" x14ac:dyDescent="0.2">
      <c r="A21" s="3" t="s">
        <v>40</v>
      </c>
      <c r="B21" s="4">
        <v>3</v>
      </c>
      <c r="C21" s="4">
        <v>2</v>
      </c>
      <c r="D21" s="4">
        <v>1</v>
      </c>
      <c r="E21" s="4">
        <v>3</v>
      </c>
      <c r="F21" s="4">
        <v>1</v>
      </c>
      <c r="G21" s="4">
        <v>0</v>
      </c>
      <c r="H21" s="4">
        <v>8</v>
      </c>
      <c r="I21" s="4">
        <v>562.59220000000005</v>
      </c>
      <c r="J21" s="4">
        <v>2.2700000000000001E-2</v>
      </c>
      <c r="K21" s="4">
        <v>18</v>
      </c>
      <c r="L21" s="4">
        <v>15</v>
      </c>
      <c r="M21" s="4">
        <v>70.323999999999998</v>
      </c>
      <c r="N21" s="4">
        <v>1</v>
      </c>
      <c r="O21" s="4">
        <v>1</v>
      </c>
      <c r="P21" s="4">
        <v>21</v>
      </c>
      <c r="Q21" s="4">
        <v>58.09</v>
      </c>
      <c r="R21" s="4">
        <v>0</v>
      </c>
      <c r="S21" s="4">
        <v>4</v>
      </c>
      <c r="T21" s="4">
        <v>1</v>
      </c>
      <c r="U21" s="4">
        <v>1</v>
      </c>
    </row>
    <row r="22" spans="1:21" ht="15" customHeight="1" x14ac:dyDescent="0.2">
      <c r="A22" s="3" t="s">
        <v>41</v>
      </c>
      <c r="B22" s="4">
        <v>3</v>
      </c>
      <c r="C22" s="4">
        <v>2</v>
      </c>
      <c r="D22" s="4">
        <v>1</v>
      </c>
      <c r="E22" s="4">
        <v>2</v>
      </c>
      <c r="F22" s="4">
        <v>1</v>
      </c>
      <c r="G22" s="4">
        <v>0</v>
      </c>
      <c r="H22" s="4">
        <v>6.6666999999999996</v>
      </c>
      <c r="I22" s="4">
        <v>299.81740000000002</v>
      </c>
      <c r="J22" s="4">
        <v>1.49E-2</v>
      </c>
      <c r="K22" s="4">
        <v>13</v>
      </c>
      <c r="L22" s="4">
        <v>11</v>
      </c>
      <c r="M22" s="4">
        <v>44.9726</v>
      </c>
      <c r="N22" s="4">
        <v>1</v>
      </c>
      <c r="O22" s="4">
        <v>1</v>
      </c>
      <c r="P22" s="4">
        <v>19</v>
      </c>
      <c r="Q22" s="4">
        <v>60.450099999999999</v>
      </c>
      <c r="R22" s="4">
        <v>0</v>
      </c>
      <c r="S22" s="4">
        <v>3</v>
      </c>
      <c r="T22" s="4">
        <v>1</v>
      </c>
      <c r="U22" s="4">
        <v>0</v>
      </c>
    </row>
    <row r="23" spans="1:21" ht="15" customHeight="1" x14ac:dyDescent="0.2">
      <c r="A23" s="3" t="s">
        <v>42</v>
      </c>
      <c r="B23" s="4">
        <v>4</v>
      </c>
      <c r="C23" s="4">
        <v>0</v>
      </c>
      <c r="D23" s="4">
        <v>0.25</v>
      </c>
      <c r="E23" s="4">
        <v>4</v>
      </c>
      <c r="F23" s="4">
        <v>0</v>
      </c>
      <c r="G23" s="4">
        <v>1</v>
      </c>
      <c r="H23" s="4">
        <v>14.4</v>
      </c>
      <c r="I23" s="4">
        <v>1589.2056</v>
      </c>
      <c r="J23" s="4">
        <v>4.5400000000000003E-2</v>
      </c>
      <c r="K23" s="4">
        <v>27</v>
      </c>
      <c r="L23" s="4">
        <v>17</v>
      </c>
      <c r="M23" s="4">
        <v>110.36150000000001</v>
      </c>
      <c r="N23" s="4">
        <v>0</v>
      </c>
      <c r="O23" s="4">
        <v>0</v>
      </c>
      <c r="P23" s="4">
        <v>12</v>
      </c>
      <c r="Q23" s="4">
        <v>61.978499999999997</v>
      </c>
      <c r="R23" s="4">
        <v>0</v>
      </c>
      <c r="S23" s="4">
        <v>2</v>
      </c>
      <c r="T23" s="4">
        <v>0</v>
      </c>
      <c r="U23" s="4">
        <v>1</v>
      </c>
    </row>
    <row r="24" spans="1:21" ht="15" customHeight="1" x14ac:dyDescent="0.2">
      <c r="A24" s="3" t="s">
        <v>43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4.7549000000000001</v>
      </c>
      <c r="J24" s="4">
        <v>8.9999999999999998E-4</v>
      </c>
      <c r="K24" s="4">
        <v>3</v>
      </c>
      <c r="L24" s="4">
        <v>3</v>
      </c>
      <c r="M24" s="4">
        <v>4.7549000000000001</v>
      </c>
      <c r="N24" s="4">
        <v>1</v>
      </c>
      <c r="O24" s="4">
        <v>0</v>
      </c>
      <c r="P24" s="4">
        <v>7</v>
      </c>
      <c r="Q24" s="4">
        <v>77.349400000000003</v>
      </c>
      <c r="R24" s="4">
        <v>0</v>
      </c>
      <c r="S24" s="4">
        <v>1</v>
      </c>
      <c r="T24" s="4">
        <v>0</v>
      </c>
      <c r="U24" s="4">
        <v>0</v>
      </c>
    </row>
    <row r="25" spans="1:21" ht="15" customHeight="1" x14ac:dyDescent="0.2">
      <c r="A25" s="3" t="s">
        <v>44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4</v>
      </c>
      <c r="L25" s="4">
        <v>4</v>
      </c>
      <c r="M25" s="4">
        <v>8</v>
      </c>
      <c r="N25" s="4">
        <v>0</v>
      </c>
      <c r="O25" s="4">
        <v>0</v>
      </c>
      <c r="P25" s="4">
        <v>7</v>
      </c>
      <c r="Q25" s="4">
        <v>75.241600000000005</v>
      </c>
      <c r="R25" s="4">
        <v>0</v>
      </c>
      <c r="S25" s="4">
        <v>0</v>
      </c>
      <c r="T25" s="4">
        <v>0</v>
      </c>
      <c r="U25" s="4">
        <v>0</v>
      </c>
    </row>
    <row r="26" spans="1:21" ht="15" customHeight="1" x14ac:dyDescent="0.2">
      <c r="A26" s="3" t="s">
        <v>45</v>
      </c>
      <c r="B26" s="4">
        <v>2</v>
      </c>
      <c r="C26" s="4">
        <v>1</v>
      </c>
      <c r="D26" s="4">
        <v>1</v>
      </c>
      <c r="E26" s="4">
        <v>1</v>
      </c>
      <c r="F26" s="4">
        <v>0</v>
      </c>
      <c r="G26" s="4">
        <v>1</v>
      </c>
      <c r="H26" s="4">
        <v>3.75</v>
      </c>
      <c r="I26" s="4">
        <v>137.02950000000001</v>
      </c>
      <c r="J26" s="4">
        <v>8.8999999999999999E-3</v>
      </c>
      <c r="K26" s="4">
        <v>11</v>
      </c>
      <c r="L26" s="4">
        <v>10</v>
      </c>
      <c r="M26" s="4">
        <v>36.541200000000003</v>
      </c>
      <c r="N26" s="4">
        <v>0</v>
      </c>
      <c r="O26" s="4">
        <v>1</v>
      </c>
      <c r="P26" s="4">
        <v>11</v>
      </c>
      <c r="Q26" s="4">
        <v>66.292599999999993</v>
      </c>
      <c r="R26" s="4">
        <v>0</v>
      </c>
      <c r="S26" s="4">
        <v>3</v>
      </c>
      <c r="T26" s="4">
        <v>1</v>
      </c>
      <c r="U26" s="4">
        <v>1</v>
      </c>
    </row>
    <row r="27" spans="1:21" ht="15" customHeight="1" x14ac:dyDescent="0.2">
      <c r="A27" s="3" t="s">
        <v>46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4.5</v>
      </c>
      <c r="I27" s="4">
        <v>121.5</v>
      </c>
      <c r="J27" s="4">
        <v>8.2000000000000007E-3</v>
      </c>
      <c r="K27" s="4">
        <v>9</v>
      </c>
      <c r="L27" s="4">
        <v>8</v>
      </c>
      <c r="M27" s="4">
        <v>27</v>
      </c>
      <c r="N27" s="4">
        <v>0</v>
      </c>
      <c r="O27" s="4">
        <v>0</v>
      </c>
      <c r="P27" s="4">
        <v>11</v>
      </c>
      <c r="Q27" s="4">
        <v>67.375399999999999</v>
      </c>
      <c r="R27" s="4">
        <v>0</v>
      </c>
      <c r="S27" s="4">
        <v>1</v>
      </c>
      <c r="T27" s="4">
        <v>0</v>
      </c>
      <c r="U27" s="4">
        <v>1</v>
      </c>
    </row>
    <row r="28" spans="1:21" ht="15" customHeight="1" x14ac:dyDescent="0.2">
      <c r="A28" s="3" t="s">
        <v>47</v>
      </c>
      <c r="B28" s="4">
        <v>1</v>
      </c>
      <c r="C28" s="4">
        <v>0</v>
      </c>
      <c r="D28" s="4">
        <v>0.5</v>
      </c>
      <c r="E28" s="4">
        <v>2</v>
      </c>
      <c r="F28" s="4">
        <v>0</v>
      </c>
      <c r="G28" s="4">
        <v>1</v>
      </c>
      <c r="H28" s="4">
        <v>3.5</v>
      </c>
      <c r="I28" s="4">
        <v>157.4041</v>
      </c>
      <c r="J28" s="4">
        <v>9.7000000000000003E-3</v>
      </c>
      <c r="K28" s="4">
        <v>13</v>
      </c>
      <c r="L28" s="4">
        <v>11</v>
      </c>
      <c r="M28" s="4">
        <v>44.9726</v>
      </c>
      <c r="N28" s="4">
        <v>0</v>
      </c>
      <c r="O28" s="4">
        <v>0</v>
      </c>
      <c r="P28" s="4">
        <v>14</v>
      </c>
      <c r="Q28" s="4">
        <v>63.490900000000003</v>
      </c>
      <c r="R28" s="4">
        <v>0</v>
      </c>
      <c r="S28" s="4">
        <v>1</v>
      </c>
      <c r="T28" s="4">
        <v>0</v>
      </c>
      <c r="U28" s="4">
        <v>0</v>
      </c>
    </row>
    <row r="29" spans="1:21" ht="15" customHeight="1" x14ac:dyDescent="0.2">
      <c r="A29" s="3" t="s">
        <v>48</v>
      </c>
      <c r="B29" s="4">
        <v>3</v>
      </c>
      <c r="C29" s="4">
        <v>2</v>
      </c>
      <c r="D29" s="4">
        <v>1</v>
      </c>
      <c r="E29" s="4">
        <v>1</v>
      </c>
      <c r="F29" s="4">
        <v>1</v>
      </c>
      <c r="G29" s="4">
        <v>0</v>
      </c>
      <c r="H29" s="4">
        <v>6.125</v>
      </c>
      <c r="I29" s="4">
        <v>317.83530000000002</v>
      </c>
      <c r="J29" s="4">
        <v>1.55E-2</v>
      </c>
      <c r="K29" s="4">
        <v>15</v>
      </c>
      <c r="L29" s="4">
        <v>11</v>
      </c>
      <c r="M29" s="4">
        <v>51.891500000000001</v>
      </c>
      <c r="N29" s="4">
        <v>1</v>
      </c>
      <c r="O29" s="4">
        <v>1</v>
      </c>
      <c r="P29" s="4">
        <v>20</v>
      </c>
      <c r="Q29" s="4">
        <v>59.5152</v>
      </c>
      <c r="R29" s="4">
        <v>0</v>
      </c>
      <c r="S29" s="4">
        <v>3</v>
      </c>
      <c r="T29" s="4">
        <v>1</v>
      </c>
      <c r="U29" s="4">
        <v>1</v>
      </c>
    </row>
    <row r="30" spans="1:21" ht="15" customHeight="1" x14ac:dyDescent="0.2">
      <c r="A30" s="3" t="s">
        <v>49</v>
      </c>
      <c r="B30" s="4">
        <v>9</v>
      </c>
      <c r="C30" s="4">
        <v>5</v>
      </c>
      <c r="D30" s="4">
        <v>0.5</v>
      </c>
      <c r="E30" s="4">
        <v>6</v>
      </c>
      <c r="F30" s="4">
        <v>0</v>
      </c>
      <c r="G30" s="4">
        <v>1</v>
      </c>
      <c r="H30" s="4">
        <v>27</v>
      </c>
      <c r="I30" s="4">
        <v>12198.390299999999</v>
      </c>
      <c r="J30" s="4">
        <v>0.17660000000000001</v>
      </c>
      <c r="K30" s="4">
        <v>93</v>
      </c>
      <c r="L30" s="4">
        <v>29</v>
      </c>
      <c r="M30" s="4">
        <v>451.79219999999998</v>
      </c>
      <c r="N30" s="4">
        <v>0</v>
      </c>
      <c r="O30" s="4">
        <v>1</v>
      </c>
      <c r="P30" s="4">
        <v>27</v>
      </c>
      <c r="Q30" s="4">
        <v>49.8962</v>
      </c>
      <c r="R30" s="4">
        <v>1</v>
      </c>
      <c r="S30" s="4">
        <v>10</v>
      </c>
      <c r="T30" s="4">
        <v>4</v>
      </c>
      <c r="U30" s="4">
        <v>2</v>
      </c>
    </row>
    <row r="31" spans="1:21" ht="15" customHeight="1" x14ac:dyDescent="0.2">
      <c r="A31" s="3" t="s">
        <v>50</v>
      </c>
      <c r="B31" s="4">
        <v>5</v>
      </c>
      <c r="C31" s="4">
        <v>1</v>
      </c>
      <c r="D31" s="4">
        <v>0.2</v>
      </c>
      <c r="E31" s="4">
        <v>1</v>
      </c>
      <c r="F31" s="4">
        <v>0</v>
      </c>
      <c r="G31" s="4">
        <v>1</v>
      </c>
      <c r="H31" s="4">
        <v>8.125</v>
      </c>
      <c r="I31" s="4">
        <v>982.53859999999997</v>
      </c>
      <c r="J31" s="4">
        <v>3.2899999999999999E-2</v>
      </c>
      <c r="K31" s="4">
        <v>29</v>
      </c>
      <c r="L31" s="4">
        <v>18</v>
      </c>
      <c r="M31" s="4">
        <v>120.9278</v>
      </c>
      <c r="N31" s="4">
        <v>0</v>
      </c>
      <c r="O31" s="4">
        <v>0</v>
      </c>
      <c r="P31" s="4">
        <v>23</v>
      </c>
      <c r="Q31" s="4">
        <v>55.520400000000002</v>
      </c>
      <c r="R31" s="4">
        <v>1</v>
      </c>
      <c r="S31" s="4">
        <v>6</v>
      </c>
      <c r="T31" s="4">
        <v>0</v>
      </c>
      <c r="U31" s="4">
        <v>2</v>
      </c>
    </row>
    <row r="32" spans="1:21" ht="15" customHeight="1" x14ac:dyDescent="0.2">
      <c r="A32" s="3" t="s">
        <v>51</v>
      </c>
      <c r="B32" s="4">
        <v>2</v>
      </c>
      <c r="C32" s="4">
        <v>1</v>
      </c>
      <c r="D32" s="4">
        <v>0.75</v>
      </c>
      <c r="E32" s="4">
        <v>4</v>
      </c>
      <c r="F32" s="4">
        <v>0</v>
      </c>
      <c r="G32" s="4">
        <v>0</v>
      </c>
      <c r="H32" s="4">
        <v>15.166700000000001</v>
      </c>
      <c r="I32" s="4">
        <v>2512.6491000000001</v>
      </c>
      <c r="J32" s="4">
        <v>6.1600000000000002E-2</v>
      </c>
      <c r="K32" s="4">
        <v>39</v>
      </c>
      <c r="L32" s="4">
        <v>19</v>
      </c>
      <c r="M32" s="4">
        <v>165.66919999999999</v>
      </c>
      <c r="N32" s="4">
        <v>0</v>
      </c>
      <c r="O32" s="4">
        <v>1</v>
      </c>
      <c r="P32" s="4">
        <v>12</v>
      </c>
      <c r="Q32" s="4">
        <v>60.838700000000003</v>
      </c>
      <c r="R32" s="4">
        <v>1</v>
      </c>
      <c r="S32" s="4">
        <v>2</v>
      </c>
      <c r="T32" s="4">
        <v>1</v>
      </c>
      <c r="U32" s="4">
        <v>1</v>
      </c>
    </row>
    <row r="33" spans="1:21" ht="15" customHeight="1" x14ac:dyDescent="0.2">
      <c r="A33" s="3" t="s">
        <v>52</v>
      </c>
      <c r="B33" s="4">
        <v>2</v>
      </c>
      <c r="C33" s="4">
        <v>1</v>
      </c>
      <c r="D33" s="4">
        <v>0.75</v>
      </c>
      <c r="E33" s="4">
        <v>4</v>
      </c>
      <c r="F33" s="4">
        <v>0</v>
      </c>
      <c r="G33" s="4">
        <v>0</v>
      </c>
      <c r="H33" s="4">
        <v>15</v>
      </c>
      <c r="I33" s="4">
        <v>2564.5039000000002</v>
      </c>
      <c r="J33" s="4">
        <v>6.25E-2</v>
      </c>
      <c r="K33" s="4">
        <v>41</v>
      </c>
      <c r="L33" s="4">
        <v>18</v>
      </c>
      <c r="M33" s="4">
        <v>170.96690000000001</v>
      </c>
      <c r="N33" s="4">
        <v>0</v>
      </c>
      <c r="O33" s="4">
        <v>1</v>
      </c>
      <c r="P33" s="4">
        <v>12</v>
      </c>
      <c r="Q33" s="4">
        <v>60.747900000000001</v>
      </c>
      <c r="R33" s="4">
        <v>1</v>
      </c>
      <c r="S33" s="4">
        <v>2</v>
      </c>
      <c r="T33" s="4">
        <v>1</v>
      </c>
      <c r="U33" s="4">
        <v>1</v>
      </c>
    </row>
    <row r="34" spans="1:21" ht="15" customHeight="1" x14ac:dyDescent="0.2">
      <c r="A34" s="3" t="s">
        <v>53</v>
      </c>
      <c r="B34" s="4">
        <v>3</v>
      </c>
      <c r="C34" s="4">
        <v>2</v>
      </c>
      <c r="D34" s="4">
        <v>0.75</v>
      </c>
      <c r="E34" s="4">
        <v>4</v>
      </c>
      <c r="F34" s="4">
        <v>0</v>
      </c>
      <c r="G34" s="4">
        <v>0</v>
      </c>
      <c r="H34" s="4">
        <v>14.857100000000001</v>
      </c>
      <c r="I34" s="4">
        <v>2568.4600999999998</v>
      </c>
      <c r="J34" s="4">
        <v>6.25E-2</v>
      </c>
      <c r="K34" s="4">
        <v>40</v>
      </c>
      <c r="L34" s="4">
        <v>20</v>
      </c>
      <c r="M34" s="4">
        <v>172.87710000000001</v>
      </c>
      <c r="N34" s="4">
        <v>0</v>
      </c>
      <c r="O34" s="4">
        <v>1</v>
      </c>
      <c r="P34" s="4">
        <v>13</v>
      </c>
      <c r="Q34" s="4">
        <v>59.899500000000003</v>
      </c>
      <c r="R34" s="4">
        <v>1</v>
      </c>
      <c r="S34" s="4">
        <v>3</v>
      </c>
      <c r="T34" s="4">
        <v>2</v>
      </c>
      <c r="U34" s="4">
        <v>1</v>
      </c>
    </row>
    <row r="35" spans="1:21" ht="15" customHeight="1" x14ac:dyDescent="0.2">
      <c r="A35" s="3" t="s">
        <v>54</v>
      </c>
      <c r="B35" s="4">
        <v>2</v>
      </c>
      <c r="C35" s="4">
        <v>1</v>
      </c>
      <c r="D35" s="4">
        <v>0.75</v>
      </c>
      <c r="E35" s="4">
        <v>4</v>
      </c>
      <c r="F35" s="4">
        <v>0</v>
      </c>
      <c r="G35" s="4">
        <v>0</v>
      </c>
      <c r="H35" s="4">
        <v>18.2</v>
      </c>
      <c r="I35" s="4">
        <v>2959.8128000000002</v>
      </c>
      <c r="J35" s="4">
        <v>6.8699999999999997E-2</v>
      </c>
      <c r="K35" s="4">
        <v>39</v>
      </c>
      <c r="L35" s="4">
        <v>18</v>
      </c>
      <c r="M35" s="4">
        <v>162.62710000000001</v>
      </c>
      <c r="N35" s="4">
        <v>0</v>
      </c>
      <c r="O35" s="4">
        <v>1</v>
      </c>
      <c r="P35" s="4">
        <v>12</v>
      </c>
      <c r="Q35" s="4">
        <v>60.894500000000001</v>
      </c>
      <c r="R35" s="4">
        <v>1</v>
      </c>
      <c r="S35" s="4">
        <v>2</v>
      </c>
      <c r="T35" s="4">
        <v>1</v>
      </c>
      <c r="U35" s="4">
        <v>1</v>
      </c>
    </row>
    <row r="36" spans="1:21" ht="15" customHeight="1" x14ac:dyDescent="0.2">
      <c r="A36" s="3" t="s">
        <v>55</v>
      </c>
      <c r="B36" s="4">
        <v>1</v>
      </c>
      <c r="C36" s="4">
        <v>0</v>
      </c>
      <c r="D36" s="4">
        <v>1</v>
      </c>
      <c r="E36" s="4">
        <v>1</v>
      </c>
      <c r="F36" s="4">
        <v>0</v>
      </c>
      <c r="G36" s="4">
        <v>0</v>
      </c>
      <c r="H36" s="4">
        <v>2.5</v>
      </c>
      <c r="I36" s="4">
        <v>280</v>
      </c>
      <c r="J36" s="4">
        <v>1.43E-2</v>
      </c>
      <c r="K36" s="4">
        <v>28</v>
      </c>
      <c r="L36" s="4">
        <v>16</v>
      </c>
      <c r="M36" s="4">
        <v>112</v>
      </c>
      <c r="N36" s="4">
        <v>1</v>
      </c>
      <c r="O36" s="4">
        <v>0</v>
      </c>
      <c r="P36" s="4">
        <v>14</v>
      </c>
      <c r="Q36" s="4">
        <v>60.649799999999999</v>
      </c>
      <c r="R36" s="4">
        <v>0</v>
      </c>
      <c r="S36" s="4">
        <v>10</v>
      </c>
      <c r="T36" s="4">
        <v>0</v>
      </c>
      <c r="U36" s="4">
        <v>1</v>
      </c>
    </row>
    <row r="37" spans="1:21" ht="15" customHeight="1" x14ac:dyDescent="0.2">
      <c r="A37" s="3" t="s">
        <v>56</v>
      </c>
      <c r="B37" s="4">
        <v>18</v>
      </c>
      <c r="C37" s="4">
        <v>17</v>
      </c>
      <c r="D37" s="4">
        <v>0.5</v>
      </c>
      <c r="E37" s="4">
        <v>8</v>
      </c>
      <c r="F37" s="4">
        <v>3</v>
      </c>
      <c r="G37" s="4">
        <v>0</v>
      </c>
      <c r="H37" s="4">
        <v>40.363599999999998</v>
      </c>
      <c r="I37" s="4">
        <v>30098.391199999998</v>
      </c>
      <c r="J37" s="4">
        <v>0.32250000000000001</v>
      </c>
      <c r="K37" s="4">
        <v>135</v>
      </c>
      <c r="L37" s="4">
        <v>46</v>
      </c>
      <c r="M37" s="4">
        <v>745.68089999999995</v>
      </c>
      <c r="N37" s="4">
        <v>1</v>
      </c>
      <c r="O37" s="4">
        <v>2</v>
      </c>
      <c r="P37" s="4">
        <v>43</v>
      </c>
      <c r="Q37" s="4">
        <v>43.867899999999999</v>
      </c>
      <c r="R37" s="4">
        <v>4</v>
      </c>
      <c r="S37" s="4">
        <v>22</v>
      </c>
      <c r="T37" s="4">
        <v>9</v>
      </c>
      <c r="U37" s="4">
        <v>4</v>
      </c>
    </row>
    <row r="38" spans="1:21" ht="15" customHeight="1" x14ac:dyDescent="0.2">
      <c r="A38" s="3" t="s">
        <v>57</v>
      </c>
      <c r="B38" s="4">
        <v>3</v>
      </c>
      <c r="C38" s="4">
        <v>2</v>
      </c>
      <c r="D38" s="4">
        <v>0.4</v>
      </c>
      <c r="E38" s="4">
        <v>4</v>
      </c>
      <c r="F38" s="4">
        <v>1</v>
      </c>
      <c r="G38" s="4">
        <v>0</v>
      </c>
      <c r="H38" s="4">
        <v>12.833299999999999</v>
      </c>
      <c r="I38" s="4">
        <v>2533.5369999999998</v>
      </c>
      <c r="J38" s="4">
        <v>6.1899999999999997E-2</v>
      </c>
      <c r="K38" s="4">
        <v>42</v>
      </c>
      <c r="L38" s="4">
        <v>26</v>
      </c>
      <c r="M38" s="4">
        <v>197.41849999999999</v>
      </c>
      <c r="N38" s="4">
        <v>1</v>
      </c>
      <c r="O38" s="4">
        <v>1</v>
      </c>
      <c r="P38" s="4">
        <v>30</v>
      </c>
      <c r="Q38" s="4">
        <v>51.564500000000002</v>
      </c>
      <c r="R38" s="4">
        <v>1</v>
      </c>
      <c r="S38" s="4">
        <v>8</v>
      </c>
      <c r="T38" s="4">
        <v>1</v>
      </c>
      <c r="U38" s="4">
        <v>1</v>
      </c>
    </row>
    <row r="39" spans="1:21" ht="15" customHeight="1" x14ac:dyDescent="0.2">
      <c r="A39" s="3" t="s">
        <v>58</v>
      </c>
      <c r="B39" s="4">
        <v>3</v>
      </c>
      <c r="C39" s="4">
        <v>2</v>
      </c>
      <c r="D39" s="4">
        <v>0.4</v>
      </c>
      <c r="E39" s="4">
        <v>4</v>
      </c>
      <c r="F39" s="4">
        <v>1</v>
      </c>
      <c r="G39" s="4">
        <v>0</v>
      </c>
      <c r="H39" s="4">
        <v>12.833299999999999</v>
      </c>
      <c r="I39" s="4">
        <v>2533.5369999999998</v>
      </c>
      <c r="J39" s="4">
        <v>6.1899999999999997E-2</v>
      </c>
      <c r="K39" s="4">
        <v>42</v>
      </c>
      <c r="L39" s="4">
        <v>26</v>
      </c>
      <c r="M39" s="4">
        <v>197.41849999999999</v>
      </c>
      <c r="N39" s="4">
        <v>1</v>
      </c>
      <c r="O39" s="4">
        <v>1</v>
      </c>
      <c r="P39" s="4">
        <v>22</v>
      </c>
      <c r="Q39" s="4">
        <v>54.502800000000001</v>
      </c>
      <c r="R39" s="4">
        <v>1</v>
      </c>
      <c r="S39" s="4">
        <v>8</v>
      </c>
      <c r="T39" s="4">
        <v>1</v>
      </c>
      <c r="U39" s="4">
        <v>1</v>
      </c>
    </row>
    <row r="40" spans="1:21" ht="15" customHeight="1" x14ac:dyDescent="0.2">
      <c r="A40" s="3" t="s">
        <v>59</v>
      </c>
      <c r="B40" s="4">
        <v>6</v>
      </c>
      <c r="C40" s="4">
        <v>6</v>
      </c>
      <c r="D40" s="4">
        <v>0.6</v>
      </c>
      <c r="E40" s="4">
        <v>4</v>
      </c>
      <c r="F40" s="4">
        <v>2</v>
      </c>
      <c r="G40" s="4">
        <v>0</v>
      </c>
      <c r="H40" s="4">
        <v>24.7273</v>
      </c>
      <c r="I40" s="4">
        <v>7607.8576999999996</v>
      </c>
      <c r="J40" s="4">
        <v>0.12889999999999999</v>
      </c>
      <c r="K40" s="4">
        <v>64</v>
      </c>
      <c r="L40" s="4">
        <v>28</v>
      </c>
      <c r="M40" s="4">
        <v>307.67070000000001</v>
      </c>
      <c r="N40" s="4">
        <v>1</v>
      </c>
      <c r="O40" s="4">
        <v>0</v>
      </c>
      <c r="P40" s="4">
        <v>33</v>
      </c>
      <c r="Q40" s="4">
        <v>49.219200000000001</v>
      </c>
      <c r="R40" s="4">
        <v>2</v>
      </c>
      <c r="S40" s="4">
        <v>8</v>
      </c>
      <c r="T40" s="4">
        <v>0</v>
      </c>
      <c r="U40" s="4">
        <v>2</v>
      </c>
    </row>
    <row r="41" spans="1:21" ht="15" customHeight="1" x14ac:dyDescent="0.2">
      <c r="A41" s="3" t="s">
        <v>60</v>
      </c>
      <c r="B41" s="4">
        <v>5</v>
      </c>
      <c r="C41" s="4">
        <v>4</v>
      </c>
      <c r="D41" s="4">
        <v>0.6</v>
      </c>
      <c r="E41" s="4">
        <v>4</v>
      </c>
      <c r="F41" s="4">
        <v>1</v>
      </c>
      <c r="G41" s="4">
        <v>0</v>
      </c>
      <c r="H41" s="4">
        <v>28.928599999999999</v>
      </c>
      <c r="I41" s="4">
        <v>6579.2542999999996</v>
      </c>
      <c r="J41" s="4">
        <v>0.11700000000000001</v>
      </c>
      <c r="K41" s="4">
        <v>51</v>
      </c>
      <c r="L41" s="4">
        <v>22</v>
      </c>
      <c r="M41" s="4">
        <v>227.43100000000001</v>
      </c>
      <c r="N41" s="4">
        <v>1</v>
      </c>
      <c r="O41" s="4">
        <v>0</v>
      </c>
      <c r="P41" s="4">
        <v>19</v>
      </c>
      <c r="Q41" s="4">
        <v>55.3919</v>
      </c>
      <c r="R41" s="4">
        <v>0</v>
      </c>
      <c r="S41" s="4">
        <v>4</v>
      </c>
      <c r="T41" s="4">
        <v>0</v>
      </c>
      <c r="U41" s="4">
        <v>2</v>
      </c>
    </row>
    <row r="42" spans="1:21" ht="15" customHeight="1" x14ac:dyDescent="0.2">
      <c r="A42" s="3" t="s">
        <v>61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4.7549000000000001</v>
      </c>
      <c r="J42" s="4">
        <v>8.9999999999999998E-4</v>
      </c>
      <c r="K42" s="4">
        <v>3</v>
      </c>
      <c r="L42" s="4">
        <v>3</v>
      </c>
      <c r="M42" s="4">
        <v>4.7549000000000001</v>
      </c>
      <c r="N42" s="4">
        <v>1</v>
      </c>
      <c r="O42" s="4">
        <v>0</v>
      </c>
      <c r="P42" s="4">
        <v>5</v>
      </c>
      <c r="Q42" s="4">
        <v>80.537099999999995</v>
      </c>
      <c r="R42" s="4">
        <v>0</v>
      </c>
      <c r="S42" s="4">
        <v>1</v>
      </c>
      <c r="T42" s="4">
        <v>0</v>
      </c>
      <c r="U42" s="4">
        <v>0</v>
      </c>
    </row>
    <row r="43" spans="1:21" ht="15" customHeight="1" x14ac:dyDescent="0.2">
      <c r="A43" s="3" t="s">
        <v>62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4.7549000000000001</v>
      </c>
      <c r="J43" s="4">
        <v>8.9999999999999998E-4</v>
      </c>
      <c r="K43" s="4">
        <v>3</v>
      </c>
      <c r="L43" s="4">
        <v>3</v>
      </c>
      <c r="M43" s="4">
        <v>4.7549000000000001</v>
      </c>
      <c r="N43" s="4">
        <v>1</v>
      </c>
      <c r="O43" s="4">
        <v>0</v>
      </c>
      <c r="P43" s="4">
        <v>5</v>
      </c>
      <c r="Q43" s="4">
        <v>80.537099999999995</v>
      </c>
      <c r="R43" s="4">
        <v>0</v>
      </c>
      <c r="S43" s="4">
        <v>1</v>
      </c>
      <c r="T43" s="4">
        <v>0</v>
      </c>
      <c r="U43" s="4">
        <v>0</v>
      </c>
    </row>
    <row r="44" spans="1:21" ht="15" customHeight="1" x14ac:dyDescent="0.2">
      <c r="A44" s="3" t="s">
        <v>63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2</v>
      </c>
      <c r="I44" s="4">
        <v>23.2193</v>
      </c>
      <c r="J44" s="4">
        <v>2.7000000000000001E-3</v>
      </c>
      <c r="K44" s="4">
        <v>5</v>
      </c>
      <c r="L44" s="4">
        <v>5</v>
      </c>
      <c r="M44" s="4">
        <v>11.6096</v>
      </c>
      <c r="N44" s="4">
        <v>1</v>
      </c>
      <c r="O44" s="4">
        <v>0</v>
      </c>
      <c r="P44" s="4">
        <v>5</v>
      </c>
      <c r="Q44" s="4">
        <v>77.460800000000006</v>
      </c>
      <c r="R44" s="4">
        <v>0</v>
      </c>
      <c r="S44" s="4">
        <v>1</v>
      </c>
      <c r="T44" s="4">
        <v>0</v>
      </c>
      <c r="U44" s="4">
        <v>0</v>
      </c>
    </row>
    <row r="45" spans="1:21" ht="15" customHeight="1" x14ac:dyDescent="0.2">
      <c r="A45" s="3" t="s">
        <v>64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2</v>
      </c>
      <c r="I45" s="4">
        <v>23.2193</v>
      </c>
      <c r="J45" s="4">
        <v>2.7000000000000001E-3</v>
      </c>
      <c r="K45" s="4">
        <v>5</v>
      </c>
      <c r="L45" s="4">
        <v>5</v>
      </c>
      <c r="M45" s="4">
        <v>11.6096</v>
      </c>
      <c r="N45" s="4">
        <v>1</v>
      </c>
      <c r="O45" s="4">
        <v>0</v>
      </c>
      <c r="P45" s="4">
        <v>5</v>
      </c>
      <c r="Q45" s="4">
        <v>77.460800000000006</v>
      </c>
      <c r="R45" s="4">
        <v>0</v>
      </c>
      <c r="S45" s="4">
        <v>1</v>
      </c>
      <c r="T45" s="4">
        <v>0</v>
      </c>
      <c r="U45" s="4">
        <v>0</v>
      </c>
    </row>
    <row r="46" spans="1:21" ht="15" customHeight="1" x14ac:dyDescent="0.2">
      <c r="A46" s="3" t="s">
        <v>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4.7549000000000001</v>
      </c>
      <c r="J46" s="4">
        <v>8.9999999999999998E-4</v>
      </c>
      <c r="K46" s="4">
        <v>3</v>
      </c>
      <c r="L46" s="4">
        <v>3</v>
      </c>
      <c r="M46" s="4">
        <v>4.7549000000000001</v>
      </c>
      <c r="N46" s="4">
        <v>1</v>
      </c>
      <c r="O46" s="4">
        <v>0</v>
      </c>
      <c r="P46" s="4">
        <v>5</v>
      </c>
      <c r="Q46" s="4">
        <v>80.537099999999995</v>
      </c>
      <c r="R46" s="4">
        <v>0</v>
      </c>
      <c r="S46" s="4">
        <v>1</v>
      </c>
      <c r="T46" s="4">
        <v>0</v>
      </c>
      <c r="U46" s="4">
        <v>0</v>
      </c>
    </row>
    <row r="47" spans="1:21" ht="15" customHeight="1" x14ac:dyDescent="0.2">
      <c r="A47" s="3" t="s">
        <v>66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4.7549000000000001</v>
      </c>
      <c r="J47" s="4">
        <v>8.9999999999999998E-4</v>
      </c>
      <c r="K47" s="4">
        <v>3</v>
      </c>
      <c r="L47" s="4">
        <v>3</v>
      </c>
      <c r="M47" s="4">
        <v>4.7549000000000001</v>
      </c>
      <c r="N47" s="4">
        <v>1</v>
      </c>
      <c r="O47" s="4">
        <v>0</v>
      </c>
      <c r="P47" s="4">
        <v>5</v>
      </c>
      <c r="Q47" s="4">
        <v>80.537099999999995</v>
      </c>
      <c r="R47" s="4">
        <v>0</v>
      </c>
      <c r="S47" s="4">
        <v>1</v>
      </c>
      <c r="T47" s="4">
        <v>0</v>
      </c>
      <c r="U47" s="4">
        <v>0</v>
      </c>
    </row>
    <row r="48" spans="1:21" ht="15" customHeight="1" x14ac:dyDescent="0.2">
      <c r="A48" s="3" t="s">
        <v>67</v>
      </c>
      <c r="B48" s="4">
        <v>1</v>
      </c>
      <c r="C48" s="4">
        <v>0</v>
      </c>
      <c r="D48" s="4">
        <v>1</v>
      </c>
      <c r="E48" s="4">
        <v>2</v>
      </c>
      <c r="F48" s="4">
        <v>0</v>
      </c>
      <c r="G48" s="4">
        <v>0</v>
      </c>
      <c r="H48" s="4">
        <v>2.5</v>
      </c>
      <c r="I48" s="4">
        <v>49.128700000000002</v>
      </c>
      <c r="J48" s="4">
        <v>4.4999999999999997E-3</v>
      </c>
      <c r="K48" s="4">
        <v>7</v>
      </c>
      <c r="L48" s="4">
        <v>7</v>
      </c>
      <c r="M48" s="4">
        <v>19.651499999999999</v>
      </c>
      <c r="N48" s="4">
        <v>1</v>
      </c>
      <c r="O48" s="4">
        <v>0</v>
      </c>
      <c r="P48" s="4">
        <v>6</v>
      </c>
      <c r="Q48" s="4">
        <v>74.071600000000004</v>
      </c>
      <c r="R48" s="4">
        <v>0</v>
      </c>
      <c r="S48" s="4">
        <v>2</v>
      </c>
      <c r="T48" s="4">
        <v>0</v>
      </c>
      <c r="U48" s="4">
        <v>0</v>
      </c>
    </row>
    <row r="49" spans="1:21" ht="15" customHeight="1" x14ac:dyDescent="0.2">
      <c r="A49" s="3" t="s">
        <v>68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</v>
      </c>
      <c r="I49" s="4">
        <v>23.2193</v>
      </c>
      <c r="J49" s="4">
        <v>2.7000000000000001E-3</v>
      </c>
      <c r="K49" s="4">
        <v>5</v>
      </c>
      <c r="L49" s="4">
        <v>5</v>
      </c>
      <c r="M49" s="4">
        <v>11.6096</v>
      </c>
      <c r="N49" s="4">
        <v>1</v>
      </c>
      <c r="O49" s="4">
        <v>0</v>
      </c>
      <c r="P49" s="4">
        <v>5</v>
      </c>
      <c r="Q49" s="4">
        <v>77.460800000000006</v>
      </c>
      <c r="R49" s="4">
        <v>0</v>
      </c>
      <c r="S49" s="4">
        <v>1</v>
      </c>
      <c r="T49" s="4">
        <v>0</v>
      </c>
      <c r="U49" s="4">
        <v>0</v>
      </c>
    </row>
    <row r="50" spans="1:21" ht="15" customHeight="1" x14ac:dyDescent="0.2">
      <c r="A50" s="3" t="s">
        <v>69</v>
      </c>
      <c r="B50" s="4">
        <v>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2</v>
      </c>
      <c r="I50" s="4">
        <v>23.2193</v>
      </c>
      <c r="J50" s="4">
        <v>2.7000000000000001E-3</v>
      </c>
      <c r="K50" s="4">
        <v>5</v>
      </c>
      <c r="L50" s="4">
        <v>5</v>
      </c>
      <c r="M50" s="4">
        <v>11.6096</v>
      </c>
      <c r="N50" s="4">
        <v>1</v>
      </c>
      <c r="O50" s="4">
        <v>0</v>
      </c>
      <c r="P50" s="4">
        <v>5</v>
      </c>
      <c r="Q50" s="4">
        <v>77.460800000000006</v>
      </c>
      <c r="R50" s="4">
        <v>0</v>
      </c>
      <c r="S50" s="4">
        <v>1</v>
      </c>
      <c r="T50" s="4">
        <v>0</v>
      </c>
      <c r="U50" s="4">
        <v>0</v>
      </c>
    </row>
    <row r="51" spans="1:21" ht="15" customHeight="1" x14ac:dyDescent="0.2">
      <c r="A51" s="3" t="s">
        <v>70</v>
      </c>
      <c r="B51" s="4">
        <v>3</v>
      </c>
      <c r="C51" s="4">
        <v>2</v>
      </c>
      <c r="D51" s="4">
        <v>0.71430000000000005</v>
      </c>
      <c r="E51" s="4">
        <v>7</v>
      </c>
      <c r="F51" s="4">
        <v>0</v>
      </c>
      <c r="G51" s="4">
        <v>1</v>
      </c>
      <c r="H51" s="4">
        <v>14.166700000000001</v>
      </c>
      <c r="I51" s="4">
        <v>2821.6772999999998</v>
      </c>
      <c r="J51" s="4">
        <v>6.6600000000000006E-2</v>
      </c>
      <c r="K51" s="4">
        <v>41</v>
      </c>
      <c r="L51" s="4">
        <v>29</v>
      </c>
      <c r="M51" s="4">
        <v>199.1772</v>
      </c>
      <c r="N51" s="4">
        <v>0</v>
      </c>
      <c r="O51" s="4">
        <v>1</v>
      </c>
      <c r="P51" s="4">
        <v>38</v>
      </c>
      <c r="Q51" s="4">
        <v>49.2943</v>
      </c>
      <c r="R51" s="4">
        <v>1</v>
      </c>
      <c r="S51" s="4">
        <v>8</v>
      </c>
      <c r="T51" s="4">
        <v>1</v>
      </c>
      <c r="U51" s="4">
        <v>1</v>
      </c>
    </row>
    <row r="52" spans="1:21" ht="15" customHeight="1" x14ac:dyDescent="0.2">
      <c r="A52" s="3" t="s">
        <v>71</v>
      </c>
      <c r="B52" s="4">
        <v>6</v>
      </c>
      <c r="C52" s="4">
        <v>5</v>
      </c>
      <c r="D52" s="4">
        <v>0.44440000000000002</v>
      </c>
      <c r="E52" s="4">
        <v>9</v>
      </c>
      <c r="F52" s="4">
        <v>1</v>
      </c>
      <c r="G52" s="4">
        <v>0</v>
      </c>
      <c r="H52" s="4">
        <v>17.968800000000002</v>
      </c>
      <c r="I52" s="4">
        <v>5318.4359999999997</v>
      </c>
      <c r="J52" s="4">
        <v>0.1016</v>
      </c>
      <c r="K52" s="4">
        <v>56</v>
      </c>
      <c r="L52" s="4">
        <v>39</v>
      </c>
      <c r="M52" s="4">
        <v>295.98250000000002</v>
      </c>
      <c r="N52" s="4">
        <v>0</v>
      </c>
      <c r="O52" s="4">
        <v>1</v>
      </c>
      <c r="P52" s="4">
        <v>28</v>
      </c>
      <c r="Q52" s="4">
        <v>50.896999999999998</v>
      </c>
      <c r="R52" s="4">
        <v>2</v>
      </c>
      <c r="S52" s="4">
        <v>9</v>
      </c>
      <c r="T52" s="4">
        <v>1</v>
      </c>
      <c r="U52" s="4">
        <v>1</v>
      </c>
    </row>
    <row r="53" spans="1:21" ht="15" customHeight="1" x14ac:dyDescent="0.2">
      <c r="A53" s="3" t="s">
        <v>72</v>
      </c>
      <c r="B53" s="4">
        <v>1</v>
      </c>
      <c r="C53" s="4">
        <v>0</v>
      </c>
      <c r="D53" s="4">
        <v>0.66669999999999996</v>
      </c>
      <c r="E53" s="4">
        <v>3</v>
      </c>
      <c r="F53" s="4">
        <v>0</v>
      </c>
      <c r="G53" s="4">
        <v>1</v>
      </c>
      <c r="H53" s="4">
        <v>5.8333000000000004</v>
      </c>
      <c r="I53" s="4">
        <v>245</v>
      </c>
      <c r="J53" s="4">
        <v>1.3100000000000001E-2</v>
      </c>
      <c r="K53" s="4">
        <v>14</v>
      </c>
      <c r="L53" s="4">
        <v>8</v>
      </c>
      <c r="M53" s="4">
        <v>42</v>
      </c>
      <c r="N53" s="4">
        <v>0</v>
      </c>
      <c r="O53" s="4">
        <v>0</v>
      </c>
      <c r="P53" s="4">
        <v>7</v>
      </c>
      <c r="Q53" s="4">
        <v>70.198999999999998</v>
      </c>
      <c r="R53" s="4">
        <v>0</v>
      </c>
      <c r="S53" s="4">
        <v>1</v>
      </c>
      <c r="T53" s="4">
        <v>0</v>
      </c>
      <c r="U53" s="4">
        <v>0</v>
      </c>
    </row>
    <row r="54" spans="1:21" ht="15" customHeight="1" x14ac:dyDescent="0.2">
      <c r="A54" s="3" t="s">
        <v>73</v>
      </c>
      <c r="B54" s="4">
        <v>1</v>
      </c>
      <c r="C54" s="4">
        <v>0</v>
      </c>
      <c r="D54" s="4">
        <v>0.33329999999999999</v>
      </c>
      <c r="E54" s="4">
        <v>1</v>
      </c>
      <c r="F54" s="4">
        <v>0</v>
      </c>
      <c r="G54" s="4">
        <v>1</v>
      </c>
      <c r="H54" s="4">
        <v>4.5</v>
      </c>
      <c r="I54" s="4">
        <v>325.52879999999999</v>
      </c>
      <c r="J54" s="4">
        <v>1.5800000000000002E-2</v>
      </c>
      <c r="K54" s="4">
        <v>19</v>
      </c>
      <c r="L54" s="4">
        <v>14</v>
      </c>
      <c r="M54" s="4">
        <v>72.339699999999993</v>
      </c>
      <c r="N54" s="4">
        <v>0.66669999999999996</v>
      </c>
      <c r="O54" s="4">
        <v>0</v>
      </c>
      <c r="P54" s="4">
        <v>7</v>
      </c>
      <c r="Q54" s="4">
        <v>68.56</v>
      </c>
      <c r="R54" s="4">
        <v>0</v>
      </c>
      <c r="S54" s="4">
        <v>5</v>
      </c>
      <c r="T54" s="4">
        <v>0</v>
      </c>
      <c r="U54" s="4">
        <v>2</v>
      </c>
    </row>
    <row r="55" spans="1:21" ht="15" customHeight="1" x14ac:dyDescent="0.2">
      <c r="A55" s="3" t="s">
        <v>74</v>
      </c>
      <c r="B55" s="4">
        <v>0</v>
      </c>
      <c r="C55" s="4">
        <v>19</v>
      </c>
      <c r="D55" s="4">
        <v>0.5</v>
      </c>
      <c r="E55" s="4">
        <v>12</v>
      </c>
      <c r="F55" s="4">
        <v>3</v>
      </c>
      <c r="G55" s="4">
        <v>1</v>
      </c>
      <c r="H55" s="4">
        <v>45.268300000000004</v>
      </c>
      <c r="I55" s="4">
        <v>61319.141199999998</v>
      </c>
      <c r="J55" s="4">
        <v>0.51829999999999998</v>
      </c>
      <c r="K55" s="4">
        <v>221</v>
      </c>
      <c r="L55" s="4">
        <v>70</v>
      </c>
      <c r="M55" s="4">
        <v>1354.5715</v>
      </c>
      <c r="N55" s="4">
        <v>0.85709999999999997</v>
      </c>
      <c r="O55" s="4">
        <v>2</v>
      </c>
      <c r="P55" s="4">
        <v>70</v>
      </c>
      <c r="Q55" s="4">
        <v>37.420499999999997</v>
      </c>
      <c r="R55" s="4">
        <v>2</v>
      </c>
      <c r="S55" s="4">
        <v>28</v>
      </c>
      <c r="T55" s="4">
        <v>12</v>
      </c>
      <c r="U55" s="4">
        <v>4</v>
      </c>
    </row>
    <row r="56" spans="1:21" ht="15" customHeight="1" x14ac:dyDescent="0.2">
      <c r="A56" s="3" t="s">
        <v>75</v>
      </c>
      <c r="B56" s="4">
        <v>3</v>
      </c>
      <c r="C56" s="4">
        <v>2</v>
      </c>
      <c r="D56" s="4">
        <v>0.5</v>
      </c>
      <c r="E56" s="4">
        <v>5</v>
      </c>
      <c r="F56" s="4">
        <v>0</v>
      </c>
      <c r="G56" s="4">
        <v>0</v>
      </c>
      <c r="H56" s="4">
        <v>10.833299999999999</v>
      </c>
      <c r="I56" s="4">
        <v>2515.4220999999998</v>
      </c>
      <c r="J56" s="4">
        <v>6.1699999999999998E-2</v>
      </c>
      <c r="K56" s="4">
        <v>50</v>
      </c>
      <c r="L56" s="4">
        <v>25</v>
      </c>
      <c r="M56" s="4">
        <v>232.19280000000001</v>
      </c>
      <c r="N56" s="4">
        <v>1</v>
      </c>
      <c r="O56" s="4">
        <v>0</v>
      </c>
      <c r="P56" s="4">
        <v>11</v>
      </c>
      <c r="Q56" s="4">
        <v>60.572200000000002</v>
      </c>
      <c r="R56" s="4">
        <v>0</v>
      </c>
      <c r="S56" s="4">
        <v>9</v>
      </c>
      <c r="T56" s="4">
        <v>0</v>
      </c>
      <c r="U56" s="4">
        <v>1</v>
      </c>
    </row>
    <row r="57" spans="1:21" ht="15" customHeight="1" x14ac:dyDescent="0.2">
      <c r="A57" s="3" t="s">
        <v>76</v>
      </c>
      <c r="B57" s="4">
        <v>1</v>
      </c>
      <c r="C57" s="4">
        <v>0</v>
      </c>
      <c r="D57" s="4">
        <v>0.33329999999999999</v>
      </c>
      <c r="E57" s="4">
        <v>1</v>
      </c>
      <c r="F57" s="4">
        <v>0</v>
      </c>
      <c r="G57" s="4">
        <v>1</v>
      </c>
      <c r="H57" s="4">
        <v>4.5</v>
      </c>
      <c r="I57" s="4">
        <v>325.52879999999999</v>
      </c>
      <c r="J57" s="4">
        <v>1.5800000000000002E-2</v>
      </c>
      <c r="K57" s="4">
        <v>19</v>
      </c>
      <c r="L57" s="4">
        <v>14</v>
      </c>
      <c r="M57" s="4">
        <v>72.339699999999993</v>
      </c>
      <c r="N57" s="4">
        <v>0.66669999999999996</v>
      </c>
      <c r="O57" s="4">
        <v>0</v>
      </c>
      <c r="P57" s="4">
        <v>7</v>
      </c>
      <c r="Q57" s="4">
        <v>68.56</v>
      </c>
      <c r="R57" s="4">
        <v>0</v>
      </c>
      <c r="S57" s="4">
        <v>5</v>
      </c>
      <c r="T57" s="4">
        <v>0</v>
      </c>
      <c r="U57" s="4">
        <v>2</v>
      </c>
    </row>
    <row r="58" spans="1:21" ht="15" customHeight="1" x14ac:dyDescent="0.2">
      <c r="A58" s="3" t="s">
        <v>77</v>
      </c>
      <c r="B58" s="4">
        <v>10</v>
      </c>
      <c r="C58" s="4">
        <v>10</v>
      </c>
      <c r="D58" s="4">
        <v>0.5625</v>
      </c>
      <c r="E58" s="4">
        <v>14</v>
      </c>
      <c r="F58" s="4">
        <v>2</v>
      </c>
      <c r="G58" s="4">
        <v>1</v>
      </c>
      <c r="H58" s="4">
        <v>43.421100000000003</v>
      </c>
      <c r="I58" s="4">
        <v>29011.7968</v>
      </c>
      <c r="J58" s="4">
        <v>0.31469999999999998</v>
      </c>
      <c r="K58" s="4">
        <v>119</v>
      </c>
      <c r="L58" s="4">
        <v>49</v>
      </c>
      <c r="M58" s="4">
        <v>668.15049999999997</v>
      </c>
      <c r="N58" s="4">
        <v>0.8</v>
      </c>
      <c r="O58" s="4">
        <v>2</v>
      </c>
      <c r="P58" s="4">
        <v>46</v>
      </c>
      <c r="Q58" s="4">
        <v>43.639800000000001</v>
      </c>
      <c r="R58" s="4">
        <v>2</v>
      </c>
      <c r="S58" s="4">
        <v>15</v>
      </c>
      <c r="T58" s="4">
        <v>6</v>
      </c>
      <c r="U58" s="4">
        <v>0</v>
      </c>
    </row>
    <row r="59" spans="1:21" ht="15" customHeight="1" x14ac:dyDescent="0.2">
      <c r="A59" s="3" t="s">
        <v>78</v>
      </c>
      <c r="B59" s="4">
        <v>10</v>
      </c>
      <c r="C59" s="4">
        <v>10</v>
      </c>
      <c r="D59" s="4">
        <v>0.5625</v>
      </c>
      <c r="E59" s="4">
        <v>14</v>
      </c>
      <c r="F59" s="4">
        <v>2</v>
      </c>
      <c r="G59" s="4">
        <v>1</v>
      </c>
      <c r="H59" s="4">
        <v>43.421100000000003</v>
      </c>
      <c r="I59" s="4">
        <v>29011.7968</v>
      </c>
      <c r="J59" s="4">
        <v>0.31469999999999998</v>
      </c>
      <c r="K59" s="4">
        <v>119</v>
      </c>
      <c r="L59" s="4">
        <v>49</v>
      </c>
      <c r="M59" s="4">
        <v>668.15049999999997</v>
      </c>
      <c r="N59" s="4">
        <v>0.8</v>
      </c>
      <c r="O59" s="4">
        <v>2</v>
      </c>
      <c r="P59" s="4">
        <v>42</v>
      </c>
      <c r="Q59" s="4">
        <v>44.5017</v>
      </c>
      <c r="R59" s="4">
        <v>2</v>
      </c>
      <c r="S59" s="4">
        <v>15</v>
      </c>
      <c r="T59" s="4">
        <v>6</v>
      </c>
      <c r="U59" s="4">
        <v>0</v>
      </c>
    </row>
    <row r="60" spans="1:21" ht="15" customHeight="1" x14ac:dyDescent="0.2">
      <c r="A60" s="3" t="s">
        <v>79</v>
      </c>
      <c r="B60" s="4">
        <v>12</v>
      </c>
      <c r="C60" s="4">
        <v>13</v>
      </c>
      <c r="D60" s="4">
        <v>0.1905</v>
      </c>
      <c r="E60" s="4">
        <v>18</v>
      </c>
      <c r="F60" s="4">
        <v>2</v>
      </c>
      <c r="G60" s="4">
        <v>0</v>
      </c>
      <c r="H60" s="4">
        <v>45.9</v>
      </c>
      <c r="I60" s="4">
        <v>31453.795699999999</v>
      </c>
      <c r="J60" s="4">
        <v>0.33210000000000001</v>
      </c>
      <c r="K60" s="4">
        <v>118</v>
      </c>
      <c r="L60" s="4">
        <v>56</v>
      </c>
      <c r="M60" s="4">
        <v>685.26790000000005</v>
      </c>
      <c r="N60" s="4">
        <v>1</v>
      </c>
      <c r="O60" s="4">
        <v>1</v>
      </c>
      <c r="P60" s="4">
        <v>50</v>
      </c>
      <c r="Q60" s="4">
        <v>42.749000000000002</v>
      </c>
      <c r="R60" s="4">
        <v>4</v>
      </c>
      <c r="S60" s="4">
        <v>8</v>
      </c>
      <c r="T60" s="4">
        <v>2</v>
      </c>
      <c r="U60" s="4">
        <v>1</v>
      </c>
    </row>
    <row r="61" spans="1:21" ht="15" customHeight="1" x14ac:dyDescent="0.2">
      <c r="A61" s="3" t="s">
        <v>80</v>
      </c>
      <c r="B61" s="4">
        <v>12</v>
      </c>
      <c r="C61" s="4">
        <v>13</v>
      </c>
      <c r="D61" s="4">
        <v>0.1905</v>
      </c>
      <c r="E61" s="4">
        <v>18</v>
      </c>
      <c r="F61" s="4">
        <v>2</v>
      </c>
      <c r="G61" s="4">
        <v>0</v>
      </c>
      <c r="H61" s="4">
        <v>45.9</v>
      </c>
      <c r="I61" s="4">
        <v>31453.795699999999</v>
      </c>
      <c r="J61" s="4">
        <v>0.33210000000000001</v>
      </c>
      <c r="K61" s="4">
        <v>118</v>
      </c>
      <c r="L61" s="4">
        <v>56</v>
      </c>
      <c r="M61" s="4">
        <v>685.26790000000005</v>
      </c>
      <c r="N61" s="4">
        <v>1</v>
      </c>
      <c r="O61" s="4">
        <v>1</v>
      </c>
      <c r="P61" s="4">
        <v>52</v>
      </c>
      <c r="Q61" s="4">
        <v>42.377400000000002</v>
      </c>
      <c r="R61" s="4">
        <v>4</v>
      </c>
      <c r="S61" s="4">
        <v>8</v>
      </c>
      <c r="T61" s="4">
        <v>2</v>
      </c>
      <c r="U61" s="4">
        <v>1</v>
      </c>
    </row>
    <row r="62" spans="1:21" ht="15" customHeight="1" x14ac:dyDescent="0.2">
      <c r="A62" s="3" t="s">
        <v>81</v>
      </c>
      <c r="B62" s="4">
        <v>3</v>
      </c>
      <c r="C62" s="4">
        <v>2</v>
      </c>
      <c r="D62" s="4">
        <v>1</v>
      </c>
      <c r="E62" s="4">
        <v>2</v>
      </c>
      <c r="F62" s="4">
        <v>1</v>
      </c>
      <c r="G62" s="4">
        <v>0</v>
      </c>
      <c r="H62" s="4">
        <v>5.25</v>
      </c>
      <c r="I62" s="4">
        <v>348.69</v>
      </c>
      <c r="J62" s="4">
        <v>1.6500000000000001E-2</v>
      </c>
      <c r="K62" s="4">
        <v>17</v>
      </c>
      <c r="L62" s="4">
        <v>15</v>
      </c>
      <c r="M62" s="4">
        <v>66.417100000000005</v>
      </c>
      <c r="N62" s="4">
        <v>1</v>
      </c>
      <c r="O62" s="4">
        <v>1</v>
      </c>
      <c r="P62" s="4">
        <v>8</v>
      </c>
      <c r="Q62" s="4">
        <v>67.411799999999999</v>
      </c>
      <c r="R62" s="4">
        <v>0</v>
      </c>
      <c r="S62" s="4">
        <v>3</v>
      </c>
      <c r="T62" s="4">
        <v>1</v>
      </c>
      <c r="U62" s="4">
        <v>1</v>
      </c>
    </row>
    <row r="63" spans="1:21" ht="15" customHeight="1" x14ac:dyDescent="0.2">
      <c r="A63" s="3" t="s">
        <v>82</v>
      </c>
      <c r="B63" s="4">
        <v>3</v>
      </c>
      <c r="C63" s="4">
        <v>2</v>
      </c>
      <c r="D63" s="4">
        <v>1</v>
      </c>
      <c r="E63" s="4">
        <v>2</v>
      </c>
      <c r="F63" s="4">
        <v>1</v>
      </c>
      <c r="G63" s="4">
        <v>0</v>
      </c>
      <c r="H63" s="4">
        <v>5.25</v>
      </c>
      <c r="I63" s="4">
        <v>348.69</v>
      </c>
      <c r="J63" s="4">
        <v>1.6500000000000001E-2</v>
      </c>
      <c r="K63" s="4">
        <v>17</v>
      </c>
      <c r="L63" s="4">
        <v>15</v>
      </c>
      <c r="M63" s="4">
        <v>66.417100000000005</v>
      </c>
      <c r="N63" s="4">
        <v>1</v>
      </c>
      <c r="O63" s="4">
        <v>1</v>
      </c>
      <c r="P63" s="4">
        <v>14</v>
      </c>
      <c r="Q63" s="4">
        <v>62.110199999999999</v>
      </c>
      <c r="R63" s="4">
        <v>0</v>
      </c>
      <c r="S63" s="4">
        <v>3</v>
      </c>
      <c r="T63" s="4">
        <v>1</v>
      </c>
      <c r="U63" s="4">
        <v>1</v>
      </c>
    </row>
    <row r="64" spans="1:21" ht="15" customHeight="1" x14ac:dyDescent="0.2">
      <c r="A64" s="3" t="s">
        <v>83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</v>
      </c>
      <c r="L64" s="4">
        <v>1</v>
      </c>
      <c r="M64" s="4">
        <v>0</v>
      </c>
      <c r="N64" s="4">
        <v>0</v>
      </c>
      <c r="O64" s="4">
        <v>0</v>
      </c>
      <c r="P64" s="4">
        <v>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 ht="15" customHeight="1" x14ac:dyDescent="0.2">
      <c r="A65" s="3" t="s">
        <v>84</v>
      </c>
      <c r="B65" s="4">
        <v>1</v>
      </c>
      <c r="C65" s="4">
        <v>0</v>
      </c>
      <c r="D65" s="4">
        <v>1</v>
      </c>
      <c r="E65" s="4">
        <v>1</v>
      </c>
      <c r="F65" s="4">
        <v>0</v>
      </c>
      <c r="G65" s="4">
        <v>0</v>
      </c>
      <c r="H65" s="4">
        <v>2.5</v>
      </c>
      <c r="I65" s="4">
        <v>134.43610000000001</v>
      </c>
      <c r="J65" s="4">
        <v>8.6999999999999994E-3</v>
      </c>
      <c r="K65" s="4">
        <v>15</v>
      </c>
      <c r="L65" s="4">
        <v>12</v>
      </c>
      <c r="M65" s="4">
        <v>53.7744</v>
      </c>
      <c r="N65" s="4">
        <v>1</v>
      </c>
      <c r="O65" s="4">
        <v>0</v>
      </c>
      <c r="P65" s="4">
        <v>13</v>
      </c>
      <c r="Q65" s="4">
        <v>63.627099999999999</v>
      </c>
      <c r="R65" s="4">
        <v>0</v>
      </c>
      <c r="S65" s="4">
        <v>7</v>
      </c>
      <c r="T65" s="4">
        <v>0</v>
      </c>
      <c r="U65" s="4">
        <v>3</v>
      </c>
    </row>
    <row r="66" spans="1:21" ht="15" customHeight="1" x14ac:dyDescent="0.2">
      <c r="A66" s="3" t="s">
        <v>85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4.7549000000000001</v>
      </c>
      <c r="J66" s="4">
        <v>8.9999999999999998E-4</v>
      </c>
      <c r="K66" s="4">
        <v>3</v>
      </c>
      <c r="L66" s="4">
        <v>3</v>
      </c>
      <c r="M66" s="4">
        <v>4.7549000000000001</v>
      </c>
      <c r="N66" s="4">
        <v>1</v>
      </c>
      <c r="O66" s="4">
        <v>0</v>
      </c>
      <c r="P66" s="4">
        <v>1</v>
      </c>
      <c r="Q66" s="4">
        <v>95.784400000000005</v>
      </c>
      <c r="R66" s="4">
        <v>0</v>
      </c>
      <c r="S66" s="4">
        <v>1</v>
      </c>
      <c r="T66" s="4">
        <v>0</v>
      </c>
      <c r="U66" s="4">
        <v>0</v>
      </c>
    </row>
    <row r="67" spans="1:21" ht="15" customHeight="1" x14ac:dyDescent="0.2">
      <c r="A67" s="3" t="s">
        <v>86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4.7549000000000001</v>
      </c>
      <c r="J67" s="4">
        <v>8.9999999999999998E-4</v>
      </c>
      <c r="K67" s="4">
        <v>3</v>
      </c>
      <c r="L67" s="4">
        <v>3</v>
      </c>
      <c r="M67" s="4">
        <v>4.7549000000000001</v>
      </c>
      <c r="N67" s="4">
        <v>1</v>
      </c>
      <c r="O67" s="4">
        <v>0</v>
      </c>
      <c r="P67" s="4">
        <v>1</v>
      </c>
      <c r="Q67" s="4">
        <v>95.784400000000005</v>
      </c>
      <c r="R67" s="4">
        <v>0</v>
      </c>
      <c r="S67" s="4">
        <v>1</v>
      </c>
      <c r="T67" s="4">
        <v>0</v>
      </c>
      <c r="U67" s="4">
        <v>0</v>
      </c>
    </row>
    <row r="68" spans="1:21" ht="15" customHeight="1" x14ac:dyDescent="0.2">
      <c r="A68" s="3" t="s">
        <v>87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1.5</v>
      </c>
      <c r="I68" s="4">
        <v>12</v>
      </c>
      <c r="J68" s="4">
        <v>1.6999999999999999E-3</v>
      </c>
      <c r="K68" s="4">
        <v>4</v>
      </c>
      <c r="L68" s="4">
        <v>4</v>
      </c>
      <c r="M68" s="4">
        <v>8</v>
      </c>
      <c r="N68" s="4">
        <v>1</v>
      </c>
      <c r="O68" s="4">
        <v>0</v>
      </c>
      <c r="P68" s="4">
        <v>1</v>
      </c>
      <c r="Q68" s="4">
        <v>93.676599999999993</v>
      </c>
      <c r="R68" s="4">
        <v>0</v>
      </c>
      <c r="S68" s="4">
        <v>1</v>
      </c>
      <c r="T68" s="4">
        <v>0</v>
      </c>
      <c r="U68" s="4">
        <v>0</v>
      </c>
    </row>
    <row r="69" spans="1:21" ht="15" customHeight="1" x14ac:dyDescent="0.2">
      <c r="A69" s="3" t="s">
        <v>88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1.5</v>
      </c>
      <c r="I69" s="4">
        <v>12</v>
      </c>
      <c r="J69" s="4">
        <v>1.6999999999999999E-3</v>
      </c>
      <c r="K69" s="4">
        <v>4</v>
      </c>
      <c r="L69" s="4">
        <v>4</v>
      </c>
      <c r="M69" s="4">
        <v>8</v>
      </c>
      <c r="N69" s="4">
        <v>1</v>
      </c>
      <c r="O69" s="4">
        <v>0</v>
      </c>
      <c r="P69" s="4">
        <v>1</v>
      </c>
      <c r="Q69" s="4">
        <v>93.676599999999993</v>
      </c>
      <c r="R69" s="4">
        <v>0</v>
      </c>
      <c r="S69" s="4">
        <v>1</v>
      </c>
      <c r="T69" s="4">
        <v>0</v>
      </c>
      <c r="U69" s="4">
        <v>0</v>
      </c>
    </row>
    <row r="70" spans="1:21" ht="15" customHeight="1" x14ac:dyDescent="0.2">
      <c r="A70" s="3" t="s">
        <v>89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1.5</v>
      </c>
      <c r="I70" s="4">
        <v>17.4145</v>
      </c>
      <c r="J70" s="4">
        <v>2.2000000000000001E-3</v>
      </c>
      <c r="K70" s="4">
        <v>5</v>
      </c>
      <c r="L70" s="4">
        <v>5</v>
      </c>
      <c r="M70" s="4">
        <v>11.6096</v>
      </c>
      <c r="N70" s="4">
        <v>1</v>
      </c>
      <c r="O70" s="4">
        <v>0</v>
      </c>
      <c r="P70" s="4">
        <v>1</v>
      </c>
      <c r="Q70" s="4">
        <v>92.708200000000005</v>
      </c>
      <c r="R70" s="4">
        <v>0</v>
      </c>
      <c r="S70" s="4">
        <v>2</v>
      </c>
      <c r="T70" s="4">
        <v>0</v>
      </c>
      <c r="U70" s="4">
        <v>1</v>
      </c>
    </row>
    <row r="71" spans="1:21" ht="15" customHeight="1" x14ac:dyDescent="0.2">
      <c r="A71" s="3" t="s">
        <v>90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1.5</v>
      </c>
      <c r="I71" s="4">
        <v>17.4145</v>
      </c>
      <c r="J71" s="4">
        <v>2.2000000000000001E-3</v>
      </c>
      <c r="K71" s="4">
        <v>5</v>
      </c>
      <c r="L71" s="4">
        <v>5</v>
      </c>
      <c r="M71" s="4">
        <v>11.6096</v>
      </c>
      <c r="N71" s="4">
        <v>1</v>
      </c>
      <c r="O71" s="4">
        <v>0</v>
      </c>
      <c r="P71" s="4">
        <v>1</v>
      </c>
      <c r="Q71" s="4">
        <v>92.708200000000005</v>
      </c>
      <c r="R71" s="4">
        <v>0</v>
      </c>
      <c r="S71" s="4">
        <v>2</v>
      </c>
      <c r="T71" s="4">
        <v>0</v>
      </c>
      <c r="U71" s="4">
        <v>1</v>
      </c>
    </row>
    <row r="72" spans="1:21" ht="15" customHeight="1" x14ac:dyDescent="0.2">
      <c r="A72" s="3" t="s">
        <v>91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2</v>
      </c>
      <c r="I72" s="4">
        <v>31.019600000000001</v>
      </c>
      <c r="J72" s="4">
        <v>3.3E-3</v>
      </c>
      <c r="K72" s="4">
        <v>6</v>
      </c>
      <c r="L72" s="4">
        <v>6</v>
      </c>
      <c r="M72" s="4">
        <v>15.5098</v>
      </c>
      <c r="N72" s="4">
        <v>1</v>
      </c>
      <c r="O72" s="4">
        <v>0</v>
      </c>
      <c r="P72" s="4">
        <v>1</v>
      </c>
      <c r="Q72" s="4">
        <v>91.765000000000001</v>
      </c>
      <c r="R72" s="4">
        <v>0</v>
      </c>
      <c r="S72" s="4">
        <v>2</v>
      </c>
      <c r="T72" s="4">
        <v>0</v>
      </c>
      <c r="U72" s="4">
        <v>1</v>
      </c>
    </row>
    <row r="73" spans="1:21" ht="15" customHeight="1" x14ac:dyDescent="0.2">
      <c r="A73" s="3" t="s">
        <v>92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2</v>
      </c>
      <c r="I73" s="4">
        <v>31.019600000000001</v>
      </c>
      <c r="J73" s="4">
        <v>3.3E-3</v>
      </c>
      <c r="K73" s="4">
        <v>6</v>
      </c>
      <c r="L73" s="4">
        <v>6</v>
      </c>
      <c r="M73" s="4">
        <v>15.5098</v>
      </c>
      <c r="N73" s="4">
        <v>1</v>
      </c>
      <c r="O73" s="4">
        <v>0</v>
      </c>
      <c r="P73" s="4">
        <v>1</v>
      </c>
      <c r="Q73" s="4">
        <v>91.765000000000001</v>
      </c>
      <c r="R73" s="4">
        <v>0</v>
      </c>
      <c r="S73" s="4">
        <v>2</v>
      </c>
      <c r="T73" s="4">
        <v>0</v>
      </c>
      <c r="U73" s="4">
        <v>1</v>
      </c>
    </row>
    <row r="74" spans="1:21" ht="15" customHeight="1" x14ac:dyDescent="0.2">
      <c r="A74" s="3" t="s">
        <v>93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</v>
      </c>
      <c r="L74" s="4">
        <v>1</v>
      </c>
      <c r="M74" s="4">
        <v>0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4</v>
      </c>
      <c r="U74" s="4">
        <v>1</v>
      </c>
    </row>
    <row r="75" spans="1:21" ht="15" customHeight="1" x14ac:dyDescent="0.2">
      <c r="A75" s="3" t="s">
        <v>94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/>
      <c r="J75" s="4"/>
      <c r="K75" s="4">
        <v>0</v>
      </c>
      <c r="L75" s="4">
        <v>0</v>
      </c>
      <c r="M75" s="4"/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4</v>
      </c>
      <c r="U75" s="4">
        <v>0</v>
      </c>
    </row>
    <row r="76" spans="1:21" ht="15" customHeight="1" x14ac:dyDescent="0.2">
      <c r="A76" s="3" t="s">
        <v>95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/>
      <c r="J76" s="4"/>
      <c r="K76" s="4">
        <v>0</v>
      </c>
      <c r="L76" s="4">
        <v>0</v>
      </c>
      <c r="M76" s="4"/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4">
        <v>0</v>
      </c>
      <c r="T76" s="4">
        <v>4</v>
      </c>
      <c r="U76" s="4">
        <v>0</v>
      </c>
    </row>
    <row r="77" spans="1:21" ht="15" customHeight="1" x14ac:dyDescent="0.2">
      <c r="A77" s="3" t="s">
        <v>96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/>
      <c r="J77" s="4"/>
      <c r="K77" s="4">
        <v>0</v>
      </c>
      <c r="L77" s="4">
        <v>0</v>
      </c>
      <c r="M77" s="4"/>
      <c r="N77" s="4">
        <v>0</v>
      </c>
      <c r="O77" s="4">
        <v>1</v>
      </c>
      <c r="P77" s="4">
        <v>0</v>
      </c>
      <c r="Q77" s="4">
        <v>0</v>
      </c>
      <c r="R77" s="4">
        <v>0</v>
      </c>
      <c r="S77" s="4">
        <v>0</v>
      </c>
      <c r="T77" s="4">
        <v>4</v>
      </c>
      <c r="U77" s="4">
        <v>1</v>
      </c>
    </row>
    <row r="78" spans="1:21" ht="15" customHeight="1" x14ac:dyDescent="0.2">
      <c r="A78" s="3" t="s">
        <v>97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/>
      <c r="J78" s="4"/>
      <c r="K78" s="4">
        <v>0</v>
      </c>
      <c r="L78" s="4">
        <v>0</v>
      </c>
      <c r="M78" s="4"/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4</v>
      </c>
      <c r="U78" s="4">
        <v>0</v>
      </c>
    </row>
    <row r="79" spans="1:21" ht="15" customHeight="1" x14ac:dyDescent="0.2">
      <c r="A79" s="3" t="s">
        <v>98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1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4</v>
      </c>
      <c r="U79" s="4">
        <v>0</v>
      </c>
    </row>
    <row r="80" spans="1:21" ht="15" customHeight="1" x14ac:dyDescent="0.2">
      <c r="A80" s="3" t="s">
        <v>99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/>
      <c r="J80" s="4"/>
      <c r="K80" s="4">
        <v>0</v>
      </c>
      <c r="L80" s="4">
        <v>0</v>
      </c>
      <c r="M80" s="4"/>
      <c r="N80" s="4">
        <v>0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4</v>
      </c>
      <c r="U80" s="4">
        <v>1</v>
      </c>
    </row>
    <row r="81" spans="1:21" ht="15" customHeight="1" x14ac:dyDescent="0.2">
      <c r="A81" s="3" t="s">
        <v>100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</row>
    <row r="82" spans="1:21" ht="15" customHeight="1" x14ac:dyDescent="0.2">
      <c r="A82" s="3" t="s">
        <v>101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2</v>
      </c>
    </row>
    <row r="83" spans="1:21" ht="15" customHeight="1" x14ac:dyDescent="0.2">
      <c r="A83" s="3" t="s">
        <v>102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/>
      <c r="J83" s="4"/>
      <c r="K83" s="4">
        <v>0</v>
      </c>
      <c r="L83" s="4">
        <v>0</v>
      </c>
      <c r="M83" s="4"/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</row>
    <row r="84" spans="1:21" ht="15" customHeight="1" x14ac:dyDescent="0.2">
      <c r="A84" s="3" t="s">
        <v>103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/>
      <c r="J84" s="4"/>
      <c r="K84" s="4">
        <v>0</v>
      </c>
      <c r="L84" s="4">
        <v>0</v>
      </c>
      <c r="M84" s="4"/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</row>
    <row r="85" spans="1:21" ht="15" customHeight="1" x14ac:dyDescent="0.2">
      <c r="A85" s="3" t="s">
        <v>104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</row>
    <row r="86" spans="1:21" ht="15" customHeight="1" x14ac:dyDescent="0.2">
      <c r="A86" s="3" t="s">
        <v>105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</row>
    <row r="87" spans="1:21" ht="15" customHeight="1" x14ac:dyDescent="0.2">
      <c r="A87" s="3" t="s">
        <v>106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/>
      <c r="J87" s="4"/>
      <c r="K87" s="4">
        <v>0</v>
      </c>
      <c r="L87" s="4">
        <v>0</v>
      </c>
      <c r="M87" s="4"/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</row>
    <row r="88" spans="1:21" ht="15" customHeight="1" x14ac:dyDescent="0.2">
      <c r="A88" s="3" t="s">
        <v>107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/>
      <c r="J88" s="4"/>
      <c r="K88" s="4">
        <v>0</v>
      </c>
      <c r="L88" s="4">
        <v>0</v>
      </c>
      <c r="M88" s="4"/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</row>
    <row r="89" spans="1:21" ht="15" customHeight="1" x14ac:dyDescent="0.2">
      <c r="A89" s="3" t="s">
        <v>108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</row>
    <row r="90" spans="1:21" ht="15" customHeight="1" x14ac:dyDescent="0.2">
      <c r="A90" s="3" t="s">
        <v>109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</row>
    <row r="91" spans="1:21" ht="15" customHeight="1" x14ac:dyDescent="0.2">
      <c r="A91" s="3" t="s">
        <v>110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</row>
    <row r="92" spans="1:21" ht="15" customHeight="1" x14ac:dyDescent="0.2">
      <c r="A92" s="3" t="s">
        <v>111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</row>
    <row r="93" spans="1:21" ht="15" customHeight="1" x14ac:dyDescent="0.2">
      <c r="A93" s="3" t="s">
        <v>112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3</v>
      </c>
      <c r="L93" s="4">
        <v>2</v>
      </c>
      <c r="M93" s="4">
        <v>3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2</v>
      </c>
    </row>
    <row r="94" spans="1:21" ht="15" customHeight="1" x14ac:dyDescent="0.2">
      <c r="A94" s="3" t="s">
        <v>113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3</v>
      </c>
      <c r="L94" s="4">
        <v>2</v>
      </c>
      <c r="M94" s="4">
        <v>3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</v>
      </c>
    </row>
    <row r="95" spans="1:21" ht="15" customHeight="1" x14ac:dyDescent="0.2">
      <c r="A95" s="3" t="s">
        <v>114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/>
      <c r="J95" s="4"/>
      <c r="K95" s="4">
        <v>0</v>
      </c>
      <c r="L95" s="4">
        <v>0</v>
      </c>
      <c r="M95" s="4"/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</row>
    <row r="96" spans="1:21" ht="15" customHeight="1" x14ac:dyDescent="0.2">
      <c r="A96" s="3" t="s">
        <v>115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/>
      <c r="J96" s="4"/>
      <c r="K96" s="4">
        <v>0</v>
      </c>
      <c r="L96" s="4">
        <v>0</v>
      </c>
      <c r="M96" s="4"/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</row>
    <row r="97" spans="1:21" ht="15" customHeight="1" x14ac:dyDescent="0.2">
      <c r="A97" s="3" t="s">
        <v>116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</v>
      </c>
      <c r="L97" s="4">
        <v>1</v>
      </c>
      <c r="M97" s="4">
        <v>0</v>
      </c>
      <c r="N97" s="4">
        <v>0</v>
      </c>
      <c r="O97" s="4">
        <v>1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</row>
    <row r="98" spans="1:21" ht="15" customHeight="1" x14ac:dyDescent="0.2">
      <c r="A98" s="3" t="s">
        <v>117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/>
      <c r="J98" s="4"/>
      <c r="K98" s="4">
        <v>0</v>
      </c>
      <c r="L98" s="4">
        <v>0</v>
      </c>
      <c r="M98" s="4"/>
      <c r="N98" s="4">
        <v>0</v>
      </c>
      <c r="O98" s="4">
        <v>1</v>
      </c>
      <c r="P98" s="4">
        <v>0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</row>
    <row r="99" spans="1:21" ht="15" customHeight="1" x14ac:dyDescent="0.2">
      <c r="A99" s="3" t="s">
        <v>118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/>
      <c r="J99" s="4"/>
      <c r="K99" s="4">
        <v>0</v>
      </c>
      <c r="L99" s="4">
        <v>0</v>
      </c>
      <c r="M99" s="4"/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4">
        <v>0</v>
      </c>
      <c r="T99" s="4">
        <v>1</v>
      </c>
      <c r="U99" s="4">
        <v>0</v>
      </c>
    </row>
    <row r="100" spans="1:21" ht="15" customHeight="1" x14ac:dyDescent="0.2">
      <c r="A100" s="3" t="s">
        <v>119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</v>
      </c>
      <c r="L100" s="4">
        <v>1</v>
      </c>
      <c r="M100" s="4">
        <v>0</v>
      </c>
      <c r="N100" s="4">
        <v>0</v>
      </c>
      <c r="O100" s="4">
        <v>1</v>
      </c>
      <c r="P100" s="4">
        <v>0</v>
      </c>
      <c r="Q100" s="4">
        <v>0</v>
      </c>
      <c r="R100" s="4">
        <v>0</v>
      </c>
      <c r="S100" s="4">
        <v>0</v>
      </c>
      <c r="T100" s="4">
        <v>1</v>
      </c>
      <c r="U100" s="4">
        <v>1</v>
      </c>
    </row>
    <row r="101" spans="1:21" ht="15" customHeight="1" x14ac:dyDescent="0.2">
      <c r="A101" s="3" t="s">
        <v>120</v>
      </c>
      <c r="B101" s="4">
        <v>2</v>
      </c>
      <c r="C101" s="4">
        <v>1</v>
      </c>
      <c r="D101" s="4">
        <v>1</v>
      </c>
      <c r="E101" s="4">
        <v>2</v>
      </c>
      <c r="F101" s="4">
        <v>0</v>
      </c>
      <c r="G101" s="4">
        <v>0</v>
      </c>
      <c r="H101" s="4">
        <v>6.75</v>
      </c>
      <c r="I101" s="4">
        <v>827.71119999999996</v>
      </c>
      <c r="J101" s="4">
        <v>2.9399999999999999E-2</v>
      </c>
      <c r="K101" s="4">
        <v>30</v>
      </c>
      <c r="L101" s="4">
        <v>17</v>
      </c>
      <c r="M101" s="4">
        <v>122.62390000000001</v>
      </c>
      <c r="N101" s="4">
        <v>0</v>
      </c>
      <c r="O101" s="4">
        <v>1</v>
      </c>
      <c r="P101" s="4">
        <v>10</v>
      </c>
      <c r="Q101" s="4">
        <v>63.484099999999998</v>
      </c>
      <c r="R101" s="4">
        <v>1</v>
      </c>
      <c r="S101" s="4">
        <v>7</v>
      </c>
      <c r="T101" s="4">
        <v>1</v>
      </c>
      <c r="U101" s="4">
        <v>2</v>
      </c>
    </row>
    <row r="102" spans="1:21" ht="15" customHeight="1" x14ac:dyDescent="0.2">
      <c r="A102" s="3" t="s">
        <v>121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/>
      <c r="J102" s="4"/>
      <c r="K102" s="4">
        <v>0</v>
      </c>
      <c r="L102" s="4">
        <v>0</v>
      </c>
      <c r="M102" s="4"/>
      <c r="N102" s="4">
        <v>0</v>
      </c>
      <c r="O102" s="4">
        <v>1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0</v>
      </c>
    </row>
    <row r="103" spans="1:21" ht="15" customHeight="1" x14ac:dyDescent="0.2">
      <c r="A103" s="3" t="s">
        <v>122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/>
      <c r="J103" s="4"/>
      <c r="K103" s="4">
        <v>0</v>
      </c>
      <c r="L103" s="4">
        <v>0</v>
      </c>
      <c r="M103" s="4"/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</row>
    <row r="104" spans="1:21" ht="15" customHeight="1" x14ac:dyDescent="0.2">
      <c r="A104" s="3" t="s">
        <v>123</v>
      </c>
      <c r="B104" s="4">
        <v>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</row>
    <row r="105" spans="1:21" ht="15" customHeight="1" x14ac:dyDescent="0.2">
      <c r="A105" s="3" t="s">
        <v>124</v>
      </c>
      <c r="B105" s="4">
        <v>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</row>
    <row r="106" spans="1:21" ht="15" customHeight="1" x14ac:dyDescent="0.2">
      <c r="A106" s="3" t="s">
        <v>125</v>
      </c>
      <c r="B106" s="4">
        <v>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</row>
    <row r="107" spans="1:21" ht="15" customHeight="1" x14ac:dyDescent="0.2">
      <c r="A107" s="3" t="s">
        <v>126</v>
      </c>
      <c r="B107" s="4">
        <v>1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</row>
    <row r="108" spans="1:21" ht="15" customHeight="1" x14ac:dyDescent="0.2">
      <c r="A108" s="3" t="s">
        <v>127</v>
      </c>
      <c r="B108" s="4">
        <v>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</row>
    <row r="109" spans="1:21" ht="15" customHeight="1" x14ac:dyDescent="0.2">
      <c r="A109" s="3" t="s">
        <v>128</v>
      </c>
      <c r="B109" s="4">
        <v>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</row>
    <row r="110" spans="1:21" ht="15" customHeight="1" x14ac:dyDescent="0.2">
      <c r="A110" s="3" t="s">
        <v>129</v>
      </c>
      <c r="B110" s="4">
        <v>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</row>
    <row r="111" spans="1:21" ht="15" customHeight="1" x14ac:dyDescent="0.2">
      <c r="A111" s="3" t="s">
        <v>130</v>
      </c>
      <c r="B111" s="4">
        <v>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</row>
    <row r="112" spans="1:21" ht="15" customHeight="1" x14ac:dyDescent="0.2">
      <c r="A112" s="3" t="s">
        <v>131</v>
      </c>
      <c r="B112" s="4">
        <v>1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</row>
    <row r="113" spans="1:21" ht="15" customHeight="1" x14ac:dyDescent="0.2">
      <c r="A113" s="3" t="s">
        <v>132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</row>
    <row r="114" spans="1:21" ht="15" customHeight="1" x14ac:dyDescent="0.2">
      <c r="A114" s="3" t="s">
        <v>133</v>
      </c>
      <c r="B114" s="4">
        <v>1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</row>
    <row r="115" spans="1:21" ht="15" customHeight="1" x14ac:dyDescent="0.2">
      <c r="A115" s="3" t="s">
        <v>134</v>
      </c>
      <c r="B115" s="4">
        <v>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/>
      <c r="J115" s="4"/>
      <c r="K115" s="4">
        <v>0</v>
      </c>
      <c r="L115" s="4">
        <v>0</v>
      </c>
      <c r="M115" s="4"/>
      <c r="N115" s="4">
        <v>0</v>
      </c>
      <c r="O115" s="4">
        <v>1</v>
      </c>
      <c r="P115" s="4">
        <v>0</v>
      </c>
      <c r="Q115" s="4">
        <v>0</v>
      </c>
      <c r="R115" s="4">
        <v>0</v>
      </c>
      <c r="S115" s="4">
        <v>0</v>
      </c>
      <c r="T115" s="4">
        <v>4</v>
      </c>
      <c r="U115" s="4">
        <v>0</v>
      </c>
    </row>
    <row r="116" spans="1:21" ht="15" customHeight="1" x14ac:dyDescent="0.2">
      <c r="A116" s="3" t="s">
        <v>135</v>
      </c>
      <c r="B116" s="4">
        <v>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/>
      <c r="J116" s="4"/>
      <c r="K116" s="4">
        <v>0</v>
      </c>
      <c r="L116" s="4">
        <v>0</v>
      </c>
      <c r="M116" s="4"/>
      <c r="N116" s="4">
        <v>0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>
        <v>4</v>
      </c>
      <c r="U116" s="4">
        <v>0</v>
      </c>
    </row>
    <row r="117" spans="1:21" ht="15" customHeight="1" x14ac:dyDescent="0.2">
      <c r="A117" s="3" t="s">
        <v>136</v>
      </c>
      <c r="B117" s="4">
        <v>1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</v>
      </c>
      <c r="L117" s="4">
        <v>1</v>
      </c>
      <c r="M117" s="4">
        <v>0</v>
      </c>
      <c r="N117" s="4">
        <v>0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4</v>
      </c>
      <c r="U117" s="4">
        <v>0</v>
      </c>
    </row>
    <row r="118" spans="1:21" ht="15" customHeight="1" x14ac:dyDescent="0.2">
      <c r="A118" s="3" t="s">
        <v>137</v>
      </c>
      <c r="B118" s="4">
        <v>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/>
      <c r="J118" s="4"/>
      <c r="K118" s="4">
        <v>0</v>
      </c>
      <c r="L118" s="4">
        <v>0</v>
      </c>
      <c r="M118" s="4"/>
      <c r="N118" s="4">
        <v>0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4">
        <v>4</v>
      </c>
      <c r="U118" s="4">
        <v>0</v>
      </c>
    </row>
    <row r="119" spans="1:21" ht="15" customHeight="1" x14ac:dyDescent="0.2">
      <c r="A119" s="3" t="s">
        <v>138</v>
      </c>
      <c r="B119" s="4">
        <v>1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  <c r="M119" s="4">
        <v>0</v>
      </c>
      <c r="N119" s="4">
        <v>0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4</v>
      </c>
      <c r="U119" s="4">
        <v>0</v>
      </c>
    </row>
    <row r="120" spans="1:21" ht="15" customHeight="1" x14ac:dyDescent="0.2">
      <c r="A120" s="3" t="s">
        <v>139</v>
      </c>
      <c r="B120" s="4">
        <v>1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/>
      <c r="J120" s="4"/>
      <c r="K120" s="4">
        <v>0</v>
      </c>
      <c r="L120" s="4">
        <v>0</v>
      </c>
      <c r="M120" s="4"/>
      <c r="N120" s="4">
        <v>0</v>
      </c>
      <c r="O120" s="4">
        <v>1</v>
      </c>
      <c r="P120" s="4">
        <v>0</v>
      </c>
      <c r="Q120" s="4">
        <v>0</v>
      </c>
      <c r="R120" s="4">
        <v>0</v>
      </c>
      <c r="S120" s="4">
        <v>0</v>
      </c>
      <c r="T120" s="4">
        <v>4</v>
      </c>
      <c r="U120" s="4">
        <v>0</v>
      </c>
    </row>
    <row r="121" spans="1:21" ht="15" customHeight="1" x14ac:dyDescent="0.2">
      <c r="A121" s="3" t="s">
        <v>140</v>
      </c>
      <c r="B121" s="4">
        <v>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/>
      <c r="J121" s="4"/>
      <c r="K121" s="4">
        <v>0</v>
      </c>
      <c r="L121" s="4">
        <v>0</v>
      </c>
      <c r="M121" s="4"/>
      <c r="N121" s="4">
        <v>0</v>
      </c>
      <c r="O121" s="4">
        <v>1</v>
      </c>
      <c r="P121" s="4">
        <v>0</v>
      </c>
      <c r="Q121" s="4">
        <v>0</v>
      </c>
      <c r="R121" s="4">
        <v>0</v>
      </c>
      <c r="S121" s="4">
        <v>0</v>
      </c>
      <c r="T121" s="4">
        <v>4</v>
      </c>
      <c r="U121" s="4">
        <v>0</v>
      </c>
    </row>
    <row r="122" spans="1:21" ht="15" customHeight="1" x14ac:dyDescent="0.2">
      <c r="A122" s="3" t="s">
        <v>141</v>
      </c>
      <c r="B122" s="4">
        <v>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</v>
      </c>
      <c r="L122" s="4">
        <v>1</v>
      </c>
      <c r="M122" s="4">
        <v>0</v>
      </c>
      <c r="N122" s="4">
        <v>0</v>
      </c>
      <c r="O122" s="4">
        <v>1</v>
      </c>
      <c r="P122" s="4">
        <v>0</v>
      </c>
      <c r="Q122" s="4">
        <v>0</v>
      </c>
      <c r="R122" s="4">
        <v>0</v>
      </c>
      <c r="S122" s="4">
        <v>0</v>
      </c>
      <c r="T122" s="4">
        <v>4</v>
      </c>
      <c r="U122" s="4">
        <v>0</v>
      </c>
    </row>
    <row r="123" spans="1:21" ht="15" customHeight="1" x14ac:dyDescent="0.2">
      <c r="A123" s="3" t="s">
        <v>142</v>
      </c>
      <c r="B123" s="4">
        <v>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/>
      <c r="J123" s="4"/>
      <c r="K123" s="4">
        <v>0</v>
      </c>
      <c r="L123" s="4">
        <v>0</v>
      </c>
      <c r="M123" s="4"/>
      <c r="N123" s="4">
        <v>0</v>
      </c>
      <c r="O123" s="4">
        <v>1</v>
      </c>
      <c r="P123" s="4">
        <v>0</v>
      </c>
      <c r="Q123" s="4">
        <v>0</v>
      </c>
      <c r="R123" s="4">
        <v>0</v>
      </c>
      <c r="S123" s="4">
        <v>0</v>
      </c>
      <c r="T123" s="4">
        <v>4</v>
      </c>
      <c r="U123" s="4">
        <v>0</v>
      </c>
    </row>
    <row r="124" spans="1:21" ht="15" customHeight="1" x14ac:dyDescent="0.2">
      <c r="A124" s="3" t="s">
        <v>143</v>
      </c>
      <c r="B124" s="4">
        <v>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1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4</v>
      </c>
      <c r="U124" s="4">
        <v>0</v>
      </c>
    </row>
    <row r="125" spans="1:21" ht="15" customHeight="1" x14ac:dyDescent="0.2">
      <c r="A125" s="3" t="s">
        <v>144</v>
      </c>
      <c r="B125" s="4">
        <v>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</v>
      </c>
      <c r="L125" s="4">
        <v>1</v>
      </c>
      <c r="M125" s="4">
        <v>0</v>
      </c>
      <c r="N125" s="4">
        <v>0</v>
      </c>
      <c r="O125" s="4">
        <v>1</v>
      </c>
      <c r="P125" s="4">
        <v>0</v>
      </c>
      <c r="Q125" s="4">
        <v>0</v>
      </c>
      <c r="R125" s="4">
        <v>0</v>
      </c>
      <c r="S125" s="4">
        <v>0</v>
      </c>
      <c r="T125" s="4">
        <v>4</v>
      </c>
      <c r="U125" s="4">
        <v>1</v>
      </c>
    </row>
    <row r="126" spans="1:21" ht="15" customHeight="1" x14ac:dyDescent="0.2">
      <c r="A126" s="3" t="s">
        <v>145</v>
      </c>
      <c r="B126" s="4">
        <v>1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1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0</v>
      </c>
      <c r="T126" s="4">
        <v>4</v>
      </c>
      <c r="U126" s="4">
        <v>1</v>
      </c>
    </row>
    <row r="127" spans="1:21" ht="15" customHeight="1" x14ac:dyDescent="0.2">
      <c r="A127" s="3" t="s">
        <v>146</v>
      </c>
      <c r="B127" s="4">
        <v>1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</v>
      </c>
      <c r="L127" s="4">
        <v>1</v>
      </c>
      <c r="M127" s="4">
        <v>0</v>
      </c>
      <c r="N127" s="4">
        <v>0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4</v>
      </c>
      <c r="U127" s="4">
        <v>0</v>
      </c>
    </row>
    <row r="128" spans="1:21" ht="15" customHeight="1" x14ac:dyDescent="0.2">
      <c r="A128" s="3" t="s">
        <v>147</v>
      </c>
      <c r="B128" s="4">
        <v>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  <c r="M128" s="4">
        <v>0</v>
      </c>
      <c r="N128" s="4">
        <v>0</v>
      </c>
      <c r="O128" s="4">
        <v>1</v>
      </c>
      <c r="P128" s="4">
        <v>0</v>
      </c>
      <c r="Q128" s="4">
        <v>0</v>
      </c>
      <c r="R128" s="4">
        <v>0</v>
      </c>
      <c r="S128" s="4">
        <v>0</v>
      </c>
      <c r="T128" s="4">
        <v>4</v>
      </c>
      <c r="U128" s="4">
        <v>0</v>
      </c>
    </row>
    <row r="129" spans="1:21" ht="15" customHeight="1" x14ac:dyDescent="0.2">
      <c r="A129" s="3" t="s">
        <v>148</v>
      </c>
      <c r="B129" s="4">
        <v>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</v>
      </c>
      <c r="L129" s="4">
        <v>1</v>
      </c>
      <c r="M129" s="4">
        <v>0</v>
      </c>
      <c r="N129" s="4">
        <v>0</v>
      </c>
      <c r="O129" s="4">
        <v>1</v>
      </c>
      <c r="P129" s="4">
        <v>0</v>
      </c>
      <c r="Q129" s="4">
        <v>0</v>
      </c>
      <c r="R129" s="4">
        <v>0</v>
      </c>
      <c r="S129" s="4">
        <v>0</v>
      </c>
      <c r="T129" s="4">
        <v>4</v>
      </c>
      <c r="U129" s="4">
        <v>1</v>
      </c>
    </row>
    <row r="130" spans="1:21" ht="15" customHeight="1" x14ac:dyDescent="0.2">
      <c r="A130" s="3" t="s">
        <v>149</v>
      </c>
      <c r="B130" s="4">
        <v>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  <c r="M130" s="4">
        <v>0</v>
      </c>
      <c r="N130" s="4">
        <v>0</v>
      </c>
      <c r="O130" s="4">
        <v>1</v>
      </c>
      <c r="P130" s="4">
        <v>0</v>
      </c>
      <c r="Q130" s="4">
        <v>0</v>
      </c>
      <c r="R130" s="4">
        <v>0</v>
      </c>
      <c r="S130" s="4">
        <v>0</v>
      </c>
      <c r="T130" s="4">
        <v>4</v>
      </c>
      <c r="U130" s="4">
        <v>1</v>
      </c>
    </row>
    <row r="131" spans="1:21" ht="15" customHeight="1" x14ac:dyDescent="0.2">
      <c r="A131" s="3" t="s">
        <v>150</v>
      </c>
      <c r="B131" s="4">
        <v>1</v>
      </c>
      <c r="C131" s="4">
        <v>0</v>
      </c>
      <c r="D131" s="4">
        <v>1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4</v>
      </c>
      <c r="L131" s="4">
        <v>4</v>
      </c>
      <c r="M131" s="4">
        <v>8</v>
      </c>
      <c r="N131" s="4">
        <v>0</v>
      </c>
      <c r="O131" s="4">
        <v>0</v>
      </c>
      <c r="P131" s="4">
        <v>10</v>
      </c>
      <c r="Q131" s="4">
        <v>71.8626</v>
      </c>
      <c r="R131" s="4">
        <v>0</v>
      </c>
      <c r="S131" s="4">
        <v>0</v>
      </c>
      <c r="T131" s="4">
        <v>0</v>
      </c>
      <c r="U131" s="4">
        <v>1</v>
      </c>
    </row>
    <row r="132" spans="1:21" ht="15" customHeight="1" x14ac:dyDescent="0.2">
      <c r="A132" s="3" t="s">
        <v>151</v>
      </c>
      <c r="B132" s="4">
        <v>1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1.5</v>
      </c>
      <c r="I132" s="4">
        <v>52.303800000000003</v>
      </c>
      <c r="J132" s="4">
        <v>4.7000000000000002E-3</v>
      </c>
      <c r="K132" s="4">
        <v>11</v>
      </c>
      <c r="L132" s="4">
        <v>9</v>
      </c>
      <c r="M132" s="4">
        <v>34.869199999999999</v>
      </c>
      <c r="N132" s="4">
        <v>1</v>
      </c>
      <c r="O132" s="4">
        <v>0</v>
      </c>
      <c r="P132" s="4">
        <v>6</v>
      </c>
      <c r="Q132" s="4">
        <v>72.302000000000007</v>
      </c>
      <c r="R132" s="4">
        <v>0</v>
      </c>
      <c r="S132" s="4">
        <v>6</v>
      </c>
      <c r="T132" s="4">
        <v>0</v>
      </c>
      <c r="U132" s="4">
        <v>3</v>
      </c>
    </row>
    <row r="133" spans="1:21" ht="15" customHeight="1" x14ac:dyDescent="0.2">
      <c r="A133" s="3" t="s">
        <v>152</v>
      </c>
      <c r="B133" s="4">
        <v>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2</v>
      </c>
      <c r="I133" s="4">
        <v>23.2193</v>
      </c>
      <c r="J133" s="4">
        <v>2.7000000000000001E-3</v>
      </c>
      <c r="K133" s="4">
        <v>5</v>
      </c>
      <c r="L133" s="4">
        <v>5</v>
      </c>
      <c r="M133" s="4">
        <v>11.6096</v>
      </c>
      <c r="N133" s="4">
        <v>1</v>
      </c>
      <c r="O133" s="4">
        <v>0</v>
      </c>
      <c r="P133" s="4">
        <v>4</v>
      </c>
      <c r="Q133" s="4">
        <v>79.574799999999996</v>
      </c>
      <c r="R133" s="4">
        <v>0</v>
      </c>
      <c r="S133" s="4">
        <v>1</v>
      </c>
      <c r="T133" s="4">
        <v>0</v>
      </c>
      <c r="U133" s="4">
        <v>0</v>
      </c>
    </row>
    <row r="134" spans="1:21" ht="15" customHeight="1" x14ac:dyDescent="0.2">
      <c r="A134" s="3" t="s">
        <v>153</v>
      </c>
      <c r="B134" s="4">
        <v>1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1.5</v>
      </c>
      <c r="I134" s="4">
        <v>12</v>
      </c>
      <c r="J134" s="4">
        <v>1.6999999999999999E-3</v>
      </c>
      <c r="K134" s="4">
        <v>4</v>
      </c>
      <c r="L134" s="4">
        <v>4</v>
      </c>
      <c r="M134" s="4">
        <v>8</v>
      </c>
      <c r="N134" s="4">
        <v>1</v>
      </c>
      <c r="O134" s="4">
        <v>0</v>
      </c>
      <c r="P134" s="4">
        <v>4</v>
      </c>
      <c r="Q134" s="4">
        <v>80.543199999999999</v>
      </c>
      <c r="R134" s="4">
        <v>0</v>
      </c>
      <c r="S134" s="4">
        <v>1</v>
      </c>
      <c r="T134" s="4">
        <v>0</v>
      </c>
      <c r="U134" s="4">
        <v>0</v>
      </c>
    </row>
    <row r="135" spans="1:21" ht="15" customHeight="1" x14ac:dyDescent="0.2">
      <c r="A135" s="3" t="s">
        <v>154</v>
      </c>
      <c r="B135" s="4">
        <v>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1.5</v>
      </c>
      <c r="I135" s="4">
        <v>12</v>
      </c>
      <c r="J135" s="4">
        <v>1.6999999999999999E-3</v>
      </c>
      <c r="K135" s="4">
        <v>4</v>
      </c>
      <c r="L135" s="4">
        <v>4</v>
      </c>
      <c r="M135" s="4">
        <v>8</v>
      </c>
      <c r="N135" s="4">
        <v>1</v>
      </c>
      <c r="O135" s="4">
        <v>0</v>
      </c>
      <c r="P135" s="4">
        <v>4</v>
      </c>
      <c r="Q135" s="4">
        <v>80.543199999999999</v>
      </c>
      <c r="R135" s="4">
        <v>0</v>
      </c>
      <c r="S135" s="4">
        <v>1</v>
      </c>
      <c r="T135" s="4">
        <v>0</v>
      </c>
      <c r="U135" s="4">
        <v>0</v>
      </c>
    </row>
    <row r="136" spans="1:21" ht="15" customHeight="1" x14ac:dyDescent="0.2">
      <c r="A136" s="3" t="s">
        <v>155</v>
      </c>
      <c r="B136" s="4">
        <v>38</v>
      </c>
      <c r="C136" s="4">
        <v>40</v>
      </c>
      <c r="D136" s="4">
        <v>0.45450000000000002</v>
      </c>
      <c r="E136" s="4">
        <v>22</v>
      </c>
      <c r="F136" s="4">
        <v>4</v>
      </c>
      <c r="G136" s="4">
        <v>5</v>
      </c>
      <c r="H136" s="4">
        <v>76.2273</v>
      </c>
      <c r="I136" s="4">
        <v>186561.87779999999</v>
      </c>
      <c r="J136" s="4">
        <v>1.0883</v>
      </c>
      <c r="K136" s="4">
        <v>370</v>
      </c>
      <c r="L136" s="4">
        <v>98</v>
      </c>
      <c r="M136" s="4">
        <v>2447.4425999999999</v>
      </c>
      <c r="N136" s="4">
        <v>0.2</v>
      </c>
      <c r="O136" s="4">
        <v>1</v>
      </c>
      <c r="P136" s="4">
        <v>132</v>
      </c>
      <c r="Q136" s="4">
        <v>29.525400000000001</v>
      </c>
      <c r="R136" s="4">
        <v>5</v>
      </c>
      <c r="S136" s="4">
        <v>31</v>
      </c>
      <c r="T136" s="4">
        <v>5</v>
      </c>
      <c r="U136" s="4">
        <v>1</v>
      </c>
    </row>
    <row r="137" spans="1:21" ht="15" customHeight="1" x14ac:dyDescent="0.2">
      <c r="A137" s="3" t="s">
        <v>156</v>
      </c>
      <c r="B137" s="4">
        <v>1</v>
      </c>
      <c r="C137" s="4">
        <v>0</v>
      </c>
      <c r="D137" s="4">
        <v>1</v>
      </c>
      <c r="E137" s="4">
        <v>1</v>
      </c>
      <c r="F137" s="4">
        <v>0</v>
      </c>
      <c r="G137" s="4">
        <v>0</v>
      </c>
      <c r="H137" s="4">
        <v>1.5</v>
      </c>
      <c r="I137" s="4">
        <v>62.269799999999996</v>
      </c>
      <c r="J137" s="4">
        <v>5.1999999999999998E-3</v>
      </c>
      <c r="K137" s="4">
        <v>12</v>
      </c>
      <c r="L137" s="4">
        <v>11</v>
      </c>
      <c r="M137" s="4">
        <v>41.513199999999998</v>
      </c>
      <c r="N137" s="4">
        <v>1</v>
      </c>
      <c r="O137" s="4">
        <v>0</v>
      </c>
      <c r="P137" s="4">
        <v>8</v>
      </c>
      <c r="Q137" s="4">
        <v>69.007300000000001</v>
      </c>
      <c r="R137" s="4">
        <v>0</v>
      </c>
      <c r="S137" s="4">
        <v>3</v>
      </c>
      <c r="T137" s="4">
        <v>0</v>
      </c>
      <c r="U137" s="4">
        <v>0</v>
      </c>
    </row>
    <row r="138" spans="1:21" ht="15" customHeight="1" x14ac:dyDescent="0.2">
      <c r="A138" s="3" t="s">
        <v>157</v>
      </c>
      <c r="B138" s="4">
        <v>2</v>
      </c>
      <c r="C138" s="4">
        <v>1</v>
      </c>
      <c r="D138" s="4">
        <v>1</v>
      </c>
      <c r="E138" s="4">
        <v>2</v>
      </c>
      <c r="F138" s="4">
        <v>1</v>
      </c>
      <c r="G138" s="4">
        <v>1</v>
      </c>
      <c r="H138" s="4">
        <v>12.857100000000001</v>
      </c>
      <c r="I138" s="4">
        <v>1524.0397</v>
      </c>
      <c r="J138" s="4">
        <v>4.41E-2</v>
      </c>
      <c r="K138" s="4">
        <v>29</v>
      </c>
      <c r="L138" s="4">
        <v>17</v>
      </c>
      <c r="M138" s="4">
        <v>118.5364</v>
      </c>
      <c r="N138" s="4">
        <v>0</v>
      </c>
      <c r="O138" s="4">
        <v>0</v>
      </c>
      <c r="P138" s="4">
        <v>13</v>
      </c>
      <c r="Q138" s="4">
        <v>61.099899999999998</v>
      </c>
      <c r="R138" s="4">
        <v>1</v>
      </c>
      <c r="S138" s="4">
        <v>6</v>
      </c>
      <c r="T138" s="4">
        <v>0</v>
      </c>
      <c r="U138" s="4">
        <v>3</v>
      </c>
    </row>
    <row r="139" spans="1:21" ht="15" customHeight="1" x14ac:dyDescent="0.2">
      <c r="A139" s="3" t="s">
        <v>158</v>
      </c>
      <c r="B139" s="4">
        <v>2</v>
      </c>
      <c r="C139" s="4">
        <v>1</v>
      </c>
      <c r="D139" s="4">
        <v>0.26319999999999999</v>
      </c>
      <c r="E139" s="4">
        <v>18</v>
      </c>
      <c r="F139" s="4">
        <v>0</v>
      </c>
      <c r="G139" s="4">
        <v>5</v>
      </c>
      <c r="H139" s="4">
        <v>29</v>
      </c>
      <c r="I139" s="4">
        <v>15830.8495</v>
      </c>
      <c r="J139" s="4">
        <v>0.2102</v>
      </c>
      <c r="K139" s="4">
        <v>94</v>
      </c>
      <c r="L139" s="4">
        <v>56</v>
      </c>
      <c r="M139" s="4">
        <v>545.89139999999998</v>
      </c>
      <c r="N139" s="4">
        <v>0</v>
      </c>
      <c r="O139" s="4">
        <v>0</v>
      </c>
      <c r="P139" s="4">
        <v>34</v>
      </c>
      <c r="Q139" s="4">
        <v>47.338900000000002</v>
      </c>
      <c r="R139" s="4">
        <v>1</v>
      </c>
      <c r="S139" s="4">
        <v>14</v>
      </c>
      <c r="T139" s="4">
        <v>0</v>
      </c>
      <c r="U139" s="4">
        <v>2</v>
      </c>
    </row>
    <row r="140" spans="1:21" ht="15" customHeight="1" x14ac:dyDescent="0.2">
      <c r="A140" s="3" t="s">
        <v>159</v>
      </c>
      <c r="B140" s="4">
        <v>9</v>
      </c>
      <c r="C140" s="4">
        <v>9</v>
      </c>
      <c r="D140" s="4">
        <v>0.35</v>
      </c>
      <c r="E140" s="4">
        <v>19</v>
      </c>
      <c r="F140" s="4">
        <v>1</v>
      </c>
      <c r="G140" s="4">
        <v>4</v>
      </c>
      <c r="H140" s="4">
        <v>58.8</v>
      </c>
      <c r="I140" s="4">
        <v>80893.950100000002</v>
      </c>
      <c r="J140" s="4">
        <v>0.62350000000000005</v>
      </c>
      <c r="K140" s="4">
        <v>217</v>
      </c>
      <c r="L140" s="4">
        <v>81</v>
      </c>
      <c r="M140" s="4">
        <v>1375.7474999999999</v>
      </c>
      <c r="N140" s="4">
        <v>0</v>
      </c>
      <c r="O140" s="4">
        <v>2</v>
      </c>
      <c r="P140" s="4">
        <v>71</v>
      </c>
      <c r="Q140" s="4">
        <v>37.346699999999998</v>
      </c>
      <c r="R140" s="4">
        <v>3</v>
      </c>
      <c r="S140" s="4">
        <v>21</v>
      </c>
      <c r="T140" s="4">
        <v>2</v>
      </c>
      <c r="U140" s="4">
        <v>4</v>
      </c>
    </row>
    <row r="141" spans="1:21" ht="15" customHeight="1" x14ac:dyDescent="0.2">
      <c r="A141" s="3" t="s">
        <v>160</v>
      </c>
      <c r="B141" s="4">
        <v>1</v>
      </c>
      <c r="C141" s="4">
        <v>0</v>
      </c>
      <c r="D141" s="4">
        <v>1</v>
      </c>
      <c r="E141" s="4">
        <v>1</v>
      </c>
      <c r="F141" s="4">
        <v>0</v>
      </c>
      <c r="G141" s="4">
        <v>0</v>
      </c>
      <c r="H141" s="4">
        <v>3.3332999999999999</v>
      </c>
      <c r="I141" s="4">
        <v>260.45940000000002</v>
      </c>
      <c r="J141" s="4">
        <v>1.3599999999999999E-2</v>
      </c>
      <c r="K141" s="4">
        <v>20</v>
      </c>
      <c r="L141" s="4">
        <v>15</v>
      </c>
      <c r="M141" s="4">
        <v>78.137799999999999</v>
      </c>
      <c r="N141" s="4">
        <v>1</v>
      </c>
      <c r="O141" s="4">
        <v>0</v>
      </c>
      <c r="P141" s="4">
        <v>13</v>
      </c>
      <c r="Q141" s="4">
        <v>62.451999999999998</v>
      </c>
      <c r="R141" s="4">
        <v>0</v>
      </c>
      <c r="S141" s="4">
        <v>6</v>
      </c>
      <c r="T141" s="4">
        <v>0</v>
      </c>
      <c r="U141" s="4">
        <v>2</v>
      </c>
    </row>
    <row r="142" spans="1:21" ht="15" customHeight="1" x14ac:dyDescent="0.2">
      <c r="A142" s="3" t="s">
        <v>161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1.7142999999999999</v>
      </c>
      <c r="I142" s="4">
        <v>85.421000000000006</v>
      </c>
      <c r="J142" s="4">
        <v>6.4999999999999997E-3</v>
      </c>
      <c r="K142" s="4">
        <v>15</v>
      </c>
      <c r="L142" s="4">
        <v>10</v>
      </c>
      <c r="M142" s="4">
        <v>49.828899999999997</v>
      </c>
      <c r="N142" s="4">
        <v>1</v>
      </c>
      <c r="O142" s="4">
        <v>0</v>
      </c>
      <c r="P142" s="4">
        <v>13</v>
      </c>
      <c r="Q142" s="4">
        <v>63.865699999999997</v>
      </c>
      <c r="R142" s="4">
        <v>0</v>
      </c>
      <c r="S142" s="4">
        <v>6</v>
      </c>
      <c r="T142" s="4">
        <v>0</v>
      </c>
      <c r="U142" s="4">
        <v>2</v>
      </c>
    </row>
    <row r="143" spans="1:21" ht="15" customHeight="1" x14ac:dyDescent="0.2">
      <c r="A143" s="3" t="s">
        <v>162</v>
      </c>
      <c r="B143" s="4">
        <v>3</v>
      </c>
      <c r="C143" s="4">
        <v>2</v>
      </c>
      <c r="D143" s="4">
        <v>0.25</v>
      </c>
      <c r="E143" s="4">
        <v>1</v>
      </c>
      <c r="F143" s="4">
        <v>1</v>
      </c>
      <c r="G143" s="4">
        <v>0</v>
      </c>
      <c r="H143" s="4">
        <v>19.5</v>
      </c>
      <c r="I143" s="4">
        <v>4434.9047</v>
      </c>
      <c r="J143" s="4">
        <v>0.09</v>
      </c>
      <c r="K143" s="4">
        <v>51</v>
      </c>
      <c r="L143" s="4">
        <v>22</v>
      </c>
      <c r="M143" s="4">
        <v>227.43100000000001</v>
      </c>
      <c r="N143" s="4">
        <v>1</v>
      </c>
      <c r="O143" s="4">
        <v>1</v>
      </c>
      <c r="P143" s="4">
        <v>31</v>
      </c>
      <c r="Q143" s="4">
        <v>50.822800000000001</v>
      </c>
      <c r="R143" s="4">
        <v>2</v>
      </c>
      <c r="S143" s="4">
        <v>6</v>
      </c>
      <c r="T143" s="4">
        <v>1</v>
      </c>
      <c r="U143" s="4">
        <v>0</v>
      </c>
    </row>
    <row r="144" spans="1:21" ht="15" customHeight="1" x14ac:dyDescent="0.2">
      <c r="A144" s="3" t="s">
        <v>163</v>
      </c>
      <c r="B144" s="4">
        <v>4</v>
      </c>
      <c r="C144" s="4">
        <v>3</v>
      </c>
      <c r="D144" s="4">
        <v>0.5</v>
      </c>
      <c r="E144" s="4">
        <v>2</v>
      </c>
      <c r="F144" s="4">
        <v>1</v>
      </c>
      <c r="G144" s="4">
        <v>0</v>
      </c>
      <c r="H144" s="4">
        <v>7.5</v>
      </c>
      <c r="I144" s="4">
        <v>780</v>
      </c>
      <c r="J144" s="4">
        <v>2.8199999999999999E-2</v>
      </c>
      <c r="K144" s="4">
        <v>26</v>
      </c>
      <c r="L144" s="4">
        <v>16</v>
      </c>
      <c r="M144" s="4">
        <v>104</v>
      </c>
      <c r="N144" s="4">
        <v>1</v>
      </c>
      <c r="O144" s="4">
        <v>0</v>
      </c>
      <c r="P144" s="4">
        <v>18</v>
      </c>
      <c r="Q144" s="4">
        <v>58.3078</v>
      </c>
      <c r="R144" s="4">
        <v>1</v>
      </c>
      <c r="S144" s="4">
        <v>4</v>
      </c>
      <c r="T144" s="4">
        <v>0</v>
      </c>
      <c r="U144" s="4">
        <v>1</v>
      </c>
    </row>
    <row r="145" spans="1:21" ht="15" customHeight="1" x14ac:dyDescent="0.2">
      <c r="A145" s="3" t="s">
        <v>164</v>
      </c>
      <c r="B145" s="4">
        <v>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</v>
      </c>
      <c r="I145" s="4">
        <v>31.019600000000001</v>
      </c>
      <c r="J145" s="4">
        <v>3.3E-3</v>
      </c>
      <c r="K145" s="4">
        <v>6</v>
      </c>
      <c r="L145" s="4">
        <v>6</v>
      </c>
      <c r="M145" s="4">
        <v>15.5098</v>
      </c>
      <c r="N145" s="4">
        <v>1</v>
      </c>
      <c r="O145" s="4">
        <v>0</v>
      </c>
      <c r="P145" s="4">
        <v>8</v>
      </c>
      <c r="Q145" s="4">
        <v>72.064999999999998</v>
      </c>
      <c r="R145" s="4">
        <v>0</v>
      </c>
      <c r="S145" s="4">
        <v>1</v>
      </c>
      <c r="T145" s="4">
        <v>0</v>
      </c>
      <c r="U145" s="4">
        <v>0</v>
      </c>
    </row>
    <row r="146" spans="1:21" ht="15" customHeight="1" x14ac:dyDescent="0.2">
      <c r="A146" s="3" t="s">
        <v>165</v>
      </c>
      <c r="B146" s="4">
        <v>1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</v>
      </c>
      <c r="I146" s="4">
        <v>36.189500000000002</v>
      </c>
      <c r="J146" s="4">
        <v>3.5999999999999999E-3</v>
      </c>
      <c r="K146" s="4">
        <v>7</v>
      </c>
      <c r="L146" s="4">
        <v>6</v>
      </c>
      <c r="M146" s="4">
        <v>18.0947</v>
      </c>
      <c r="N146" s="4">
        <v>1</v>
      </c>
      <c r="O146" s="4">
        <v>0</v>
      </c>
      <c r="P146" s="4">
        <v>8</v>
      </c>
      <c r="Q146" s="4">
        <v>71.510599999999997</v>
      </c>
      <c r="R146" s="4">
        <v>0</v>
      </c>
      <c r="S146" s="4">
        <v>1</v>
      </c>
      <c r="T146" s="4">
        <v>0</v>
      </c>
      <c r="U146" s="4">
        <v>0</v>
      </c>
    </row>
    <row r="147" spans="1:21" ht="15" customHeight="1" x14ac:dyDescent="0.2">
      <c r="A147" s="3" t="s">
        <v>166</v>
      </c>
      <c r="B147" s="4">
        <v>1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1.5</v>
      </c>
      <c r="I147" s="4">
        <v>12</v>
      </c>
      <c r="J147" s="4">
        <v>1.6999999999999999E-3</v>
      </c>
      <c r="K147" s="4">
        <v>4</v>
      </c>
      <c r="L147" s="4">
        <v>4</v>
      </c>
      <c r="M147" s="4">
        <v>8</v>
      </c>
      <c r="N147" s="4">
        <v>1</v>
      </c>
      <c r="O147" s="4">
        <v>0</v>
      </c>
      <c r="P147" s="4">
        <v>9</v>
      </c>
      <c r="Q147" s="4">
        <v>72.860699999999994</v>
      </c>
      <c r="R147" s="4">
        <v>0</v>
      </c>
      <c r="S147" s="4">
        <v>1</v>
      </c>
      <c r="T147" s="4">
        <v>0</v>
      </c>
      <c r="U147" s="4">
        <v>0</v>
      </c>
    </row>
    <row r="148" spans="1:21" ht="15" customHeight="1" x14ac:dyDescent="0.2">
      <c r="A148" s="3" t="s">
        <v>167</v>
      </c>
      <c r="B148" s="4">
        <v>1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1.5</v>
      </c>
      <c r="I148" s="4">
        <v>12</v>
      </c>
      <c r="J148" s="4">
        <v>1.6999999999999999E-3</v>
      </c>
      <c r="K148" s="4">
        <v>4</v>
      </c>
      <c r="L148" s="4">
        <v>4</v>
      </c>
      <c r="M148" s="4">
        <v>8</v>
      </c>
      <c r="N148" s="4">
        <v>1</v>
      </c>
      <c r="O148" s="4">
        <v>0</v>
      </c>
      <c r="P148" s="4">
        <v>9</v>
      </c>
      <c r="Q148" s="4">
        <v>72.860699999999994</v>
      </c>
      <c r="R148" s="4">
        <v>0</v>
      </c>
      <c r="S148" s="4">
        <v>1</v>
      </c>
      <c r="T148" s="4">
        <v>0</v>
      </c>
      <c r="U148" s="4">
        <v>0</v>
      </c>
    </row>
    <row r="149" spans="1:21" ht="15" customHeight="1" x14ac:dyDescent="0.2">
      <c r="A149" s="3" t="s">
        <v>168</v>
      </c>
      <c r="B149" s="4">
        <v>1</v>
      </c>
      <c r="C149" s="4">
        <v>0</v>
      </c>
      <c r="D149" s="4">
        <v>1</v>
      </c>
      <c r="E149" s="4">
        <v>1</v>
      </c>
      <c r="F149" s="4">
        <v>0</v>
      </c>
      <c r="G149" s="4">
        <v>0</v>
      </c>
      <c r="H149" s="4">
        <v>2</v>
      </c>
      <c r="I149" s="4">
        <v>48</v>
      </c>
      <c r="J149" s="4">
        <v>4.4000000000000003E-3</v>
      </c>
      <c r="K149" s="4">
        <v>8</v>
      </c>
      <c r="L149" s="4">
        <v>8</v>
      </c>
      <c r="M149" s="4">
        <v>24</v>
      </c>
      <c r="N149" s="4">
        <v>1</v>
      </c>
      <c r="O149" s="4">
        <v>0</v>
      </c>
      <c r="P149" s="4">
        <v>9</v>
      </c>
      <c r="Q149" s="4">
        <v>69.519900000000007</v>
      </c>
      <c r="R149" s="4">
        <v>0</v>
      </c>
      <c r="S149" s="4">
        <v>4</v>
      </c>
      <c r="T149" s="4">
        <v>0</v>
      </c>
      <c r="U149" s="4">
        <v>0</v>
      </c>
    </row>
    <row r="150" spans="1:21" ht="15" customHeight="1" x14ac:dyDescent="0.2">
      <c r="A150" s="3" t="s">
        <v>169</v>
      </c>
      <c r="B150" s="4">
        <v>2</v>
      </c>
      <c r="C150" s="4">
        <v>1</v>
      </c>
      <c r="D150" s="4">
        <v>0.66669999999999996</v>
      </c>
      <c r="E150" s="4">
        <v>3</v>
      </c>
      <c r="F150" s="4">
        <v>0</v>
      </c>
      <c r="G150" s="4">
        <v>0</v>
      </c>
      <c r="H150" s="4">
        <v>7.5</v>
      </c>
      <c r="I150" s="4">
        <v>571.10320000000002</v>
      </c>
      <c r="J150" s="4">
        <v>2.29E-2</v>
      </c>
      <c r="K150" s="4">
        <v>20</v>
      </c>
      <c r="L150" s="4">
        <v>14</v>
      </c>
      <c r="M150" s="4">
        <v>76.147099999999995</v>
      </c>
      <c r="N150" s="4">
        <v>1</v>
      </c>
      <c r="O150" s="4">
        <v>0</v>
      </c>
      <c r="P150" s="4">
        <v>11</v>
      </c>
      <c r="Q150" s="4">
        <v>64.020399999999995</v>
      </c>
      <c r="R150" s="4">
        <v>0</v>
      </c>
      <c r="S150" s="4">
        <v>3</v>
      </c>
      <c r="T150" s="4">
        <v>0</v>
      </c>
      <c r="U150" s="4">
        <v>1</v>
      </c>
    </row>
    <row r="151" spans="1:21" ht="15" customHeight="1" x14ac:dyDescent="0.2">
      <c r="A151" s="3" t="s">
        <v>170</v>
      </c>
      <c r="B151" s="4">
        <v>1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1.5</v>
      </c>
      <c r="I151" s="4">
        <v>12</v>
      </c>
      <c r="J151" s="4">
        <v>1.6999999999999999E-3</v>
      </c>
      <c r="K151" s="4">
        <v>4</v>
      </c>
      <c r="L151" s="4">
        <v>4</v>
      </c>
      <c r="M151" s="4">
        <v>8</v>
      </c>
      <c r="N151" s="4">
        <v>1</v>
      </c>
      <c r="O151" s="4">
        <v>0</v>
      </c>
      <c r="P151" s="4">
        <v>9</v>
      </c>
      <c r="Q151" s="4">
        <v>72.860699999999994</v>
      </c>
      <c r="R151" s="4">
        <v>0</v>
      </c>
      <c r="S151" s="4">
        <v>1</v>
      </c>
      <c r="T151" s="4">
        <v>0</v>
      </c>
      <c r="U151" s="4">
        <v>0</v>
      </c>
    </row>
    <row r="152" spans="1:21" ht="15" customHeight="1" x14ac:dyDescent="0.2">
      <c r="A152" s="3" t="s">
        <v>171</v>
      </c>
      <c r="B152" s="4">
        <v>4</v>
      </c>
      <c r="C152" s="4">
        <v>1</v>
      </c>
      <c r="D152" s="4">
        <v>0</v>
      </c>
      <c r="E152" s="4">
        <v>0</v>
      </c>
      <c r="F152" s="4">
        <v>0</v>
      </c>
      <c r="G152" s="4">
        <v>1</v>
      </c>
      <c r="H152" s="4">
        <v>5</v>
      </c>
      <c r="I152" s="4">
        <v>237.74440000000001</v>
      </c>
      <c r="J152" s="4">
        <v>1.2800000000000001E-2</v>
      </c>
      <c r="K152" s="4">
        <v>15</v>
      </c>
      <c r="L152" s="4">
        <v>9</v>
      </c>
      <c r="M152" s="4">
        <v>47.548900000000003</v>
      </c>
      <c r="N152" s="4">
        <v>0.66669999999999996</v>
      </c>
      <c r="O152" s="4">
        <v>0</v>
      </c>
      <c r="P152" s="4">
        <v>10</v>
      </c>
      <c r="Q152" s="4">
        <v>66.291499999999999</v>
      </c>
      <c r="R152" s="4">
        <v>0</v>
      </c>
      <c r="S152" s="4">
        <v>3</v>
      </c>
      <c r="T152" s="4">
        <v>0</v>
      </c>
      <c r="U152" s="4">
        <v>0</v>
      </c>
    </row>
    <row r="153" spans="1:21" ht="15" customHeight="1" x14ac:dyDescent="0.2">
      <c r="A153" s="3" t="s">
        <v>172</v>
      </c>
      <c r="B153" s="4">
        <v>1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1.5</v>
      </c>
      <c r="I153" s="4">
        <v>12</v>
      </c>
      <c r="J153" s="4">
        <v>1.6999999999999999E-3</v>
      </c>
      <c r="K153" s="4">
        <v>4</v>
      </c>
      <c r="L153" s="4">
        <v>4</v>
      </c>
      <c r="M153" s="4">
        <v>8</v>
      </c>
      <c r="N153" s="4">
        <v>1</v>
      </c>
      <c r="O153" s="4">
        <v>0</v>
      </c>
      <c r="P153" s="4">
        <v>9</v>
      </c>
      <c r="Q153" s="4">
        <v>72.860699999999994</v>
      </c>
      <c r="R153" s="4">
        <v>0</v>
      </c>
      <c r="S153" s="4">
        <v>1</v>
      </c>
      <c r="T153" s="4">
        <v>0</v>
      </c>
      <c r="U153" s="4">
        <v>0</v>
      </c>
    </row>
    <row r="154" spans="1:21" ht="15" customHeight="1" x14ac:dyDescent="0.2">
      <c r="A154" s="3" t="s">
        <v>173</v>
      </c>
      <c r="B154" s="4">
        <v>1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</v>
      </c>
      <c r="I154" s="4">
        <v>8</v>
      </c>
      <c r="J154" s="4">
        <v>1.2999999999999999E-3</v>
      </c>
      <c r="K154" s="4">
        <v>4</v>
      </c>
      <c r="L154" s="4">
        <v>4</v>
      </c>
      <c r="M154" s="4">
        <v>8</v>
      </c>
      <c r="N154" s="4">
        <v>1</v>
      </c>
      <c r="O154" s="4">
        <v>0</v>
      </c>
      <c r="P154" s="4">
        <v>7</v>
      </c>
      <c r="Q154" s="4">
        <v>75.241600000000005</v>
      </c>
      <c r="R154" s="4">
        <v>0</v>
      </c>
      <c r="S154" s="4">
        <v>1</v>
      </c>
      <c r="T154" s="4">
        <v>0</v>
      </c>
      <c r="U154" s="4">
        <v>0</v>
      </c>
    </row>
    <row r="155" spans="1:21" ht="15" customHeight="1" x14ac:dyDescent="0.2">
      <c r="A155" s="3" t="s">
        <v>174</v>
      </c>
      <c r="B155" s="4">
        <v>1</v>
      </c>
      <c r="C155" s="4">
        <v>0</v>
      </c>
      <c r="D155" s="4">
        <v>1</v>
      </c>
      <c r="E155" s="4">
        <v>1</v>
      </c>
      <c r="F155" s="4">
        <v>0</v>
      </c>
      <c r="G155" s="4">
        <v>1</v>
      </c>
      <c r="H155" s="4">
        <v>4.6666999999999996</v>
      </c>
      <c r="I155" s="4">
        <v>248.03729999999999</v>
      </c>
      <c r="J155" s="4">
        <v>1.32E-2</v>
      </c>
      <c r="K155" s="4">
        <v>16</v>
      </c>
      <c r="L155" s="4">
        <v>10</v>
      </c>
      <c r="M155" s="4">
        <v>53.150799999999997</v>
      </c>
      <c r="N155" s="4">
        <v>0</v>
      </c>
      <c r="O155" s="4">
        <v>0</v>
      </c>
      <c r="P155" s="4">
        <v>7</v>
      </c>
      <c r="Q155" s="4">
        <v>69.491699999999994</v>
      </c>
      <c r="R155" s="4">
        <v>0</v>
      </c>
      <c r="S155" s="4">
        <v>3</v>
      </c>
      <c r="T155" s="4">
        <v>0</v>
      </c>
      <c r="U155" s="4">
        <v>0</v>
      </c>
    </row>
    <row r="156" spans="1:21" ht="15" customHeight="1" x14ac:dyDescent="0.2">
      <c r="A156" s="3" t="s">
        <v>175</v>
      </c>
      <c r="B156" s="4">
        <v>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1</v>
      </c>
      <c r="I156" s="4">
        <v>8</v>
      </c>
      <c r="J156" s="4">
        <v>1.2999999999999999E-3</v>
      </c>
      <c r="K156" s="4">
        <v>4</v>
      </c>
      <c r="L156" s="4">
        <v>4</v>
      </c>
      <c r="M156" s="4">
        <v>8</v>
      </c>
      <c r="N156" s="4">
        <v>1</v>
      </c>
      <c r="O156" s="4">
        <v>0</v>
      </c>
      <c r="P156" s="4">
        <v>7</v>
      </c>
      <c r="Q156" s="4">
        <v>75.241600000000005</v>
      </c>
      <c r="R156" s="4">
        <v>0</v>
      </c>
      <c r="S156" s="4">
        <v>1</v>
      </c>
      <c r="T156" s="4">
        <v>0</v>
      </c>
      <c r="U156" s="4">
        <v>0</v>
      </c>
    </row>
    <row r="157" spans="1:21" ht="15" customHeight="1" x14ac:dyDescent="0.2">
      <c r="A157" s="3" t="s">
        <v>176</v>
      </c>
      <c r="B157" s="4">
        <v>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2</v>
      </c>
      <c r="I157" s="4">
        <v>63.398499999999999</v>
      </c>
      <c r="J157" s="4">
        <v>5.3E-3</v>
      </c>
      <c r="K157" s="4">
        <v>10</v>
      </c>
      <c r="L157" s="4">
        <v>9</v>
      </c>
      <c r="M157" s="4">
        <v>31.699300000000001</v>
      </c>
      <c r="N157" s="4">
        <v>1</v>
      </c>
      <c r="O157" s="4">
        <v>0</v>
      </c>
      <c r="P157" s="4">
        <v>11</v>
      </c>
      <c r="Q157" s="4">
        <v>66.840599999999995</v>
      </c>
      <c r="R157" s="4">
        <v>0</v>
      </c>
      <c r="S157" s="4">
        <v>2</v>
      </c>
      <c r="T157" s="4">
        <v>0</v>
      </c>
      <c r="U157" s="4">
        <v>0</v>
      </c>
    </row>
    <row r="158" spans="1:21" ht="15" customHeight="1" x14ac:dyDescent="0.2">
      <c r="A158" s="3" t="s">
        <v>177</v>
      </c>
      <c r="B158" s="4">
        <v>5</v>
      </c>
      <c r="C158" s="4">
        <v>5</v>
      </c>
      <c r="D158" s="4">
        <v>0.57140000000000002</v>
      </c>
      <c r="E158" s="4">
        <v>13</v>
      </c>
      <c r="F158" s="4">
        <v>1</v>
      </c>
      <c r="G158" s="4">
        <v>2</v>
      </c>
      <c r="H158" s="4">
        <v>20.16</v>
      </c>
      <c r="I158" s="4">
        <v>9168.5966000000008</v>
      </c>
      <c r="J158" s="4">
        <v>0.14599999999999999</v>
      </c>
      <c r="K158" s="4">
        <v>81</v>
      </c>
      <c r="L158" s="4">
        <v>49</v>
      </c>
      <c r="M158" s="4">
        <v>454.79149999999998</v>
      </c>
      <c r="N158" s="4">
        <v>0.33329999999999999</v>
      </c>
      <c r="O158" s="4">
        <v>0</v>
      </c>
      <c r="P158" s="4">
        <v>44</v>
      </c>
      <c r="Q158" s="4">
        <v>45.328600000000002</v>
      </c>
      <c r="R158" s="4">
        <v>1</v>
      </c>
      <c r="S158" s="4">
        <v>13</v>
      </c>
      <c r="T158" s="4">
        <v>0</v>
      </c>
      <c r="U158" s="4">
        <v>1</v>
      </c>
    </row>
    <row r="159" spans="1:21" ht="15" customHeight="1" x14ac:dyDescent="0.2">
      <c r="A159" s="3" t="s">
        <v>178</v>
      </c>
      <c r="B159" s="4">
        <v>3</v>
      </c>
      <c r="C159" s="4">
        <v>2</v>
      </c>
      <c r="D159" s="4">
        <v>0.4</v>
      </c>
      <c r="E159" s="4">
        <v>4</v>
      </c>
      <c r="F159" s="4">
        <v>2</v>
      </c>
      <c r="G159" s="4">
        <v>1</v>
      </c>
      <c r="H159" s="4">
        <v>8.8000000000000007</v>
      </c>
      <c r="I159" s="4">
        <v>1198.2242000000001</v>
      </c>
      <c r="J159" s="4">
        <v>3.7600000000000001E-2</v>
      </c>
      <c r="K159" s="4">
        <v>31</v>
      </c>
      <c r="L159" s="4">
        <v>21</v>
      </c>
      <c r="M159" s="4">
        <v>136.1618</v>
      </c>
      <c r="N159" s="4">
        <v>0</v>
      </c>
      <c r="O159" s="4">
        <v>0</v>
      </c>
      <c r="P159" s="4">
        <v>17</v>
      </c>
      <c r="Q159" s="4">
        <v>58.072200000000002</v>
      </c>
      <c r="R159" s="4">
        <v>1</v>
      </c>
      <c r="S159" s="4">
        <v>4</v>
      </c>
      <c r="T159" s="4">
        <v>0</v>
      </c>
      <c r="U159" s="4">
        <v>1</v>
      </c>
    </row>
    <row r="160" spans="1:21" ht="15" customHeight="1" x14ac:dyDescent="0.2">
      <c r="A160" s="3" t="s">
        <v>179</v>
      </c>
      <c r="B160" s="4">
        <v>3</v>
      </c>
      <c r="C160" s="4">
        <v>2</v>
      </c>
      <c r="D160" s="4">
        <v>1</v>
      </c>
      <c r="E160" s="4">
        <v>4</v>
      </c>
      <c r="F160" s="4">
        <v>1</v>
      </c>
      <c r="G160" s="4">
        <v>2</v>
      </c>
      <c r="H160" s="4">
        <v>7.5833000000000004</v>
      </c>
      <c r="I160" s="4">
        <v>805.33630000000005</v>
      </c>
      <c r="J160" s="4">
        <v>2.8899999999999999E-2</v>
      </c>
      <c r="K160" s="4">
        <v>25</v>
      </c>
      <c r="L160" s="4">
        <v>19</v>
      </c>
      <c r="M160" s="4">
        <v>106.1982</v>
      </c>
      <c r="N160" s="4">
        <v>0.5</v>
      </c>
      <c r="O160" s="4">
        <v>0</v>
      </c>
      <c r="P160" s="4">
        <v>15</v>
      </c>
      <c r="Q160" s="4">
        <v>60.015799999999999</v>
      </c>
      <c r="R160" s="4">
        <v>2</v>
      </c>
      <c r="S160" s="4">
        <v>5</v>
      </c>
      <c r="T160" s="4">
        <v>0</v>
      </c>
      <c r="U160" s="4">
        <v>0</v>
      </c>
    </row>
    <row r="161" spans="1:21" ht="15" customHeight="1" x14ac:dyDescent="0.2">
      <c r="A161" s="3" t="s">
        <v>180</v>
      </c>
      <c r="B161" s="4">
        <v>2</v>
      </c>
      <c r="C161" s="4">
        <v>1</v>
      </c>
      <c r="D161" s="4">
        <v>0.75</v>
      </c>
      <c r="E161" s="4">
        <v>7</v>
      </c>
      <c r="F161" s="4">
        <v>0</v>
      </c>
      <c r="G161" s="4">
        <v>2</v>
      </c>
      <c r="H161" s="4">
        <v>9</v>
      </c>
      <c r="I161" s="4">
        <v>1170.2518</v>
      </c>
      <c r="J161" s="4">
        <v>3.6999999999999998E-2</v>
      </c>
      <c r="K161" s="4">
        <v>28</v>
      </c>
      <c r="L161" s="4">
        <v>25</v>
      </c>
      <c r="M161" s="4">
        <v>130.02799999999999</v>
      </c>
      <c r="N161" s="4">
        <v>0.4</v>
      </c>
      <c r="O161" s="4">
        <v>0</v>
      </c>
      <c r="P161" s="4">
        <v>17</v>
      </c>
      <c r="Q161" s="4">
        <v>58.2639</v>
      </c>
      <c r="R161" s="4">
        <v>1</v>
      </c>
      <c r="S161" s="4">
        <v>8</v>
      </c>
      <c r="T161" s="4">
        <v>0</v>
      </c>
      <c r="U161" s="4">
        <v>1</v>
      </c>
    </row>
    <row r="162" spans="1:21" ht="15" customHeight="1" x14ac:dyDescent="0.2">
      <c r="A162" s="3" t="s">
        <v>181</v>
      </c>
      <c r="B162" s="4">
        <v>1</v>
      </c>
      <c r="C162" s="4">
        <v>0</v>
      </c>
      <c r="D162" s="4">
        <v>1</v>
      </c>
      <c r="E162" s="4">
        <v>1</v>
      </c>
      <c r="F162" s="4">
        <v>0</v>
      </c>
      <c r="G162" s="4">
        <v>0</v>
      </c>
      <c r="H162" s="4">
        <v>3.75</v>
      </c>
      <c r="I162" s="4">
        <v>475.16759999999999</v>
      </c>
      <c r="J162" s="4">
        <v>2.0299999999999999E-2</v>
      </c>
      <c r="K162" s="4">
        <v>31</v>
      </c>
      <c r="L162" s="4">
        <v>17</v>
      </c>
      <c r="M162" s="4">
        <v>126.71129999999999</v>
      </c>
      <c r="N162" s="4">
        <v>1</v>
      </c>
      <c r="O162" s="4">
        <v>0</v>
      </c>
      <c r="P162" s="4">
        <v>19</v>
      </c>
      <c r="Q162" s="4">
        <v>57.398499999999999</v>
      </c>
      <c r="R162" s="4">
        <v>0</v>
      </c>
      <c r="S162" s="4">
        <v>9</v>
      </c>
      <c r="T162" s="4">
        <v>0</v>
      </c>
      <c r="U162" s="4">
        <v>4</v>
      </c>
    </row>
    <row r="163" spans="1:21" ht="15" customHeight="1" x14ac:dyDescent="0.2">
      <c r="A163" s="3" t="s">
        <v>182</v>
      </c>
      <c r="B163" s="4">
        <v>7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13.5</v>
      </c>
      <c r="I163" s="4">
        <v>3154.0862000000002</v>
      </c>
      <c r="J163" s="4">
        <v>7.17E-2</v>
      </c>
      <c r="K163" s="4">
        <v>55</v>
      </c>
      <c r="L163" s="4">
        <v>19</v>
      </c>
      <c r="M163" s="4">
        <v>233.636</v>
      </c>
      <c r="N163" s="4">
        <v>1</v>
      </c>
      <c r="O163" s="4">
        <v>0</v>
      </c>
      <c r="P163" s="4">
        <v>36</v>
      </c>
      <c r="Q163" s="4">
        <v>49.212899999999998</v>
      </c>
      <c r="R163" s="4">
        <v>1</v>
      </c>
      <c r="S163" s="4">
        <v>9</v>
      </c>
      <c r="T163" s="4">
        <v>0</v>
      </c>
      <c r="U163" s="4">
        <v>3</v>
      </c>
    </row>
    <row r="164" spans="1:21" ht="15" customHeight="1" x14ac:dyDescent="0.2">
      <c r="A164" s="3" t="s">
        <v>183</v>
      </c>
      <c r="B164" s="4">
        <v>5</v>
      </c>
      <c r="C164" s="4">
        <v>4</v>
      </c>
      <c r="D164" s="4">
        <v>0.5</v>
      </c>
      <c r="E164" s="4">
        <v>3</v>
      </c>
      <c r="F164" s="4">
        <v>1</v>
      </c>
      <c r="G164" s="4">
        <v>0</v>
      </c>
      <c r="H164" s="4">
        <v>11</v>
      </c>
      <c r="I164" s="4">
        <v>988.44330000000002</v>
      </c>
      <c r="J164" s="4">
        <v>3.3099999999999997E-2</v>
      </c>
      <c r="K164" s="4">
        <v>23</v>
      </c>
      <c r="L164" s="4">
        <v>15</v>
      </c>
      <c r="M164" s="4">
        <v>89.858500000000006</v>
      </c>
      <c r="N164" s="4">
        <v>1</v>
      </c>
      <c r="O164" s="4">
        <v>2</v>
      </c>
      <c r="P164" s="4">
        <v>19</v>
      </c>
      <c r="Q164" s="4">
        <v>58.239199999999997</v>
      </c>
      <c r="R164" s="4">
        <v>1</v>
      </c>
      <c r="S164" s="4">
        <v>4</v>
      </c>
      <c r="T164" s="4">
        <v>2</v>
      </c>
      <c r="U164" s="4">
        <v>0</v>
      </c>
    </row>
    <row r="165" spans="1:21" ht="15" customHeight="1" x14ac:dyDescent="0.2">
      <c r="A165" s="3" t="s">
        <v>184</v>
      </c>
      <c r="B165" s="4">
        <v>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</v>
      </c>
      <c r="I165" s="4">
        <v>4.7549000000000001</v>
      </c>
      <c r="J165" s="4">
        <v>8.9999999999999998E-4</v>
      </c>
      <c r="K165" s="4">
        <v>3</v>
      </c>
      <c r="L165" s="4">
        <v>3</v>
      </c>
      <c r="M165" s="4">
        <v>4.7549000000000001</v>
      </c>
      <c r="N165" s="4">
        <v>1</v>
      </c>
      <c r="O165" s="4">
        <v>0</v>
      </c>
      <c r="P165" s="4">
        <v>15</v>
      </c>
      <c r="Q165" s="4">
        <v>70.129199999999997</v>
      </c>
      <c r="R165" s="4">
        <v>0</v>
      </c>
      <c r="S165" s="4">
        <v>1</v>
      </c>
      <c r="T165" s="4">
        <v>0</v>
      </c>
      <c r="U165" s="4">
        <v>0</v>
      </c>
    </row>
    <row r="166" spans="1:21" ht="15" customHeight="1" x14ac:dyDescent="0.2">
      <c r="A166" s="3" t="s">
        <v>185</v>
      </c>
      <c r="B166" s="4">
        <v>3</v>
      </c>
      <c r="C166" s="4">
        <v>2</v>
      </c>
      <c r="D166" s="4">
        <v>0.5</v>
      </c>
      <c r="E166" s="4">
        <v>2</v>
      </c>
      <c r="F166" s="4">
        <v>1</v>
      </c>
      <c r="G166" s="4">
        <v>0</v>
      </c>
      <c r="H166" s="4">
        <v>13.5</v>
      </c>
      <c r="I166" s="4">
        <v>1566</v>
      </c>
      <c r="J166" s="4">
        <v>4.4999999999999998E-2</v>
      </c>
      <c r="K166" s="4">
        <v>29</v>
      </c>
      <c r="L166" s="4">
        <v>16</v>
      </c>
      <c r="M166" s="4">
        <v>116</v>
      </c>
      <c r="N166" s="4">
        <v>1</v>
      </c>
      <c r="O166" s="4">
        <v>1</v>
      </c>
      <c r="P166" s="4">
        <v>19</v>
      </c>
      <c r="Q166" s="4">
        <v>57.502200000000002</v>
      </c>
      <c r="R166" s="4">
        <v>0</v>
      </c>
      <c r="S166" s="4">
        <v>2</v>
      </c>
      <c r="T166" s="4">
        <v>1</v>
      </c>
      <c r="U166" s="4">
        <v>0</v>
      </c>
    </row>
    <row r="167" spans="1:21" ht="15" customHeight="1" x14ac:dyDescent="0.2">
      <c r="A167" s="3" t="s">
        <v>186</v>
      </c>
      <c r="B167" s="4">
        <v>1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4.7549000000000001</v>
      </c>
      <c r="J167" s="4">
        <v>8.9999999999999998E-4</v>
      </c>
      <c r="K167" s="4">
        <v>3</v>
      </c>
      <c r="L167" s="4">
        <v>3</v>
      </c>
      <c r="M167" s="4">
        <v>4.7549000000000001</v>
      </c>
      <c r="N167" s="4">
        <v>1</v>
      </c>
      <c r="O167" s="4">
        <v>0</v>
      </c>
      <c r="P167" s="4">
        <v>15</v>
      </c>
      <c r="Q167" s="4">
        <v>70.129199999999997</v>
      </c>
      <c r="R167" s="4">
        <v>0</v>
      </c>
      <c r="S167" s="4">
        <v>1</v>
      </c>
      <c r="T167" s="4">
        <v>0</v>
      </c>
      <c r="U167" s="4">
        <v>0</v>
      </c>
    </row>
    <row r="168" spans="1:21" ht="15" customHeight="1" x14ac:dyDescent="0.2">
      <c r="A168" s="3" t="s">
        <v>187</v>
      </c>
      <c r="B168" s="4">
        <v>3</v>
      </c>
      <c r="C168" s="4">
        <v>2</v>
      </c>
      <c r="D168" s="4">
        <v>0.5</v>
      </c>
      <c r="E168" s="4">
        <v>2</v>
      </c>
      <c r="F168" s="4">
        <v>1</v>
      </c>
      <c r="G168" s="4">
        <v>0</v>
      </c>
      <c r="H168" s="4">
        <v>12.375</v>
      </c>
      <c r="I168" s="4">
        <v>1402.0853999999999</v>
      </c>
      <c r="J168" s="4">
        <v>4.1799999999999997E-2</v>
      </c>
      <c r="K168" s="4">
        <v>29</v>
      </c>
      <c r="L168" s="4">
        <v>15</v>
      </c>
      <c r="M168" s="4">
        <v>113.2998</v>
      </c>
      <c r="N168" s="4">
        <v>1</v>
      </c>
      <c r="O168" s="4">
        <v>1</v>
      </c>
      <c r="P168" s="4">
        <v>19</v>
      </c>
      <c r="Q168" s="4">
        <v>57.581899999999997</v>
      </c>
      <c r="R168" s="4">
        <v>0</v>
      </c>
      <c r="S168" s="4">
        <v>2</v>
      </c>
      <c r="T168" s="4">
        <v>1</v>
      </c>
      <c r="U168" s="4">
        <v>0</v>
      </c>
    </row>
    <row r="169" spans="1:21" ht="15" customHeight="1" x14ac:dyDescent="0.2">
      <c r="A169" s="3" t="s">
        <v>188</v>
      </c>
      <c r="B169" s="4">
        <v>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1</v>
      </c>
      <c r="I169" s="4">
        <v>4.7549000000000001</v>
      </c>
      <c r="J169" s="4">
        <v>8.9999999999999998E-4</v>
      </c>
      <c r="K169" s="4">
        <v>3</v>
      </c>
      <c r="L169" s="4">
        <v>3</v>
      </c>
      <c r="M169" s="4">
        <v>4.7549000000000001</v>
      </c>
      <c r="N169" s="4">
        <v>1</v>
      </c>
      <c r="O169" s="4">
        <v>0</v>
      </c>
      <c r="P169" s="4">
        <v>15</v>
      </c>
      <c r="Q169" s="4">
        <v>70.129199999999997</v>
      </c>
      <c r="R169" s="4">
        <v>0</v>
      </c>
      <c r="S169" s="4">
        <v>1</v>
      </c>
      <c r="T169" s="4">
        <v>0</v>
      </c>
      <c r="U169" s="4">
        <v>0</v>
      </c>
    </row>
    <row r="170" spans="1:21" ht="15" customHeight="1" x14ac:dyDescent="0.2">
      <c r="A170" s="3" t="s">
        <v>189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</v>
      </c>
      <c r="I170" s="4">
        <v>4.7549000000000001</v>
      </c>
      <c r="J170" s="4">
        <v>8.9999999999999998E-4</v>
      </c>
      <c r="K170" s="4">
        <v>3</v>
      </c>
      <c r="L170" s="4">
        <v>3</v>
      </c>
      <c r="M170" s="4">
        <v>4.7549000000000001</v>
      </c>
      <c r="N170" s="4">
        <v>1</v>
      </c>
      <c r="O170" s="4">
        <v>0</v>
      </c>
      <c r="P170" s="4">
        <v>9</v>
      </c>
      <c r="Q170" s="4">
        <v>74.968599999999995</v>
      </c>
      <c r="R170" s="4">
        <v>0</v>
      </c>
      <c r="S170" s="4">
        <v>1</v>
      </c>
      <c r="T170" s="4">
        <v>0</v>
      </c>
      <c r="U170" s="4">
        <v>0</v>
      </c>
    </row>
    <row r="171" spans="1:21" ht="15" customHeight="1" x14ac:dyDescent="0.2">
      <c r="A171" s="3" t="s">
        <v>190</v>
      </c>
      <c r="B171" s="4">
        <v>3</v>
      </c>
      <c r="C171" s="4">
        <v>2</v>
      </c>
      <c r="D171" s="4">
        <v>0.5</v>
      </c>
      <c r="E171" s="4">
        <v>2</v>
      </c>
      <c r="F171" s="4">
        <v>1</v>
      </c>
      <c r="G171" s="4">
        <v>0</v>
      </c>
      <c r="H171" s="4">
        <v>13.5</v>
      </c>
      <c r="I171" s="4">
        <v>1566</v>
      </c>
      <c r="J171" s="4">
        <v>4.4999999999999998E-2</v>
      </c>
      <c r="K171" s="4">
        <v>29</v>
      </c>
      <c r="L171" s="4">
        <v>16</v>
      </c>
      <c r="M171" s="4">
        <v>116</v>
      </c>
      <c r="N171" s="4">
        <v>1</v>
      </c>
      <c r="O171" s="4">
        <v>1</v>
      </c>
      <c r="P171" s="4">
        <v>19</v>
      </c>
      <c r="Q171" s="4">
        <v>57.502200000000002</v>
      </c>
      <c r="R171" s="4">
        <v>0</v>
      </c>
      <c r="S171" s="4">
        <v>2</v>
      </c>
      <c r="T171" s="4">
        <v>1</v>
      </c>
      <c r="U171" s="4">
        <v>0</v>
      </c>
    </row>
    <row r="172" spans="1:21" ht="15" customHeight="1" x14ac:dyDescent="0.2">
      <c r="A172" s="3" t="s">
        <v>191</v>
      </c>
      <c r="B172" s="4">
        <v>1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1</v>
      </c>
      <c r="I172" s="4">
        <v>4.7549000000000001</v>
      </c>
      <c r="J172" s="4">
        <v>8.9999999999999998E-4</v>
      </c>
      <c r="K172" s="4">
        <v>3</v>
      </c>
      <c r="L172" s="4">
        <v>3</v>
      </c>
      <c r="M172" s="4">
        <v>4.7549000000000001</v>
      </c>
      <c r="N172" s="4">
        <v>1</v>
      </c>
      <c r="O172" s="4">
        <v>0</v>
      </c>
      <c r="P172" s="4">
        <v>9</v>
      </c>
      <c r="Q172" s="4">
        <v>74.968599999999995</v>
      </c>
      <c r="R172" s="4">
        <v>0</v>
      </c>
      <c r="S172" s="4">
        <v>1</v>
      </c>
      <c r="T172" s="4">
        <v>0</v>
      </c>
      <c r="U172" s="4">
        <v>0</v>
      </c>
    </row>
    <row r="173" spans="1:21" ht="15" customHeight="1" x14ac:dyDescent="0.2">
      <c r="A173" s="3" t="s">
        <v>192</v>
      </c>
      <c r="B173" s="4">
        <v>3</v>
      </c>
      <c r="C173" s="4">
        <v>2</v>
      </c>
      <c r="D173" s="4">
        <v>0.5</v>
      </c>
      <c r="E173" s="4">
        <v>2</v>
      </c>
      <c r="F173" s="4">
        <v>1</v>
      </c>
      <c r="G173" s="4">
        <v>0</v>
      </c>
      <c r="H173" s="4">
        <v>12.375</v>
      </c>
      <c r="I173" s="4">
        <v>1402.0853999999999</v>
      </c>
      <c r="J173" s="4">
        <v>4.1799999999999997E-2</v>
      </c>
      <c r="K173" s="4">
        <v>29</v>
      </c>
      <c r="L173" s="4">
        <v>15</v>
      </c>
      <c r="M173" s="4">
        <v>113.2998</v>
      </c>
      <c r="N173" s="4">
        <v>1</v>
      </c>
      <c r="O173" s="4">
        <v>1</v>
      </c>
      <c r="P173" s="4">
        <v>19</v>
      </c>
      <c r="Q173" s="4">
        <v>57.581899999999997</v>
      </c>
      <c r="R173" s="4">
        <v>0</v>
      </c>
      <c r="S173" s="4">
        <v>2</v>
      </c>
      <c r="T173" s="4">
        <v>1</v>
      </c>
      <c r="U173" s="4">
        <v>0</v>
      </c>
    </row>
    <row r="174" spans="1:21" ht="15" customHeight="1" x14ac:dyDescent="0.2">
      <c r="A174" s="3" t="s">
        <v>193</v>
      </c>
      <c r="B174" s="4">
        <v>3</v>
      </c>
      <c r="C174" s="4">
        <v>2</v>
      </c>
      <c r="D174" s="4">
        <v>0.5</v>
      </c>
      <c r="E174" s="4">
        <v>2</v>
      </c>
      <c r="F174" s="4">
        <v>1</v>
      </c>
      <c r="G174" s="4">
        <v>0</v>
      </c>
      <c r="H174" s="4">
        <v>10.5</v>
      </c>
      <c r="I174" s="4">
        <v>1089.1259</v>
      </c>
      <c r="J174" s="4">
        <v>3.5299999999999998E-2</v>
      </c>
      <c r="K174" s="4">
        <v>24</v>
      </c>
      <c r="L174" s="4">
        <v>20</v>
      </c>
      <c r="M174" s="4">
        <v>103.72629999999999</v>
      </c>
      <c r="N174" s="4">
        <v>1</v>
      </c>
      <c r="O174" s="4">
        <v>1</v>
      </c>
      <c r="P174" s="4">
        <v>20</v>
      </c>
      <c r="Q174" s="4">
        <v>57.377699999999997</v>
      </c>
      <c r="R174" s="4">
        <v>0</v>
      </c>
      <c r="S174" s="4">
        <v>2</v>
      </c>
      <c r="T174" s="4">
        <v>1</v>
      </c>
      <c r="U174" s="4">
        <v>1</v>
      </c>
    </row>
    <row r="175" spans="1:21" ht="15" customHeight="1" x14ac:dyDescent="0.2">
      <c r="A175" s="3" t="s">
        <v>194</v>
      </c>
      <c r="B175" s="4">
        <v>3</v>
      </c>
      <c r="C175" s="4">
        <v>2</v>
      </c>
      <c r="D175" s="4">
        <v>0.25</v>
      </c>
      <c r="E175" s="4">
        <v>3</v>
      </c>
      <c r="F175" s="4">
        <v>1</v>
      </c>
      <c r="G175" s="4">
        <v>0</v>
      </c>
      <c r="H175" s="4">
        <v>10</v>
      </c>
      <c r="I175" s="4">
        <v>629.07479999999998</v>
      </c>
      <c r="J175" s="4">
        <v>2.4500000000000001E-2</v>
      </c>
      <c r="K175" s="4">
        <v>17</v>
      </c>
      <c r="L175" s="4">
        <v>13</v>
      </c>
      <c r="M175" s="4">
        <v>62.907499999999999</v>
      </c>
      <c r="N175" s="4">
        <v>1</v>
      </c>
      <c r="O175" s="4">
        <v>1</v>
      </c>
      <c r="P175" s="4">
        <v>21</v>
      </c>
      <c r="Q175" s="4">
        <v>58.459000000000003</v>
      </c>
      <c r="R175" s="4">
        <v>1</v>
      </c>
      <c r="S175" s="4">
        <v>2</v>
      </c>
      <c r="T175" s="4">
        <v>1</v>
      </c>
      <c r="U175" s="4">
        <v>1</v>
      </c>
    </row>
    <row r="176" spans="1:21" ht="15" customHeight="1" x14ac:dyDescent="0.2">
      <c r="A176" s="3" t="s">
        <v>195</v>
      </c>
      <c r="B176" s="4">
        <v>2</v>
      </c>
      <c r="C176" s="4">
        <v>1</v>
      </c>
      <c r="D176" s="4">
        <v>0.5</v>
      </c>
      <c r="E176" s="4">
        <v>1</v>
      </c>
      <c r="F176" s="4">
        <v>0</v>
      </c>
      <c r="G176" s="4">
        <v>0</v>
      </c>
      <c r="H176" s="4">
        <v>2.5</v>
      </c>
      <c r="I176" s="4">
        <v>38.7744</v>
      </c>
      <c r="J176" s="4">
        <v>3.8E-3</v>
      </c>
      <c r="K176" s="4">
        <v>6</v>
      </c>
      <c r="L176" s="4">
        <v>6</v>
      </c>
      <c r="M176" s="4">
        <v>15.5098</v>
      </c>
      <c r="N176" s="4">
        <v>1</v>
      </c>
      <c r="O176" s="4">
        <v>1</v>
      </c>
      <c r="P176" s="4">
        <v>13</v>
      </c>
      <c r="Q176" s="4">
        <v>67.372200000000007</v>
      </c>
      <c r="R176" s="4">
        <v>0</v>
      </c>
      <c r="S176" s="4">
        <v>1</v>
      </c>
      <c r="T176" s="4">
        <v>1</v>
      </c>
      <c r="U176" s="4">
        <v>0</v>
      </c>
    </row>
    <row r="177" spans="1:21" ht="15" customHeight="1" x14ac:dyDescent="0.2">
      <c r="A177" s="3" t="s">
        <v>196</v>
      </c>
      <c r="B177" s="4">
        <v>3</v>
      </c>
      <c r="C177" s="4">
        <v>2</v>
      </c>
      <c r="D177" s="4">
        <v>0.5</v>
      </c>
      <c r="E177" s="4">
        <v>2</v>
      </c>
      <c r="F177" s="4">
        <v>1</v>
      </c>
      <c r="G177" s="4">
        <v>0</v>
      </c>
      <c r="H177" s="4">
        <v>9.75</v>
      </c>
      <c r="I177" s="4">
        <v>797.05529999999999</v>
      </c>
      <c r="J177" s="4">
        <v>2.87E-2</v>
      </c>
      <c r="K177" s="4">
        <v>20</v>
      </c>
      <c r="L177" s="4">
        <v>17</v>
      </c>
      <c r="M177" s="4">
        <v>81.749300000000005</v>
      </c>
      <c r="N177" s="4">
        <v>1</v>
      </c>
      <c r="O177" s="4">
        <v>1</v>
      </c>
      <c r="P177" s="4">
        <v>18</v>
      </c>
      <c r="Q177" s="4">
        <v>59.106499999999997</v>
      </c>
      <c r="R177" s="4">
        <v>0</v>
      </c>
      <c r="S177" s="4">
        <v>1</v>
      </c>
      <c r="T177" s="4">
        <v>1</v>
      </c>
      <c r="U177" s="4">
        <v>0</v>
      </c>
    </row>
    <row r="178" spans="1:21" ht="15" customHeight="1" x14ac:dyDescent="0.2">
      <c r="A178" s="3" t="s">
        <v>197</v>
      </c>
      <c r="B178" s="4">
        <v>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1.1667000000000001</v>
      </c>
      <c r="I178" s="4">
        <v>31.5</v>
      </c>
      <c r="J178" s="4">
        <v>3.3E-3</v>
      </c>
      <c r="K178" s="4">
        <v>9</v>
      </c>
      <c r="L178" s="4">
        <v>8</v>
      </c>
      <c r="M178" s="4">
        <v>27</v>
      </c>
      <c r="N178" s="4">
        <v>1</v>
      </c>
      <c r="O178" s="4">
        <v>0</v>
      </c>
      <c r="P178" s="4">
        <v>10</v>
      </c>
      <c r="Q178" s="4">
        <v>68.278400000000005</v>
      </c>
      <c r="R178" s="4">
        <v>0</v>
      </c>
      <c r="S178" s="4">
        <v>3</v>
      </c>
      <c r="T178" s="4">
        <v>0</v>
      </c>
      <c r="U178" s="4">
        <v>0</v>
      </c>
    </row>
    <row r="179" spans="1:21" ht="15" customHeight="1" x14ac:dyDescent="0.2">
      <c r="A179" s="3" t="s">
        <v>198</v>
      </c>
      <c r="B179" s="4">
        <v>3</v>
      </c>
      <c r="C179" s="4">
        <v>2</v>
      </c>
      <c r="D179" s="4">
        <v>0.5</v>
      </c>
      <c r="E179" s="4">
        <v>2</v>
      </c>
      <c r="F179" s="4">
        <v>1</v>
      </c>
      <c r="G179" s="4">
        <v>0</v>
      </c>
      <c r="H179" s="4">
        <v>11.25</v>
      </c>
      <c r="I179" s="4">
        <v>1235.3393000000001</v>
      </c>
      <c r="J179" s="4">
        <v>3.8399999999999997E-2</v>
      </c>
      <c r="K179" s="4">
        <v>25</v>
      </c>
      <c r="L179" s="4">
        <v>21</v>
      </c>
      <c r="M179" s="4">
        <v>109.8079</v>
      </c>
      <c r="N179" s="4">
        <v>1</v>
      </c>
      <c r="O179" s="4">
        <v>1</v>
      </c>
      <c r="P179" s="4">
        <v>20</v>
      </c>
      <c r="Q179" s="4">
        <v>57.205500000000001</v>
      </c>
      <c r="R179" s="4">
        <v>0</v>
      </c>
      <c r="S179" s="4">
        <v>2</v>
      </c>
      <c r="T179" s="4">
        <v>1</v>
      </c>
      <c r="U179" s="4">
        <v>1</v>
      </c>
    </row>
    <row r="180" spans="1:21" ht="15" customHeight="1" x14ac:dyDescent="0.2">
      <c r="A180" s="3" t="s">
        <v>199</v>
      </c>
      <c r="B180" s="4">
        <v>3</v>
      </c>
      <c r="C180" s="4">
        <v>3</v>
      </c>
      <c r="D180" s="4">
        <v>0.6</v>
      </c>
      <c r="E180" s="4">
        <v>4</v>
      </c>
      <c r="F180" s="4">
        <v>1</v>
      </c>
      <c r="G180" s="4">
        <v>0</v>
      </c>
      <c r="H180" s="4">
        <v>8.4</v>
      </c>
      <c r="I180" s="4">
        <v>686.69380000000001</v>
      </c>
      <c r="J180" s="4">
        <v>2.5899999999999999E-2</v>
      </c>
      <c r="K180" s="4">
        <v>20</v>
      </c>
      <c r="L180" s="4">
        <v>17</v>
      </c>
      <c r="M180" s="4">
        <v>81.749300000000005</v>
      </c>
      <c r="N180" s="4">
        <v>0</v>
      </c>
      <c r="O180" s="4">
        <v>1</v>
      </c>
      <c r="P180" s="4">
        <v>21</v>
      </c>
      <c r="Q180" s="4">
        <v>57.6462</v>
      </c>
      <c r="R180" s="4">
        <v>0</v>
      </c>
      <c r="S180" s="4">
        <v>2</v>
      </c>
      <c r="T180" s="4">
        <v>1</v>
      </c>
      <c r="U180" s="4">
        <v>1</v>
      </c>
    </row>
    <row r="181" spans="1:21" ht="15" customHeight="1" x14ac:dyDescent="0.2">
      <c r="A181" s="3" t="s">
        <v>200</v>
      </c>
      <c r="B181" s="4">
        <v>3</v>
      </c>
      <c r="C181" s="4">
        <v>2</v>
      </c>
      <c r="D181" s="4">
        <v>0.5</v>
      </c>
      <c r="E181" s="4">
        <v>6</v>
      </c>
      <c r="F181" s="4">
        <v>1</v>
      </c>
      <c r="G181" s="4">
        <v>1</v>
      </c>
      <c r="H181" s="4">
        <v>9.5</v>
      </c>
      <c r="I181" s="4">
        <v>1398.0318</v>
      </c>
      <c r="J181" s="4">
        <v>4.1700000000000001E-2</v>
      </c>
      <c r="K181" s="4">
        <v>33</v>
      </c>
      <c r="L181" s="4">
        <v>22</v>
      </c>
      <c r="M181" s="4">
        <v>147.16120000000001</v>
      </c>
      <c r="N181" s="4">
        <v>0.5</v>
      </c>
      <c r="O181" s="4">
        <v>1</v>
      </c>
      <c r="P181" s="4">
        <v>19</v>
      </c>
      <c r="Q181" s="4">
        <v>56.781999999999996</v>
      </c>
      <c r="R181" s="4">
        <v>1</v>
      </c>
      <c r="S181" s="4">
        <v>4</v>
      </c>
      <c r="T181" s="4">
        <v>1</v>
      </c>
      <c r="U181" s="4">
        <v>1</v>
      </c>
    </row>
    <row r="182" spans="1:21" ht="15" customHeight="1" x14ac:dyDescent="0.2">
      <c r="A182" s="3" t="s">
        <v>201</v>
      </c>
      <c r="B182" s="4">
        <v>4</v>
      </c>
      <c r="C182" s="4">
        <v>5</v>
      </c>
      <c r="D182" s="4">
        <v>0.375</v>
      </c>
      <c r="E182" s="4">
        <v>7</v>
      </c>
      <c r="F182" s="4">
        <v>2</v>
      </c>
      <c r="G182" s="4">
        <v>1</v>
      </c>
      <c r="H182" s="4">
        <v>20.125</v>
      </c>
      <c r="I182" s="4">
        <v>4771.3662999999997</v>
      </c>
      <c r="J182" s="4">
        <v>9.4500000000000001E-2</v>
      </c>
      <c r="K182" s="4">
        <v>47</v>
      </c>
      <c r="L182" s="4">
        <v>33</v>
      </c>
      <c r="M182" s="4">
        <v>237.0865</v>
      </c>
      <c r="N182" s="4">
        <v>0.5</v>
      </c>
      <c r="O182" s="4">
        <v>1</v>
      </c>
      <c r="P182" s="4">
        <v>25</v>
      </c>
      <c r="Q182" s="4">
        <v>52.690899999999999</v>
      </c>
      <c r="R182" s="4">
        <v>2</v>
      </c>
      <c r="S182" s="4">
        <v>7</v>
      </c>
      <c r="T182" s="4">
        <v>1</v>
      </c>
      <c r="U182" s="4">
        <v>1</v>
      </c>
    </row>
    <row r="183" spans="1:21" ht="15" customHeight="1" x14ac:dyDescent="0.2">
      <c r="A183" s="3" t="s">
        <v>202</v>
      </c>
      <c r="B183" s="4">
        <v>29</v>
      </c>
      <c r="C183" s="4">
        <v>19</v>
      </c>
      <c r="D183" s="4">
        <v>0.3125</v>
      </c>
      <c r="E183" s="4">
        <v>29</v>
      </c>
      <c r="F183" s="4">
        <v>2</v>
      </c>
      <c r="G183" s="4">
        <v>2</v>
      </c>
      <c r="H183" s="4">
        <v>100.1</v>
      </c>
      <c r="I183" s="4">
        <v>190025.48860000001</v>
      </c>
      <c r="J183" s="4">
        <v>1.1017999999999999</v>
      </c>
      <c r="K183" s="4">
        <v>291</v>
      </c>
      <c r="L183" s="4">
        <v>92</v>
      </c>
      <c r="M183" s="4">
        <v>1898.3565000000001</v>
      </c>
      <c r="N183" s="4">
        <v>0.77780000000000005</v>
      </c>
      <c r="O183" s="4">
        <v>2</v>
      </c>
      <c r="P183" s="4">
        <v>122</v>
      </c>
      <c r="Q183" s="4">
        <v>31.0806</v>
      </c>
      <c r="R183" s="4">
        <v>5</v>
      </c>
      <c r="S183" s="4">
        <v>24</v>
      </c>
      <c r="T183" s="4">
        <v>2</v>
      </c>
      <c r="U183" s="4">
        <v>0</v>
      </c>
    </row>
    <row r="184" spans="1:21" ht="15" customHeight="1" x14ac:dyDescent="0.2">
      <c r="A184" s="3" t="s">
        <v>203</v>
      </c>
      <c r="B184" s="4">
        <v>1</v>
      </c>
      <c r="C184" s="4">
        <v>0</v>
      </c>
      <c r="D184" s="4">
        <v>1</v>
      </c>
      <c r="E184" s="4">
        <v>1</v>
      </c>
      <c r="F184" s="4">
        <v>0</v>
      </c>
      <c r="G184" s="4">
        <v>1</v>
      </c>
      <c r="H184" s="4">
        <v>3.7037</v>
      </c>
      <c r="I184" s="4">
        <v>1229.3746000000001</v>
      </c>
      <c r="J184" s="4">
        <v>3.8300000000000001E-2</v>
      </c>
      <c r="K184" s="4">
        <v>67</v>
      </c>
      <c r="L184" s="4">
        <v>31</v>
      </c>
      <c r="M184" s="4">
        <v>331.93119999999999</v>
      </c>
      <c r="N184" s="4">
        <v>0.91669999999999996</v>
      </c>
      <c r="O184" s="4">
        <v>0</v>
      </c>
      <c r="P184" s="4">
        <v>19</v>
      </c>
      <c r="Q184" s="4">
        <v>54.461399999999998</v>
      </c>
      <c r="R184" s="4">
        <v>0</v>
      </c>
      <c r="S184" s="4">
        <v>12</v>
      </c>
      <c r="T184" s="4">
        <v>0</v>
      </c>
      <c r="U184" s="4">
        <v>0</v>
      </c>
    </row>
    <row r="185" spans="1:21" ht="15" customHeight="1" x14ac:dyDescent="0.2">
      <c r="A185" s="3" t="s">
        <v>204</v>
      </c>
      <c r="B185" s="4">
        <v>8</v>
      </c>
      <c r="C185" s="4">
        <v>7</v>
      </c>
      <c r="D185" s="4">
        <v>0.375</v>
      </c>
      <c r="E185" s="4">
        <v>8</v>
      </c>
      <c r="F185" s="4">
        <v>1</v>
      </c>
      <c r="G185" s="4">
        <v>0</v>
      </c>
      <c r="H185" s="4">
        <v>24.285699999999999</v>
      </c>
      <c r="I185" s="4">
        <v>8772.2394999999997</v>
      </c>
      <c r="J185" s="4">
        <v>0.14180000000000001</v>
      </c>
      <c r="K185" s="4">
        <v>71</v>
      </c>
      <c r="L185" s="4">
        <v>34</v>
      </c>
      <c r="M185" s="4">
        <v>361.2099</v>
      </c>
      <c r="N185" s="4">
        <v>0</v>
      </c>
      <c r="O185" s="4">
        <v>0</v>
      </c>
      <c r="P185" s="4">
        <v>28</v>
      </c>
      <c r="Q185" s="4">
        <v>50.244399999999999</v>
      </c>
      <c r="R185" s="4">
        <v>1</v>
      </c>
      <c r="S185" s="4">
        <v>8</v>
      </c>
      <c r="T185" s="4">
        <v>0</v>
      </c>
      <c r="U185" s="4">
        <v>1</v>
      </c>
    </row>
    <row r="186" spans="1:21" ht="15" customHeight="1" x14ac:dyDescent="0.2">
      <c r="A186" s="3" t="s">
        <v>205</v>
      </c>
      <c r="B186" s="4">
        <v>1</v>
      </c>
      <c r="C186" s="4">
        <v>0</v>
      </c>
      <c r="D186" s="4">
        <v>1</v>
      </c>
      <c r="E186" s="4">
        <v>1</v>
      </c>
      <c r="F186" s="4">
        <v>0</v>
      </c>
      <c r="G186" s="4">
        <v>0</v>
      </c>
      <c r="H186" s="4">
        <v>6</v>
      </c>
      <c r="I186" s="4">
        <v>344.15640000000002</v>
      </c>
      <c r="J186" s="4">
        <v>1.6400000000000001E-2</v>
      </c>
      <c r="K186" s="4">
        <v>16</v>
      </c>
      <c r="L186" s="4">
        <v>12</v>
      </c>
      <c r="M186" s="4">
        <v>57.359400000000001</v>
      </c>
      <c r="N186" s="4">
        <v>0</v>
      </c>
      <c r="O186" s="4">
        <v>0</v>
      </c>
      <c r="P186" s="4">
        <v>12</v>
      </c>
      <c r="Q186" s="4">
        <v>64.164100000000005</v>
      </c>
      <c r="R186" s="4">
        <v>0</v>
      </c>
      <c r="S186" s="4">
        <v>3</v>
      </c>
      <c r="T186" s="4">
        <v>0</v>
      </c>
      <c r="U186" s="4">
        <v>1</v>
      </c>
    </row>
    <row r="187" spans="1:21" ht="15" customHeight="1" x14ac:dyDescent="0.2">
      <c r="A187" s="3" t="s">
        <v>206</v>
      </c>
      <c r="B187" s="4">
        <v>1</v>
      </c>
      <c r="C187" s="4">
        <v>0</v>
      </c>
      <c r="D187" s="4">
        <v>0.8</v>
      </c>
      <c r="E187" s="4">
        <v>4</v>
      </c>
      <c r="F187" s="4">
        <v>0</v>
      </c>
      <c r="G187" s="4">
        <v>0</v>
      </c>
      <c r="H187" s="4">
        <v>7.8571</v>
      </c>
      <c r="I187" s="4">
        <v>720.80129999999997</v>
      </c>
      <c r="J187" s="4">
        <v>2.6800000000000001E-2</v>
      </c>
      <c r="K187" s="4">
        <v>22</v>
      </c>
      <c r="L187" s="4">
        <v>18</v>
      </c>
      <c r="M187" s="4">
        <v>91.738399999999999</v>
      </c>
      <c r="N187" s="4">
        <v>0</v>
      </c>
      <c r="O187" s="4">
        <v>0</v>
      </c>
      <c r="P187" s="4">
        <v>14</v>
      </c>
      <c r="Q187" s="4">
        <v>61.281199999999998</v>
      </c>
      <c r="R187" s="4">
        <v>0</v>
      </c>
      <c r="S187" s="4">
        <v>5</v>
      </c>
      <c r="T187" s="4">
        <v>0</v>
      </c>
      <c r="U187" s="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88"/>
  <sheetViews>
    <sheetView topLeftCell="J1" zoomScale="125" zoomScaleNormal="125" workbookViewId="0">
      <selection activeCell="L1" sqref="L1"/>
    </sheetView>
  </sheetViews>
  <sheetFormatPr baseColWidth="10" defaultColWidth="10.5" defaultRowHeight="16" x14ac:dyDescent="0.2"/>
  <cols>
    <col min="1" max="1" width="27.5" customWidth="1"/>
    <col min="2" max="2" width="22.5" customWidth="1"/>
    <col min="3" max="3" width="22.33203125" customWidth="1"/>
    <col min="4" max="4" width="25.5" customWidth="1"/>
    <col min="5" max="5" width="30.83203125" customWidth="1"/>
    <col min="6" max="6" width="27.1640625" customWidth="1"/>
    <col min="7" max="7" width="36.33203125" customWidth="1"/>
    <col min="8" max="8" width="43.5" customWidth="1"/>
    <col min="9" max="9" width="39.6640625" customWidth="1"/>
    <col min="10" max="10" width="61" customWidth="1"/>
    <col min="11" max="11" width="56.1640625" customWidth="1"/>
    <col min="12" max="12" width="56" customWidth="1"/>
    <col min="13" max="13" width="54.6640625" customWidth="1"/>
    <col min="14" max="14" width="49.83203125" customWidth="1"/>
    <col min="15" max="15" width="49.5" customWidth="1"/>
    <col min="16" max="16" width="37.83203125" customWidth="1"/>
    <col min="17" max="17" width="34.33203125" customWidth="1"/>
    <col min="18" max="18" width="55.6640625" customWidth="1"/>
    <col min="19" max="19" width="51.1640625" customWidth="1"/>
    <col min="20" max="20" width="50.83203125" customWidth="1"/>
    <col min="21" max="21" width="49" customWidth="1"/>
    <col min="22" max="22" width="44.1640625" customWidth="1"/>
    <col min="23" max="23" width="43.83203125" customWidth="1"/>
    <col min="24" max="24" width="43.33203125" customWidth="1"/>
    <col min="25" max="25" width="38.5" customWidth="1"/>
    <col min="26" max="26" width="38.33203125" customWidth="1"/>
  </cols>
  <sheetData>
    <row r="1" spans="1:26" ht="15.75" customHeight="1" x14ac:dyDescent="0.2">
      <c r="A1" s="5" t="s">
        <v>207</v>
      </c>
      <c r="B1" s="5" t="s">
        <v>208</v>
      </c>
      <c r="C1" s="5" t="s">
        <v>209</v>
      </c>
      <c r="D1" s="5" t="s">
        <v>210</v>
      </c>
      <c r="E1" s="5" t="s">
        <v>211</v>
      </c>
      <c r="F1" s="5" t="s">
        <v>212</v>
      </c>
      <c r="G1" s="5" t="s">
        <v>213</v>
      </c>
      <c r="H1" s="5" t="s">
        <v>214</v>
      </c>
      <c r="I1" s="5" t="s">
        <v>215</v>
      </c>
      <c r="J1" s="5" t="s">
        <v>216</v>
      </c>
      <c r="K1" s="5" t="s">
        <v>217</v>
      </c>
      <c r="L1" s="5" t="s">
        <v>218</v>
      </c>
      <c r="M1" s="5" t="s">
        <v>219</v>
      </c>
      <c r="N1" s="5" t="s">
        <v>220</v>
      </c>
      <c r="O1" s="5" t="s">
        <v>221</v>
      </c>
      <c r="P1" s="5" t="s">
        <v>222</v>
      </c>
      <c r="Q1" s="5" t="s">
        <v>223</v>
      </c>
      <c r="R1" s="5" t="s">
        <v>224</v>
      </c>
      <c r="S1" s="5" t="s">
        <v>225</v>
      </c>
      <c r="T1" s="5" t="s">
        <v>226</v>
      </c>
      <c r="U1" s="5" t="s">
        <v>227</v>
      </c>
      <c r="V1" s="5" t="s">
        <v>228</v>
      </c>
      <c r="W1" s="5" t="s">
        <v>229</v>
      </c>
      <c r="X1" s="5" t="s">
        <v>230</v>
      </c>
      <c r="Y1" s="5" t="s">
        <v>231</v>
      </c>
      <c r="Z1" s="5" t="s">
        <v>232</v>
      </c>
    </row>
    <row r="2" spans="1:26" ht="15.75" customHeight="1" x14ac:dyDescent="0.2">
      <c r="A2" t="s">
        <v>233</v>
      </c>
      <c r="B2" t="s">
        <v>234</v>
      </c>
      <c r="C2">
        <v>0</v>
      </c>
    </row>
    <row r="3" spans="1:26" ht="15.75" customHeight="1" x14ac:dyDescent="0.2">
      <c r="A3" t="s">
        <v>235</v>
      </c>
      <c r="B3" t="s">
        <v>236</v>
      </c>
      <c r="C3">
        <v>8.9700000000000002E-2</v>
      </c>
    </row>
    <row r="4" spans="1:26" ht="15.75" customHeight="1" x14ac:dyDescent="0.2">
      <c r="A4" t="s">
        <v>237</v>
      </c>
      <c r="B4" t="s">
        <v>238</v>
      </c>
      <c r="C4">
        <v>0.73329999999999995</v>
      </c>
    </row>
    <row r="5" spans="1:26" ht="15.75" customHeight="1" x14ac:dyDescent="0.2">
      <c r="A5" t="s">
        <v>239</v>
      </c>
      <c r="B5" t="s">
        <v>239</v>
      </c>
      <c r="C5">
        <v>1.5585</v>
      </c>
    </row>
    <row r="6" spans="1:26" ht="15.75" customHeight="1" x14ac:dyDescent="0.2">
      <c r="A6" t="s">
        <v>240</v>
      </c>
      <c r="B6" t="s">
        <v>240</v>
      </c>
      <c r="C6">
        <v>2.2155999999999998</v>
      </c>
    </row>
    <row r="7" spans="1:26" ht="15.75" customHeight="1" x14ac:dyDescent="0.2">
      <c r="A7" t="s">
        <v>241</v>
      </c>
      <c r="B7" t="s">
        <v>241</v>
      </c>
      <c r="C7">
        <v>3.6461000000000001</v>
      </c>
    </row>
    <row r="8" spans="1:26" ht="15.75" customHeight="1" x14ac:dyDescent="0.2">
      <c r="A8" t="s">
        <v>242</v>
      </c>
      <c r="B8" t="s">
        <v>242</v>
      </c>
      <c r="C8">
        <v>2.0226999999999999</v>
      </c>
    </row>
    <row r="9" spans="1:26" ht="15.75" customHeight="1" x14ac:dyDescent="0.2">
      <c r="A9" t="s">
        <v>243</v>
      </c>
      <c r="B9" t="s">
        <v>244</v>
      </c>
      <c r="C9">
        <v>1025.5610999999999</v>
      </c>
    </row>
    <row r="10" spans="1:26" ht="15.75" customHeight="1" x14ac:dyDescent="0.2">
      <c r="A10" t="s">
        <v>245</v>
      </c>
      <c r="B10" t="s">
        <v>246</v>
      </c>
      <c r="C10">
        <v>4434629.8962000003</v>
      </c>
    </row>
    <row r="11" spans="1:26" ht="15.75" customHeight="1" x14ac:dyDescent="0.2">
      <c r="A11" t="s">
        <v>247</v>
      </c>
      <c r="B11" t="s">
        <v>248</v>
      </c>
      <c r="C11">
        <v>16.096699999999998</v>
      </c>
    </row>
    <row r="12" spans="1:26" ht="15.75" customHeight="1" x14ac:dyDescent="0.2">
      <c r="A12" t="s">
        <v>249</v>
      </c>
      <c r="B12" t="s">
        <v>250</v>
      </c>
      <c r="C12">
        <v>4574</v>
      </c>
    </row>
    <row r="13" spans="1:26" ht="15.75" customHeight="1" x14ac:dyDescent="0.2">
      <c r="A13" t="s">
        <v>251</v>
      </c>
      <c r="B13" t="s">
        <v>252</v>
      </c>
      <c r="C13">
        <v>1231</v>
      </c>
    </row>
    <row r="14" spans="1:26" ht="15.75" customHeight="1" x14ac:dyDescent="0.2">
      <c r="A14" t="s">
        <v>253</v>
      </c>
      <c r="B14" t="s">
        <v>254</v>
      </c>
      <c r="C14">
        <v>31433.648799999999</v>
      </c>
    </row>
    <row r="15" spans="1:26" ht="15.75" customHeight="1" x14ac:dyDescent="0.2">
      <c r="A15" t="s">
        <v>255</v>
      </c>
      <c r="B15" t="s">
        <v>256</v>
      </c>
      <c r="C15">
        <v>2310</v>
      </c>
    </row>
    <row r="16" spans="1:26" ht="15.75" customHeight="1" x14ac:dyDescent="0.2">
      <c r="A16" t="s">
        <v>257</v>
      </c>
      <c r="B16" t="s">
        <v>258</v>
      </c>
      <c r="C16">
        <v>0</v>
      </c>
    </row>
    <row r="17" spans="1:20" ht="15.75" customHeight="1" x14ac:dyDescent="0.2">
      <c r="A17" t="s">
        <v>259</v>
      </c>
      <c r="B17" t="s">
        <v>260</v>
      </c>
      <c r="C17">
        <v>0</v>
      </c>
    </row>
    <row r="18" spans="1:20" ht="15.75" customHeight="1" x14ac:dyDescent="0.2">
      <c r="A18" t="s">
        <v>261</v>
      </c>
      <c r="B18" t="s">
        <v>262</v>
      </c>
      <c r="C18">
        <v>0.33329999999999999</v>
      </c>
    </row>
    <row r="19" spans="1:20" ht="15.75" customHeight="1" x14ac:dyDescent="0.2">
      <c r="A19" t="s">
        <v>263</v>
      </c>
      <c r="B19" t="s">
        <v>264</v>
      </c>
      <c r="C19">
        <v>1387</v>
      </c>
    </row>
    <row r="20" spans="1:20" ht="15.75" customHeight="1" x14ac:dyDescent="0.2">
      <c r="A20" t="s">
        <v>265</v>
      </c>
      <c r="B20" t="s">
        <v>266</v>
      </c>
      <c r="C20">
        <v>1</v>
      </c>
    </row>
    <row r="21" spans="1:20" ht="15.75" customHeight="1" x14ac:dyDescent="0.2">
      <c r="A21" t="s">
        <v>267</v>
      </c>
      <c r="B21" t="s">
        <v>268</v>
      </c>
      <c r="C21">
        <v>18</v>
      </c>
    </row>
    <row r="22" spans="1:20" ht="15.75" customHeight="1" x14ac:dyDescent="0.2">
      <c r="A22" t="s">
        <v>269</v>
      </c>
      <c r="B22" t="s">
        <v>270</v>
      </c>
      <c r="C22">
        <v>5</v>
      </c>
    </row>
    <row r="23" spans="1:20" ht="15.75" customHeight="1" x14ac:dyDescent="0.2">
      <c r="A23" t="s">
        <v>271</v>
      </c>
      <c r="B23" t="s">
        <v>272</v>
      </c>
      <c r="C23">
        <v>0</v>
      </c>
    </row>
    <row r="24" spans="1:20" ht="15.75" customHeight="1" x14ac:dyDescent="0.2">
      <c r="A24" t="s">
        <v>273</v>
      </c>
      <c r="B24" t="s">
        <v>274</v>
      </c>
      <c r="C24">
        <v>0</v>
      </c>
    </row>
    <row r="25" spans="1:20" ht="15.75" customHeight="1" x14ac:dyDescent="0.2">
      <c r="A25" t="s">
        <v>275</v>
      </c>
      <c r="B25" t="s">
        <v>276</v>
      </c>
      <c r="C25">
        <v>0</v>
      </c>
    </row>
    <row r="26" spans="1:20" ht="15.75" customHeight="1" x14ac:dyDescent="0.2">
      <c r="A26" t="s">
        <v>277</v>
      </c>
      <c r="B26" t="s">
        <v>278</v>
      </c>
      <c r="C26">
        <v>0</v>
      </c>
    </row>
    <row r="27" spans="1:20" ht="15.75" customHeight="1" x14ac:dyDescent="0.2">
      <c r="A27" t="s">
        <v>279</v>
      </c>
      <c r="B27" t="s">
        <v>280</v>
      </c>
      <c r="C27">
        <v>2</v>
      </c>
    </row>
    <row r="28" spans="1:20" ht="15.75" customHeight="1" x14ac:dyDescent="0.2">
      <c r="A28" t="s">
        <v>281</v>
      </c>
      <c r="B28" t="s">
        <v>282</v>
      </c>
      <c r="C28">
        <v>0.42759999999999998</v>
      </c>
    </row>
    <row r="29" spans="1:20" ht="15.75" customHeight="1" x14ac:dyDescent="0.2">
      <c r="A29" t="s">
        <v>283</v>
      </c>
      <c r="B29" t="s">
        <v>283</v>
      </c>
      <c r="C29">
        <v>1.6673</v>
      </c>
    </row>
    <row r="30" spans="1:20" ht="15.75" customHeight="1" x14ac:dyDescent="0.2">
      <c r="A30" t="s">
        <v>284</v>
      </c>
      <c r="B30" t="s">
        <v>284</v>
      </c>
      <c r="C30">
        <v>-2.3693</v>
      </c>
    </row>
    <row r="31" spans="1:20" ht="15.75" customHeight="1" x14ac:dyDescent="0.2">
      <c r="D31" t="s">
        <v>285</v>
      </c>
      <c r="E31" t="s">
        <v>286</v>
      </c>
      <c r="F31">
        <v>1</v>
      </c>
      <c r="P31" t="s">
        <v>287</v>
      </c>
      <c r="Q31">
        <v>1</v>
      </c>
      <c r="R31" t="s">
        <v>288</v>
      </c>
      <c r="S31" t="s">
        <v>2</v>
      </c>
      <c r="T31">
        <v>0</v>
      </c>
    </row>
    <row r="32" spans="1:20" ht="15.75" customHeight="1" x14ac:dyDescent="0.2">
      <c r="D32" t="s">
        <v>285</v>
      </c>
      <c r="E32" t="s">
        <v>286</v>
      </c>
      <c r="F32">
        <v>1</v>
      </c>
      <c r="P32" t="s">
        <v>287</v>
      </c>
      <c r="Q32">
        <v>1</v>
      </c>
      <c r="R32" t="s">
        <v>289</v>
      </c>
      <c r="S32" t="s">
        <v>5</v>
      </c>
      <c r="T32">
        <v>0</v>
      </c>
    </row>
    <row r="33" spans="4:20" ht="15.75" customHeight="1" x14ac:dyDescent="0.2">
      <c r="D33" t="s">
        <v>285</v>
      </c>
      <c r="E33" t="s">
        <v>286</v>
      </c>
      <c r="F33">
        <v>1</v>
      </c>
      <c r="P33" t="s">
        <v>287</v>
      </c>
      <c r="Q33">
        <v>1</v>
      </c>
      <c r="R33" t="s">
        <v>290</v>
      </c>
      <c r="S33" t="s">
        <v>3</v>
      </c>
      <c r="T33">
        <v>0.6</v>
      </c>
    </row>
    <row r="34" spans="4:20" ht="15.75" customHeight="1" x14ac:dyDescent="0.2">
      <c r="D34" t="s">
        <v>285</v>
      </c>
      <c r="E34" t="s">
        <v>286</v>
      </c>
      <c r="F34">
        <v>1</v>
      </c>
      <c r="P34" t="s">
        <v>287</v>
      </c>
      <c r="Q34">
        <v>1</v>
      </c>
      <c r="R34" t="s">
        <v>291</v>
      </c>
      <c r="S34" t="s">
        <v>4</v>
      </c>
      <c r="T34">
        <v>5</v>
      </c>
    </row>
    <row r="35" spans="4:20" ht="15.75" customHeight="1" x14ac:dyDescent="0.2">
      <c r="D35" t="s">
        <v>285</v>
      </c>
      <c r="E35" t="s">
        <v>286</v>
      </c>
      <c r="F35">
        <v>1</v>
      </c>
      <c r="P35" t="s">
        <v>287</v>
      </c>
      <c r="Q35">
        <v>1</v>
      </c>
      <c r="R35" t="s">
        <v>292</v>
      </c>
      <c r="S35" t="s">
        <v>6</v>
      </c>
      <c r="T35">
        <v>0</v>
      </c>
    </row>
    <row r="36" spans="4:20" ht="15.75" customHeight="1" x14ac:dyDescent="0.2">
      <c r="D36" t="s">
        <v>285</v>
      </c>
      <c r="E36" t="s">
        <v>286</v>
      </c>
      <c r="F36">
        <v>1</v>
      </c>
      <c r="P36" t="s">
        <v>287</v>
      </c>
      <c r="Q36">
        <v>1</v>
      </c>
      <c r="R36" t="s">
        <v>243</v>
      </c>
      <c r="S36" t="s">
        <v>7</v>
      </c>
      <c r="T36">
        <v>6</v>
      </c>
    </row>
    <row r="37" spans="4:20" ht="15.75" customHeight="1" x14ac:dyDescent="0.2">
      <c r="D37" t="s">
        <v>285</v>
      </c>
      <c r="E37" t="s">
        <v>286</v>
      </c>
      <c r="F37">
        <v>1</v>
      </c>
      <c r="P37" t="s">
        <v>287</v>
      </c>
      <c r="Q37">
        <v>1</v>
      </c>
      <c r="R37" t="s">
        <v>245</v>
      </c>
      <c r="S37" t="s">
        <v>8</v>
      </c>
      <c r="T37">
        <v>301.13690000000003</v>
      </c>
    </row>
    <row r="38" spans="4:20" ht="15.75" customHeight="1" x14ac:dyDescent="0.2">
      <c r="D38" t="s">
        <v>285</v>
      </c>
      <c r="E38" t="s">
        <v>286</v>
      </c>
      <c r="F38">
        <v>1</v>
      </c>
      <c r="P38" t="s">
        <v>287</v>
      </c>
      <c r="Q38">
        <v>1</v>
      </c>
      <c r="R38" t="s">
        <v>247</v>
      </c>
      <c r="S38" t="s">
        <v>9</v>
      </c>
      <c r="T38">
        <v>1.4999999999999999E-2</v>
      </c>
    </row>
    <row r="39" spans="4:20" ht="15.75" customHeight="1" x14ac:dyDescent="0.2">
      <c r="D39" t="s">
        <v>285</v>
      </c>
      <c r="E39" t="s">
        <v>286</v>
      </c>
      <c r="F39">
        <v>1</v>
      </c>
      <c r="P39" t="s">
        <v>287</v>
      </c>
      <c r="Q39">
        <v>1</v>
      </c>
      <c r="R39" t="s">
        <v>249</v>
      </c>
      <c r="S39" t="s">
        <v>10</v>
      </c>
      <c r="T39">
        <v>14</v>
      </c>
    </row>
    <row r="40" spans="4:20" ht="15.75" customHeight="1" x14ac:dyDescent="0.2">
      <c r="D40" t="s">
        <v>285</v>
      </c>
      <c r="E40" t="s">
        <v>286</v>
      </c>
      <c r="F40">
        <v>1</v>
      </c>
      <c r="P40" t="s">
        <v>287</v>
      </c>
      <c r="Q40">
        <v>1</v>
      </c>
      <c r="R40" t="s">
        <v>251</v>
      </c>
      <c r="S40" t="s">
        <v>11</v>
      </c>
      <c r="T40">
        <v>12</v>
      </c>
    </row>
    <row r="41" spans="4:20" ht="15.75" customHeight="1" x14ac:dyDescent="0.2">
      <c r="D41" t="s">
        <v>285</v>
      </c>
      <c r="E41" t="s">
        <v>286</v>
      </c>
      <c r="F41">
        <v>1</v>
      </c>
      <c r="P41" t="s">
        <v>287</v>
      </c>
      <c r="Q41">
        <v>1</v>
      </c>
      <c r="R41" t="s">
        <v>253</v>
      </c>
      <c r="S41" t="s">
        <v>12</v>
      </c>
      <c r="T41">
        <v>50.189500000000002</v>
      </c>
    </row>
    <row r="42" spans="4:20" ht="15.75" customHeight="1" x14ac:dyDescent="0.2">
      <c r="D42" t="s">
        <v>285</v>
      </c>
      <c r="E42" t="s">
        <v>286</v>
      </c>
      <c r="F42">
        <v>1</v>
      </c>
      <c r="P42" t="s">
        <v>287</v>
      </c>
      <c r="Q42">
        <v>1</v>
      </c>
      <c r="R42" t="s">
        <v>255</v>
      </c>
      <c r="S42" t="s">
        <v>15</v>
      </c>
      <c r="T42">
        <v>11</v>
      </c>
    </row>
    <row r="43" spans="4:20" ht="15.75" customHeight="1" x14ac:dyDescent="0.2">
      <c r="D43" t="s">
        <v>285</v>
      </c>
      <c r="E43" t="s">
        <v>286</v>
      </c>
      <c r="F43">
        <v>1</v>
      </c>
      <c r="P43" t="s">
        <v>287</v>
      </c>
      <c r="Q43">
        <v>1</v>
      </c>
      <c r="R43" t="s">
        <v>293</v>
      </c>
      <c r="S43" t="s">
        <v>13</v>
      </c>
      <c r="T43">
        <v>0</v>
      </c>
    </row>
    <row r="44" spans="4:20" ht="15.75" customHeight="1" x14ac:dyDescent="0.2">
      <c r="D44" t="s">
        <v>285</v>
      </c>
      <c r="E44" t="s">
        <v>286</v>
      </c>
      <c r="F44">
        <v>1</v>
      </c>
      <c r="P44" t="s">
        <v>287</v>
      </c>
      <c r="Q44">
        <v>1</v>
      </c>
      <c r="R44" t="s">
        <v>294</v>
      </c>
      <c r="S44" t="s">
        <v>14</v>
      </c>
      <c r="T44">
        <v>0</v>
      </c>
    </row>
    <row r="45" spans="4:20" ht="15.75" customHeight="1" x14ac:dyDescent="0.2">
      <c r="D45" t="s">
        <v>285</v>
      </c>
      <c r="E45" t="s">
        <v>286</v>
      </c>
      <c r="F45">
        <v>1</v>
      </c>
      <c r="P45" t="s">
        <v>287</v>
      </c>
      <c r="Q45">
        <v>1</v>
      </c>
      <c r="R45" t="s">
        <v>257</v>
      </c>
      <c r="S45" t="s">
        <v>16</v>
      </c>
      <c r="T45">
        <v>65.386899999999997</v>
      </c>
    </row>
    <row r="46" spans="4:20" ht="15.75" customHeight="1" x14ac:dyDescent="0.2">
      <c r="D46" t="s">
        <v>285</v>
      </c>
      <c r="E46" t="s">
        <v>286</v>
      </c>
      <c r="F46">
        <v>1</v>
      </c>
      <c r="P46" t="s">
        <v>287</v>
      </c>
      <c r="Q46">
        <v>1</v>
      </c>
      <c r="R46" t="s">
        <v>295</v>
      </c>
      <c r="S46" t="s">
        <v>17</v>
      </c>
      <c r="T46">
        <v>0</v>
      </c>
    </row>
    <row r="47" spans="4:20" ht="15.75" customHeight="1" x14ac:dyDescent="0.2">
      <c r="D47" t="s">
        <v>285</v>
      </c>
      <c r="E47" t="s">
        <v>286</v>
      </c>
      <c r="F47">
        <v>1</v>
      </c>
      <c r="P47" t="s">
        <v>287</v>
      </c>
      <c r="Q47">
        <v>1</v>
      </c>
      <c r="R47" t="s">
        <v>296</v>
      </c>
      <c r="S47" t="s">
        <v>1</v>
      </c>
      <c r="T47">
        <v>1</v>
      </c>
    </row>
    <row r="48" spans="4:20" ht="15.75" customHeight="1" x14ac:dyDescent="0.2">
      <c r="D48" t="s">
        <v>285</v>
      </c>
      <c r="E48" t="s">
        <v>286</v>
      </c>
      <c r="F48">
        <v>1</v>
      </c>
      <c r="P48" t="s">
        <v>287</v>
      </c>
      <c r="Q48">
        <v>1</v>
      </c>
      <c r="R48" t="s">
        <v>297</v>
      </c>
      <c r="S48" t="s">
        <v>18</v>
      </c>
      <c r="T48">
        <v>2</v>
      </c>
    </row>
    <row r="49" spans="4:23" ht="15.75" customHeight="1" x14ac:dyDescent="0.2">
      <c r="D49" t="s">
        <v>285</v>
      </c>
      <c r="E49" t="s">
        <v>286</v>
      </c>
      <c r="F49">
        <v>1</v>
      </c>
      <c r="P49" t="s">
        <v>287</v>
      </c>
      <c r="Q49">
        <v>1</v>
      </c>
      <c r="R49" t="s">
        <v>298</v>
      </c>
      <c r="S49" t="s">
        <v>19</v>
      </c>
      <c r="T49">
        <v>0</v>
      </c>
    </row>
    <row r="50" spans="4:23" ht="15.75" customHeight="1" x14ac:dyDescent="0.2">
      <c r="D50" t="s">
        <v>285</v>
      </c>
      <c r="E50" t="s">
        <v>286</v>
      </c>
      <c r="F50">
        <v>1</v>
      </c>
      <c r="P50" t="s">
        <v>287</v>
      </c>
      <c r="Q50">
        <v>1</v>
      </c>
      <c r="R50" t="s">
        <v>299</v>
      </c>
      <c r="S50" t="s">
        <v>20</v>
      </c>
      <c r="T50">
        <v>2</v>
      </c>
    </row>
    <row r="51" spans="4:23" ht="15.75" customHeight="1" x14ac:dyDescent="0.2">
      <c r="D51" t="s">
        <v>285</v>
      </c>
      <c r="E51" t="s">
        <v>286</v>
      </c>
      <c r="F51">
        <v>1</v>
      </c>
      <c r="U51" t="s">
        <v>300</v>
      </c>
      <c r="V51" t="s">
        <v>301</v>
      </c>
      <c r="W51">
        <v>1</v>
      </c>
    </row>
    <row r="52" spans="4:23" ht="15.75" customHeight="1" x14ac:dyDescent="0.2">
      <c r="D52" t="s">
        <v>285</v>
      </c>
      <c r="E52" t="s">
        <v>286</v>
      </c>
      <c r="F52">
        <v>1</v>
      </c>
      <c r="U52" t="s">
        <v>288</v>
      </c>
      <c r="V52" t="s">
        <v>302</v>
      </c>
      <c r="W52">
        <v>0</v>
      </c>
    </row>
    <row r="53" spans="4:23" ht="15.75" customHeight="1" x14ac:dyDescent="0.2">
      <c r="D53" t="s">
        <v>285</v>
      </c>
      <c r="E53" t="s">
        <v>286</v>
      </c>
      <c r="F53">
        <v>1</v>
      </c>
      <c r="U53" t="s">
        <v>303</v>
      </c>
      <c r="V53" t="s">
        <v>304</v>
      </c>
      <c r="W53">
        <v>5</v>
      </c>
    </row>
    <row r="54" spans="4:23" ht="15.75" customHeight="1" x14ac:dyDescent="0.2">
      <c r="D54" t="s">
        <v>285</v>
      </c>
      <c r="E54" t="s">
        <v>286</v>
      </c>
      <c r="F54">
        <v>1</v>
      </c>
      <c r="U54" t="s">
        <v>305</v>
      </c>
      <c r="V54" t="s">
        <v>306</v>
      </c>
      <c r="W54">
        <v>0</v>
      </c>
    </row>
    <row r="55" spans="4:23" ht="15.75" customHeight="1" x14ac:dyDescent="0.2">
      <c r="D55" t="s">
        <v>285</v>
      </c>
      <c r="E55" t="s">
        <v>286</v>
      </c>
      <c r="F55">
        <v>1</v>
      </c>
      <c r="U55" t="s">
        <v>307</v>
      </c>
      <c r="V55" t="s">
        <v>308</v>
      </c>
      <c r="W55">
        <v>2</v>
      </c>
    </row>
    <row r="56" spans="4:23" ht="15.75" customHeight="1" x14ac:dyDescent="0.2">
      <c r="D56" t="s">
        <v>285</v>
      </c>
      <c r="E56" t="s">
        <v>286</v>
      </c>
      <c r="F56">
        <v>1</v>
      </c>
      <c r="U56" t="s">
        <v>243</v>
      </c>
      <c r="V56" t="s">
        <v>309</v>
      </c>
      <c r="W56">
        <v>7.5</v>
      </c>
    </row>
    <row r="57" spans="4:23" ht="15.75" customHeight="1" x14ac:dyDescent="0.2">
      <c r="D57" t="s">
        <v>285</v>
      </c>
      <c r="E57" t="s">
        <v>286</v>
      </c>
      <c r="F57">
        <v>1</v>
      </c>
      <c r="U57" t="s">
        <v>245</v>
      </c>
      <c r="V57" t="s">
        <v>310</v>
      </c>
      <c r="W57">
        <v>485.43779999999998</v>
      </c>
    </row>
    <row r="58" spans="4:23" ht="15.75" customHeight="1" x14ac:dyDescent="0.2">
      <c r="D58" t="s">
        <v>285</v>
      </c>
      <c r="E58" t="s">
        <v>286</v>
      </c>
      <c r="F58">
        <v>1</v>
      </c>
      <c r="U58" t="s">
        <v>247</v>
      </c>
      <c r="V58" t="s">
        <v>311</v>
      </c>
      <c r="W58">
        <v>2.06E-2</v>
      </c>
    </row>
    <row r="59" spans="4:23" ht="15.75" customHeight="1" x14ac:dyDescent="0.2">
      <c r="D59" t="s">
        <v>285</v>
      </c>
      <c r="E59" t="s">
        <v>286</v>
      </c>
      <c r="F59">
        <v>1</v>
      </c>
      <c r="U59" t="s">
        <v>249</v>
      </c>
      <c r="V59" t="s">
        <v>312</v>
      </c>
      <c r="W59">
        <v>17</v>
      </c>
    </row>
    <row r="60" spans="4:23" ht="15.75" customHeight="1" x14ac:dyDescent="0.2">
      <c r="D60" t="s">
        <v>285</v>
      </c>
      <c r="E60" t="s">
        <v>286</v>
      </c>
      <c r="F60">
        <v>1</v>
      </c>
      <c r="U60" t="s">
        <v>251</v>
      </c>
      <c r="V60" t="s">
        <v>313</v>
      </c>
      <c r="W60">
        <v>14</v>
      </c>
    </row>
    <row r="61" spans="4:23" ht="15.75" customHeight="1" x14ac:dyDescent="0.2">
      <c r="D61" t="s">
        <v>285</v>
      </c>
      <c r="E61" t="s">
        <v>286</v>
      </c>
      <c r="F61">
        <v>1</v>
      </c>
      <c r="U61" t="s">
        <v>253</v>
      </c>
      <c r="V61" t="s">
        <v>314</v>
      </c>
      <c r="W61">
        <v>64.724999999999994</v>
      </c>
    </row>
    <row r="62" spans="4:23" ht="15.75" customHeight="1" x14ac:dyDescent="0.2">
      <c r="D62" t="s">
        <v>285</v>
      </c>
      <c r="E62" t="s">
        <v>286</v>
      </c>
      <c r="F62">
        <v>1</v>
      </c>
      <c r="U62" t="s">
        <v>315</v>
      </c>
      <c r="V62" t="s">
        <v>316</v>
      </c>
      <c r="W62">
        <v>0</v>
      </c>
    </row>
    <row r="63" spans="4:23" ht="15.75" customHeight="1" x14ac:dyDescent="0.2">
      <c r="D63" t="s">
        <v>285</v>
      </c>
      <c r="E63" t="s">
        <v>286</v>
      </c>
      <c r="F63">
        <v>1</v>
      </c>
      <c r="U63" t="s">
        <v>317</v>
      </c>
      <c r="V63" t="s">
        <v>318</v>
      </c>
      <c r="W63">
        <v>11</v>
      </c>
    </row>
    <row r="64" spans="4:23" ht="15.75" customHeight="1" x14ac:dyDescent="0.2">
      <c r="D64" t="s">
        <v>285</v>
      </c>
      <c r="E64" t="s">
        <v>286</v>
      </c>
      <c r="F64">
        <v>1</v>
      </c>
      <c r="U64" t="s">
        <v>257</v>
      </c>
      <c r="V64" t="s">
        <v>319</v>
      </c>
      <c r="W64">
        <v>64.636200000000002</v>
      </c>
    </row>
    <row r="65" spans="4:23" ht="15.75" customHeight="1" x14ac:dyDescent="0.2">
      <c r="D65" t="s">
        <v>285</v>
      </c>
      <c r="E65" t="s">
        <v>286</v>
      </c>
      <c r="F65">
        <v>1</v>
      </c>
      <c r="U65" t="s">
        <v>320</v>
      </c>
      <c r="V65" t="s">
        <v>321</v>
      </c>
      <c r="W65">
        <v>5</v>
      </c>
    </row>
    <row r="66" spans="4:23" ht="15.75" customHeight="1" x14ac:dyDescent="0.2">
      <c r="D66" t="s">
        <v>285</v>
      </c>
      <c r="E66" t="s">
        <v>286</v>
      </c>
      <c r="F66">
        <v>1</v>
      </c>
      <c r="U66" t="s">
        <v>263</v>
      </c>
      <c r="V66" t="s">
        <v>322</v>
      </c>
      <c r="W66">
        <v>4</v>
      </c>
    </row>
    <row r="67" spans="4:23" ht="15.75" customHeight="1" x14ac:dyDescent="0.2">
      <c r="D67" t="s">
        <v>285</v>
      </c>
      <c r="E67" t="s">
        <v>286</v>
      </c>
      <c r="F67">
        <v>1</v>
      </c>
      <c r="U67" t="s">
        <v>323</v>
      </c>
      <c r="V67" t="s">
        <v>324</v>
      </c>
      <c r="W67">
        <v>0</v>
      </c>
    </row>
    <row r="68" spans="4:23" ht="15.75" customHeight="1" x14ac:dyDescent="0.2">
      <c r="D68" t="s">
        <v>285</v>
      </c>
      <c r="E68" t="s">
        <v>286</v>
      </c>
      <c r="F68">
        <v>1</v>
      </c>
      <c r="U68" t="s">
        <v>325</v>
      </c>
      <c r="V68" t="s">
        <v>326</v>
      </c>
      <c r="W68">
        <v>0</v>
      </c>
    </row>
    <row r="69" spans="4:23" ht="15.75" customHeight="1" x14ac:dyDescent="0.2">
      <c r="D69" t="s">
        <v>285</v>
      </c>
      <c r="E69" t="s">
        <v>286</v>
      </c>
      <c r="F69">
        <v>1</v>
      </c>
      <c r="U69" t="s">
        <v>327</v>
      </c>
      <c r="V69" t="s">
        <v>328</v>
      </c>
      <c r="W69">
        <v>10</v>
      </c>
    </row>
    <row r="70" spans="4:23" ht="15.75" customHeight="1" x14ac:dyDescent="0.2">
      <c r="D70" t="s">
        <v>285</v>
      </c>
      <c r="E70" t="s">
        <v>286</v>
      </c>
      <c r="F70">
        <v>1</v>
      </c>
      <c r="U70" t="s">
        <v>329</v>
      </c>
      <c r="V70" t="s">
        <v>330</v>
      </c>
      <c r="W70">
        <v>53</v>
      </c>
    </row>
    <row r="71" spans="4:23" ht="15.75" customHeight="1" x14ac:dyDescent="0.2">
      <c r="D71" t="s">
        <v>285</v>
      </c>
      <c r="E71" t="s">
        <v>286</v>
      </c>
      <c r="F71">
        <v>1</v>
      </c>
      <c r="U71" t="s">
        <v>331</v>
      </c>
      <c r="V71" t="s">
        <v>332</v>
      </c>
      <c r="W71">
        <v>0</v>
      </c>
    </row>
    <row r="72" spans="4:23" ht="15.75" customHeight="1" x14ac:dyDescent="0.2">
      <c r="D72" t="s">
        <v>285</v>
      </c>
      <c r="E72" t="s">
        <v>286</v>
      </c>
      <c r="F72">
        <v>1</v>
      </c>
      <c r="U72" t="s">
        <v>333</v>
      </c>
      <c r="V72" t="s">
        <v>334</v>
      </c>
      <c r="W72">
        <v>1</v>
      </c>
    </row>
    <row r="73" spans="4:23" ht="15.75" customHeight="1" x14ac:dyDescent="0.2">
      <c r="D73" t="s">
        <v>285</v>
      </c>
      <c r="E73" t="s">
        <v>286</v>
      </c>
      <c r="F73">
        <v>1</v>
      </c>
      <c r="U73" t="s">
        <v>335</v>
      </c>
      <c r="V73" t="s">
        <v>336</v>
      </c>
      <c r="W73">
        <v>49</v>
      </c>
    </row>
    <row r="74" spans="4:23" ht="15.75" customHeight="1" x14ac:dyDescent="0.2">
      <c r="D74" t="s">
        <v>285</v>
      </c>
      <c r="E74" t="s">
        <v>286</v>
      </c>
      <c r="F74">
        <v>1</v>
      </c>
      <c r="U74" t="s">
        <v>337</v>
      </c>
      <c r="V74" t="s">
        <v>338</v>
      </c>
      <c r="W74">
        <v>0</v>
      </c>
    </row>
    <row r="75" spans="4:23" ht="15.75" customHeight="1" x14ac:dyDescent="0.2">
      <c r="D75" t="s">
        <v>285</v>
      </c>
      <c r="E75" t="s">
        <v>286</v>
      </c>
      <c r="F75">
        <v>1</v>
      </c>
      <c r="U75" t="s">
        <v>339</v>
      </c>
      <c r="V75" t="s">
        <v>340</v>
      </c>
      <c r="W75">
        <v>0</v>
      </c>
    </row>
    <row r="76" spans="4:23" ht="15.75" customHeight="1" x14ac:dyDescent="0.2">
      <c r="D76" t="s">
        <v>285</v>
      </c>
      <c r="E76" t="s">
        <v>286</v>
      </c>
      <c r="F76">
        <v>1</v>
      </c>
      <c r="U76" t="s">
        <v>341</v>
      </c>
      <c r="V76" t="s">
        <v>342</v>
      </c>
      <c r="W76">
        <v>7</v>
      </c>
    </row>
    <row r="77" spans="4:23" ht="15.75" customHeight="1" x14ac:dyDescent="0.2">
      <c r="D77" t="s">
        <v>285</v>
      </c>
      <c r="E77" t="s">
        <v>286</v>
      </c>
      <c r="F77">
        <v>1</v>
      </c>
      <c r="U77" t="s">
        <v>343</v>
      </c>
      <c r="V77" t="s">
        <v>344</v>
      </c>
      <c r="W77">
        <v>0</v>
      </c>
    </row>
    <row r="78" spans="4:23" ht="15.75" customHeight="1" x14ac:dyDescent="0.2">
      <c r="D78" t="s">
        <v>285</v>
      </c>
      <c r="E78" t="s">
        <v>286</v>
      </c>
      <c r="F78">
        <v>1</v>
      </c>
      <c r="U78" t="s">
        <v>345</v>
      </c>
      <c r="V78" t="s">
        <v>346</v>
      </c>
      <c r="W78">
        <v>0</v>
      </c>
    </row>
    <row r="79" spans="4:23" ht="15.75" customHeight="1" x14ac:dyDescent="0.2">
      <c r="D79" t="s">
        <v>285</v>
      </c>
      <c r="E79" t="s">
        <v>286</v>
      </c>
      <c r="F79">
        <v>1</v>
      </c>
      <c r="U79" t="s">
        <v>347</v>
      </c>
      <c r="V79" t="s">
        <v>348</v>
      </c>
      <c r="W79">
        <v>1</v>
      </c>
    </row>
    <row r="80" spans="4:23" ht="15.75" customHeight="1" x14ac:dyDescent="0.2">
      <c r="D80" t="s">
        <v>285</v>
      </c>
      <c r="E80" t="s">
        <v>349</v>
      </c>
      <c r="F80">
        <v>2</v>
      </c>
      <c r="P80" t="s">
        <v>350</v>
      </c>
      <c r="Q80">
        <v>2</v>
      </c>
      <c r="R80" t="s">
        <v>288</v>
      </c>
      <c r="S80" t="s">
        <v>2</v>
      </c>
      <c r="T80">
        <v>1</v>
      </c>
    </row>
    <row r="81" spans="4:20" ht="15.75" customHeight="1" x14ac:dyDescent="0.2">
      <c r="D81" t="s">
        <v>285</v>
      </c>
      <c r="E81" t="s">
        <v>349</v>
      </c>
      <c r="F81">
        <v>2</v>
      </c>
      <c r="P81" t="s">
        <v>350</v>
      </c>
      <c r="Q81">
        <v>2</v>
      </c>
      <c r="R81" t="s">
        <v>289</v>
      </c>
      <c r="S81" t="s">
        <v>5</v>
      </c>
      <c r="T81">
        <v>1</v>
      </c>
    </row>
    <row r="82" spans="4:20" ht="15.75" customHeight="1" x14ac:dyDescent="0.2">
      <c r="D82" t="s">
        <v>285</v>
      </c>
      <c r="E82" t="s">
        <v>349</v>
      </c>
      <c r="F82">
        <v>2</v>
      </c>
      <c r="P82" t="s">
        <v>350</v>
      </c>
      <c r="Q82">
        <v>2</v>
      </c>
      <c r="R82" t="s">
        <v>290</v>
      </c>
      <c r="S82" t="s">
        <v>3</v>
      </c>
      <c r="T82">
        <v>1</v>
      </c>
    </row>
    <row r="83" spans="4:20" ht="15.75" customHeight="1" x14ac:dyDescent="0.2">
      <c r="D83" t="s">
        <v>285</v>
      </c>
      <c r="E83" t="s">
        <v>349</v>
      </c>
      <c r="F83">
        <v>2</v>
      </c>
      <c r="P83" t="s">
        <v>350</v>
      </c>
      <c r="Q83">
        <v>2</v>
      </c>
      <c r="R83" t="s">
        <v>291</v>
      </c>
      <c r="S83" t="s">
        <v>4</v>
      </c>
      <c r="T83">
        <v>1</v>
      </c>
    </row>
    <row r="84" spans="4:20" ht="15.75" customHeight="1" x14ac:dyDescent="0.2">
      <c r="D84" t="s">
        <v>285</v>
      </c>
      <c r="E84" t="s">
        <v>349</v>
      </c>
      <c r="F84">
        <v>2</v>
      </c>
      <c r="P84" t="s">
        <v>350</v>
      </c>
      <c r="Q84">
        <v>2</v>
      </c>
      <c r="R84" t="s">
        <v>292</v>
      </c>
      <c r="S84" t="s">
        <v>6</v>
      </c>
      <c r="T84">
        <v>0</v>
      </c>
    </row>
    <row r="85" spans="4:20" ht="15.75" customHeight="1" x14ac:dyDescent="0.2">
      <c r="D85" t="s">
        <v>285</v>
      </c>
      <c r="E85" t="s">
        <v>349</v>
      </c>
      <c r="F85">
        <v>2</v>
      </c>
      <c r="P85" t="s">
        <v>350</v>
      </c>
      <c r="Q85">
        <v>2</v>
      </c>
      <c r="R85" t="s">
        <v>243</v>
      </c>
      <c r="S85" t="s">
        <v>7</v>
      </c>
      <c r="T85">
        <v>7.5</v>
      </c>
    </row>
    <row r="86" spans="4:20" ht="15.75" customHeight="1" x14ac:dyDescent="0.2">
      <c r="D86" t="s">
        <v>285</v>
      </c>
      <c r="E86" t="s">
        <v>349</v>
      </c>
      <c r="F86">
        <v>2</v>
      </c>
      <c r="P86" t="s">
        <v>350</v>
      </c>
      <c r="Q86">
        <v>2</v>
      </c>
      <c r="R86" t="s">
        <v>245</v>
      </c>
      <c r="S86" t="s">
        <v>8</v>
      </c>
      <c r="T86">
        <v>247.5</v>
      </c>
    </row>
    <row r="87" spans="4:20" ht="15.75" customHeight="1" x14ac:dyDescent="0.2">
      <c r="D87" t="s">
        <v>285</v>
      </c>
      <c r="E87" t="s">
        <v>349</v>
      </c>
      <c r="F87">
        <v>2</v>
      </c>
      <c r="P87" t="s">
        <v>350</v>
      </c>
      <c r="Q87">
        <v>2</v>
      </c>
      <c r="R87" t="s">
        <v>247</v>
      </c>
      <c r="S87" t="s">
        <v>9</v>
      </c>
      <c r="T87">
        <v>1.3100000000000001E-2</v>
      </c>
    </row>
    <row r="88" spans="4:20" ht="15.75" customHeight="1" x14ac:dyDescent="0.2">
      <c r="D88" t="s">
        <v>285</v>
      </c>
      <c r="E88" t="s">
        <v>349</v>
      </c>
      <c r="F88">
        <v>2</v>
      </c>
      <c r="P88" t="s">
        <v>350</v>
      </c>
      <c r="Q88">
        <v>2</v>
      </c>
      <c r="R88" t="s">
        <v>249</v>
      </c>
      <c r="S88" t="s">
        <v>10</v>
      </c>
      <c r="T88">
        <v>11</v>
      </c>
    </row>
    <row r="89" spans="4:20" ht="15.75" customHeight="1" x14ac:dyDescent="0.2">
      <c r="D89" t="s">
        <v>285</v>
      </c>
      <c r="E89" t="s">
        <v>349</v>
      </c>
      <c r="F89">
        <v>2</v>
      </c>
      <c r="P89" t="s">
        <v>350</v>
      </c>
      <c r="Q89">
        <v>2</v>
      </c>
      <c r="R89" t="s">
        <v>251</v>
      </c>
      <c r="S89" t="s">
        <v>11</v>
      </c>
      <c r="T89">
        <v>8</v>
      </c>
    </row>
    <row r="90" spans="4:20" ht="15.75" customHeight="1" x14ac:dyDescent="0.2">
      <c r="D90" t="s">
        <v>285</v>
      </c>
      <c r="E90" t="s">
        <v>349</v>
      </c>
      <c r="F90">
        <v>2</v>
      </c>
      <c r="P90" t="s">
        <v>350</v>
      </c>
      <c r="Q90">
        <v>2</v>
      </c>
      <c r="R90" t="s">
        <v>253</v>
      </c>
      <c r="S90" t="s">
        <v>12</v>
      </c>
      <c r="T90">
        <v>33</v>
      </c>
    </row>
    <row r="91" spans="4:20" ht="15.75" customHeight="1" x14ac:dyDescent="0.2">
      <c r="D91" t="s">
        <v>285</v>
      </c>
      <c r="E91" t="s">
        <v>349</v>
      </c>
      <c r="F91">
        <v>2</v>
      </c>
      <c r="P91" t="s">
        <v>350</v>
      </c>
      <c r="Q91">
        <v>2</v>
      </c>
      <c r="R91" t="s">
        <v>255</v>
      </c>
      <c r="S91" t="s">
        <v>15</v>
      </c>
      <c r="T91">
        <v>6</v>
      </c>
    </row>
    <row r="92" spans="4:20" ht="15.75" customHeight="1" x14ac:dyDescent="0.2">
      <c r="D92" t="s">
        <v>285</v>
      </c>
      <c r="E92" t="s">
        <v>349</v>
      </c>
      <c r="F92">
        <v>2</v>
      </c>
      <c r="P92" t="s">
        <v>350</v>
      </c>
      <c r="Q92">
        <v>2</v>
      </c>
      <c r="R92" t="s">
        <v>293</v>
      </c>
      <c r="S92" t="s">
        <v>13</v>
      </c>
      <c r="T92">
        <v>1</v>
      </c>
    </row>
    <row r="93" spans="4:20" ht="15.75" customHeight="1" x14ac:dyDescent="0.2">
      <c r="D93" t="s">
        <v>285</v>
      </c>
      <c r="E93" t="s">
        <v>349</v>
      </c>
      <c r="F93">
        <v>2</v>
      </c>
      <c r="P93" t="s">
        <v>350</v>
      </c>
      <c r="Q93">
        <v>2</v>
      </c>
      <c r="R93" t="s">
        <v>294</v>
      </c>
      <c r="S93" t="s">
        <v>14</v>
      </c>
      <c r="T93">
        <v>0</v>
      </c>
    </row>
    <row r="94" spans="4:20" ht="15.75" customHeight="1" x14ac:dyDescent="0.2">
      <c r="D94" t="s">
        <v>285</v>
      </c>
      <c r="E94" t="s">
        <v>349</v>
      </c>
      <c r="F94">
        <v>2</v>
      </c>
      <c r="P94" t="s">
        <v>350</v>
      </c>
      <c r="Q94">
        <v>2</v>
      </c>
      <c r="R94" t="s">
        <v>257</v>
      </c>
      <c r="S94" t="s">
        <v>16</v>
      </c>
      <c r="T94">
        <v>72.299599999999998</v>
      </c>
    </row>
    <row r="95" spans="4:20" ht="15.75" customHeight="1" x14ac:dyDescent="0.2">
      <c r="D95" t="s">
        <v>285</v>
      </c>
      <c r="E95" t="s">
        <v>349</v>
      </c>
      <c r="F95">
        <v>2</v>
      </c>
      <c r="P95" t="s">
        <v>350</v>
      </c>
      <c r="Q95">
        <v>2</v>
      </c>
      <c r="R95" t="s">
        <v>295</v>
      </c>
      <c r="S95" t="s">
        <v>17</v>
      </c>
      <c r="T95">
        <v>1</v>
      </c>
    </row>
    <row r="96" spans="4:20" ht="15.75" customHeight="1" x14ac:dyDescent="0.2">
      <c r="D96" t="s">
        <v>285</v>
      </c>
      <c r="E96" t="s">
        <v>349</v>
      </c>
      <c r="F96">
        <v>2</v>
      </c>
      <c r="P96" t="s">
        <v>350</v>
      </c>
      <c r="Q96">
        <v>2</v>
      </c>
      <c r="R96" t="s">
        <v>296</v>
      </c>
      <c r="S96" t="s">
        <v>1</v>
      </c>
      <c r="T96">
        <v>2</v>
      </c>
    </row>
    <row r="97" spans="4:20" ht="15.75" customHeight="1" x14ac:dyDescent="0.2">
      <c r="D97" t="s">
        <v>285</v>
      </c>
      <c r="E97" t="s">
        <v>349</v>
      </c>
      <c r="F97">
        <v>2</v>
      </c>
      <c r="P97" t="s">
        <v>350</v>
      </c>
      <c r="Q97">
        <v>2</v>
      </c>
      <c r="R97" t="s">
        <v>297</v>
      </c>
      <c r="S97" t="s">
        <v>18</v>
      </c>
      <c r="T97">
        <v>1</v>
      </c>
    </row>
    <row r="98" spans="4:20" ht="15.75" customHeight="1" x14ac:dyDescent="0.2">
      <c r="D98" t="s">
        <v>285</v>
      </c>
      <c r="E98" t="s">
        <v>349</v>
      </c>
      <c r="F98">
        <v>2</v>
      </c>
      <c r="P98" t="s">
        <v>350</v>
      </c>
      <c r="Q98">
        <v>2</v>
      </c>
      <c r="R98" t="s">
        <v>298</v>
      </c>
      <c r="S98" t="s">
        <v>19</v>
      </c>
      <c r="T98">
        <v>0</v>
      </c>
    </row>
    <row r="99" spans="4:20" ht="15.75" customHeight="1" x14ac:dyDescent="0.2">
      <c r="D99" t="s">
        <v>285</v>
      </c>
      <c r="E99" t="s">
        <v>349</v>
      </c>
      <c r="F99">
        <v>2</v>
      </c>
      <c r="P99" t="s">
        <v>350</v>
      </c>
      <c r="Q99">
        <v>2</v>
      </c>
      <c r="R99" t="s">
        <v>299</v>
      </c>
      <c r="S99" t="s">
        <v>20</v>
      </c>
      <c r="T99">
        <v>0</v>
      </c>
    </row>
    <row r="100" spans="4:20" ht="15.75" customHeight="1" x14ac:dyDescent="0.2">
      <c r="D100" t="s">
        <v>285</v>
      </c>
      <c r="E100" t="s">
        <v>349</v>
      </c>
      <c r="F100">
        <v>2</v>
      </c>
      <c r="P100" t="s">
        <v>351</v>
      </c>
      <c r="Q100">
        <v>3</v>
      </c>
      <c r="R100" t="s">
        <v>288</v>
      </c>
      <c r="S100" t="s">
        <v>2</v>
      </c>
      <c r="T100">
        <v>10</v>
      </c>
    </row>
    <row r="101" spans="4:20" ht="15.75" customHeight="1" x14ac:dyDescent="0.2">
      <c r="D101" t="s">
        <v>285</v>
      </c>
      <c r="E101" t="s">
        <v>349</v>
      </c>
      <c r="F101">
        <v>2</v>
      </c>
      <c r="P101" t="s">
        <v>351</v>
      </c>
      <c r="Q101">
        <v>3</v>
      </c>
      <c r="R101" t="s">
        <v>289</v>
      </c>
      <c r="S101" t="s">
        <v>5</v>
      </c>
      <c r="T101">
        <v>2</v>
      </c>
    </row>
    <row r="102" spans="4:20" ht="15.75" customHeight="1" x14ac:dyDescent="0.2">
      <c r="D102" t="s">
        <v>285</v>
      </c>
      <c r="E102" t="s">
        <v>349</v>
      </c>
      <c r="F102">
        <v>2</v>
      </c>
      <c r="P102" t="s">
        <v>351</v>
      </c>
      <c r="Q102">
        <v>3</v>
      </c>
      <c r="R102" t="s">
        <v>290</v>
      </c>
      <c r="S102" t="s">
        <v>3</v>
      </c>
      <c r="T102">
        <v>0.5</v>
      </c>
    </row>
    <row r="103" spans="4:20" ht="15.75" customHeight="1" x14ac:dyDescent="0.2">
      <c r="D103" t="s">
        <v>285</v>
      </c>
      <c r="E103" t="s">
        <v>349</v>
      </c>
      <c r="F103">
        <v>2</v>
      </c>
      <c r="P103" t="s">
        <v>351</v>
      </c>
      <c r="Q103">
        <v>3</v>
      </c>
      <c r="R103" t="s">
        <v>291</v>
      </c>
      <c r="S103" t="s">
        <v>4</v>
      </c>
      <c r="T103">
        <v>10</v>
      </c>
    </row>
    <row r="104" spans="4:20" ht="15.75" customHeight="1" x14ac:dyDescent="0.2">
      <c r="D104" t="s">
        <v>285</v>
      </c>
      <c r="E104" t="s">
        <v>349</v>
      </c>
      <c r="F104">
        <v>2</v>
      </c>
      <c r="P104" t="s">
        <v>351</v>
      </c>
      <c r="Q104">
        <v>3</v>
      </c>
      <c r="R104" t="s">
        <v>292</v>
      </c>
      <c r="S104" t="s">
        <v>6</v>
      </c>
      <c r="T104">
        <v>4</v>
      </c>
    </row>
    <row r="105" spans="4:20" ht="15.75" customHeight="1" x14ac:dyDescent="0.2">
      <c r="D105" t="s">
        <v>285</v>
      </c>
      <c r="E105" t="s">
        <v>349</v>
      </c>
      <c r="F105">
        <v>2</v>
      </c>
      <c r="P105" t="s">
        <v>351</v>
      </c>
      <c r="Q105">
        <v>3</v>
      </c>
      <c r="R105" t="s">
        <v>243</v>
      </c>
      <c r="S105" t="s">
        <v>7</v>
      </c>
      <c r="T105">
        <v>27.5</v>
      </c>
    </row>
    <row r="106" spans="4:20" ht="15.75" customHeight="1" x14ac:dyDescent="0.2">
      <c r="D106" t="s">
        <v>285</v>
      </c>
      <c r="E106" t="s">
        <v>349</v>
      </c>
      <c r="F106">
        <v>2</v>
      </c>
      <c r="P106" t="s">
        <v>351</v>
      </c>
      <c r="Q106">
        <v>3</v>
      </c>
      <c r="R106" t="s">
        <v>245</v>
      </c>
      <c r="S106" t="s">
        <v>8</v>
      </c>
      <c r="T106">
        <v>18919.4997</v>
      </c>
    </row>
    <row r="107" spans="4:20" ht="15.75" customHeight="1" x14ac:dyDescent="0.2">
      <c r="D107" t="s">
        <v>285</v>
      </c>
      <c r="E107" t="s">
        <v>349</v>
      </c>
      <c r="F107">
        <v>2</v>
      </c>
      <c r="P107" t="s">
        <v>351</v>
      </c>
      <c r="Q107">
        <v>3</v>
      </c>
      <c r="R107" t="s">
        <v>247</v>
      </c>
      <c r="S107" t="s">
        <v>9</v>
      </c>
      <c r="T107">
        <v>0.23669999999999999</v>
      </c>
    </row>
    <row r="108" spans="4:20" ht="15.75" customHeight="1" x14ac:dyDescent="0.2">
      <c r="D108" t="s">
        <v>285</v>
      </c>
      <c r="E108" t="s">
        <v>349</v>
      </c>
      <c r="F108">
        <v>2</v>
      </c>
      <c r="P108" t="s">
        <v>351</v>
      </c>
      <c r="Q108">
        <v>3</v>
      </c>
      <c r="R108" t="s">
        <v>249</v>
      </c>
      <c r="S108" t="s">
        <v>10</v>
      </c>
      <c r="T108">
        <v>119</v>
      </c>
    </row>
    <row r="109" spans="4:20" ht="15.75" customHeight="1" x14ac:dyDescent="0.2">
      <c r="D109" t="s">
        <v>285</v>
      </c>
      <c r="E109" t="s">
        <v>349</v>
      </c>
      <c r="F109">
        <v>2</v>
      </c>
      <c r="P109" t="s">
        <v>351</v>
      </c>
      <c r="Q109">
        <v>3</v>
      </c>
      <c r="R109" t="s">
        <v>251</v>
      </c>
      <c r="S109" t="s">
        <v>11</v>
      </c>
      <c r="T109">
        <v>55</v>
      </c>
    </row>
    <row r="110" spans="4:20" ht="15.75" customHeight="1" x14ac:dyDescent="0.2">
      <c r="D110" t="s">
        <v>285</v>
      </c>
      <c r="E110" t="s">
        <v>349</v>
      </c>
      <c r="F110">
        <v>2</v>
      </c>
      <c r="P110" t="s">
        <v>351</v>
      </c>
      <c r="Q110">
        <v>3</v>
      </c>
      <c r="R110" t="s">
        <v>253</v>
      </c>
      <c r="S110" t="s">
        <v>12</v>
      </c>
      <c r="T110">
        <v>687.98180000000002</v>
      </c>
    </row>
    <row r="111" spans="4:20" ht="15.75" customHeight="1" x14ac:dyDescent="0.2">
      <c r="D111" t="s">
        <v>285</v>
      </c>
      <c r="E111" t="s">
        <v>349</v>
      </c>
      <c r="F111">
        <v>2</v>
      </c>
      <c r="P111" t="s">
        <v>351</v>
      </c>
      <c r="Q111">
        <v>3</v>
      </c>
      <c r="R111" t="s">
        <v>255</v>
      </c>
      <c r="S111" t="s">
        <v>15</v>
      </c>
      <c r="T111">
        <v>43</v>
      </c>
    </row>
    <row r="112" spans="4:20" ht="15.75" customHeight="1" x14ac:dyDescent="0.2">
      <c r="D112" t="s">
        <v>285</v>
      </c>
      <c r="E112" t="s">
        <v>349</v>
      </c>
      <c r="F112">
        <v>2</v>
      </c>
      <c r="P112" t="s">
        <v>351</v>
      </c>
      <c r="Q112">
        <v>3</v>
      </c>
      <c r="R112" t="s">
        <v>293</v>
      </c>
      <c r="S112" t="s">
        <v>13</v>
      </c>
      <c r="T112">
        <v>0</v>
      </c>
    </row>
    <row r="113" spans="4:20" ht="15.75" customHeight="1" x14ac:dyDescent="0.2">
      <c r="D113" t="s">
        <v>285</v>
      </c>
      <c r="E113" t="s">
        <v>349</v>
      </c>
      <c r="F113">
        <v>2</v>
      </c>
      <c r="P113" t="s">
        <v>351</v>
      </c>
      <c r="Q113">
        <v>3</v>
      </c>
      <c r="R113" t="s">
        <v>294</v>
      </c>
      <c r="S113" t="s">
        <v>14</v>
      </c>
      <c r="T113">
        <v>3</v>
      </c>
    </row>
    <row r="114" spans="4:20" ht="15.75" customHeight="1" x14ac:dyDescent="0.2">
      <c r="D114" t="s">
        <v>285</v>
      </c>
      <c r="E114" t="s">
        <v>349</v>
      </c>
      <c r="F114">
        <v>2</v>
      </c>
      <c r="P114" t="s">
        <v>351</v>
      </c>
      <c r="Q114">
        <v>3</v>
      </c>
      <c r="R114" t="s">
        <v>257</v>
      </c>
      <c r="S114" t="s">
        <v>16</v>
      </c>
      <c r="T114">
        <v>44.1935</v>
      </c>
    </row>
    <row r="115" spans="4:20" ht="15.75" customHeight="1" x14ac:dyDescent="0.2">
      <c r="D115" t="s">
        <v>285</v>
      </c>
      <c r="E115" t="s">
        <v>349</v>
      </c>
      <c r="F115">
        <v>2</v>
      </c>
      <c r="P115" t="s">
        <v>351</v>
      </c>
      <c r="Q115">
        <v>3</v>
      </c>
      <c r="R115" t="s">
        <v>295</v>
      </c>
      <c r="S115" t="s">
        <v>17</v>
      </c>
      <c r="T115">
        <v>5</v>
      </c>
    </row>
    <row r="116" spans="4:20" ht="15.75" customHeight="1" x14ac:dyDescent="0.2">
      <c r="D116" t="s">
        <v>285</v>
      </c>
      <c r="E116" t="s">
        <v>349</v>
      </c>
      <c r="F116">
        <v>2</v>
      </c>
      <c r="P116" t="s">
        <v>351</v>
      </c>
      <c r="Q116">
        <v>3</v>
      </c>
      <c r="R116" t="s">
        <v>296</v>
      </c>
      <c r="S116" t="s">
        <v>1</v>
      </c>
      <c r="T116">
        <v>10</v>
      </c>
    </row>
    <row r="117" spans="4:20" ht="15.75" customHeight="1" x14ac:dyDescent="0.2">
      <c r="D117" t="s">
        <v>285</v>
      </c>
      <c r="E117" t="s">
        <v>349</v>
      </c>
      <c r="F117">
        <v>2</v>
      </c>
      <c r="P117" t="s">
        <v>351</v>
      </c>
      <c r="Q117">
        <v>3</v>
      </c>
      <c r="R117" t="s">
        <v>297</v>
      </c>
      <c r="S117" t="s">
        <v>18</v>
      </c>
      <c r="T117">
        <v>19</v>
      </c>
    </row>
    <row r="118" spans="4:20" ht="15.75" customHeight="1" x14ac:dyDescent="0.2">
      <c r="D118" t="s">
        <v>285</v>
      </c>
      <c r="E118" t="s">
        <v>349</v>
      </c>
      <c r="F118">
        <v>2</v>
      </c>
      <c r="P118" t="s">
        <v>351</v>
      </c>
      <c r="Q118">
        <v>3</v>
      </c>
      <c r="R118" t="s">
        <v>298</v>
      </c>
      <c r="S118" t="s">
        <v>19</v>
      </c>
      <c r="T118">
        <v>3</v>
      </c>
    </row>
    <row r="119" spans="4:20" ht="15.75" customHeight="1" x14ac:dyDescent="0.2">
      <c r="D119" t="s">
        <v>285</v>
      </c>
      <c r="E119" t="s">
        <v>349</v>
      </c>
      <c r="F119">
        <v>2</v>
      </c>
      <c r="P119" t="s">
        <v>351</v>
      </c>
      <c r="Q119">
        <v>3</v>
      </c>
      <c r="R119" t="s">
        <v>299</v>
      </c>
      <c r="S119" t="s">
        <v>20</v>
      </c>
      <c r="T119">
        <v>2</v>
      </c>
    </row>
    <row r="120" spans="4:20" ht="15.75" customHeight="1" x14ac:dyDescent="0.2">
      <c r="D120" t="s">
        <v>285</v>
      </c>
      <c r="E120" t="s">
        <v>349</v>
      </c>
      <c r="F120">
        <v>2</v>
      </c>
      <c r="P120" t="s">
        <v>352</v>
      </c>
      <c r="Q120">
        <v>4</v>
      </c>
      <c r="R120" t="s">
        <v>288</v>
      </c>
      <c r="S120" t="s">
        <v>2</v>
      </c>
      <c r="T120">
        <v>1</v>
      </c>
    </row>
    <row r="121" spans="4:20" ht="15.75" customHeight="1" x14ac:dyDescent="0.2">
      <c r="D121" t="s">
        <v>285</v>
      </c>
      <c r="E121" t="s">
        <v>349</v>
      </c>
      <c r="F121">
        <v>2</v>
      </c>
      <c r="P121" t="s">
        <v>352</v>
      </c>
      <c r="Q121">
        <v>4</v>
      </c>
      <c r="R121" t="s">
        <v>289</v>
      </c>
      <c r="S121" t="s">
        <v>5</v>
      </c>
      <c r="T121">
        <v>1</v>
      </c>
    </row>
    <row r="122" spans="4:20" ht="15.75" customHeight="1" x14ac:dyDescent="0.2">
      <c r="D122" t="s">
        <v>285</v>
      </c>
      <c r="E122" t="s">
        <v>349</v>
      </c>
      <c r="F122">
        <v>2</v>
      </c>
      <c r="P122" t="s">
        <v>352</v>
      </c>
      <c r="Q122">
        <v>4</v>
      </c>
      <c r="R122" t="s">
        <v>290</v>
      </c>
      <c r="S122" t="s">
        <v>3</v>
      </c>
      <c r="T122">
        <v>0.45450000000000002</v>
      </c>
    </row>
    <row r="123" spans="4:20" ht="15.75" customHeight="1" x14ac:dyDescent="0.2">
      <c r="D123" t="s">
        <v>285</v>
      </c>
      <c r="E123" t="s">
        <v>349</v>
      </c>
      <c r="F123">
        <v>2</v>
      </c>
      <c r="P123" t="s">
        <v>352</v>
      </c>
      <c r="Q123">
        <v>4</v>
      </c>
      <c r="R123" t="s">
        <v>291</v>
      </c>
      <c r="S123" t="s">
        <v>4</v>
      </c>
      <c r="T123">
        <v>10</v>
      </c>
    </row>
    <row r="124" spans="4:20" ht="15.75" customHeight="1" x14ac:dyDescent="0.2">
      <c r="D124" t="s">
        <v>285</v>
      </c>
      <c r="E124" t="s">
        <v>349</v>
      </c>
      <c r="F124">
        <v>2</v>
      </c>
      <c r="P124" t="s">
        <v>352</v>
      </c>
      <c r="Q124">
        <v>4</v>
      </c>
      <c r="R124" t="s">
        <v>292</v>
      </c>
      <c r="S124" t="s">
        <v>6</v>
      </c>
      <c r="T124">
        <v>4</v>
      </c>
    </row>
    <row r="125" spans="4:20" ht="15.75" customHeight="1" x14ac:dyDescent="0.2">
      <c r="D125" t="s">
        <v>285</v>
      </c>
      <c r="E125" t="s">
        <v>349</v>
      </c>
      <c r="F125">
        <v>2</v>
      </c>
      <c r="P125" t="s">
        <v>352</v>
      </c>
      <c r="Q125">
        <v>4</v>
      </c>
      <c r="R125" t="s">
        <v>243</v>
      </c>
      <c r="S125" t="s">
        <v>7</v>
      </c>
      <c r="T125">
        <v>16.714300000000001</v>
      </c>
    </row>
    <row r="126" spans="4:20" ht="15.75" customHeight="1" x14ac:dyDescent="0.2">
      <c r="D126" t="s">
        <v>285</v>
      </c>
      <c r="E126" t="s">
        <v>349</v>
      </c>
      <c r="F126">
        <v>2</v>
      </c>
      <c r="P126" t="s">
        <v>352</v>
      </c>
      <c r="Q126">
        <v>4</v>
      </c>
      <c r="R126" t="s">
        <v>245</v>
      </c>
      <c r="S126" t="s">
        <v>8</v>
      </c>
      <c r="T126">
        <v>8124.3706000000002</v>
      </c>
    </row>
    <row r="127" spans="4:20" ht="15.75" customHeight="1" x14ac:dyDescent="0.2">
      <c r="D127" t="s">
        <v>285</v>
      </c>
      <c r="E127" t="s">
        <v>349</v>
      </c>
      <c r="F127">
        <v>2</v>
      </c>
      <c r="P127" t="s">
        <v>352</v>
      </c>
      <c r="Q127">
        <v>4</v>
      </c>
      <c r="R127" t="s">
        <v>247</v>
      </c>
      <c r="S127" t="s">
        <v>9</v>
      </c>
      <c r="T127">
        <v>0.13469999999999999</v>
      </c>
    </row>
    <row r="128" spans="4:20" ht="15.75" customHeight="1" x14ac:dyDescent="0.2">
      <c r="D128" t="s">
        <v>285</v>
      </c>
      <c r="E128" t="s">
        <v>349</v>
      </c>
      <c r="F128">
        <v>2</v>
      </c>
      <c r="P128" t="s">
        <v>352</v>
      </c>
      <c r="Q128">
        <v>4</v>
      </c>
      <c r="R128" t="s">
        <v>249</v>
      </c>
      <c r="S128" t="s">
        <v>10</v>
      </c>
      <c r="T128">
        <v>88</v>
      </c>
    </row>
    <row r="129" spans="4:23" ht="15.75" customHeight="1" x14ac:dyDescent="0.2">
      <c r="D129" t="s">
        <v>285</v>
      </c>
      <c r="E129" t="s">
        <v>349</v>
      </c>
      <c r="F129">
        <v>2</v>
      </c>
      <c r="P129" t="s">
        <v>352</v>
      </c>
      <c r="Q129">
        <v>4</v>
      </c>
      <c r="R129" t="s">
        <v>251</v>
      </c>
      <c r="S129" t="s">
        <v>11</v>
      </c>
      <c r="T129">
        <v>46</v>
      </c>
    </row>
    <row r="130" spans="4:23" ht="15.75" customHeight="1" x14ac:dyDescent="0.2">
      <c r="D130" t="s">
        <v>285</v>
      </c>
      <c r="E130" t="s">
        <v>349</v>
      </c>
      <c r="F130">
        <v>2</v>
      </c>
      <c r="P130" t="s">
        <v>352</v>
      </c>
      <c r="Q130">
        <v>4</v>
      </c>
      <c r="R130" t="s">
        <v>253</v>
      </c>
      <c r="S130" t="s">
        <v>12</v>
      </c>
      <c r="T130">
        <v>486.07350000000002</v>
      </c>
    </row>
    <row r="131" spans="4:23" ht="15.75" customHeight="1" x14ac:dyDescent="0.2">
      <c r="D131" t="s">
        <v>285</v>
      </c>
      <c r="E131" t="s">
        <v>349</v>
      </c>
      <c r="F131">
        <v>2</v>
      </c>
      <c r="P131" t="s">
        <v>352</v>
      </c>
      <c r="Q131">
        <v>4</v>
      </c>
      <c r="R131" t="s">
        <v>255</v>
      </c>
      <c r="S131" t="s">
        <v>15</v>
      </c>
      <c r="T131">
        <v>30</v>
      </c>
    </row>
    <row r="132" spans="4:23" ht="15.75" customHeight="1" x14ac:dyDescent="0.2">
      <c r="D132" t="s">
        <v>285</v>
      </c>
      <c r="E132" t="s">
        <v>349</v>
      </c>
      <c r="F132">
        <v>2</v>
      </c>
      <c r="P132" t="s">
        <v>352</v>
      </c>
      <c r="Q132">
        <v>4</v>
      </c>
      <c r="R132" t="s">
        <v>293</v>
      </c>
      <c r="S132" t="s">
        <v>13</v>
      </c>
      <c r="T132">
        <v>0.28570000000000001</v>
      </c>
    </row>
    <row r="133" spans="4:23" ht="15.75" customHeight="1" x14ac:dyDescent="0.2">
      <c r="D133" t="s">
        <v>285</v>
      </c>
      <c r="E133" t="s">
        <v>349</v>
      </c>
      <c r="F133">
        <v>2</v>
      </c>
      <c r="P133" t="s">
        <v>352</v>
      </c>
      <c r="Q133">
        <v>4</v>
      </c>
      <c r="R133" t="s">
        <v>294</v>
      </c>
      <c r="S133" t="s">
        <v>14</v>
      </c>
      <c r="T133">
        <v>0</v>
      </c>
    </row>
    <row r="134" spans="4:23" ht="15.75" customHeight="1" x14ac:dyDescent="0.2">
      <c r="D134" t="s">
        <v>285</v>
      </c>
      <c r="E134" t="s">
        <v>349</v>
      </c>
      <c r="F134">
        <v>2</v>
      </c>
      <c r="P134" t="s">
        <v>352</v>
      </c>
      <c r="Q134">
        <v>4</v>
      </c>
      <c r="R134" t="s">
        <v>257</v>
      </c>
      <c r="S134" t="s">
        <v>16</v>
      </c>
      <c r="T134">
        <v>48.872999999999998</v>
      </c>
    </row>
    <row r="135" spans="4:23" ht="15.75" customHeight="1" x14ac:dyDescent="0.2">
      <c r="D135" t="s">
        <v>285</v>
      </c>
      <c r="E135" t="s">
        <v>349</v>
      </c>
      <c r="F135">
        <v>2</v>
      </c>
      <c r="P135" t="s">
        <v>352</v>
      </c>
      <c r="Q135">
        <v>4</v>
      </c>
      <c r="R135" t="s">
        <v>295</v>
      </c>
      <c r="S135" t="s">
        <v>17</v>
      </c>
      <c r="T135">
        <v>1</v>
      </c>
    </row>
    <row r="136" spans="4:23" ht="15.75" customHeight="1" x14ac:dyDescent="0.2">
      <c r="D136" t="s">
        <v>285</v>
      </c>
      <c r="E136" t="s">
        <v>349</v>
      </c>
      <c r="F136">
        <v>2</v>
      </c>
      <c r="P136" t="s">
        <v>352</v>
      </c>
      <c r="Q136">
        <v>4</v>
      </c>
      <c r="R136" t="s">
        <v>296</v>
      </c>
      <c r="S136" t="s">
        <v>1</v>
      </c>
      <c r="T136">
        <v>2</v>
      </c>
    </row>
    <row r="137" spans="4:23" ht="15.75" customHeight="1" x14ac:dyDescent="0.2">
      <c r="D137" t="s">
        <v>285</v>
      </c>
      <c r="E137" t="s">
        <v>349</v>
      </c>
      <c r="F137">
        <v>2</v>
      </c>
      <c r="P137" t="s">
        <v>352</v>
      </c>
      <c r="Q137">
        <v>4</v>
      </c>
      <c r="R137" t="s">
        <v>297</v>
      </c>
      <c r="S137" t="s">
        <v>18</v>
      </c>
      <c r="T137">
        <v>17</v>
      </c>
    </row>
    <row r="138" spans="4:23" ht="15.75" customHeight="1" x14ac:dyDescent="0.2">
      <c r="D138" t="s">
        <v>285</v>
      </c>
      <c r="E138" t="s">
        <v>349</v>
      </c>
      <c r="F138">
        <v>2</v>
      </c>
      <c r="P138" t="s">
        <v>352</v>
      </c>
      <c r="Q138">
        <v>4</v>
      </c>
      <c r="R138" t="s">
        <v>298</v>
      </c>
      <c r="S138" t="s">
        <v>19</v>
      </c>
      <c r="T138">
        <v>0</v>
      </c>
    </row>
    <row r="139" spans="4:23" ht="15.75" customHeight="1" x14ac:dyDescent="0.2">
      <c r="D139" t="s">
        <v>285</v>
      </c>
      <c r="E139" t="s">
        <v>349</v>
      </c>
      <c r="F139">
        <v>2</v>
      </c>
      <c r="P139" t="s">
        <v>352</v>
      </c>
      <c r="Q139">
        <v>4</v>
      </c>
      <c r="R139" t="s">
        <v>299</v>
      </c>
      <c r="S139" t="s">
        <v>20</v>
      </c>
      <c r="T139">
        <v>4</v>
      </c>
    </row>
    <row r="140" spans="4:23" ht="15.75" customHeight="1" x14ac:dyDescent="0.2">
      <c r="D140" t="s">
        <v>285</v>
      </c>
      <c r="E140" t="s">
        <v>349</v>
      </c>
      <c r="F140">
        <v>2</v>
      </c>
      <c r="U140" t="s">
        <v>300</v>
      </c>
      <c r="V140" t="s">
        <v>301</v>
      </c>
      <c r="W140">
        <v>7</v>
      </c>
    </row>
    <row r="141" spans="4:23" ht="15.75" customHeight="1" x14ac:dyDescent="0.2">
      <c r="D141" t="s">
        <v>285</v>
      </c>
      <c r="E141" t="s">
        <v>349</v>
      </c>
      <c r="F141">
        <v>2</v>
      </c>
      <c r="U141" t="s">
        <v>288</v>
      </c>
      <c r="V141" t="s">
        <v>302</v>
      </c>
      <c r="W141">
        <v>12</v>
      </c>
    </row>
    <row r="142" spans="4:23" ht="15.75" customHeight="1" x14ac:dyDescent="0.2">
      <c r="D142" t="s">
        <v>285</v>
      </c>
      <c r="E142" t="s">
        <v>349</v>
      </c>
      <c r="F142">
        <v>2</v>
      </c>
      <c r="U142" t="s">
        <v>303</v>
      </c>
      <c r="V142" t="s">
        <v>304</v>
      </c>
      <c r="W142">
        <v>18</v>
      </c>
    </row>
    <row r="143" spans="4:23" ht="15.75" customHeight="1" x14ac:dyDescent="0.2">
      <c r="D143" t="s">
        <v>285</v>
      </c>
      <c r="E143" t="s">
        <v>349</v>
      </c>
      <c r="F143">
        <v>2</v>
      </c>
      <c r="U143" t="s">
        <v>305</v>
      </c>
      <c r="V143" t="s">
        <v>306</v>
      </c>
      <c r="W143">
        <v>2</v>
      </c>
    </row>
    <row r="144" spans="4:23" ht="15.75" customHeight="1" x14ac:dyDescent="0.2">
      <c r="D144" t="s">
        <v>285</v>
      </c>
      <c r="E144" t="s">
        <v>349</v>
      </c>
      <c r="F144">
        <v>2</v>
      </c>
      <c r="U144" t="s">
        <v>307</v>
      </c>
      <c r="V144" t="s">
        <v>308</v>
      </c>
      <c r="W144">
        <v>1</v>
      </c>
    </row>
    <row r="145" spans="4:23" ht="15.75" customHeight="1" x14ac:dyDescent="0.2">
      <c r="D145" t="s">
        <v>285</v>
      </c>
      <c r="E145" t="s">
        <v>349</v>
      </c>
      <c r="F145">
        <v>2</v>
      </c>
      <c r="U145" t="s">
        <v>243</v>
      </c>
      <c r="V145" t="s">
        <v>309</v>
      </c>
      <c r="W145">
        <v>43.928600000000003</v>
      </c>
    </row>
    <row r="146" spans="4:23" ht="15.75" customHeight="1" x14ac:dyDescent="0.2">
      <c r="D146" t="s">
        <v>285</v>
      </c>
      <c r="E146" t="s">
        <v>349</v>
      </c>
      <c r="F146">
        <v>2</v>
      </c>
      <c r="U146" t="s">
        <v>245</v>
      </c>
      <c r="V146" t="s">
        <v>310</v>
      </c>
      <c r="W146">
        <v>64796.031000000003</v>
      </c>
    </row>
    <row r="147" spans="4:23" ht="15.75" customHeight="1" x14ac:dyDescent="0.2">
      <c r="D147" t="s">
        <v>285</v>
      </c>
      <c r="E147" t="s">
        <v>349</v>
      </c>
      <c r="F147">
        <v>2</v>
      </c>
      <c r="U147" t="s">
        <v>247</v>
      </c>
      <c r="V147" t="s">
        <v>311</v>
      </c>
      <c r="W147">
        <v>0.53769999999999996</v>
      </c>
    </row>
    <row r="148" spans="4:23" ht="15.75" customHeight="1" x14ac:dyDescent="0.2">
      <c r="D148" t="s">
        <v>285</v>
      </c>
      <c r="E148" t="s">
        <v>349</v>
      </c>
      <c r="F148">
        <v>2</v>
      </c>
      <c r="U148" t="s">
        <v>249</v>
      </c>
      <c r="V148" t="s">
        <v>312</v>
      </c>
      <c r="W148">
        <v>224</v>
      </c>
    </row>
    <row r="149" spans="4:23" ht="15.75" customHeight="1" x14ac:dyDescent="0.2">
      <c r="D149" t="s">
        <v>285</v>
      </c>
      <c r="E149" t="s">
        <v>349</v>
      </c>
      <c r="F149">
        <v>2</v>
      </c>
      <c r="U149" t="s">
        <v>251</v>
      </c>
      <c r="V149" t="s">
        <v>313</v>
      </c>
      <c r="W149">
        <v>96</v>
      </c>
    </row>
    <row r="150" spans="4:23" ht="15.75" customHeight="1" x14ac:dyDescent="0.2">
      <c r="D150" t="s">
        <v>285</v>
      </c>
      <c r="E150" t="s">
        <v>349</v>
      </c>
      <c r="F150">
        <v>2</v>
      </c>
      <c r="U150" t="s">
        <v>253</v>
      </c>
      <c r="V150" t="s">
        <v>314</v>
      </c>
      <c r="W150">
        <v>1475.0316</v>
      </c>
    </row>
    <row r="151" spans="4:23" ht="15.75" customHeight="1" x14ac:dyDescent="0.2">
      <c r="D151" t="s">
        <v>285</v>
      </c>
      <c r="E151" t="s">
        <v>349</v>
      </c>
      <c r="F151">
        <v>2</v>
      </c>
      <c r="U151" t="s">
        <v>315</v>
      </c>
      <c r="V151" t="s">
        <v>316</v>
      </c>
      <c r="W151">
        <v>0</v>
      </c>
    </row>
    <row r="152" spans="4:23" ht="15.75" customHeight="1" x14ac:dyDescent="0.2">
      <c r="D152" t="s">
        <v>285</v>
      </c>
      <c r="E152" t="s">
        <v>349</v>
      </c>
      <c r="F152">
        <v>2</v>
      </c>
      <c r="U152" t="s">
        <v>317</v>
      </c>
      <c r="V152" t="s">
        <v>318</v>
      </c>
      <c r="W152">
        <v>79</v>
      </c>
    </row>
    <row r="153" spans="4:23" ht="15.75" customHeight="1" x14ac:dyDescent="0.2">
      <c r="D153" t="s">
        <v>285</v>
      </c>
      <c r="E153" t="s">
        <v>349</v>
      </c>
      <c r="F153">
        <v>2</v>
      </c>
      <c r="U153" t="s">
        <v>257</v>
      </c>
      <c r="V153" t="s">
        <v>319</v>
      </c>
      <c r="W153">
        <v>36.0623</v>
      </c>
    </row>
    <row r="154" spans="4:23" ht="15.75" customHeight="1" x14ac:dyDescent="0.2">
      <c r="D154" t="s">
        <v>285</v>
      </c>
      <c r="E154" t="s">
        <v>349</v>
      </c>
      <c r="F154">
        <v>2</v>
      </c>
      <c r="U154" t="s">
        <v>320</v>
      </c>
      <c r="V154" t="s">
        <v>321</v>
      </c>
      <c r="W154">
        <v>36</v>
      </c>
    </row>
    <row r="155" spans="4:23" ht="15.75" customHeight="1" x14ac:dyDescent="0.2">
      <c r="D155" t="s">
        <v>285</v>
      </c>
      <c r="E155" t="s">
        <v>349</v>
      </c>
      <c r="F155">
        <v>2</v>
      </c>
      <c r="U155" t="s">
        <v>263</v>
      </c>
      <c r="V155" t="s">
        <v>322</v>
      </c>
      <c r="W155">
        <v>71</v>
      </c>
    </row>
    <row r="156" spans="4:23" ht="15.75" customHeight="1" x14ac:dyDescent="0.2">
      <c r="D156" t="s">
        <v>285</v>
      </c>
      <c r="E156" t="s">
        <v>349</v>
      </c>
      <c r="F156">
        <v>2</v>
      </c>
      <c r="U156" t="s">
        <v>323</v>
      </c>
      <c r="V156" t="s">
        <v>324</v>
      </c>
      <c r="W156">
        <v>0</v>
      </c>
    </row>
    <row r="157" spans="4:23" ht="15.75" customHeight="1" x14ac:dyDescent="0.2">
      <c r="D157" t="s">
        <v>285</v>
      </c>
      <c r="E157" t="s">
        <v>349</v>
      </c>
      <c r="F157">
        <v>2</v>
      </c>
      <c r="U157" t="s">
        <v>325</v>
      </c>
      <c r="V157" t="s">
        <v>326</v>
      </c>
      <c r="W157">
        <v>3</v>
      </c>
    </row>
    <row r="158" spans="4:23" ht="15.75" customHeight="1" x14ac:dyDescent="0.2">
      <c r="D158" t="s">
        <v>285</v>
      </c>
      <c r="E158" t="s">
        <v>349</v>
      </c>
      <c r="F158">
        <v>2</v>
      </c>
      <c r="U158" t="s">
        <v>327</v>
      </c>
      <c r="V158" t="s">
        <v>328</v>
      </c>
      <c r="W158">
        <v>2</v>
      </c>
    </row>
    <row r="159" spans="4:23" ht="15.75" customHeight="1" x14ac:dyDescent="0.2">
      <c r="D159" t="s">
        <v>285</v>
      </c>
      <c r="E159" t="s">
        <v>349</v>
      </c>
      <c r="F159">
        <v>2</v>
      </c>
      <c r="U159" t="s">
        <v>329</v>
      </c>
      <c r="V159" t="s">
        <v>330</v>
      </c>
      <c r="W159">
        <v>13</v>
      </c>
    </row>
    <row r="160" spans="4:23" ht="15.75" customHeight="1" x14ac:dyDescent="0.2">
      <c r="D160" t="s">
        <v>285</v>
      </c>
      <c r="E160" t="s">
        <v>349</v>
      </c>
      <c r="F160">
        <v>2</v>
      </c>
      <c r="U160" t="s">
        <v>331</v>
      </c>
      <c r="V160" t="s">
        <v>332</v>
      </c>
      <c r="W160">
        <v>0</v>
      </c>
    </row>
    <row r="161" spans="4:23" ht="15.75" customHeight="1" x14ac:dyDescent="0.2">
      <c r="D161" t="s">
        <v>285</v>
      </c>
      <c r="E161" t="s">
        <v>349</v>
      </c>
      <c r="F161">
        <v>2</v>
      </c>
      <c r="U161" t="s">
        <v>333</v>
      </c>
      <c r="V161" t="s">
        <v>334</v>
      </c>
      <c r="W161">
        <v>3</v>
      </c>
    </row>
    <row r="162" spans="4:23" ht="15.75" customHeight="1" x14ac:dyDescent="0.2">
      <c r="D162" t="s">
        <v>285</v>
      </c>
      <c r="E162" t="s">
        <v>349</v>
      </c>
      <c r="F162">
        <v>2</v>
      </c>
      <c r="U162" t="s">
        <v>335</v>
      </c>
      <c r="V162" t="s">
        <v>336</v>
      </c>
      <c r="W162">
        <v>16</v>
      </c>
    </row>
    <row r="163" spans="4:23" ht="15.75" customHeight="1" x14ac:dyDescent="0.2">
      <c r="D163" t="s">
        <v>285</v>
      </c>
      <c r="E163" t="s">
        <v>349</v>
      </c>
      <c r="F163">
        <v>2</v>
      </c>
      <c r="U163" t="s">
        <v>337</v>
      </c>
      <c r="V163" t="s">
        <v>338</v>
      </c>
      <c r="W163">
        <v>0</v>
      </c>
    </row>
    <row r="164" spans="4:23" ht="15.75" customHeight="1" x14ac:dyDescent="0.2">
      <c r="D164" t="s">
        <v>285</v>
      </c>
      <c r="E164" t="s">
        <v>349</v>
      </c>
      <c r="F164">
        <v>2</v>
      </c>
      <c r="U164" t="s">
        <v>339</v>
      </c>
      <c r="V164" t="s">
        <v>340</v>
      </c>
      <c r="W164">
        <v>0</v>
      </c>
    </row>
    <row r="165" spans="4:23" ht="15.75" customHeight="1" x14ac:dyDescent="0.2">
      <c r="D165" t="s">
        <v>285</v>
      </c>
      <c r="E165" t="s">
        <v>349</v>
      </c>
      <c r="F165">
        <v>2</v>
      </c>
      <c r="U165" t="s">
        <v>341</v>
      </c>
      <c r="V165" t="s">
        <v>342</v>
      </c>
      <c r="W165">
        <v>32</v>
      </c>
    </row>
    <row r="166" spans="4:23" ht="15.75" customHeight="1" x14ac:dyDescent="0.2">
      <c r="D166" t="s">
        <v>285</v>
      </c>
      <c r="E166" t="s">
        <v>349</v>
      </c>
      <c r="F166">
        <v>2</v>
      </c>
      <c r="U166" t="s">
        <v>343</v>
      </c>
      <c r="V166" t="s">
        <v>344</v>
      </c>
      <c r="W166">
        <v>0</v>
      </c>
    </row>
    <row r="167" spans="4:23" ht="15.75" customHeight="1" x14ac:dyDescent="0.2">
      <c r="D167" t="s">
        <v>285</v>
      </c>
      <c r="E167" t="s">
        <v>349</v>
      </c>
      <c r="F167">
        <v>2</v>
      </c>
      <c r="U167" t="s">
        <v>345</v>
      </c>
      <c r="V167" t="s">
        <v>346</v>
      </c>
      <c r="W167">
        <v>1</v>
      </c>
    </row>
    <row r="168" spans="4:23" ht="15.75" customHeight="1" x14ac:dyDescent="0.2">
      <c r="D168" t="s">
        <v>285</v>
      </c>
      <c r="E168" t="s">
        <v>349</v>
      </c>
      <c r="F168">
        <v>2</v>
      </c>
      <c r="U168" t="s">
        <v>347</v>
      </c>
      <c r="V168" t="s">
        <v>348</v>
      </c>
      <c r="W168">
        <v>14</v>
      </c>
    </row>
    <row r="169" spans="4:23" ht="15.75" customHeight="1" x14ac:dyDescent="0.2">
      <c r="D169" t="s">
        <v>285</v>
      </c>
      <c r="E169" t="s">
        <v>353</v>
      </c>
      <c r="F169">
        <v>3</v>
      </c>
      <c r="P169" t="s">
        <v>354</v>
      </c>
      <c r="Q169">
        <v>5</v>
      </c>
      <c r="R169" t="s">
        <v>288</v>
      </c>
      <c r="S169" t="s">
        <v>2</v>
      </c>
      <c r="T169">
        <v>5</v>
      </c>
    </row>
    <row r="170" spans="4:23" ht="15.75" customHeight="1" x14ac:dyDescent="0.2">
      <c r="D170" t="s">
        <v>285</v>
      </c>
      <c r="E170" t="s">
        <v>353</v>
      </c>
      <c r="F170">
        <v>3</v>
      </c>
      <c r="P170" t="s">
        <v>354</v>
      </c>
      <c r="Q170">
        <v>5</v>
      </c>
      <c r="R170" t="s">
        <v>289</v>
      </c>
      <c r="S170" t="s">
        <v>5</v>
      </c>
      <c r="T170">
        <v>0</v>
      </c>
    </row>
    <row r="171" spans="4:23" ht="15.75" customHeight="1" x14ac:dyDescent="0.2">
      <c r="D171" t="s">
        <v>285</v>
      </c>
      <c r="E171" t="s">
        <v>353</v>
      </c>
      <c r="F171">
        <v>3</v>
      </c>
      <c r="P171" t="s">
        <v>354</v>
      </c>
      <c r="Q171">
        <v>5</v>
      </c>
      <c r="R171" t="s">
        <v>290</v>
      </c>
      <c r="S171" t="s">
        <v>3</v>
      </c>
      <c r="T171">
        <v>0.5</v>
      </c>
    </row>
    <row r="172" spans="4:23" ht="15.75" customHeight="1" x14ac:dyDescent="0.2">
      <c r="D172" t="s">
        <v>285</v>
      </c>
      <c r="E172" t="s">
        <v>353</v>
      </c>
      <c r="F172">
        <v>3</v>
      </c>
      <c r="P172" t="s">
        <v>354</v>
      </c>
      <c r="Q172">
        <v>5</v>
      </c>
      <c r="R172" t="s">
        <v>291</v>
      </c>
      <c r="S172" t="s">
        <v>4</v>
      </c>
      <c r="T172">
        <v>6</v>
      </c>
    </row>
    <row r="173" spans="4:23" ht="15.75" customHeight="1" x14ac:dyDescent="0.2">
      <c r="D173" t="s">
        <v>285</v>
      </c>
      <c r="E173" t="s">
        <v>353</v>
      </c>
      <c r="F173">
        <v>3</v>
      </c>
      <c r="P173" t="s">
        <v>354</v>
      </c>
      <c r="Q173">
        <v>5</v>
      </c>
      <c r="R173" t="s">
        <v>292</v>
      </c>
      <c r="S173" t="s">
        <v>6</v>
      </c>
      <c r="T173">
        <v>1</v>
      </c>
    </row>
    <row r="174" spans="4:23" ht="15.75" customHeight="1" x14ac:dyDescent="0.2">
      <c r="D174" t="s">
        <v>285</v>
      </c>
      <c r="E174" t="s">
        <v>353</v>
      </c>
      <c r="F174">
        <v>3</v>
      </c>
      <c r="P174" t="s">
        <v>354</v>
      </c>
      <c r="Q174">
        <v>5</v>
      </c>
      <c r="R174" t="s">
        <v>243</v>
      </c>
      <c r="S174" t="s">
        <v>7</v>
      </c>
      <c r="T174">
        <v>27</v>
      </c>
    </row>
    <row r="175" spans="4:23" ht="15.75" customHeight="1" x14ac:dyDescent="0.2">
      <c r="D175" t="s">
        <v>285</v>
      </c>
      <c r="E175" t="s">
        <v>353</v>
      </c>
      <c r="F175">
        <v>3</v>
      </c>
      <c r="P175" t="s">
        <v>354</v>
      </c>
      <c r="Q175">
        <v>5</v>
      </c>
      <c r="R175" t="s">
        <v>245</v>
      </c>
      <c r="S175" t="s">
        <v>8</v>
      </c>
      <c r="T175">
        <v>12198.390299999999</v>
      </c>
    </row>
    <row r="176" spans="4:23" ht="15.75" customHeight="1" x14ac:dyDescent="0.2">
      <c r="D176" t="s">
        <v>285</v>
      </c>
      <c r="E176" t="s">
        <v>353</v>
      </c>
      <c r="F176">
        <v>3</v>
      </c>
      <c r="P176" t="s">
        <v>354</v>
      </c>
      <c r="Q176">
        <v>5</v>
      </c>
      <c r="R176" t="s">
        <v>247</v>
      </c>
      <c r="S176" t="s">
        <v>9</v>
      </c>
      <c r="T176">
        <v>0.17660000000000001</v>
      </c>
    </row>
    <row r="177" spans="4:23" ht="15.75" customHeight="1" x14ac:dyDescent="0.2">
      <c r="D177" t="s">
        <v>285</v>
      </c>
      <c r="E177" t="s">
        <v>353</v>
      </c>
      <c r="F177">
        <v>3</v>
      </c>
      <c r="P177" t="s">
        <v>354</v>
      </c>
      <c r="Q177">
        <v>5</v>
      </c>
      <c r="R177" t="s">
        <v>249</v>
      </c>
      <c r="S177" t="s">
        <v>10</v>
      </c>
      <c r="T177">
        <v>93</v>
      </c>
    </row>
    <row r="178" spans="4:23" ht="15.75" customHeight="1" x14ac:dyDescent="0.2">
      <c r="D178" t="s">
        <v>285</v>
      </c>
      <c r="E178" t="s">
        <v>353</v>
      </c>
      <c r="F178">
        <v>3</v>
      </c>
      <c r="P178" t="s">
        <v>354</v>
      </c>
      <c r="Q178">
        <v>5</v>
      </c>
      <c r="R178" t="s">
        <v>251</v>
      </c>
      <c r="S178" t="s">
        <v>11</v>
      </c>
      <c r="T178">
        <v>29</v>
      </c>
    </row>
    <row r="179" spans="4:23" ht="15.75" customHeight="1" x14ac:dyDescent="0.2">
      <c r="D179" t="s">
        <v>285</v>
      </c>
      <c r="E179" t="s">
        <v>353</v>
      </c>
      <c r="F179">
        <v>3</v>
      </c>
      <c r="P179" t="s">
        <v>354</v>
      </c>
      <c r="Q179">
        <v>5</v>
      </c>
      <c r="R179" t="s">
        <v>253</v>
      </c>
      <c r="S179" t="s">
        <v>12</v>
      </c>
      <c r="T179">
        <v>451.79219999999998</v>
      </c>
    </row>
    <row r="180" spans="4:23" ht="15.75" customHeight="1" x14ac:dyDescent="0.2">
      <c r="D180" t="s">
        <v>285</v>
      </c>
      <c r="E180" t="s">
        <v>353</v>
      </c>
      <c r="F180">
        <v>3</v>
      </c>
      <c r="P180" t="s">
        <v>354</v>
      </c>
      <c r="Q180">
        <v>5</v>
      </c>
      <c r="R180" t="s">
        <v>255</v>
      </c>
      <c r="S180" t="s">
        <v>15</v>
      </c>
      <c r="T180">
        <v>27</v>
      </c>
    </row>
    <row r="181" spans="4:23" ht="15.75" customHeight="1" x14ac:dyDescent="0.2">
      <c r="D181" t="s">
        <v>285</v>
      </c>
      <c r="E181" t="s">
        <v>353</v>
      </c>
      <c r="F181">
        <v>3</v>
      </c>
      <c r="P181" t="s">
        <v>354</v>
      </c>
      <c r="Q181">
        <v>5</v>
      </c>
      <c r="R181" t="s">
        <v>293</v>
      </c>
      <c r="S181" t="s">
        <v>13</v>
      </c>
      <c r="T181">
        <v>0</v>
      </c>
    </row>
    <row r="182" spans="4:23" ht="15.75" customHeight="1" x14ac:dyDescent="0.2">
      <c r="D182" t="s">
        <v>285</v>
      </c>
      <c r="E182" t="s">
        <v>353</v>
      </c>
      <c r="F182">
        <v>3</v>
      </c>
      <c r="P182" t="s">
        <v>354</v>
      </c>
      <c r="Q182">
        <v>5</v>
      </c>
      <c r="R182" t="s">
        <v>294</v>
      </c>
      <c r="S182" t="s">
        <v>14</v>
      </c>
      <c r="T182">
        <v>1</v>
      </c>
    </row>
    <row r="183" spans="4:23" ht="15.75" customHeight="1" x14ac:dyDescent="0.2">
      <c r="D183" t="s">
        <v>285</v>
      </c>
      <c r="E183" t="s">
        <v>353</v>
      </c>
      <c r="F183">
        <v>3</v>
      </c>
      <c r="P183" t="s">
        <v>354</v>
      </c>
      <c r="Q183">
        <v>5</v>
      </c>
      <c r="R183" t="s">
        <v>257</v>
      </c>
      <c r="S183" t="s">
        <v>16</v>
      </c>
      <c r="T183">
        <v>49.8962</v>
      </c>
    </row>
    <row r="184" spans="4:23" ht="15.75" customHeight="1" x14ac:dyDescent="0.2">
      <c r="D184" t="s">
        <v>285</v>
      </c>
      <c r="E184" t="s">
        <v>353</v>
      </c>
      <c r="F184">
        <v>3</v>
      </c>
      <c r="P184" t="s">
        <v>354</v>
      </c>
      <c r="Q184">
        <v>5</v>
      </c>
      <c r="R184" t="s">
        <v>295</v>
      </c>
      <c r="S184" t="s">
        <v>17</v>
      </c>
      <c r="T184">
        <v>1</v>
      </c>
    </row>
    <row r="185" spans="4:23" ht="15.75" customHeight="1" x14ac:dyDescent="0.2">
      <c r="D185" t="s">
        <v>285</v>
      </c>
      <c r="E185" t="s">
        <v>353</v>
      </c>
      <c r="F185">
        <v>3</v>
      </c>
      <c r="P185" t="s">
        <v>354</v>
      </c>
      <c r="Q185">
        <v>5</v>
      </c>
      <c r="R185" t="s">
        <v>296</v>
      </c>
      <c r="S185" t="s">
        <v>1</v>
      </c>
      <c r="T185">
        <v>9</v>
      </c>
    </row>
    <row r="186" spans="4:23" ht="15.75" customHeight="1" x14ac:dyDescent="0.2">
      <c r="D186" t="s">
        <v>285</v>
      </c>
      <c r="E186" t="s">
        <v>353</v>
      </c>
      <c r="F186">
        <v>3</v>
      </c>
      <c r="P186" t="s">
        <v>354</v>
      </c>
      <c r="Q186">
        <v>5</v>
      </c>
      <c r="R186" t="s">
        <v>297</v>
      </c>
      <c r="S186" t="s">
        <v>18</v>
      </c>
      <c r="T186">
        <v>10</v>
      </c>
    </row>
    <row r="187" spans="4:23" ht="15.75" customHeight="1" x14ac:dyDescent="0.2">
      <c r="D187" t="s">
        <v>285</v>
      </c>
      <c r="E187" t="s">
        <v>353</v>
      </c>
      <c r="F187">
        <v>3</v>
      </c>
      <c r="P187" t="s">
        <v>354</v>
      </c>
      <c r="Q187">
        <v>5</v>
      </c>
      <c r="R187" t="s">
        <v>298</v>
      </c>
      <c r="S187" t="s">
        <v>19</v>
      </c>
      <c r="T187">
        <v>4</v>
      </c>
    </row>
    <row r="188" spans="4:23" ht="15.75" customHeight="1" x14ac:dyDescent="0.2">
      <c r="D188" t="s">
        <v>285</v>
      </c>
      <c r="E188" t="s">
        <v>353</v>
      </c>
      <c r="F188">
        <v>3</v>
      </c>
      <c r="P188" t="s">
        <v>354</v>
      </c>
      <c r="Q188">
        <v>5</v>
      </c>
      <c r="R188" t="s">
        <v>299</v>
      </c>
      <c r="S188" t="s">
        <v>20</v>
      </c>
      <c r="T188">
        <v>2</v>
      </c>
    </row>
    <row r="189" spans="4:23" ht="15.75" customHeight="1" x14ac:dyDescent="0.2">
      <c r="D189" t="s">
        <v>285</v>
      </c>
      <c r="E189" t="s">
        <v>353</v>
      </c>
      <c r="F189">
        <v>3</v>
      </c>
      <c r="U189" t="s">
        <v>300</v>
      </c>
      <c r="V189" t="s">
        <v>301</v>
      </c>
      <c r="W189">
        <v>1</v>
      </c>
    </row>
    <row r="190" spans="4:23" ht="15.75" customHeight="1" x14ac:dyDescent="0.2">
      <c r="D190" t="s">
        <v>285</v>
      </c>
      <c r="E190" t="s">
        <v>353</v>
      </c>
      <c r="F190">
        <v>3</v>
      </c>
      <c r="U190" t="s">
        <v>288</v>
      </c>
      <c r="V190" t="s">
        <v>302</v>
      </c>
      <c r="W190">
        <v>5</v>
      </c>
    </row>
    <row r="191" spans="4:23" ht="15.75" customHeight="1" x14ac:dyDescent="0.2">
      <c r="D191" t="s">
        <v>285</v>
      </c>
      <c r="E191" t="s">
        <v>353</v>
      </c>
      <c r="F191">
        <v>3</v>
      </c>
      <c r="U191" t="s">
        <v>303</v>
      </c>
      <c r="V191" t="s">
        <v>304</v>
      </c>
      <c r="W191">
        <v>5</v>
      </c>
    </row>
    <row r="192" spans="4:23" ht="15.75" customHeight="1" x14ac:dyDescent="0.2">
      <c r="D192" t="s">
        <v>285</v>
      </c>
      <c r="E192" t="s">
        <v>353</v>
      </c>
      <c r="F192">
        <v>3</v>
      </c>
      <c r="U192" t="s">
        <v>305</v>
      </c>
      <c r="V192" t="s">
        <v>306</v>
      </c>
      <c r="W192">
        <v>0</v>
      </c>
    </row>
    <row r="193" spans="4:23" ht="15.75" customHeight="1" x14ac:dyDescent="0.2">
      <c r="D193" t="s">
        <v>285</v>
      </c>
      <c r="E193" t="s">
        <v>353</v>
      </c>
      <c r="F193">
        <v>3</v>
      </c>
      <c r="U193" t="s">
        <v>307</v>
      </c>
      <c r="V193" t="s">
        <v>308</v>
      </c>
      <c r="W193">
        <v>2</v>
      </c>
    </row>
    <row r="194" spans="4:23" ht="15.75" customHeight="1" x14ac:dyDescent="0.2">
      <c r="D194" t="s">
        <v>285</v>
      </c>
      <c r="E194" t="s">
        <v>353</v>
      </c>
      <c r="F194">
        <v>3</v>
      </c>
      <c r="U194" t="s">
        <v>243</v>
      </c>
      <c r="V194" t="s">
        <v>309</v>
      </c>
      <c r="W194">
        <v>30</v>
      </c>
    </row>
    <row r="195" spans="4:23" ht="15.75" customHeight="1" x14ac:dyDescent="0.2">
      <c r="D195" t="s">
        <v>285</v>
      </c>
      <c r="E195" t="s">
        <v>353</v>
      </c>
      <c r="F195">
        <v>3</v>
      </c>
      <c r="U195" t="s">
        <v>245</v>
      </c>
      <c r="V195" t="s">
        <v>310</v>
      </c>
      <c r="W195">
        <v>14268.0854</v>
      </c>
    </row>
    <row r="196" spans="4:23" ht="15.75" customHeight="1" x14ac:dyDescent="0.2">
      <c r="D196" t="s">
        <v>285</v>
      </c>
      <c r="E196" t="s">
        <v>353</v>
      </c>
      <c r="F196">
        <v>3</v>
      </c>
      <c r="U196" t="s">
        <v>247</v>
      </c>
      <c r="V196" t="s">
        <v>311</v>
      </c>
      <c r="W196">
        <v>0.1961</v>
      </c>
    </row>
    <row r="197" spans="4:23" ht="15.75" customHeight="1" x14ac:dyDescent="0.2">
      <c r="D197" t="s">
        <v>285</v>
      </c>
      <c r="E197" t="s">
        <v>353</v>
      </c>
      <c r="F197">
        <v>3</v>
      </c>
      <c r="U197" t="s">
        <v>249</v>
      </c>
      <c r="V197" t="s">
        <v>312</v>
      </c>
      <c r="W197">
        <v>96</v>
      </c>
    </row>
    <row r="198" spans="4:23" ht="15.75" customHeight="1" x14ac:dyDescent="0.2">
      <c r="D198" t="s">
        <v>285</v>
      </c>
      <c r="E198" t="s">
        <v>353</v>
      </c>
      <c r="F198">
        <v>3</v>
      </c>
      <c r="U198" t="s">
        <v>251</v>
      </c>
      <c r="V198" t="s">
        <v>313</v>
      </c>
      <c r="W198">
        <v>31</v>
      </c>
    </row>
    <row r="199" spans="4:23" ht="15.75" customHeight="1" x14ac:dyDescent="0.2">
      <c r="D199" t="s">
        <v>285</v>
      </c>
      <c r="E199" t="s">
        <v>353</v>
      </c>
      <c r="F199">
        <v>3</v>
      </c>
      <c r="U199" t="s">
        <v>253</v>
      </c>
      <c r="V199" t="s">
        <v>314</v>
      </c>
      <c r="W199">
        <v>475.6028</v>
      </c>
    </row>
    <row r="200" spans="4:23" ht="15.75" customHeight="1" x14ac:dyDescent="0.2">
      <c r="D200" t="s">
        <v>285</v>
      </c>
      <c r="E200" t="s">
        <v>353</v>
      </c>
      <c r="F200">
        <v>3</v>
      </c>
      <c r="U200" t="s">
        <v>315</v>
      </c>
      <c r="V200" t="s">
        <v>316</v>
      </c>
      <c r="W200">
        <v>0</v>
      </c>
    </row>
    <row r="201" spans="4:23" ht="15.75" customHeight="1" x14ac:dyDescent="0.2">
      <c r="D201" t="s">
        <v>285</v>
      </c>
      <c r="E201" t="s">
        <v>353</v>
      </c>
      <c r="F201">
        <v>3</v>
      </c>
      <c r="U201" t="s">
        <v>317</v>
      </c>
      <c r="V201" t="s">
        <v>318</v>
      </c>
      <c r="W201">
        <v>27</v>
      </c>
    </row>
    <row r="202" spans="4:23" ht="15.75" customHeight="1" x14ac:dyDescent="0.2">
      <c r="D202" t="s">
        <v>285</v>
      </c>
      <c r="E202" t="s">
        <v>353</v>
      </c>
      <c r="F202">
        <v>3</v>
      </c>
      <c r="U202" t="s">
        <v>257</v>
      </c>
      <c r="V202" t="s">
        <v>319</v>
      </c>
      <c r="W202">
        <v>49.738500000000002</v>
      </c>
    </row>
    <row r="203" spans="4:23" ht="15.75" customHeight="1" x14ac:dyDescent="0.2">
      <c r="D203" t="s">
        <v>285</v>
      </c>
      <c r="E203" t="s">
        <v>353</v>
      </c>
      <c r="F203">
        <v>3</v>
      </c>
      <c r="U203" t="s">
        <v>320</v>
      </c>
      <c r="V203" t="s">
        <v>321</v>
      </c>
      <c r="W203">
        <v>21</v>
      </c>
    </row>
    <row r="204" spans="4:23" ht="15.75" customHeight="1" x14ac:dyDescent="0.2">
      <c r="D204" t="s">
        <v>285</v>
      </c>
      <c r="E204" t="s">
        <v>353</v>
      </c>
      <c r="F204">
        <v>3</v>
      </c>
      <c r="U204" t="s">
        <v>263</v>
      </c>
      <c r="V204" t="s">
        <v>322</v>
      </c>
      <c r="W204">
        <v>28</v>
      </c>
    </row>
    <row r="205" spans="4:23" ht="15.75" customHeight="1" x14ac:dyDescent="0.2">
      <c r="D205" t="s">
        <v>285</v>
      </c>
      <c r="E205" t="s">
        <v>353</v>
      </c>
      <c r="F205">
        <v>3</v>
      </c>
      <c r="U205" t="s">
        <v>323</v>
      </c>
      <c r="V205" t="s">
        <v>324</v>
      </c>
      <c r="W205">
        <v>0</v>
      </c>
    </row>
    <row r="206" spans="4:23" ht="15.75" customHeight="1" x14ac:dyDescent="0.2">
      <c r="D206" t="s">
        <v>285</v>
      </c>
      <c r="E206" t="s">
        <v>353</v>
      </c>
      <c r="F206">
        <v>3</v>
      </c>
      <c r="U206" t="s">
        <v>325</v>
      </c>
      <c r="V206" t="s">
        <v>326</v>
      </c>
      <c r="W206">
        <v>0</v>
      </c>
    </row>
    <row r="207" spans="4:23" ht="15.75" customHeight="1" x14ac:dyDescent="0.2">
      <c r="D207" t="s">
        <v>285</v>
      </c>
      <c r="E207" t="s">
        <v>353</v>
      </c>
      <c r="F207">
        <v>3</v>
      </c>
      <c r="U207" t="s">
        <v>327</v>
      </c>
      <c r="V207" t="s">
        <v>328</v>
      </c>
      <c r="W207">
        <v>10</v>
      </c>
    </row>
    <row r="208" spans="4:23" ht="15.75" customHeight="1" x14ac:dyDescent="0.2">
      <c r="D208" t="s">
        <v>285</v>
      </c>
      <c r="E208" t="s">
        <v>353</v>
      </c>
      <c r="F208">
        <v>3</v>
      </c>
      <c r="U208" t="s">
        <v>329</v>
      </c>
      <c r="V208" t="s">
        <v>330</v>
      </c>
      <c r="W208">
        <v>53</v>
      </c>
    </row>
    <row r="209" spans="4:23" ht="15.75" customHeight="1" x14ac:dyDescent="0.2">
      <c r="D209" t="s">
        <v>285</v>
      </c>
      <c r="E209" t="s">
        <v>353</v>
      </c>
      <c r="F209">
        <v>3</v>
      </c>
      <c r="U209" t="s">
        <v>331</v>
      </c>
      <c r="V209" t="s">
        <v>332</v>
      </c>
      <c r="W209">
        <v>0</v>
      </c>
    </row>
    <row r="210" spans="4:23" ht="15.75" customHeight="1" x14ac:dyDescent="0.2">
      <c r="D210" t="s">
        <v>285</v>
      </c>
      <c r="E210" t="s">
        <v>353</v>
      </c>
      <c r="F210">
        <v>3</v>
      </c>
      <c r="U210" t="s">
        <v>333</v>
      </c>
      <c r="V210" t="s">
        <v>334</v>
      </c>
      <c r="W210">
        <v>1</v>
      </c>
    </row>
    <row r="211" spans="4:23" ht="15.75" customHeight="1" x14ac:dyDescent="0.2">
      <c r="D211" t="s">
        <v>285</v>
      </c>
      <c r="E211" t="s">
        <v>353</v>
      </c>
      <c r="F211">
        <v>3</v>
      </c>
      <c r="U211" t="s">
        <v>335</v>
      </c>
      <c r="V211" t="s">
        <v>336</v>
      </c>
      <c r="W211">
        <v>49</v>
      </c>
    </row>
    <row r="212" spans="4:23" ht="15.75" customHeight="1" x14ac:dyDescent="0.2">
      <c r="D212" t="s">
        <v>285</v>
      </c>
      <c r="E212" t="s">
        <v>353</v>
      </c>
      <c r="F212">
        <v>3</v>
      </c>
      <c r="U212" t="s">
        <v>337</v>
      </c>
      <c r="V212" t="s">
        <v>338</v>
      </c>
      <c r="W212">
        <v>0</v>
      </c>
    </row>
    <row r="213" spans="4:23" ht="15.75" customHeight="1" x14ac:dyDescent="0.2">
      <c r="D213" t="s">
        <v>285</v>
      </c>
      <c r="E213" t="s">
        <v>353</v>
      </c>
      <c r="F213">
        <v>3</v>
      </c>
      <c r="U213" t="s">
        <v>339</v>
      </c>
      <c r="V213" t="s">
        <v>340</v>
      </c>
      <c r="W213">
        <v>0</v>
      </c>
    </row>
    <row r="214" spans="4:23" ht="15.75" customHeight="1" x14ac:dyDescent="0.2">
      <c r="D214" t="s">
        <v>285</v>
      </c>
      <c r="E214" t="s">
        <v>353</v>
      </c>
      <c r="F214">
        <v>3</v>
      </c>
      <c r="U214" t="s">
        <v>341</v>
      </c>
      <c r="V214" t="s">
        <v>342</v>
      </c>
      <c r="W214">
        <v>8</v>
      </c>
    </row>
    <row r="215" spans="4:23" ht="15.75" customHeight="1" x14ac:dyDescent="0.2">
      <c r="D215" t="s">
        <v>285</v>
      </c>
      <c r="E215" t="s">
        <v>353</v>
      </c>
      <c r="F215">
        <v>3</v>
      </c>
      <c r="U215" t="s">
        <v>343</v>
      </c>
      <c r="V215" t="s">
        <v>344</v>
      </c>
      <c r="W215">
        <v>0</v>
      </c>
    </row>
    <row r="216" spans="4:23" ht="15.75" customHeight="1" x14ac:dyDescent="0.2">
      <c r="D216" t="s">
        <v>285</v>
      </c>
      <c r="E216" t="s">
        <v>353</v>
      </c>
      <c r="F216">
        <v>3</v>
      </c>
      <c r="U216" t="s">
        <v>345</v>
      </c>
      <c r="V216" t="s">
        <v>346</v>
      </c>
      <c r="W216">
        <v>0</v>
      </c>
    </row>
    <row r="217" spans="4:23" ht="15.75" customHeight="1" x14ac:dyDescent="0.2">
      <c r="D217" t="s">
        <v>285</v>
      </c>
      <c r="E217" t="s">
        <v>353</v>
      </c>
      <c r="F217">
        <v>3</v>
      </c>
      <c r="U217" t="s">
        <v>347</v>
      </c>
      <c r="V217" t="s">
        <v>348</v>
      </c>
      <c r="W217">
        <v>9</v>
      </c>
    </row>
    <row r="218" spans="4:23" ht="15.75" customHeight="1" x14ac:dyDescent="0.2">
      <c r="D218" t="s">
        <v>285</v>
      </c>
      <c r="E218" t="s">
        <v>355</v>
      </c>
      <c r="F218">
        <v>4</v>
      </c>
      <c r="P218" t="s">
        <v>356</v>
      </c>
      <c r="Q218">
        <v>6</v>
      </c>
      <c r="R218" t="s">
        <v>288</v>
      </c>
      <c r="S218" t="s">
        <v>2</v>
      </c>
      <c r="T218">
        <v>5</v>
      </c>
    </row>
    <row r="219" spans="4:23" ht="15.75" customHeight="1" x14ac:dyDescent="0.2">
      <c r="D219" t="s">
        <v>285</v>
      </c>
      <c r="E219" t="s">
        <v>355</v>
      </c>
      <c r="F219">
        <v>4</v>
      </c>
      <c r="P219" t="s">
        <v>356</v>
      </c>
      <c r="Q219">
        <v>6</v>
      </c>
      <c r="R219" t="s">
        <v>289</v>
      </c>
      <c r="S219" t="s">
        <v>5</v>
      </c>
      <c r="T219">
        <v>0</v>
      </c>
    </row>
    <row r="220" spans="4:23" ht="15.75" customHeight="1" x14ac:dyDescent="0.2">
      <c r="D220" t="s">
        <v>285</v>
      </c>
      <c r="E220" t="s">
        <v>355</v>
      </c>
      <c r="F220">
        <v>4</v>
      </c>
      <c r="P220" t="s">
        <v>356</v>
      </c>
      <c r="Q220">
        <v>6</v>
      </c>
      <c r="R220" t="s">
        <v>290</v>
      </c>
      <c r="S220" t="s">
        <v>3</v>
      </c>
      <c r="T220">
        <v>0.5</v>
      </c>
    </row>
    <row r="221" spans="4:23" ht="15.75" customHeight="1" x14ac:dyDescent="0.2">
      <c r="D221" t="s">
        <v>285</v>
      </c>
      <c r="E221" t="s">
        <v>355</v>
      </c>
      <c r="F221">
        <v>4</v>
      </c>
      <c r="P221" t="s">
        <v>356</v>
      </c>
      <c r="Q221">
        <v>6</v>
      </c>
      <c r="R221" t="s">
        <v>291</v>
      </c>
      <c r="S221" t="s">
        <v>4</v>
      </c>
      <c r="T221">
        <v>6</v>
      </c>
    </row>
    <row r="222" spans="4:23" ht="15.75" customHeight="1" x14ac:dyDescent="0.2">
      <c r="D222" t="s">
        <v>285</v>
      </c>
      <c r="E222" t="s">
        <v>355</v>
      </c>
      <c r="F222">
        <v>4</v>
      </c>
      <c r="P222" t="s">
        <v>356</v>
      </c>
      <c r="Q222">
        <v>6</v>
      </c>
      <c r="R222" t="s">
        <v>292</v>
      </c>
      <c r="S222" t="s">
        <v>6</v>
      </c>
      <c r="T222">
        <v>1</v>
      </c>
    </row>
    <row r="223" spans="4:23" ht="15.75" customHeight="1" x14ac:dyDescent="0.2">
      <c r="D223" t="s">
        <v>285</v>
      </c>
      <c r="E223" t="s">
        <v>355</v>
      </c>
      <c r="F223">
        <v>4</v>
      </c>
      <c r="P223" t="s">
        <v>356</v>
      </c>
      <c r="Q223">
        <v>6</v>
      </c>
      <c r="R223" t="s">
        <v>243</v>
      </c>
      <c r="S223" t="s">
        <v>7</v>
      </c>
      <c r="T223">
        <v>27</v>
      </c>
    </row>
    <row r="224" spans="4:23" ht="15.75" customHeight="1" x14ac:dyDescent="0.2">
      <c r="D224" t="s">
        <v>285</v>
      </c>
      <c r="E224" t="s">
        <v>355</v>
      </c>
      <c r="F224">
        <v>4</v>
      </c>
      <c r="P224" t="s">
        <v>356</v>
      </c>
      <c r="Q224">
        <v>6</v>
      </c>
      <c r="R224" t="s">
        <v>245</v>
      </c>
      <c r="S224" t="s">
        <v>8</v>
      </c>
      <c r="T224">
        <v>12198.390299999999</v>
      </c>
    </row>
    <row r="225" spans="4:23" ht="15.75" customHeight="1" x14ac:dyDescent="0.2">
      <c r="D225" t="s">
        <v>285</v>
      </c>
      <c r="E225" t="s">
        <v>355</v>
      </c>
      <c r="F225">
        <v>4</v>
      </c>
      <c r="P225" t="s">
        <v>356</v>
      </c>
      <c r="Q225">
        <v>6</v>
      </c>
      <c r="R225" t="s">
        <v>247</v>
      </c>
      <c r="S225" t="s">
        <v>9</v>
      </c>
      <c r="T225">
        <v>0.17660000000000001</v>
      </c>
    </row>
    <row r="226" spans="4:23" ht="15.75" customHeight="1" x14ac:dyDescent="0.2">
      <c r="D226" t="s">
        <v>285</v>
      </c>
      <c r="E226" t="s">
        <v>355</v>
      </c>
      <c r="F226">
        <v>4</v>
      </c>
      <c r="P226" t="s">
        <v>356</v>
      </c>
      <c r="Q226">
        <v>6</v>
      </c>
      <c r="R226" t="s">
        <v>249</v>
      </c>
      <c r="S226" t="s">
        <v>10</v>
      </c>
      <c r="T226">
        <v>93</v>
      </c>
    </row>
    <row r="227" spans="4:23" ht="15.75" customHeight="1" x14ac:dyDescent="0.2">
      <c r="D227" t="s">
        <v>285</v>
      </c>
      <c r="E227" t="s">
        <v>355</v>
      </c>
      <c r="F227">
        <v>4</v>
      </c>
      <c r="P227" t="s">
        <v>356</v>
      </c>
      <c r="Q227">
        <v>6</v>
      </c>
      <c r="R227" t="s">
        <v>251</v>
      </c>
      <c r="S227" t="s">
        <v>11</v>
      </c>
      <c r="T227">
        <v>29</v>
      </c>
    </row>
    <row r="228" spans="4:23" ht="15.75" customHeight="1" x14ac:dyDescent="0.2">
      <c r="D228" t="s">
        <v>285</v>
      </c>
      <c r="E228" t="s">
        <v>355</v>
      </c>
      <c r="F228">
        <v>4</v>
      </c>
      <c r="P228" t="s">
        <v>356</v>
      </c>
      <c r="Q228">
        <v>6</v>
      </c>
      <c r="R228" t="s">
        <v>253</v>
      </c>
      <c r="S228" t="s">
        <v>12</v>
      </c>
      <c r="T228">
        <v>451.79219999999998</v>
      </c>
    </row>
    <row r="229" spans="4:23" ht="15.75" customHeight="1" x14ac:dyDescent="0.2">
      <c r="D229" t="s">
        <v>285</v>
      </c>
      <c r="E229" t="s">
        <v>355</v>
      </c>
      <c r="F229">
        <v>4</v>
      </c>
      <c r="P229" t="s">
        <v>356</v>
      </c>
      <c r="Q229">
        <v>6</v>
      </c>
      <c r="R229" t="s">
        <v>255</v>
      </c>
      <c r="S229" t="s">
        <v>15</v>
      </c>
      <c r="T229">
        <v>27</v>
      </c>
    </row>
    <row r="230" spans="4:23" ht="15.75" customHeight="1" x14ac:dyDescent="0.2">
      <c r="D230" t="s">
        <v>285</v>
      </c>
      <c r="E230" t="s">
        <v>355</v>
      </c>
      <c r="F230">
        <v>4</v>
      </c>
      <c r="P230" t="s">
        <v>356</v>
      </c>
      <c r="Q230">
        <v>6</v>
      </c>
      <c r="R230" t="s">
        <v>293</v>
      </c>
      <c r="S230" t="s">
        <v>13</v>
      </c>
      <c r="T230">
        <v>0</v>
      </c>
    </row>
    <row r="231" spans="4:23" ht="15.75" customHeight="1" x14ac:dyDescent="0.2">
      <c r="D231" t="s">
        <v>285</v>
      </c>
      <c r="E231" t="s">
        <v>355</v>
      </c>
      <c r="F231">
        <v>4</v>
      </c>
      <c r="P231" t="s">
        <v>356</v>
      </c>
      <c r="Q231">
        <v>6</v>
      </c>
      <c r="R231" t="s">
        <v>294</v>
      </c>
      <c r="S231" t="s">
        <v>14</v>
      </c>
      <c r="T231">
        <v>1</v>
      </c>
    </row>
    <row r="232" spans="4:23" ht="15.75" customHeight="1" x14ac:dyDescent="0.2">
      <c r="D232" t="s">
        <v>285</v>
      </c>
      <c r="E232" t="s">
        <v>355</v>
      </c>
      <c r="F232">
        <v>4</v>
      </c>
      <c r="P232" t="s">
        <v>356</v>
      </c>
      <c r="Q232">
        <v>6</v>
      </c>
      <c r="R232" t="s">
        <v>257</v>
      </c>
      <c r="S232" t="s">
        <v>16</v>
      </c>
      <c r="T232">
        <v>49.8962</v>
      </c>
    </row>
    <row r="233" spans="4:23" ht="15.75" customHeight="1" x14ac:dyDescent="0.2">
      <c r="D233" t="s">
        <v>285</v>
      </c>
      <c r="E233" t="s">
        <v>355</v>
      </c>
      <c r="F233">
        <v>4</v>
      </c>
      <c r="P233" t="s">
        <v>356</v>
      </c>
      <c r="Q233">
        <v>6</v>
      </c>
      <c r="R233" t="s">
        <v>295</v>
      </c>
      <c r="S233" t="s">
        <v>17</v>
      </c>
      <c r="T233">
        <v>1</v>
      </c>
    </row>
    <row r="234" spans="4:23" ht="15.75" customHeight="1" x14ac:dyDescent="0.2">
      <c r="D234" t="s">
        <v>285</v>
      </c>
      <c r="E234" t="s">
        <v>355</v>
      </c>
      <c r="F234">
        <v>4</v>
      </c>
      <c r="P234" t="s">
        <v>356</v>
      </c>
      <c r="Q234">
        <v>6</v>
      </c>
      <c r="R234" t="s">
        <v>296</v>
      </c>
      <c r="S234" t="s">
        <v>1</v>
      </c>
      <c r="T234">
        <v>9</v>
      </c>
    </row>
    <row r="235" spans="4:23" ht="15.75" customHeight="1" x14ac:dyDescent="0.2">
      <c r="D235" t="s">
        <v>285</v>
      </c>
      <c r="E235" t="s">
        <v>355</v>
      </c>
      <c r="F235">
        <v>4</v>
      </c>
      <c r="P235" t="s">
        <v>356</v>
      </c>
      <c r="Q235">
        <v>6</v>
      </c>
      <c r="R235" t="s">
        <v>297</v>
      </c>
      <c r="S235" t="s">
        <v>18</v>
      </c>
      <c r="T235">
        <v>10</v>
      </c>
    </row>
    <row r="236" spans="4:23" ht="15.75" customHeight="1" x14ac:dyDescent="0.2">
      <c r="D236" t="s">
        <v>285</v>
      </c>
      <c r="E236" t="s">
        <v>355</v>
      </c>
      <c r="F236">
        <v>4</v>
      </c>
      <c r="P236" t="s">
        <v>356</v>
      </c>
      <c r="Q236">
        <v>6</v>
      </c>
      <c r="R236" t="s">
        <v>298</v>
      </c>
      <c r="S236" t="s">
        <v>19</v>
      </c>
      <c r="T236">
        <v>4</v>
      </c>
    </row>
    <row r="237" spans="4:23" ht="15.75" customHeight="1" x14ac:dyDescent="0.2">
      <c r="D237" t="s">
        <v>285</v>
      </c>
      <c r="E237" t="s">
        <v>355</v>
      </c>
      <c r="F237">
        <v>4</v>
      </c>
      <c r="P237" t="s">
        <v>356</v>
      </c>
      <c r="Q237">
        <v>6</v>
      </c>
      <c r="R237" t="s">
        <v>299</v>
      </c>
      <c r="S237" t="s">
        <v>20</v>
      </c>
      <c r="T237">
        <v>2</v>
      </c>
    </row>
    <row r="238" spans="4:23" ht="15.75" customHeight="1" x14ac:dyDescent="0.2">
      <c r="D238" t="s">
        <v>285</v>
      </c>
      <c r="E238" t="s">
        <v>355</v>
      </c>
      <c r="F238">
        <v>4</v>
      </c>
      <c r="U238" t="s">
        <v>300</v>
      </c>
      <c r="V238" t="s">
        <v>301</v>
      </c>
      <c r="W238">
        <v>1</v>
      </c>
    </row>
    <row r="239" spans="4:23" ht="15.75" customHeight="1" x14ac:dyDescent="0.2">
      <c r="D239" t="s">
        <v>285</v>
      </c>
      <c r="E239" t="s">
        <v>355</v>
      </c>
      <c r="F239">
        <v>4</v>
      </c>
      <c r="U239" t="s">
        <v>288</v>
      </c>
      <c r="V239" t="s">
        <v>302</v>
      </c>
      <c r="W239">
        <v>5</v>
      </c>
    </row>
    <row r="240" spans="4:23" ht="15.75" customHeight="1" x14ac:dyDescent="0.2">
      <c r="D240" t="s">
        <v>285</v>
      </c>
      <c r="E240" t="s">
        <v>355</v>
      </c>
      <c r="F240">
        <v>4</v>
      </c>
      <c r="U240" t="s">
        <v>303</v>
      </c>
      <c r="V240" t="s">
        <v>304</v>
      </c>
      <c r="W240">
        <v>5</v>
      </c>
    </row>
    <row r="241" spans="4:23" ht="15.75" customHeight="1" x14ac:dyDescent="0.2">
      <c r="D241" t="s">
        <v>285</v>
      </c>
      <c r="E241" t="s">
        <v>355</v>
      </c>
      <c r="F241">
        <v>4</v>
      </c>
      <c r="U241" t="s">
        <v>305</v>
      </c>
      <c r="V241" t="s">
        <v>306</v>
      </c>
      <c r="W241">
        <v>0</v>
      </c>
    </row>
    <row r="242" spans="4:23" ht="15.75" customHeight="1" x14ac:dyDescent="0.2">
      <c r="D242" t="s">
        <v>285</v>
      </c>
      <c r="E242" t="s">
        <v>355</v>
      </c>
      <c r="F242">
        <v>4</v>
      </c>
      <c r="U242" t="s">
        <v>307</v>
      </c>
      <c r="V242" t="s">
        <v>308</v>
      </c>
      <c r="W242">
        <v>2</v>
      </c>
    </row>
    <row r="243" spans="4:23" ht="15.75" customHeight="1" x14ac:dyDescent="0.2">
      <c r="D243" t="s">
        <v>285</v>
      </c>
      <c r="E243" t="s">
        <v>355</v>
      </c>
      <c r="F243">
        <v>4</v>
      </c>
      <c r="U243" t="s">
        <v>243</v>
      </c>
      <c r="V243" t="s">
        <v>309</v>
      </c>
      <c r="W243">
        <v>30</v>
      </c>
    </row>
    <row r="244" spans="4:23" ht="15.75" customHeight="1" x14ac:dyDescent="0.2">
      <c r="D244" t="s">
        <v>285</v>
      </c>
      <c r="E244" t="s">
        <v>355</v>
      </c>
      <c r="F244">
        <v>4</v>
      </c>
      <c r="U244" t="s">
        <v>245</v>
      </c>
      <c r="V244" t="s">
        <v>310</v>
      </c>
      <c r="W244">
        <v>14268.0854</v>
      </c>
    </row>
    <row r="245" spans="4:23" ht="15.75" customHeight="1" x14ac:dyDescent="0.2">
      <c r="D245" t="s">
        <v>285</v>
      </c>
      <c r="E245" t="s">
        <v>355</v>
      </c>
      <c r="F245">
        <v>4</v>
      </c>
      <c r="U245" t="s">
        <v>247</v>
      </c>
      <c r="V245" t="s">
        <v>311</v>
      </c>
      <c r="W245">
        <v>0.1961</v>
      </c>
    </row>
    <row r="246" spans="4:23" ht="15.75" customHeight="1" x14ac:dyDescent="0.2">
      <c r="D246" t="s">
        <v>285</v>
      </c>
      <c r="E246" t="s">
        <v>355</v>
      </c>
      <c r="F246">
        <v>4</v>
      </c>
      <c r="U246" t="s">
        <v>249</v>
      </c>
      <c r="V246" t="s">
        <v>312</v>
      </c>
      <c r="W246">
        <v>96</v>
      </c>
    </row>
    <row r="247" spans="4:23" ht="15.75" customHeight="1" x14ac:dyDescent="0.2">
      <c r="D247" t="s">
        <v>285</v>
      </c>
      <c r="E247" t="s">
        <v>355</v>
      </c>
      <c r="F247">
        <v>4</v>
      </c>
      <c r="U247" t="s">
        <v>251</v>
      </c>
      <c r="V247" t="s">
        <v>313</v>
      </c>
      <c r="W247">
        <v>31</v>
      </c>
    </row>
    <row r="248" spans="4:23" ht="15.75" customHeight="1" x14ac:dyDescent="0.2">
      <c r="D248" t="s">
        <v>285</v>
      </c>
      <c r="E248" t="s">
        <v>355</v>
      </c>
      <c r="F248">
        <v>4</v>
      </c>
      <c r="U248" t="s">
        <v>253</v>
      </c>
      <c r="V248" t="s">
        <v>314</v>
      </c>
      <c r="W248">
        <v>475.6028</v>
      </c>
    </row>
    <row r="249" spans="4:23" ht="15.75" customHeight="1" x14ac:dyDescent="0.2">
      <c r="D249" t="s">
        <v>285</v>
      </c>
      <c r="E249" t="s">
        <v>355</v>
      </c>
      <c r="F249">
        <v>4</v>
      </c>
      <c r="U249" t="s">
        <v>315</v>
      </c>
      <c r="V249" t="s">
        <v>316</v>
      </c>
      <c r="W249">
        <v>0</v>
      </c>
    </row>
    <row r="250" spans="4:23" ht="15.75" customHeight="1" x14ac:dyDescent="0.2">
      <c r="D250" t="s">
        <v>285</v>
      </c>
      <c r="E250" t="s">
        <v>355</v>
      </c>
      <c r="F250">
        <v>4</v>
      </c>
      <c r="U250" t="s">
        <v>317</v>
      </c>
      <c r="V250" t="s">
        <v>318</v>
      </c>
      <c r="W250">
        <v>27</v>
      </c>
    </row>
    <row r="251" spans="4:23" ht="15.75" customHeight="1" x14ac:dyDescent="0.2">
      <c r="D251" t="s">
        <v>285</v>
      </c>
      <c r="E251" t="s">
        <v>355</v>
      </c>
      <c r="F251">
        <v>4</v>
      </c>
      <c r="U251" t="s">
        <v>257</v>
      </c>
      <c r="V251" t="s">
        <v>319</v>
      </c>
      <c r="W251">
        <v>49.738500000000002</v>
      </c>
    </row>
    <row r="252" spans="4:23" ht="15.75" customHeight="1" x14ac:dyDescent="0.2">
      <c r="D252" t="s">
        <v>285</v>
      </c>
      <c r="E252" t="s">
        <v>355</v>
      </c>
      <c r="F252">
        <v>4</v>
      </c>
      <c r="U252" t="s">
        <v>320</v>
      </c>
      <c r="V252" t="s">
        <v>321</v>
      </c>
      <c r="W252">
        <v>21</v>
      </c>
    </row>
    <row r="253" spans="4:23" ht="15.75" customHeight="1" x14ac:dyDescent="0.2">
      <c r="D253" t="s">
        <v>285</v>
      </c>
      <c r="E253" t="s">
        <v>355</v>
      </c>
      <c r="F253">
        <v>4</v>
      </c>
      <c r="U253" t="s">
        <v>263</v>
      </c>
      <c r="V253" t="s">
        <v>322</v>
      </c>
      <c r="W253">
        <v>28</v>
      </c>
    </row>
    <row r="254" spans="4:23" ht="15.75" customHeight="1" x14ac:dyDescent="0.2">
      <c r="D254" t="s">
        <v>285</v>
      </c>
      <c r="E254" t="s">
        <v>355</v>
      </c>
      <c r="F254">
        <v>4</v>
      </c>
      <c r="U254" t="s">
        <v>323</v>
      </c>
      <c r="V254" t="s">
        <v>324</v>
      </c>
      <c r="W254">
        <v>0</v>
      </c>
    </row>
    <row r="255" spans="4:23" ht="15.75" customHeight="1" x14ac:dyDescent="0.2">
      <c r="D255" t="s">
        <v>285</v>
      </c>
      <c r="E255" t="s">
        <v>355</v>
      </c>
      <c r="F255">
        <v>4</v>
      </c>
      <c r="U255" t="s">
        <v>325</v>
      </c>
      <c r="V255" t="s">
        <v>326</v>
      </c>
      <c r="W255">
        <v>0</v>
      </c>
    </row>
    <row r="256" spans="4:23" ht="15.75" customHeight="1" x14ac:dyDescent="0.2">
      <c r="D256" t="s">
        <v>285</v>
      </c>
      <c r="E256" t="s">
        <v>355</v>
      </c>
      <c r="F256">
        <v>4</v>
      </c>
      <c r="U256" t="s">
        <v>327</v>
      </c>
      <c r="V256" t="s">
        <v>328</v>
      </c>
      <c r="W256">
        <v>10</v>
      </c>
    </row>
    <row r="257" spans="4:23" ht="15.75" customHeight="1" x14ac:dyDescent="0.2">
      <c r="D257" t="s">
        <v>285</v>
      </c>
      <c r="E257" t="s">
        <v>355</v>
      </c>
      <c r="F257">
        <v>4</v>
      </c>
      <c r="U257" t="s">
        <v>329</v>
      </c>
      <c r="V257" t="s">
        <v>330</v>
      </c>
      <c r="W257">
        <v>53</v>
      </c>
    </row>
    <row r="258" spans="4:23" ht="15.75" customHeight="1" x14ac:dyDescent="0.2">
      <c r="D258" t="s">
        <v>285</v>
      </c>
      <c r="E258" t="s">
        <v>355</v>
      </c>
      <c r="F258">
        <v>4</v>
      </c>
      <c r="U258" t="s">
        <v>331</v>
      </c>
      <c r="V258" t="s">
        <v>332</v>
      </c>
      <c r="W258">
        <v>0</v>
      </c>
    </row>
    <row r="259" spans="4:23" ht="15.75" customHeight="1" x14ac:dyDescent="0.2">
      <c r="D259" t="s">
        <v>285</v>
      </c>
      <c r="E259" t="s">
        <v>355</v>
      </c>
      <c r="F259">
        <v>4</v>
      </c>
      <c r="U259" t="s">
        <v>333</v>
      </c>
      <c r="V259" t="s">
        <v>334</v>
      </c>
      <c r="W259">
        <v>1</v>
      </c>
    </row>
    <row r="260" spans="4:23" ht="15.75" customHeight="1" x14ac:dyDescent="0.2">
      <c r="D260" t="s">
        <v>285</v>
      </c>
      <c r="E260" t="s">
        <v>355</v>
      </c>
      <c r="F260">
        <v>4</v>
      </c>
      <c r="U260" t="s">
        <v>335</v>
      </c>
      <c r="V260" t="s">
        <v>336</v>
      </c>
      <c r="W260">
        <v>49</v>
      </c>
    </row>
    <row r="261" spans="4:23" ht="15.75" customHeight="1" x14ac:dyDescent="0.2">
      <c r="D261" t="s">
        <v>285</v>
      </c>
      <c r="E261" t="s">
        <v>355</v>
      </c>
      <c r="F261">
        <v>4</v>
      </c>
      <c r="U261" t="s">
        <v>337</v>
      </c>
      <c r="V261" t="s">
        <v>338</v>
      </c>
      <c r="W261">
        <v>0</v>
      </c>
    </row>
    <row r="262" spans="4:23" ht="15.75" customHeight="1" x14ac:dyDescent="0.2">
      <c r="D262" t="s">
        <v>285</v>
      </c>
      <c r="E262" t="s">
        <v>355</v>
      </c>
      <c r="F262">
        <v>4</v>
      </c>
      <c r="U262" t="s">
        <v>339</v>
      </c>
      <c r="V262" t="s">
        <v>340</v>
      </c>
      <c r="W262">
        <v>0</v>
      </c>
    </row>
    <row r="263" spans="4:23" ht="15.75" customHeight="1" x14ac:dyDescent="0.2">
      <c r="D263" t="s">
        <v>285</v>
      </c>
      <c r="E263" t="s">
        <v>355</v>
      </c>
      <c r="F263">
        <v>4</v>
      </c>
      <c r="U263" t="s">
        <v>341</v>
      </c>
      <c r="V263" t="s">
        <v>342</v>
      </c>
      <c r="W263">
        <v>8</v>
      </c>
    </row>
    <row r="264" spans="4:23" ht="15.75" customHeight="1" x14ac:dyDescent="0.2">
      <c r="D264" t="s">
        <v>285</v>
      </c>
      <c r="E264" t="s">
        <v>355</v>
      </c>
      <c r="F264">
        <v>4</v>
      </c>
      <c r="U264" t="s">
        <v>343</v>
      </c>
      <c r="V264" t="s">
        <v>344</v>
      </c>
      <c r="W264">
        <v>0</v>
      </c>
    </row>
    <row r="265" spans="4:23" ht="15.75" customHeight="1" x14ac:dyDescent="0.2">
      <c r="D265" t="s">
        <v>285</v>
      </c>
      <c r="E265" t="s">
        <v>355</v>
      </c>
      <c r="F265">
        <v>4</v>
      </c>
      <c r="U265" t="s">
        <v>345</v>
      </c>
      <c r="V265" t="s">
        <v>346</v>
      </c>
      <c r="W265">
        <v>0</v>
      </c>
    </row>
    <row r="266" spans="4:23" ht="15.75" customHeight="1" x14ac:dyDescent="0.2">
      <c r="D266" t="s">
        <v>285</v>
      </c>
      <c r="E266" t="s">
        <v>355</v>
      </c>
      <c r="F266">
        <v>4</v>
      </c>
      <c r="U266" t="s">
        <v>347</v>
      </c>
      <c r="V266" t="s">
        <v>348</v>
      </c>
      <c r="W266">
        <v>9</v>
      </c>
    </row>
    <row r="267" spans="4:23" ht="15.75" customHeight="1" x14ac:dyDescent="0.2">
      <c r="D267" t="s">
        <v>285</v>
      </c>
      <c r="E267" t="s">
        <v>357</v>
      </c>
      <c r="F267">
        <v>5</v>
      </c>
      <c r="P267" t="s">
        <v>358</v>
      </c>
      <c r="Q267">
        <v>7</v>
      </c>
      <c r="R267" t="s">
        <v>288</v>
      </c>
      <c r="S267" t="s">
        <v>2</v>
      </c>
      <c r="T267">
        <v>0</v>
      </c>
    </row>
    <row r="268" spans="4:23" ht="15.75" customHeight="1" x14ac:dyDescent="0.2">
      <c r="D268" t="s">
        <v>285</v>
      </c>
      <c r="E268" t="s">
        <v>357</v>
      </c>
      <c r="F268">
        <v>5</v>
      </c>
      <c r="P268" t="s">
        <v>358</v>
      </c>
      <c r="Q268">
        <v>7</v>
      </c>
      <c r="R268" t="s">
        <v>289</v>
      </c>
      <c r="S268" t="s">
        <v>5</v>
      </c>
      <c r="T268">
        <v>0</v>
      </c>
    </row>
    <row r="269" spans="4:23" ht="15.75" customHeight="1" x14ac:dyDescent="0.2">
      <c r="D269" t="s">
        <v>285</v>
      </c>
      <c r="E269" t="s">
        <v>357</v>
      </c>
      <c r="F269">
        <v>5</v>
      </c>
      <c r="P269" t="s">
        <v>358</v>
      </c>
      <c r="Q269">
        <v>7</v>
      </c>
      <c r="R269" t="s">
        <v>290</v>
      </c>
      <c r="S269" t="s">
        <v>3</v>
      </c>
      <c r="T269">
        <v>0</v>
      </c>
    </row>
    <row r="270" spans="4:23" ht="15.75" customHeight="1" x14ac:dyDescent="0.2">
      <c r="D270" t="s">
        <v>285</v>
      </c>
      <c r="E270" t="s">
        <v>357</v>
      </c>
      <c r="F270">
        <v>5</v>
      </c>
      <c r="P270" t="s">
        <v>358</v>
      </c>
      <c r="Q270">
        <v>7</v>
      </c>
      <c r="R270" t="s">
        <v>291</v>
      </c>
      <c r="S270" t="s">
        <v>4</v>
      </c>
      <c r="T270">
        <v>0</v>
      </c>
    </row>
    <row r="271" spans="4:23" ht="15.75" customHeight="1" x14ac:dyDescent="0.2">
      <c r="D271" t="s">
        <v>285</v>
      </c>
      <c r="E271" t="s">
        <v>357</v>
      </c>
      <c r="F271">
        <v>5</v>
      </c>
      <c r="P271" t="s">
        <v>358</v>
      </c>
      <c r="Q271">
        <v>7</v>
      </c>
      <c r="R271" t="s">
        <v>292</v>
      </c>
      <c r="S271" t="s">
        <v>6</v>
      </c>
      <c r="T271">
        <v>0</v>
      </c>
    </row>
    <row r="272" spans="4:23" ht="15.75" customHeight="1" x14ac:dyDescent="0.2">
      <c r="D272" t="s">
        <v>285</v>
      </c>
      <c r="E272" t="s">
        <v>357</v>
      </c>
      <c r="F272">
        <v>5</v>
      </c>
      <c r="P272" t="s">
        <v>358</v>
      </c>
      <c r="Q272">
        <v>7</v>
      </c>
      <c r="R272" t="s">
        <v>243</v>
      </c>
      <c r="S272" t="s">
        <v>7</v>
      </c>
      <c r="T272">
        <v>1</v>
      </c>
    </row>
    <row r="273" spans="4:20" ht="15.75" customHeight="1" x14ac:dyDescent="0.2">
      <c r="D273" t="s">
        <v>285</v>
      </c>
      <c r="E273" t="s">
        <v>357</v>
      </c>
      <c r="F273">
        <v>5</v>
      </c>
      <c r="P273" t="s">
        <v>358</v>
      </c>
      <c r="Q273">
        <v>7</v>
      </c>
      <c r="R273" t="s">
        <v>245</v>
      </c>
      <c r="S273" t="s">
        <v>8</v>
      </c>
      <c r="T273">
        <v>8</v>
      </c>
    </row>
    <row r="274" spans="4:20" ht="15.75" customHeight="1" x14ac:dyDescent="0.2">
      <c r="D274" t="s">
        <v>285</v>
      </c>
      <c r="E274" t="s">
        <v>357</v>
      </c>
      <c r="F274">
        <v>5</v>
      </c>
      <c r="P274" t="s">
        <v>358</v>
      </c>
      <c r="Q274">
        <v>7</v>
      </c>
      <c r="R274" t="s">
        <v>247</v>
      </c>
      <c r="S274" t="s">
        <v>9</v>
      </c>
      <c r="T274">
        <v>1.2999999999999999E-3</v>
      </c>
    </row>
    <row r="275" spans="4:20" ht="15.75" customHeight="1" x14ac:dyDescent="0.2">
      <c r="D275" t="s">
        <v>285</v>
      </c>
      <c r="E275" t="s">
        <v>357</v>
      </c>
      <c r="F275">
        <v>5</v>
      </c>
      <c r="P275" t="s">
        <v>358</v>
      </c>
      <c r="Q275">
        <v>7</v>
      </c>
      <c r="R275" t="s">
        <v>249</v>
      </c>
      <c r="S275" t="s">
        <v>10</v>
      </c>
      <c r="T275">
        <v>4</v>
      </c>
    </row>
    <row r="276" spans="4:20" ht="15.75" customHeight="1" x14ac:dyDescent="0.2">
      <c r="D276" t="s">
        <v>285</v>
      </c>
      <c r="E276" t="s">
        <v>357</v>
      </c>
      <c r="F276">
        <v>5</v>
      </c>
      <c r="P276" t="s">
        <v>358</v>
      </c>
      <c r="Q276">
        <v>7</v>
      </c>
      <c r="R276" t="s">
        <v>251</v>
      </c>
      <c r="S276" t="s">
        <v>11</v>
      </c>
      <c r="T276">
        <v>4</v>
      </c>
    </row>
    <row r="277" spans="4:20" ht="15.75" customHeight="1" x14ac:dyDescent="0.2">
      <c r="D277" t="s">
        <v>285</v>
      </c>
      <c r="E277" t="s">
        <v>357</v>
      </c>
      <c r="F277">
        <v>5</v>
      </c>
      <c r="P277" t="s">
        <v>358</v>
      </c>
      <c r="Q277">
        <v>7</v>
      </c>
      <c r="R277" t="s">
        <v>253</v>
      </c>
      <c r="S277" t="s">
        <v>12</v>
      </c>
      <c r="T277">
        <v>8</v>
      </c>
    </row>
    <row r="278" spans="4:20" ht="15.75" customHeight="1" x14ac:dyDescent="0.2">
      <c r="D278" t="s">
        <v>285</v>
      </c>
      <c r="E278" t="s">
        <v>357</v>
      </c>
      <c r="F278">
        <v>5</v>
      </c>
      <c r="P278" t="s">
        <v>358</v>
      </c>
      <c r="Q278">
        <v>7</v>
      </c>
      <c r="R278" t="s">
        <v>255</v>
      </c>
      <c r="S278" t="s">
        <v>15</v>
      </c>
      <c r="T278">
        <v>9</v>
      </c>
    </row>
    <row r="279" spans="4:20" ht="15.75" customHeight="1" x14ac:dyDescent="0.2">
      <c r="D279" t="s">
        <v>285</v>
      </c>
      <c r="E279" t="s">
        <v>357</v>
      </c>
      <c r="F279">
        <v>5</v>
      </c>
      <c r="P279" t="s">
        <v>358</v>
      </c>
      <c r="Q279">
        <v>7</v>
      </c>
      <c r="R279" t="s">
        <v>293</v>
      </c>
      <c r="S279" t="s">
        <v>13</v>
      </c>
      <c r="T279">
        <v>1</v>
      </c>
    </row>
    <row r="280" spans="4:20" ht="15.75" customHeight="1" x14ac:dyDescent="0.2">
      <c r="D280" t="s">
        <v>285</v>
      </c>
      <c r="E280" t="s">
        <v>357</v>
      </c>
      <c r="F280">
        <v>5</v>
      </c>
      <c r="P280" t="s">
        <v>358</v>
      </c>
      <c r="Q280">
        <v>7</v>
      </c>
      <c r="R280" t="s">
        <v>294</v>
      </c>
      <c r="S280" t="s">
        <v>14</v>
      </c>
      <c r="T280">
        <v>0</v>
      </c>
    </row>
    <row r="281" spans="4:20" ht="15.75" customHeight="1" x14ac:dyDescent="0.2">
      <c r="D281" t="s">
        <v>285</v>
      </c>
      <c r="E281" t="s">
        <v>357</v>
      </c>
      <c r="F281">
        <v>5</v>
      </c>
      <c r="P281" t="s">
        <v>358</v>
      </c>
      <c r="Q281">
        <v>7</v>
      </c>
      <c r="R281" t="s">
        <v>257</v>
      </c>
      <c r="S281" t="s">
        <v>16</v>
      </c>
      <c r="T281">
        <v>72.860699999999994</v>
      </c>
    </row>
    <row r="282" spans="4:20" ht="15.75" customHeight="1" x14ac:dyDescent="0.2">
      <c r="D282" t="s">
        <v>285</v>
      </c>
      <c r="E282" t="s">
        <v>357</v>
      </c>
      <c r="F282">
        <v>5</v>
      </c>
      <c r="P282" t="s">
        <v>358</v>
      </c>
      <c r="Q282">
        <v>7</v>
      </c>
      <c r="R282" t="s">
        <v>295</v>
      </c>
      <c r="S282" t="s">
        <v>17</v>
      </c>
      <c r="T282">
        <v>0</v>
      </c>
    </row>
    <row r="283" spans="4:20" ht="15.75" customHeight="1" x14ac:dyDescent="0.2">
      <c r="D283" t="s">
        <v>285</v>
      </c>
      <c r="E283" t="s">
        <v>357</v>
      </c>
      <c r="F283">
        <v>5</v>
      </c>
      <c r="P283" t="s">
        <v>358</v>
      </c>
      <c r="Q283">
        <v>7</v>
      </c>
      <c r="R283" t="s">
        <v>296</v>
      </c>
      <c r="S283" t="s">
        <v>1</v>
      </c>
      <c r="T283">
        <v>1</v>
      </c>
    </row>
    <row r="284" spans="4:20" ht="15.75" customHeight="1" x14ac:dyDescent="0.2">
      <c r="D284" t="s">
        <v>285</v>
      </c>
      <c r="E284" t="s">
        <v>357</v>
      </c>
      <c r="F284">
        <v>5</v>
      </c>
      <c r="P284" t="s">
        <v>358</v>
      </c>
      <c r="Q284">
        <v>7</v>
      </c>
      <c r="R284" t="s">
        <v>297</v>
      </c>
      <c r="S284" t="s">
        <v>18</v>
      </c>
      <c r="T284">
        <v>2</v>
      </c>
    </row>
    <row r="285" spans="4:20" ht="15.75" customHeight="1" x14ac:dyDescent="0.2">
      <c r="D285" t="s">
        <v>285</v>
      </c>
      <c r="E285" t="s">
        <v>357</v>
      </c>
      <c r="F285">
        <v>5</v>
      </c>
      <c r="P285" t="s">
        <v>358</v>
      </c>
      <c r="Q285">
        <v>7</v>
      </c>
      <c r="R285" t="s">
        <v>298</v>
      </c>
      <c r="S285" t="s">
        <v>19</v>
      </c>
      <c r="T285">
        <v>0</v>
      </c>
    </row>
    <row r="286" spans="4:20" ht="15.75" customHeight="1" x14ac:dyDescent="0.2">
      <c r="D286" t="s">
        <v>285</v>
      </c>
      <c r="E286" t="s">
        <v>357</v>
      </c>
      <c r="F286">
        <v>5</v>
      </c>
      <c r="P286" t="s">
        <v>358</v>
      </c>
      <c r="Q286">
        <v>7</v>
      </c>
      <c r="R286" t="s">
        <v>299</v>
      </c>
      <c r="S286" t="s">
        <v>20</v>
      </c>
      <c r="T286">
        <v>1</v>
      </c>
    </row>
    <row r="287" spans="4:20" ht="15.75" customHeight="1" x14ac:dyDescent="0.2">
      <c r="D287" t="s">
        <v>285</v>
      </c>
      <c r="E287" t="s">
        <v>357</v>
      </c>
      <c r="F287">
        <v>5</v>
      </c>
      <c r="P287" t="s">
        <v>359</v>
      </c>
      <c r="Q287">
        <v>8</v>
      </c>
      <c r="R287" t="s">
        <v>288</v>
      </c>
      <c r="S287" t="s">
        <v>2</v>
      </c>
      <c r="T287">
        <v>1</v>
      </c>
    </row>
    <row r="288" spans="4:20" ht="15.75" customHeight="1" x14ac:dyDescent="0.2">
      <c r="D288" t="s">
        <v>285</v>
      </c>
      <c r="E288" t="s">
        <v>357</v>
      </c>
      <c r="F288">
        <v>5</v>
      </c>
      <c r="P288" t="s">
        <v>359</v>
      </c>
      <c r="Q288">
        <v>8</v>
      </c>
      <c r="R288" t="s">
        <v>289</v>
      </c>
      <c r="S288" t="s">
        <v>5</v>
      </c>
      <c r="T288">
        <v>0</v>
      </c>
    </row>
    <row r="289" spans="4:20" ht="15.75" customHeight="1" x14ac:dyDescent="0.2">
      <c r="D289" t="s">
        <v>285</v>
      </c>
      <c r="E289" t="s">
        <v>357</v>
      </c>
      <c r="F289">
        <v>5</v>
      </c>
      <c r="P289" t="s">
        <v>359</v>
      </c>
      <c r="Q289">
        <v>8</v>
      </c>
      <c r="R289" t="s">
        <v>290</v>
      </c>
      <c r="S289" t="s">
        <v>3</v>
      </c>
      <c r="T289">
        <v>0</v>
      </c>
    </row>
    <row r="290" spans="4:20" ht="15.75" customHeight="1" x14ac:dyDescent="0.2">
      <c r="D290" t="s">
        <v>285</v>
      </c>
      <c r="E290" t="s">
        <v>357</v>
      </c>
      <c r="F290">
        <v>5</v>
      </c>
      <c r="P290" t="s">
        <v>359</v>
      </c>
      <c r="Q290">
        <v>8</v>
      </c>
      <c r="R290" t="s">
        <v>291</v>
      </c>
      <c r="S290" t="s">
        <v>4</v>
      </c>
      <c r="T290">
        <v>0</v>
      </c>
    </row>
    <row r="291" spans="4:20" ht="15.75" customHeight="1" x14ac:dyDescent="0.2">
      <c r="D291" t="s">
        <v>285</v>
      </c>
      <c r="E291" t="s">
        <v>357</v>
      </c>
      <c r="F291">
        <v>5</v>
      </c>
      <c r="P291" t="s">
        <v>359</v>
      </c>
      <c r="Q291">
        <v>8</v>
      </c>
      <c r="R291" t="s">
        <v>292</v>
      </c>
      <c r="S291" t="s">
        <v>6</v>
      </c>
      <c r="T291">
        <v>0</v>
      </c>
    </row>
    <row r="292" spans="4:20" ht="15.75" customHeight="1" x14ac:dyDescent="0.2">
      <c r="D292" t="s">
        <v>285</v>
      </c>
      <c r="E292" t="s">
        <v>357</v>
      </c>
      <c r="F292">
        <v>5</v>
      </c>
      <c r="P292" t="s">
        <v>359</v>
      </c>
      <c r="Q292">
        <v>8</v>
      </c>
      <c r="R292" t="s">
        <v>243</v>
      </c>
      <c r="S292" t="s">
        <v>7</v>
      </c>
      <c r="T292">
        <v>5.0909000000000004</v>
      </c>
    </row>
    <row r="293" spans="4:20" ht="15.75" customHeight="1" x14ac:dyDescent="0.2">
      <c r="D293" t="s">
        <v>285</v>
      </c>
      <c r="E293" t="s">
        <v>357</v>
      </c>
      <c r="F293">
        <v>5</v>
      </c>
      <c r="P293" t="s">
        <v>359</v>
      </c>
      <c r="Q293">
        <v>8</v>
      </c>
      <c r="R293" t="s">
        <v>245</v>
      </c>
      <c r="S293" t="s">
        <v>8</v>
      </c>
      <c r="T293">
        <v>615.63260000000002</v>
      </c>
    </row>
    <row r="294" spans="4:20" ht="15.75" customHeight="1" x14ac:dyDescent="0.2">
      <c r="D294" t="s">
        <v>285</v>
      </c>
      <c r="E294" t="s">
        <v>357</v>
      </c>
      <c r="F294">
        <v>5</v>
      </c>
      <c r="P294" t="s">
        <v>359</v>
      </c>
      <c r="Q294">
        <v>8</v>
      </c>
      <c r="R294" t="s">
        <v>247</v>
      </c>
      <c r="S294" t="s">
        <v>9</v>
      </c>
      <c r="T294">
        <v>2.41E-2</v>
      </c>
    </row>
    <row r="295" spans="4:20" ht="15.75" customHeight="1" x14ac:dyDescent="0.2">
      <c r="D295" t="s">
        <v>285</v>
      </c>
      <c r="E295" t="s">
        <v>357</v>
      </c>
      <c r="F295">
        <v>5</v>
      </c>
      <c r="P295" t="s">
        <v>359</v>
      </c>
      <c r="Q295">
        <v>8</v>
      </c>
      <c r="R295" t="s">
        <v>249</v>
      </c>
      <c r="S295" t="s">
        <v>10</v>
      </c>
      <c r="T295">
        <v>29</v>
      </c>
    </row>
    <row r="296" spans="4:20" ht="15.75" customHeight="1" x14ac:dyDescent="0.2">
      <c r="D296" t="s">
        <v>285</v>
      </c>
      <c r="E296" t="s">
        <v>357</v>
      </c>
      <c r="F296">
        <v>5</v>
      </c>
      <c r="P296" t="s">
        <v>359</v>
      </c>
      <c r="Q296">
        <v>8</v>
      </c>
      <c r="R296" t="s">
        <v>251</v>
      </c>
      <c r="S296" t="s">
        <v>11</v>
      </c>
      <c r="T296">
        <v>18</v>
      </c>
    </row>
    <row r="297" spans="4:20" ht="15.75" customHeight="1" x14ac:dyDescent="0.2">
      <c r="D297" t="s">
        <v>285</v>
      </c>
      <c r="E297" t="s">
        <v>357</v>
      </c>
      <c r="F297">
        <v>5</v>
      </c>
      <c r="P297" t="s">
        <v>359</v>
      </c>
      <c r="Q297">
        <v>8</v>
      </c>
      <c r="R297" t="s">
        <v>253</v>
      </c>
      <c r="S297" t="s">
        <v>12</v>
      </c>
      <c r="T297">
        <v>120.9278</v>
      </c>
    </row>
    <row r="298" spans="4:20" ht="15.75" customHeight="1" x14ac:dyDescent="0.2">
      <c r="D298" t="s">
        <v>285</v>
      </c>
      <c r="E298" t="s">
        <v>357</v>
      </c>
      <c r="F298">
        <v>5</v>
      </c>
      <c r="P298" t="s">
        <v>359</v>
      </c>
      <c r="Q298">
        <v>8</v>
      </c>
      <c r="R298" t="s">
        <v>255</v>
      </c>
      <c r="S298" t="s">
        <v>15</v>
      </c>
      <c r="T298">
        <v>28</v>
      </c>
    </row>
    <row r="299" spans="4:20" ht="15.75" customHeight="1" x14ac:dyDescent="0.2">
      <c r="D299" t="s">
        <v>285</v>
      </c>
      <c r="E299" t="s">
        <v>357</v>
      </c>
      <c r="F299">
        <v>5</v>
      </c>
      <c r="P299" t="s">
        <v>359</v>
      </c>
      <c r="Q299">
        <v>8</v>
      </c>
      <c r="R299" t="s">
        <v>293</v>
      </c>
      <c r="S299" t="s">
        <v>13</v>
      </c>
      <c r="T299">
        <v>1</v>
      </c>
    </row>
    <row r="300" spans="4:20" ht="15.75" customHeight="1" x14ac:dyDescent="0.2">
      <c r="D300" t="s">
        <v>285</v>
      </c>
      <c r="E300" t="s">
        <v>357</v>
      </c>
      <c r="F300">
        <v>5</v>
      </c>
      <c r="P300" t="s">
        <v>359</v>
      </c>
      <c r="Q300">
        <v>8</v>
      </c>
      <c r="R300" t="s">
        <v>294</v>
      </c>
      <c r="S300" t="s">
        <v>14</v>
      </c>
      <c r="T300">
        <v>0</v>
      </c>
    </row>
    <row r="301" spans="4:20" ht="15.75" customHeight="1" x14ac:dyDescent="0.2">
      <c r="D301" t="s">
        <v>285</v>
      </c>
      <c r="E301" t="s">
        <v>357</v>
      </c>
      <c r="F301">
        <v>5</v>
      </c>
      <c r="P301" t="s">
        <v>359</v>
      </c>
      <c r="Q301">
        <v>8</v>
      </c>
      <c r="R301" t="s">
        <v>257</v>
      </c>
      <c r="S301" t="s">
        <v>16</v>
      </c>
      <c r="T301">
        <v>53.632300000000001</v>
      </c>
    </row>
    <row r="302" spans="4:20" ht="15.75" customHeight="1" x14ac:dyDescent="0.2">
      <c r="D302" t="s">
        <v>285</v>
      </c>
      <c r="E302" t="s">
        <v>357</v>
      </c>
      <c r="F302">
        <v>5</v>
      </c>
      <c r="P302" t="s">
        <v>359</v>
      </c>
      <c r="Q302">
        <v>8</v>
      </c>
      <c r="R302" t="s">
        <v>295</v>
      </c>
      <c r="S302" t="s">
        <v>17</v>
      </c>
      <c r="T302">
        <v>1</v>
      </c>
    </row>
    <row r="303" spans="4:20" ht="15.75" customHeight="1" x14ac:dyDescent="0.2">
      <c r="D303" t="s">
        <v>285</v>
      </c>
      <c r="E303" t="s">
        <v>357</v>
      </c>
      <c r="F303">
        <v>5</v>
      </c>
      <c r="P303" t="s">
        <v>359</v>
      </c>
      <c r="Q303">
        <v>8</v>
      </c>
      <c r="R303" t="s">
        <v>296</v>
      </c>
      <c r="S303" t="s">
        <v>1</v>
      </c>
      <c r="T303">
        <v>6</v>
      </c>
    </row>
    <row r="304" spans="4:20" ht="15.75" customHeight="1" x14ac:dyDescent="0.2">
      <c r="D304" t="s">
        <v>285</v>
      </c>
      <c r="E304" t="s">
        <v>357</v>
      </c>
      <c r="F304">
        <v>5</v>
      </c>
      <c r="P304" t="s">
        <v>359</v>
      </c>
      <c r="Q304">
        <v>8</v>
      </c>
      <c r="R304" t="s">
        <v>297</v>
      </c>
      <c r="S304" t="s">
        <v>18</v>
      </c>
      <c r="T304">
        <v>6</v>
      </c>
    </row>
    <row r="305" spans="4:20" ht="15.75" customHeight="1" x14ac:dyDescent="0.2">
      <c r="D305" t="s">
        <v>285</v>
      </c>
      <c r="E305" t="s">
        <v>357</v>
      </c>
      <c r="F305">
        <v>5</v>
      </c>
      <c r="P305" t="s">
        <v>359</v>
      </c>
      <c r="Q305">
        <v>8</v>
      </c>
      <c r="R305" t="s">
        <v>298</v>
      </c>
      <c r="S305" t="s">
        <v>19</v>
      </c>
      <c r="T305">
        <v>0</v>
      </c>
    </row>
    <row r="306" spans="4:20" ht="15.75" customHeight="1" x14ac:dyDescent="0.2">
      <c r="D306" t="s">
        <v>285</v>
      </c>
      <c r="E306" t="s">
        <v>357</v>
      </c>
      <c r="F306">
        <v>5</v>
      </c>
      <c r="P306" t="s">
        <v>359</v>
      </c>
      <c r="Q306">
        <v>8</v>
      </c>
      <c r="R306" t="s">
        <v>299</v>
      </c>
      <c r="S306" t="s">
        <v>20</v>
      </c>
      <c r="T306">
        <v>1</v>
      </c>
    </row>
    <row r="307" spans="4:20" ht="15.75" customHeight="1" x14ac:dyDescent="0.2">
      <c r="D307" t="s">
        <v>285</v>
      </c>
      <c r="E307" t="s">
        <v>357</v>
      </c>
      <c r="F307">
        <v>5</v>
      </c>
      <c r="P307" t="s">
        <v>360</v>
      </c>
      <c r="Q307">
        <v>9</v>
      </c>
      <c r="R307" t="s">
        <v>288</v>
      </c>
      <c r="S307" t="s">
        <v>2</v>
      </c>
      <c r="T307">
        <v>0</v>
      </c>
    </row>
    <row r="308" spans="4:20" ht="15.75" customHeight="1" x14ac:dyDescent="0.2">
      <c r="D308" t="s">
        <v>285</v>
      </c>
      <c r="E308" t="s">
        <v>357</v>
      </c>
      <c r="F308">
        <v>5</v>
      </c>
      <c r="P308" t="s">
        <v>360</v>
      </c>
      <c r="Q308">
        <v>9</v>
      </c>
      <c r="R308" t="s">
        <v>289</v>
      </c>
      <c r="S308" t="s">
        <v>5</v>
      </c>
      <c r="T308">
        <v>0</v>
      </c>
    </row>
    <row r="309" spans="4:20" ht="15.75" customHeight="1" x14ac:dyDescent="0.2">
      <c r="D309" t="s">
        <v>285</v>
      </c>
      <c r="E309" t="s">
        <v>357</v>
      </c>
      <c r="F309">
        <v>5</v>
      </c>
      <c r="P309" t="s">
        <v>360</v>
      </c>
      <c r="Q309">
        <v>9</v>
      </c>
      <c r="R309" t="s">
        <v>290</v>
      </c>
      <c r="S309" t="s">
        <v>3</v>
      </c>
      <c r="T309">
        <v>0</v>
      </c>
    </row>
    <row r="310" spans="4:20" ht="15.75" customHeight="1" x14ac:dyDescent="0.2">
      <c r="D310" t="s">
        <v>285</v>
      </c>
      <c r="E310" t="s">
        <v>357</v>
      </c>
      <c r="F310">
        <v>5</v>
      </c>
      <c r="P310" t="s">
        <v>360</v>
      </c>
      <c r="Q310">
        <v>9</v>
      </c>
      <c r="R310" t="s">
        <v>291</v>
      </c>
      <c r="S310" t="s">
        <v>4</v>
      </c>
      <c r="T310">
        <v>0</v>
      </c>
    </row>
    <row r="311" spans="4:20" ht="15.75" customHeight="1" x14ac:dyDescent="0.2">
      <c r="D311" t="s">
        <v>285</v>
      </c>
      <c r="E311" t="s">
        <v>357</v>
      </c>
      <c r="F311">
        <v>5</v>
      </c>
      <c r="P311" t="s">
        <v>360</v>
      </c>
      <c r="Q311">
        <v>9</v>
      </c>
      <c r="R311" t="s">
        <v>292</v>
      </c>
      <c r="S311" t="s">
        <v>6</v>
      </c>
      <c r="T311">
        <v>0</v>
      </c>
    </row>
    <row r="312" spans="4:20" ht="15.75" customHeight="1" x14ac:dyDescent="0.2">
      <c r="D312" t="s">
        <v>285</v>
      </c>
      <c r="E312" t="s">
        <v>357</v>
      </c>
      <c r="F312">
        <v>5</v>
      </c>
      <c r="P312" t="s">
        <v>360</v>
      </c>
      <c r="Q312">
        <v>9</v>
      </c>
      <c r="R312" t="s">
        <v>243</v>
      </c>
      <c r="S312" t="s">
        <v>7</v>
      </c>
      <c r="T312">
        <v>1.5</v>
      </c>
    </row>
    <row r="313" spans="4:20" ht="15.75" customHeight="1" x14ac:dyDescent="0.2">
      <c r="D313" t="s">
        <v>285</v>
      </c>
      <c r="E313" t="s">
        <v>357</v>
      </c>
      <c r="F313">
        <v>5</v>
      </c>
      <c r="P313" t="s">
        <v>360</v>
      </c>
      <c r="Q313">
        <v>9</v>
      </c>
      <c r="R313" t="s">
        <v>245</v>
      </c>
      <c r="S313" t="s">
        <v>8</v>
      </c>
      <c r="T313">
        <v>12</v>
      </c>
    </row>
    <row r="314" spans="4:20" ht="15.75" customHeight="1" x14ac:dyDescent="0.2">
      <c r="D314" t="s">
        <v>285</v>
      </c>
      <c r="E314" t="s">
        <v>357</v>
      </c>
      <c r="F314">
        <v>5</v>
      </c>
      <c r="P314" t="s">
        <v>360</v>
      </c>
      <c r="Q314">
        <v>9</v>
      </c>
      <c r="R314" t="s">
        <v>247</v>
      </c>
      <c r="S314" t="s">
        <v>9</v>
      </c>
      <c r="T314">
        <v>1.6999999999999999E-3</v>
      </c>
    </row>
    <row r="315" spans="4:20" ht="15.75" customHeight="1" x14ac:dyDescent="0.2">
      <c r="D315" t="s">
        <v>285</v>
      </c>
      <c r="E315" t="s">
        <v>357</v>
      </c>
      <c r="F315">
        <v>5</v>
      </c>
      <c r="P315" t="s">
        <v>360</v>
      </c>
      <c r="Q315">
        <v>9</v>
      </c>
      <c r="R315" t="s">
        <v>249</v>
      </c>
      <c r="S315" t="s">
        <v>10</v>
      </c>
      <c r="T315">
        <v>4</v>
      </c>
    </row>
    <row r="316" spans="4:20" ht="15.75" customHeight="1" x14ac:dyDescent="0.2">
      <c r="D316" t="s">
        <v>285</v>
      </c>
      <c r="E316" t="s">
        <v>357</v>
      </c>
      <c r="F316">
        <v>5</v>
      </c>
      <c r="P316" t="s">
        <v>360</v>
      </c>
      <c r="Q316">
        <v>9</v>
      </c>
      <c r="R316" t="s">
        <v>251</v>
      </c>
      <c r="S316" t="s">
        <v>11</v>
      </c>
      <c r="T316">
        <v>4</v>
      </c>
    </row>
    <row r="317" spans="4:20" ht="15.75" customHeight="1" x14ac:dyDescent="0.2">
      <c r="D317" t="s">
        <v>285</v>
      </c>
      <c r="E317" t="s">
        <v>357</v>
      </c>
      <c r="F317">
        <v>5</v>
      </c>
      <c r="P317" t="s">
        <v>360</v>
      </c>
      <c r="Q317">
        <v>9</v>
      </c>
      <c r="R317" t="s">
        <v>253</v>
      </c>
      <c r="S317" t="s">
        <v>12</v>
      </c>
      <c r="T317">
        <v>8</v>
      </c>
    </row>
    <row r="318" spans="4:20" ht="15.75" customHeight="1" x14ac:dyDescent="0.2">
      <c r="D318" t="s">
        <v>285</v>
      </c>
      <c r="E318" t="s">
        <v>357</v>
      </c>
      <c r="F318">
        <v>5</v>
      </c>
      <c r="P318" t="s">
        <v>360</v>
      </c>
      <c r="Q318">
        <v>9</v>
      </c>
      <c r="R318" t="s">
        <v>255</v>
      </c>
      <c r="S318" t="s">
        <v>15</v>
      </c>
      <c r="T318">
        <v>9</v>
      </c>
    </row>
    <row r="319" spans="4:20" ht="15.75" customHeight="1" x14ac:dyDescent="0.2">
      <c r="D319" t="s">
        <v>285</v>
      </c>
      <c r="E319" t="s">
        <v>357</v>
      </c>
      <c r="F319">
        <v>5</v>
      </c>
      <c r="P319" t="s">
        <v>360</v>
      </c>
      <c r="Q319">
        <v>9</v>
      </c>
      <c r="R319" t="s">
        <v>293</v>
      </c>
      <c r="S319" t="s">
        <v>13</v>
      </c>
      <c r="T319">
        <v>1</v>
      </c>
    </row>
    <row r="320" spans="4:20" ht="15.75" customHeight="1" x14ac:dyDescent="0.2">
      <c r="D320" t="s">
        <v>285</v>
      </c>
      <c r="E320" t="s">
        <v>357</v>
      </c>
      <c r="F320">
        <v>5</v>
      </c>
      <c r="P320" t="s">
        <v>360</v>
      </c>
      <c r="Q320">
        <v>9</v>
      </c>
      <c r="R320" t="s">
        <v>294</v>
      </c>
      <c r="S320" t="s">
        <v>14</v>
      </c>
      <c r="T320">
        <v>0</v>
      </c>
    </row>
    <row r="321" spans="4:20" ht="15.75" customHeight="1" x14ac:dyDescent="0.2">
      <c r="D321" t="s">
        <v>285</v>
      </c>
      <c r="E321" t="s">
        <v>357</v>
      </c>
      <c r="F321">
        <v>5</v>
      </c>
      <c r="P321" t="s">
        <v>360</v>
      </c>
      <c r="Q321">
        <v>9</v>
      </c>
      <c r="R321" t="s">
        <v>257</v>
      </c>
      <c r="S321" t="s">
        <v>16</v>
      </c>
      <c r="T321">
        <v>72.860699999999994</v>
      </c>
    </row>
    <row r="322" spans="4:20" ht="15.75" customHeight="1" x14ac:dyDescent="0.2">
      <c r="D322" t="s">
        <v>285</v>
      </c>
      <c r="E322" t="s">
        <v>357</v>
      </c>
      <c r="F322">
        <v>5</v>
      </c>
      <c r="P322" t="s">
        <v>360</v>
      </c>
      <c r="Q322">
        <v>9</v>
      </c>
      <c r="R322" t="s">
        <v>295</v>
      </c>
      <c r="S322" t="s">
        <v>17</v>
      </c>
      <c r="T322">
        <v>0</v>
      </c>
    </row>
    <row r="323" spans="4:20" ht="15.75" customHeight="1" x14ac:dyDescent="0.2">
      <c r="D323" t="s">
        <v>285</v>
      </c>
      <c r="E323" t="s">
        <v>357</v>
      </c>
      <c r="F323">
        <v>5</v>
      </c>
      <c r="P323" t="s">
        <v>360</v>
      </c>
      <c r="Q323">
        <v>9</v>
      </c>
      <c r="R323" t="s">
        <v>296</v>
      </c>
      <c r="S323" t="s">
        <v>1</v>
      </c>
      <c r="T323">
        <v>1</v>
      </c>
    </row>
    <row r="324" spans="4:20" ht="15.75" customHeight="1" x14ac:dyDescent="0.2">
      <c r="D324" t="s">
        <v>285</v>
      </c>
      <c r="E324" t="s">
        <v>357</v>
      </c>
      <c r="F324">
        <v>5</v>
      </c>
      <c r="P324" t="s">
        <v>360</v>
      </c>
      <c r="Q324">
        <v>9</v>
      </c>
      <c r="R324" t="s">
        <v>297</v>
      </c>
      <c r="S324" t="s">
        <v>18</v>
      </c>
      <c r="T324">
        <v>1</v>
      </c>
    </row>
    <row r="325" spans="4:20" ht="15.75" customHeight="1" x14ac:dyDescent="0.2">
      <c r="D325" t="s">
        <v>285</v>
      </c>
      <c r="E325" t="s">
        <v>357</v>
      </c>
      <c r="F325">
        <v>5</v>
      </c>
      <c r="P325" t="s">
        <v>360</v>
      </c>
      <c r="Q325">
        <v>9</v>
      </c>
      <c r="R325" t="s">
        <v>298</v>
      </c>
      <c r="S325" t="s">
        <v>19</v>
      </c>
      <c r="T325">
        <v>0</v>
      </c>
    </row>
    <row r="326" spans="4:20" ht="15.75" customHeight="1" x14ac:dyDescent="0.2">
      <c r="D326" t="s">
        <v>285</v>
      </c>
      <c r="E326" t="s">
        <v>357</v>
      </c>
      <c r="F326">
        <v>5</v>
      </c>
      <c r="P326" t="s">
        <v>360</v>
      </c>
      <c r="Q326">
        <v>9</v>
      </c>
      <c r="R326" t="s">
        <v>299</v>
      </c>
      <c r="S326" t="s">
        <v>20</v>
      </c>
      <c r="T326">
        <v>0</v>
      </c>
    </row>
    <row r="327" spans="4:20" ht="15.75" customHeight="1" x14ac:dyDescent="0.2">
      <c r="D327" t="s">
        <v>285</v>
      </c>
      <c r="E327" t="s">
        <v>357</v>
      </c>
      <c r="F327">
        <v>5</v>
      </c>
      <c r="P327" t="s">
        <v>361</v>
      </c>
      <c r="Q327">
        <v>10</v>
      </c>
      <c r="R327" t="s">
        <v>288</v>
      </c>
      <c r="S327" t="s">
        <v>2</v>
      </c>
      <c r="T327">
        <v>0</v>
      </c>
    </row>
    <row r="328" spans="4:20" ht="15.75" customHeight="1" x14ac:dyDescent="0.2">
      <c r="D328" t="s">
        <v>285</v>
      </c>
      <c r="E328" t="s">
        <v>357</v>
      </c>
      <c r="F328">
        <v>5</v>
      </c>
      <c r="P328" t="s">
        <v>361</v>
      </c>
      <c r="Q328">
        <v>10</v>
      </c>
      <c r="R328" t="s">
        <v>289</v>
      </c>
      <c r="S328" t="s">
        <v>5</v>
      </c>
      <c r="T328">
        <v>0</v>
      </c>
    </row>
    <row r="329" spans="4:20" ht="15.75" customHeight="1" x14ac:dyDescent="0.2">
      <c r="D329" t="s">
        <v>285</v>
      </c>
      <c r="E329" t="s">
        <v>357</v>
      </c>
      <c r="F329">
        <v>5</v>
      </c>
      <c r="P329" t="s">
        <v>361</v>
      </c>
      <c r="Q329">
        <v>10</v>
      </c>
      <c r="R329" t="s">
        <v>290</v>
      </c>
      <c r="S329" t="s">
        <v>3</v>
      </c>
      <c r="T329">
        <v>0.5</v>
      </c>
    </row>
    <row r="330" spans="4:20" ht="15.75" customHeight="1" x14ac:dyDescent="0.2">
      <c r="D330" t="s">
        <v>285</v>
      </c>
      <c r="E330" t="s">
        <v>357</v>
      </c>
      <c r="F330">
        <v>5</v>
      </c>
      <c r="P330" t="s">
        <v>361</v>
      </c>
      <c r="Q330">
        <v>10</v>
      </c>
      <c r="R330" t="s">
        <v>291</v>
      </c>
      <c r="S330" t="s">
        <v>4</v>
      </c>
      <c r="T330">
        <v>1</v>
      </c>
    </row>
    <row r="331" spans="4:20" ht="15.75" customHeight="1" x14ac:dyDescent="0.2">
      <c r="D331" t="s">
        <v>285</v>
      </c>
      <c r="E331" t="s">
        <v>357</v>
      </c>
      <c r="F331">
        <v>5</v>
      </c>
      <c r="P331" t="s">
        <v>361</v>
      </c>
      <c r="Q331">
        <v>10</v>
      </c>
      <c r="R331" t="s">
        <v>292</v>
      </c>
      <c r="S331" t="s">
        <v>6</v>
      </c>
      <c r="T331">
        <v>1</v>
      </c>
    </row>
    <row r="332" spans="4:20" ht="15.75" customHeight="1" x14ac:dyDescent="0.2">
      <c r="D332" t="s">
        <v>285</v>
      </c>
      <c r="E332" t="s">
        <v>357</v>
      </c>
      <c r="F332">
        <v>5</v>
      </c>
      <c r="P332" t="s">
        <v>361</v>
      </c>
      <c r="Q332">
        <v>10</v>
      </c>
      <c r="R332" t="s">
        <v>243</v>
      </c>
      <c r="S332" t="s">
        <v>7</v>
      </c>
      <c r="T332">
        <v>4.6666999999999996</v>
      </c>
    </row>
    <row r="333" spans="4:20" ht="15.75" customHeight="1" x14ac:dyDescent="0.2">
      <c r="D333" t="s">
        <v>285</v>
      </c>
      <c r="E333" t="s">
        <v>357</v>
      </c>
      <c r="F333">
        <v>5</v>
      </c>
      <c r="P333" t="s">
        <v>361</v>
      </c>
      <c r="Q333">
        <v>10</v>
      </c>
      <c r="R333" t="s">
        <v>245</v>
      </c>
      <c r="S333" t="s">
        <v>8</v>
      </c>
      <c r="T333">
        <v>186.02799999999999</v>
      </c>
    </row>
    <row r="334" spans="4:20" ht="15.75" customHeight="1" x14ac:dyDescent="0.2">
      <c r="D334" t="s">
        <v>285</v>
      </c>
      <c r="E334" t="s">
        <v>357</v>
      </c>
      <c r="F334">
        <v>5</v>
      </c>
      <c r="P334" t="s">
        <v>361</v>
      </c>
      <c r="Q334">
        <v>10</v>
      </c>
      <c r="R334" t="s">
        <v>247</v>
      </c>
      <c r="S334" t="s">
        <v>9</v>
      </c>
      <c r="T334">
        <v>1.09E-2</v>
      </c>
    </row>
    <row r="335" spans="4:20" ht="15.75" customHeight="1" x14ac:dyDescent="0.2">
      <c r="D335" t="s">
        <v>285</v>
      </c>
      <c r="E335" t="s">
        <v>357</v>
      </c>
      <c r="F335">
        <v>5</v>
      </c>
      <c r="P335" t="s">
        <v>361</v>
      </c>
      <c r="Q335">
        <v>10</v>
      </c>
      <c r="R335" t="s">
        <v>249</v>
      </c>
      <c r="S335" t="s">
        <v>10</v>
      </c>
      <c r="T335">
        <v>12</v>
      </c>
    </row>
    <row r="336" spans="4:20" ht="15.75" customHeight="1" x14ac:dyDescent="0.2">
      <c r="D336" t="s">
        <v>285</v>
      </c>
      <c r="E336" t="s">
        <v>357</v>
      </c>
      <c r="F336">
        <v>5</v>
      </c>
      <c r="P336" t="s">
        <v>361</v>
      </c>
      <c r="Q336">
        <v>10</v>
      </c>
      <c r="R336" t="s">
        <v>251</v>
      </c>
      <c r="S336" t="s">
        <v>11</v>
      </c>
      <c r="T336">
        <v>10</v>
      </c>
    </row>
    <row r="337" spans="4:20" ht="15.75" customHeight="1" x14ac:dyDescent="0.2">
      <c r="D337" t="s">
        <v>285</v>
      </c>
      <c r="E337" t="s">
        <v>357</v>
      </c>
      <c r="F337">
        <v>5</v>
      </c>
      <c r="P337" t="s">
        <v>361</v>
      </c>
      <c r="Q337">
        <v>10</v>
      </c>
      <c r="R337" t="s">
        <v>253</v>
      </c>
      <c r="S337" t="s">
        <v>12</v>
      </c>
      <c r="T337">
        <v>39.863100000000003</v>
      </c>
    </row>
    <row r="338" spans="4:20" ht="15.75" customHeight="1" x14ac:dyDescent="0.2">
      <c r="D338" t="s">
        <v>285</v>
      </c>
      <c r="E338" t="s">
        <v>357</v>
      </c>
      <c r="F338">
        <v>5</v>
      </c>
      <c r="P338" t="s">
        <v>361</v>
      </c>
      <c r="Q338">
        <v>10</v>
      </c>
      <c r="R338" t="s">
        <v>255</v>
      </c>
      <c r="S338" t="s">
        <v>15</v>
      </c>
      <c r="T338">
        <v>10</v>
      </c>
    </row>
    <row r="339" spans="4:20" ht="15.75" customHeight="1" x14ac:dyDescent="0.2">
      <c r="D339" t="s">
        <v>285</v>
      </c>
      <c r="E339" t="s">
        <v>357</v>
      </c>
      <c r="F339">
        <v>5</v>
      </c>
      <c r="P339" t="s">
        <v>361</v>
      </c>
      <c r="Q339">
        <v>10</v>
      </c>
      <c r="R339" t="s">
        <v>293</v>
      </c>
      <c r="S339" t="s">
        <v>13</v>
      </c>
      <c r="T339">
        <v>0</v>
      </c>
    </row>
    <row r="340" spans="4:20" ht="15.75" customHeight="1" x14ac:dyDescent="0.2">
      <c r="D340" t="s">
        <v>285</v>
      </c>
      <c r="E340" t="s">
        <v>357</v>
      </c>
      <c r="F340">
        <v>5</v>
      </c>
      <c r="P340" t="s">
        <v>361</v>
      </c>
      <c r="Q340">
        <v>10</v>
      </c>
      <c r="R340" t="s">
        <v>294</v>
      </c>
      <c r="S340" t="s">
        <v>14</v>
      </c>
      <c r="T340">
        <v>0</v>
      </c>
    </row>
    <row r="341" spans="4:20" ht="15.75" customHeight="1" x14ac:dyDescent="0.2">
      <c r="D341" t="s">
        <v>285</v>
      </c>
      <c r="E341" t="s">
        <v>357</v>
      </c>
      <c r="F341">
        <v>5</v>
      </c>
      <c r="P341" t="s">
        <v>361</v>
      </c>
      <c r="Q341">
        <v>10</v>
      </c>
      <c r="R341" t="s">
        <v>257</v>
      </c>
      <c r="S341" t="s">
        <v>16</v>
      </c>
      <c r="T341">
        <v>67.045400000000001</v>
      </c>
    </row>
    <row r="342" spans="4:20" ht="15.75" customHeight="1" x14ac:dyDescent="0.2">
      <c r="D342" t="s">
        <v>285</v>
      </c>
      <c r="E342" t="s">
        <v>357</v>
      </c>
      <c r="F342">
        <v>5</v>
      </c>
      <c r="P342" t="s">
        <v>361</v>
      </c>
      <c r="Q342">
        <v>10</v>
      </c>
      <c r="R342" t="s">
        <v>295</v>
      </c>
      <c r="S342" t="s">
        <v>17</v>
      </c>
      <c r="T342">
        <v>0</v>
      </c>
    </row>
    <row r="343" spans="4:20" ht="15.75" customHeight="1" x14ac:dyDescent="0.2">
      <c r="D343" t="s">
        <v>285</v>
      </c>
      <c r="E343" t="s">
        <v>357</v>
      </c>
      <c r="F343">
        <v>5</v>
      </c>
      <c r="P343" t="s">
        <v>361</v>
      </c>
      <c r="Q343">
        <v>10</v>
      </c>
      <c r="R343" t="s">
        <v>296</v>
      </c>
      <c r="S343" t="s">
        <v>1</v>
      </c>
      <c r="T343">
        <v>1</v>
      </c>
    </row>
    <row r="344" spans="4:20" ht="15.75" customHeight="1" x14ac:dyDescent="0.2">
      <c r="D344" t="s">
        <v>285</v>
      </c>
      <c r="E344" t="s">
        <v>357</v>
      </c>
      <c r="F344">
        <v>5</v>
      </c>
      <c r="P344" t="s">
        <v>361</v>
      </c>
      <c r="Q344">
        <v>10</v>
      </c>
      <c r="R344" t="s">
        <v>297</v>
      </c>
      <c r="S344" t="s">
        <v>18</v>
      </c>
      <c r="T344">
        <v>3</v>
      </c>
    </row>
    <row r="345" spans="4:20" ht="15.75" customHeight="1" x14ac:dyDescent="0.2">
      <c r="D345" t="s">
        <v>285</v>
      </c>
      <c r="E345" t="s">
        <v>357</v>
      </c>
      <c r="F345">
        <v>5</v>
      </c>
      <c r="P345" t="s">
        <v>361</v>
      </c>
      <c r="Q345">
        <v>10</v>
      </c>
      <c r="R345" t="s">
        <v>298</v>
      </c>
      <c r="S345" t="s">
        <v>19</v>
      </c>
      <c r="T345">
        <v>0</v>
      </c>
    </row>
    <row r="346" spans="4:20" ht="15.75" customHeight="1" x14ac:dyDescent="0.2">
      <c r="D346" t="s">
        <v>285</v>
      </c>
      <c r="E346" t="s">
        <v>357</v>
      </c>
      <c r="F346">
        <v>5</v>
      </c>
      <c r="P346" t="s">
        <v>361</v>
      </c>
      <c r="Q346">
        <v>10</v>
      </c>
      <c r="R346" t="s">
        <v>299</v>
      </c>
      <c r="S346" t="s">
        <v>20</v>
      </c>
      <c r="T346">
        <v>0</v>
      </c>
    </row>
    <row r="347" spans="4:20" ht="15.75" customHeight="1" x14ac:dyDescent="0.2">
      <c r="D347" t="s">
        <v>285</v>
      </c>
      <c r="E347" t="s">
        <v>357</v>
      </c>
      <c r="F347">
        <v>5</v>
      </c>
      <c r="P347" t="s">
        <v>362</v>
      </c>
      <c r="Q347">
        <v>11</v>
      </c>
      <c r="R347" t="s">
        <v>288</v>
      </c>
      <c r="S347" t="s">
        <v>2</v>
      </c>
      <c r="T347">
        <v>0</v>
      </c>
    </row>
    <row r="348" spans="4:20" ht="15.75" customHeight="1" x14ac:dyDescent="0.2">
      <c r="D348" t="s">
        <v>285</v>
      </c>
      <c r="E348" t="s">
        <v>357</v>
      </c>
      <c r="F348">
        <v>5</v>
      </c>
      <c r="P348" t="s">
        <v>362</v>
      </c>
      <c r="Q348">
        <v>11</v>
      </c>
      <c r="R348" t="s">
        <v>289</v>
      </c>
      <c r="S348" t="s">
        <v>5</v>
      </c>
      <c r="T348">
        <v>0</v>
      </c>
    </row>
    <row r="349" spans="4:20" ht="15.75" customHeight="1" x14ac:dyDescent="0.2">
      <c r="D349" t="s">
        <v>285</v>
      </c>
      <c r="E349" t="s">
        <v>357</v>
      </c>
      <c r="F349">
        <v>5</v>
      </c>
      <c r="P349" t="s">
        <v>362</v>
      </c>
      <c r="Q349">
        <v>11</v>
      </c>
      <c r="R349" t="s">
        <v>290</v>
      </c>
      <c r="S349" t="s">
        <v>3</v>
      </c>
      <c r="T349">
        <v>0</v>
      </c>
    </row>
    <row r="350" spans="4:20" ht="15.75" customHeight="1" x14ac:dyDescent="0.2">
      <c r="D350" t="s">
        <v>285</v>
      </c>
      <c r="E350" t="s">
        <v>357</v>
      </c>
      <c r="F350">
        <v>5</v>
      </c>
      <c r="P350" t="s">
        <v>362</v>
      </c>
      <c r="Q350">
        <v>11</v>
      </c>
      <c r="R350" t="s">
        <v>291</v>
      </c>
      <c r="S350" t="s">
        <v>4</v>
      </c>
      <c r="T350">
        <v>0</v>
      </c>
    </row>
    <row r="351" spans="4:20" ht="15.75" customHeight="1" x14ac:dyDescent="0.2">
      <c r="D351" t="s">
        <v>285</v>
      </c>
      <c r="E351" t="s">
        <v>357</v>
      </c>
      <c r="F351">
        <v>5</v>
      </c>
      <c r="P351" t="s">
        <v>362</v>
      </c>
      <c r="Q351">
        <v>11</v>
      </c>
      <c r="R351" t="s">
        <v>292</v>
      </c>
      <c r="S351" t="s">
        <v>6</v>
      </c>
      <c r="T351">
        <v>0</v>
      </c>
    </row>
    <row r="352" spans="4:20" ht="15.75" customHeight="1" x14ac:dyDescent="0.2">
      <c r="D352" t="s">
        <v>285</v>
      </c>
      <c r="E352" t="s">
        <v>357</v>
      </c>
      <c r="F352">
        <v>5</v>
      </c>
      <c r="P352" t="s">
        <v>362</v>
      </c>
      <c r="Q352">
        <v>11</v>
      </c>
      <c r="R352" t="s">
        <v>243</v>
      </c>
      <c r="S352" t="s">
        <v>7</v>
      </c>
      <c r="T352">
        <v>1.5</v>
      </c>
    </row>
    <row r="353" spans="4:20" ht="15.75" customHeight="1" x14ac:dyDescent="0.2">
      <c r="D353" t="s">
        <v>285</v>
      </c>
      <c r="E353" t="s">
        <v>357</v>
      </c>
      <c r="F353">
        <v>5</v>
      </c>
      <c r="P353" t="s">
        <v>362</v>
      </c>
      <c r="Q353">
        <v>11</v>
      </c>
      <c r="R353" t="s">
        <v>245</v>
      </c>
      <c r="S353" t="s">
        <v>8</v>
      </c>
      <c r="T353">
        <v>17.4145</v>
      </c>
    </row>
    <row r="354" spans="4:20" ht="15.75" customHeight="1" x14ac:dyDescent="0.2">
      <c r="D354" t="s">
        <v>285</v>
      </c>
      <c r="E354" t="s">
        <v>357</v>
      </c>
      <c r="F354">
        <v>5</v>
      </c>
      <c r="P354" t="s">
        <v>362</v>
      </c>
      <c r="Q354">
        <v>11</v>
      </c>
      <c r="R354" t="s">
        <v>247</v>
      </c>
      <c r="S354" t="s">
        <v>9</v>
      </c>
      <c r="T354">
        <v>2.2000000000000001E-3</v>
      </c>
    </row>
    <row r="355" spans="4:20" ht="15.75" customHeight="1" x14ac:dyDescent="0.2">
      <c r="D355" t="s">
        <v>285</v>
      </c>
      <c r="E355" t="s">
        <v>357</v>
      </c>
      <c r="F355">
        <v>5</v>
      </c>
      <c r="P355" t="s">
        <v>362</v>
      </c>
      <c r="Q355">
        <v>11</v>
      </c>
      <c r="R355" t="s">
        <v>249</v>
      </c>
      <c r="S355" t="s">
        <v>10</v>
      </c>
      <c r="T355">
        <v>5</v>
      </c>
    </row>
    <row r="356" spans="4:20" ht="15.75" customHeight="1" x14ac:dyDescent="0.2">
      <c r="D356" t="s">
        <v>285</v>
      </c>
      <c r="E356" t="s">
        <v>357</v>
      </c>
      <c r="F356">
        <v>5</v>
      </c>
      <c r="P356" t="s">
        <v>362</v>
      </c>
      <c r="Q356">
        <v>11</v>
      </c>
      <c r="R356" t="s">
        <v>251</v>
      </c>
      <c r="S356" t="s">
        <v>11</v>
      </c>
      <c r="T356">
        <v>5</v>
      </c>
    </row>
    <row r="357" spans="4:20" ht="15.75" customHeight="1" x14ac:dyDescent="0.2">
      <c r="D357" t="s">
        <v>285</v>
      </c>
      <c r="E357" t="s">
        <v>357</v>
      </c>
      <c r="F357">
        <v>5</v>
      </c>
      <c r="P357" t="s">
        <v>362</v>
      </c>
      <c r="Q357">
        <v>11</v>
      </c>
      <c r="R357" t="s">
        <v>253</v>
      </c>
      <c r="S357" t="s">
        <v>12</v>
      </c>
      <c r="T357">
        <v>11.6096</v>
      </c>
    </row>
    <row r="358" spans="4:20" ht="15.75" customHeight="1" x14ac:dyDescent="0.2">
      <c r="D358" t="s">
        <v>285</v>
      </c>
      <c r="E358" t="s">
        <v>357</v>
      </c>
      <c r="F358">
        <v>5</v>
      </c>
      <c r="P358" t="s">
        <v>362</v>
      </c>
      <c r="Q358">
        <v>11</v>
      </c>
      <c r="R358" t="s">
        <v>255</v>
      </c>
      <c r="S358" t="s">
        <v>15</v>
      </c>
      <c r="T358">
        <v>10</v>
      </c>
    </row>
    <row r="359" spans="4:20" ht="15.75" customHeight="1" x14ac:dyDescent="0.2">
      <c r="D359" t="s">
        <v>285</v>
      </c>
      <c r="E359" t="s">
        <v>357</v>
      </c>
      <c r="F359">
        <v>5</v>
      </c>
      <c r="P359" t="s">
        <v>362</v>
      </c>
      <c r="Q359">
        <v>11</v>
      </c>
      <c r="R359" t="s">
        <v>293</v>
      </c>
      <c r="S359" t="s">
        <v>13</v>
      </c>
      <c r="T359">
        <v>1</v>
      </c>
    </row>
    <row r="360" spans="4:20" ht="15.75" customHeight="1" x14ac:dyDescent="0.2">
      <c r="D360" t="s">
        <v>285</v>
      </c>
      <c r="E360" t="s">
        <v>357</v>
      </c>
      <c r="F360">
        <v>5</v>
      </c>
      <c r="P360" t="s">
        <v>362</v>
      </c>
      <c r="Q360">
        <v>11</v>
      </c>
      <c r="R360" t="s">
        <v>294</v>
      </c>
      <c r="S360" t="s">
        <v>14</v>
      </c>
      <c r="T360">
        <v>0</v>
      </c>
    </row>
    <row r="361" spans="4:20" ht="15.75" customHeight="1" x14ac:dyDescent="0.2">
      <c r="D361" t="s">
        <v>285</v>
      </c>
      <c r="E361" t="s">
        <v>357</v>
      </c>
      <c r="F361">
        <v>5</v>
      </c>
      <c r="P361" t="s">
        <v>362</v>
      </c>
      <c r="Q361">
        <v>11</v>
      </c>
      <c r="R361" t="s">
        <v>257</v>
      </c>
      <c r="S361" t="s">
        <v>16</v>
      </c>
      <c r="T361">
        <v>70.894199999999998</v>
      </c>
    </row>
    <row r="362" spans="4:20" ht="15.75" customHeight="1" x14ac:dyDescent="0.2">
      <c r="D362" t="s">
        <v>285</v>
      </c>
      <c r="E362" t="s">
        <v>357</v>
      </c>
      <c r="F362">
        <v>5</v>
      </c>
      <c r="P362" t="s">
        <v>362</v>
      </c>
      <c r="Q362">
        <v>11</v>
      </c>
      <c r="R362" t="s">
        <v>295</v>
      </c>
      <c r="S362" t="s">
        <v>17</v>
      </c>
      <c r="T362">
        <v>0</v>
      </c>
    </row>
    <row r="363" spans="4:20" ht="15.75" customHeight="1" x14ac:dyDescent="0.2">
      <c r="D363" t="s">
        <v>285</v>
      </c>
      <c r="E363" t="s">
        <v>357</v>
      </c>
      <c r="F363">
        <v>5</v>
      </c>
      <c r="P363" t="s">
        <v>362</v>
      </c>
      <c r="Q363">
        <v>11</v>
      </c>
      <c r="R363" t="s">
        <v>296</v>
      </c>
      <c r="S363" t="s">
        <v>1</v>
      </c>
      <c r="T363">
        <v>1</v>
      </c>
    </row>
    <row r="364" spans="4:20" ht="15.75" customHeight="1" x14ac:dyDescent="0.2">
      <c r="D364" t="s">
        <v>285</v>
      </c>
      <c r="E364" t="s">
        <v>357</v>
      </c>
      <c r="F364">
        <v>5</v>
      </c>
      <c r="P364" t="s">
        <v>362</v>
      </c>
      <c r="Q364">
        <v>11</v>
      </c>
      <c r="R364" t="s">
        <v>297</v>
      </c>
      <c r="S364" t="s">
        <v>18</v>
      </c>
      <c r="T364">
        <v>1</v>
      </c>
    </row>
    <row r="365" spans="4:20" ht="15.75" customHeight="1" x14ac:dyDescent="0.2">
      <c r="D365" t="s">
        <v>285</v>
      </c>
      <c r="E365" t="s">
        <v>357</v>
      </c>
      <c r="F365">
        <v>5</v>
      </c>
      <c r="P365" t="s">
        <v>362</v>
      </c>
      <c r="Q365">
        <v>11</v>
      </c>
      <c r="R365" t="s">
        <v>298</v>
      </c>
      <c r="S365" t="s">
        <v>19</v>
      </c>
      <c r="T365">
        <v>0</v>
      </c>
    </row>
    <row r="366" spans="4:20" ht="15.75" customHeight="1" x14ac:dyDescent="0.2">
      <c r="D366" t="s">
        <v>285</v>
      </c>
      <c r="E366" t="s">
        <v>357</v>
      </c>
      <c r="F366">
        <v>5</v>
      </c>
      <c r="P366" t="s">
        <v>362</v>
      </c>
      <c r="Q366">
        <v>11</v>
      </c>
      <c r="R366" t="s">
        <v>299</v>
      </c>
      <c r="S366" t="s">
        <v>20</v>
      </c>
      <c r="T366">
        <v>0</v>
      </c>
    </row>
    <row r="367" spans="4:20" ht="15.75" customHeight="1" x14ac:dyDescent="0.2">
      <c r="D367" t="s">
        <v>285</v>
      </c>
      <c r="E367" t="s">
        <v>357</v>
      </c>
      <c r="F367">
        <v>5</v>
      </c>
      <c r="P367" t="s">
        <v>363</v>
      </c>
      <c r="Q367">
        <v>12</v>
      </c>
      <c r="R367" t="s">
        <v>288</v>
      </c>
      <c r="S367" t="s">
        <v>2</v>
      </c>
      <c r="T367">
        <v>0</v>
      </c>
    </row>
    <row r="368" spans="4:20" ht="15.75" customHeight="1" x14ac:dyDescent="0.2">
      <c r="D368" t="s">
        <v>285</v>
      </c>
      <c r="E368" t="s">
        <v>357</v>
      </c>
      <c r="F368">
        <v>5</v>
      </c>
      <c r="P368" t="s">
        <v>363</v>
      </c>
      <c r="Q368">
        <v>12</v>
      </c>
      <c r="R368" t="s">
        <v>289</v>
      </c>
      <c r="S368" t="s">
        <v>5</v>
      </c>
      <c r="T368">
        <v>0</v>
      </c>
    </row>
    <row r="369" spans="4:20" ht="15.75" customHeight="1" x14ac:dyDescent="0.2">
      <c r="D369" t="s">
        <v>285</v>
      </c>
      <c r="E369" t="s">
        <v>357</v>
      </c>
      <c r="F369">
        <v>5</v>
      </c>
      <c r="P369" t="s">
        <v>363</v>
      </c>
      <c r="Q369">
        <v>12</v>
      </c>
      <c r="R369" t="s">
        <v>290</v>
      </c>
      <c r="S369" t="s">
        <v>3</v>
      </c>
      <c r="T369">
        <v>0</v>
      </c>
    </row>
    <row r="370" spans="4:20" ht="15.75" customHeight="1" x14ac:dyDescent="0.2">
      <c r="D370" t="s">
        <v>285</v>
      </c>
      <c r="E370" t="s">
        <v>357</v>
      </c>
      <c r="F370">
        <v>5</v>
      </c>
      <c r="P370" t="s">
        <v>363</v>
      </c>
      <c r="Q370">
        <v>12</v>
      </c>
      <c r="R370" t="s">
        <v>291</v>
      </c>
      <c r="S370" t="s">
        <v>4</v>
      </c>
      <c r="T370">
        <v>0</v>
      </c>
    </row>
    <row r="371" spans="4:20" ht="15.75" customHeight="1" x14ac:dyDescent="0.2">
      <c r="D371" t="s">
        <v>285</v>
      </c>
      <c r="E371" t="s">
        <v>357</v>
      </c>
      <c r="F371">
        <v>5</v>
      </c>
      <c r="P371" t="s">
        <v>363</v>
      </c>
      <c r="Q371">
        <v>12</v>
      </c>
      <c r="R371" t="s">
        <v>292</v>
      </c>
      <c r="S371" t="s">
        <v>6</v>
      </c>
      <c r="T371">
        <v>0</v>
      </c>
    </row>
    <row r="372" spans="4:20" ht="15.75" customHeight="1" x14ac:dyDescent="0.2">
      <c r="D372" t="s">
        <v>285</v>
      </c>
      <c r="E372" t="s">
        <v>357</v>
      </c>
      <c r="F372">
        <v>5</v>
      </c>
      <c r="P372" t="s">
        <v>363</v>
      </c>
      <c r="Q372">
        <v>12</v>
      </c>
      <c r="R372" t="s">
        <v>243</v>
      </c>
      <c r="S372" t="s">
        <v>7</v>
      </c>
      <c r="T372">
        <v>0</v>
      </c>
    </row>
    <row r="373" spans="4:20" ht="15.75" customHeight="1" x14ac:dyDescent="0.2">
      <c r="D373" t="s">
        <v>285</v>
      </c>
      <c r="E373" t="s">
        <v>357</v>
      </c>
      <c r="F373">
        <v>5</v>
      </c>
      <c r="P373" t="s">
        <v>363</v>
      </c>
      <c r="Q373">
        <v>12</v>
      </c>
      <c r="R373" t="s">
        <v>245</v>
      </c>
      <c r="S373" t="s">
        <v>8</v>
      </c>
      <c r="T373" t="s">
        <v>364</v>
      </c>
    </row>
    <row r="374" spans="4:20" ht="15.75" customHeight="1" x14ac:dyDescent="0.2">
      <c r="D374" t="s">
        <v>285</v>
      </c>
      <c r="E374" t="s">
        <v>357</v>
      </c>
      <c r="F374">
        <v>5</v>
      </c>
      <c r="P374" t="s">
        <v>363</v>
      </c>
      <c r="Q374">
        <v>12</v>
      </c>
      <c r="R374" t="s">
        <v>247</v>
      </c>
      <c r="S374" t="s">
        <v>9</v>
      </c>
      <c r="T374" t="s">
        <v>364</v>
      </c>
    </row>
    <row r="375" spans="4:20" ht="15.75" customHeight="1" x14ac:dyDescent="0.2">
      <c r="D375" t="s">
        <v>285</v>
      </c>
      <c r="E375" t="s">
        <v>357</v>
      </c>
      <c r="F375">
        <v>5</v>
      </c>
      <c r="P375" t="s">
        <v>363</v>
      </c>
      <c r="Q375">
        <v>12</v>
      </c>
      <c r="R375" t="s">
        <v>249</v>
      </c>
      <c r="S375" t="s">
        <v>10</v>
      </c>
      <c r="T375">
        <v>0</v>
      </c>
    </row>
    <row r="376" spans="4:20" ht="15.75" customHeight="1" x14ac:dyDescent="0.2">
      <c r="D376" t="s">
        <v>285</v>
      </c>
      <c r="E376" t="s">
        <v>357</v>
      </c>
      <c r="F376">
        <v>5</v>
      </c>
      <c r="P376" t="s">
        <v>363</v>
      </c>
      <c r="Q376">
        <v>12</v>
      </c>
      <c r="R376" t="s">
        <v>251</v>
      </c>
      <c r="S376" t="s">
        <v>11</v>
      </c>
      <c r="T376">
        <v>0</v>
      </c>
    </row>
    <row r="377" spans="4:20" ht="15.75" customHeight="1" x14ac:dyDescent="0.2">
      <c r="D377" t="s">
        <v>285</v>
      </c>
      <c r="E377" t="s">
        <v>357</v>
      </c>
      <c r="F377">
        <v>5</v>
      </c>
      <c r="P377" t="s">
        <v>363</v>
      </c>
      <c r="Q377">
        <v>12</v>
      </c>
      <c r="R377" t="s">
        <v>253</v>
      </c>
      <c r="S377" t="s">
        <v>12</v>
      </c>
      <c r="T377" t="s">
        <v>364</v>
      </c>
    </row>
    <row r="378" spans="4:20" ht="15.75" customHeight="1" x14ac:dyDescent="0.2">
      <c r="D378" t="s">
        <v>285</v>
      </c>
      <c r="E378" t="s">
        <v>357</v>
      </c>
      <c r="F378">
        <v>5</v>
      </c>
      <c r="P378" t="s">
        <v>363</v>
      </c>
      <c r="Q378">
        <v>12</v>
      </c>
      <c r="R378" t="s">
        <v>255</v>
      </c>
      <c r="S378" t="s">
        <v>15</v>
      </c>
      <c r="T378">
        <v>0</v>
      </c>
    </row>
    <row r="379" spans="4:20" ht="15.75" customHeight="1" x14ac:dyDescent="0.2">
      <c r="D379" t="s">
        <v>285</v>
      </c>
      <c r="E379" t="s">
        <v>357</v>
      </c>
      <c r="F379">
        <v>5</v>
      </c>
      <c r="P379" t="s">
        <v>363</v>
      </c>
      <c r="Q379">
        <v>12</v>
      </c>
      <c r="R379" t="s">
        <v>293</v>
      </c>
      <c r="S379" t="s">
        <v>13</v>
      </c>
      <c r="T379">
        <v>0</v>
      </c>
    </row>
    <row r="380" spans="4:20" ht="15.75" customHeight="1" x14ac:dyDescent="0.2">
      <c r="D380" t="s">
        <v>285</v>
      </c>
      <c r="E380" t="s">
        <v>357</v>
      </c>
      <c r="F380">
        <v>5</v>
      </c>
      <c r="P380" t="s">
        <v>363</v>
      </c>
      <c r="Q380">
        <v>12</v>
      </c>
      <c r="R380" t="s">
        <v>294</v>
      </c>
      <c r="S380" t="s">
        <v>14</v>
      </c>
      <c r="T380">
        <v>0</v>
      </c>
    </row>
    <row r="381" spans="4:20" ht="15.75" customHeight="1" x14ac:dyDescent="0.2">
      <c r="D381" t="s">
        <v>285</v>
      </c>
      <c r="E381" t="s">
        <v>357</v>
      </c>
      <c r="F381">
        <v>5</v>
      </c>
      <c r="P381" t="s">
        <v>363</v>
      </c>
      <c r="Q381">
        <v>12</v>
      </c>
      <c r="R381" t="s">
        <v>257</v>
      </c>
      <c r="S381" t="s">
        <v>16</v>
      </c>
      <c r="T381">
        <v>0</v>
      </c>
    </row>
    <row r="382" spans="4:20" ht="15.75" customHeight="1" x14ac:dyDescent="0.2">
      <c r="D382" t="s">
        <v>285</v>
      </c>
      <c r="E382" t="s">
        <v>357</v>
      </c>
      <c r="F382">
        <v>5</v>
      </c>
      <c r="P382" t="s">
        <v>363</v>
      </c>
      <c r="Q382">
        <v>12</v>
      </c>
      <c r="R382" t="s">
        <v>295</v>
      </c>
      <c r="S382" t="s">
        <v>17</v>
      </c>
      <c r="T382">
        <v>-1</v>
      </c>
    </row>
    <row r="383" spans="4:20" ht="15.75" customHeight="1" x14ac:dyDescent="0.2">
      <c r="D383" t="s">
        <v>285</v>
      </c>
      <c r="E383" t="s">
        <v>357</v>
      </c>
      <c r="F383">
        <v>5</v>
      </c>
      <c r="P383" t="s">
        <v>363</v>
      </c>
      <c r="Q383">
        <v>12</v>
      </c>
      <c r="R383" t="s">
        <v>296</v>
      </c>
      <c r="S383" t="s">
        <v>1</v>
      </c>
      <c r="T383">
        <v>1</v>
      </c>
    </row>
    <row r="384" spans="4:20" ht="15.75" customHeight="1" x14ac:dyDescent="0.2">
      <c r="D384" t="s">
        <v>285</v>
      </c>
      <c r="E384" t="s">
        <v>357</v>
      </c>
      <c r="F384">
        <v>5</v>
      </c>
      <c r="P384" t="s">
        <v>363</v>
      </c>
      <c r="Q384">
        <v>12</v>
      </c>
      <c r="R384" t="s">
        <v>297</v>
      </c>
      <c r="S384" t="s">
        <v>18</v>
      </c>
      <c r="T384">
        <v>0</v>
      </c>
    </row>
    <row r="385" spans="4:20" ht="15.75" customHeight="1" x14ac:dyDescent="0.2">
      <c r="D385" t="s">
        <v>285</v>
      </c>
      <c r="E385" t="s">
        <v>357</v>
      </c>
      <c r="F385">
        <v>5</v>
      </c>
      <c r="P385" t="s">
        <v>363</v>
      </c>
      <c r="Q385">
        <v>12</v>
      </c>
      <c r="R385" t="s">
        <v>298</v>
      </c>
      <c r="S385" t="s">
        <v>19</v>
      </c>
      <c r="T385">
        <v>0</v>
      </c>
    </row>
    <row r="386" spans="4:20" ht="15.75" customHeight="1" x14ac:dyDescent="0.2">
      <c r="D386" t="s">
        <v>285</v>
      </c>
      <c r="E386" t="s">
        <v>357</v>
      </c>
      <c r="F386">
        <v>5</v>
      </c>
      <c r="P386" t="s">
        <v>363</v>
      </c>
      <c r="Q386">
        <v>12</v>
      </c>
      <c r="R386" t="s">
        <v>299</v>
      </c>
      <c r="S386" t="s">
        <v>20</v>
      </c>
      <c r="T386">
        <v>1</v>
      </c>
    </row>
    <row r="387" spans="4:20" ht="15.75" customHeight="1" x14ac:dyDescent="0.2">
      <c r="D387" t="s">
        <v>285</v>
      </c>
      <c r="E387" t="s">
        <v>357</v>
      </c>
      <c r="F387">
        <v>5</v>
      </c>
      <c r="P387" t="s">
        <v>365</v>
      </c>
      <c r="Q387">
        <v>13</v>
      </c>
      <c r="R387" t="s">
        <v>288</v>
      </c>
      <c r="S387" t="s">
        <v>2</v>
      </c>
      <c r="T387">
        <v>0</v>
      </c>
    </row>
    <row r="388" spans="4:20" ht="15.75" customHeight="1" x14ac:dyDescent="0.2">
      <c r="D388" t="s">
        <v>285</v>
      </c>
      <c r="E388" t="s">
        <v>357</v>
      </c>
      <c r="F388">
        <v>5</v>
      </c>
      <c r="P388" t="s">
        <v>365</v>
      </c>
      <c r="Q388">
        <v>13</v>
      </c>
      <c r="R388" t="s">
        <v>289</v>
      </c>
      <c r="S388" t="s">
        <v>5</v>
      </c>
      <c r="T388">
        <v>0</v>
      </c>
    </row>
    <row r="389" spans="4:20" ht="15.75" customHeight="1" x14ac:dyDescent="0.2">
      <c r="D389" t="s">
        <v>285</v>
      </c>
      <c r="E389" t="s">
        <v>357</v>
      </c>
      <c r="F389">
        <v>5</v>
      </c>
      <c r="P389" t="s">
        <v>365</v>
      </c>
      <c r="Q389">
        <v>13</v>
      </c>
      <c r="R389" t="s">
        <v>290</v>
      </c>
      <c r="S389" t="s">
        <v>3</v>
      </c>
      <c r="T389">
        <v>0</v>
      </c>
    </row>
    <row r="390" spans="4:20" ht="15.75" customHeight="1" x14ac:dyDescent="0.2">
      <c r="D390" t="s">
        <v>285</v>
      </c>
      <c r="E390" t="s">
        <v>357</v>
      </c>
      <c r="F390">
        <v>5</v>
      </c>
      <c r="P390" t="s">
        <v>365</v>
      </c>
      <c r="Q390">
        <v>13</v>
      </c>
      <c r="R390" t="s">
        <v>291</v>
      </c>
      <c r="S390" t="s">
        <v>4</v>
      </c>
      <c r="T390">
        <v>0</v>
      </c>
    </row>
    <row r="391" spans="4:20" ht="15.75" customHeight="1" x14ac:dyDescent="0.2">
      <c r="D391" t="s">
        <v>285</v>
      </c>
      <c r="E391" t="s">
        <v>357</v>
      </c>
      <c r="F391">
        <v>5</v>
      </c>
      <c r="P391" t="s">
        <v>365</v>
      </c>
      <c r="Q391">
        <v>13</v>
      </c>
      <c r="R391" t="s">
        <v>292</v>
      </c>
      <c r="S391" t="s">
        <v>6</v>
      </c>
      <c r="T391">
        <v>0</v>
      </c>
    </row>
    <row r="392" spans="4:20" ht="15.75" customHeight="1" x14ac:dyDescent="0.2">
      <c r="D392" t="s">
        <v>285</v>
      </c>
      <c r="E392" t="s">
        <v>357</v>
      </c>
      <c r="F392">
        <v>5</v>
      </c>
      <c r="P392" t="s">
        <v>365</v>
      </c>
      <c r="Q392">
        <v>13</v>
      </c>
      <c r="R392" t="s">
        <v>243</v>
      </c>
      <c r="S392" t="s">
        <v>7</v>
      </c>
      <c r="T392">
        <v>0</v>
      </c>
    </row>
    <row r="393" spans="4:20" ht="15.75" customHeight="1" x14ac:dyDescent="0.2">
      <c r="D393" t="s">
        <v>285</v>
      </c>
      <c r="E393" t="s">
        <v>357</v>
      </c>
      <c r="F393">
        <v>5</v>
      </c>
      <c r="P393" t="s">
        <v>365</v>
      </c>
      <c r="Q393">
        <v>13</v>
      </c>
      <c r="R393" t="s">
        <v>245</v>
      </c>
      <c r="S393" t="s">
        <v>8</v>
      </c>
      <c r="T393" t="s">
        <v>364</v>
      </c>
    </row>
    <row r="394" spans="4:20" ht="15.75" customHeight="1" x14ac:dyDescent="0.2">
      <c r="D394" t="s">
        <v>285</v>
      </c>
      <c r="E394" t="s">
        <v>357</v>
      </c>
      <c r="F394">
        <v>5</v>
      </c>
      <c r="P394" t="s">
        <v>365</v>
      </c>
      <c r="Q394">
        <v>13</v>
      </c>
      <c r="R394" t="s">
        <v>247</v>
      </c>
      <c r="S394" t="s">
        <v>9</v>
      </c>
      <c r="T394" t="s">
        <v>364</v>
      </c>
    </row>
    <row r="395" spans="4:20" ht="15.75" customHeight="1" x14ac:dyDescent="0.2">
      <c r="D395" t="s">
        <v>285</v>
      </c>
      <c r="E395" t="s">
        <v>357</v>
      </c>
      <c r="F395">
        <v>5</v>
      </c>
      <c r="P395" t="s">
        <v>365</v>
      </c>
      <c r="Q395">
        <v>13</v>
      </c>
      <c r="R395" t="s">
        <v>249</v>
      </c>
      <c r="S395" t="s">
        <v>10</v>
      </c>
      <c r="T395">
        <v>0</v>
      </c>
    </row>
    <row r="396" spans="4:20" ht="15.75" customHeight="1" x14ac:dyDescent="0.2">
      <c r="D396" t="s">
        <v>285</v>
      </c>
      <c r="E396" t="s">
        <v>357</v>
      </c>
      <c r="F396">
        <v>5</v>
      </c>
      <c r="P396" t="s">
        <v>365</v>
      </c>
      <c r="Q396">
        <v>13</v>
      </c>
      <c r="R396" t="s">
        <v>251</v>
      </c>
      <c r="S396" t="s">
        <v>11</v>
      </c>
      <c r="T396">
        <v>0</v>
      </c>
    </row>
    <row r="397" spans="4:20" ht="15.75" customHeight="1" x14ac:dyDescent="0.2">
      <c r="D397" t="s">
        <v>285</v>
      </c>
      <c r="E397" t="s">
        <v>357</v>
      </c>
      <c r="F397">
        <v>5</v>
      </c>
      <c r="P397" t="s">
        <v>365</v>
      </c>
      <c r="Q397">
        <v>13</v>
      </c>
      <c r="R397" t="s">
        <v>253</v>
      </c>
      <c r="S397" t="s">
        <v>12</v>
      </c>
      <c r="T397" t="s">
        <v>364</v>
      </c>
    </row>
    <row r="398" spans="4:20" ht="15.75" customHeight="1" x14ac:dyDescent="0.2">
      <c r="D398" t="s">
        <v>285</v>
      </c>
      <c r="E398" t="s">
        <v>357</v>
      </c>
      <c r="F398">
        <v>5</v>
      </c>
      <c r="P398" t="s">
        <v>365</v>
      </c>
      <c r="Q398">
        <v>13</v>
      </c>
      <c r="R398" t="s">
        <v>255</v>
      </c>
      <c r="S398" t="s">
        <v>15</v>
      </c>
      <c r="T398">
        <v>0</v>
      </c>
    </row>
    <row r="399" spans="4:20" ht="15.75" customHeight="1" x14ac:dyDescent="0.2">
      <c r="D399" t="s">
        <v>285</v>
      </c>
      <c r="E399" t="s">
        <v>357</v>
      </c>
      <c r="F399">
        <v>5</v>
      </c>
      <c r="P399" t="s">
        <v>365</v>
      </c>
      <c r="Q399">
        <v>13</v>
      </c>
      <c r="R399" t="s">
        <v>293</v>
      </c>
      <c r="S399" t="s">
        <v>13</v>
      </c>
      <c r="T399">
        <v>0</v>
      </c>
    </row>
    <row r="400" spans="4:20" ht="15.75" customHeight="1" x14ac:dyDescent="0.2">
      <c r="D400" t="s">
        <v>285</v>
      </c>
      <c r="E400" t="s">
        <v>357</v>
      </c>
      <c r="F400">
        <v>5</v>
      </c>
      <c r="P400" t="s">
        <v>365</v>
      </c>
      <c r="Q400">
        <v>13</v>
      </c>
      <c r="R400" t="s">
        <v>294</v>
      </c>
      <c r="S400" t="s">
        <v>14</v>
      </c>
      <c r="T400">
        <v>0</v>
      </c>
    </row>
    <row r="401" spans="4:23" ht="15.75" customHeight="1" x14ac:dyDescent="0.2">
      <c r="D401" t="s">
        <v>285</v>
      </c>
      <c r="E401" t="s">
        <v>357</v>
      </c>
      <c r="F401">
        <v>5</v>
      </c>
      <c r="P401" t="s">
        <v>365</v>
      </c>
      <c r="Q401">
        <v>13</v>
      </c>
      <c r="R401" t="s">
        <v>257</v>
      </c>
      <c r="S401" t="s">
        <v>16</v>
      </c>
      <c r="T401">
        <v>0</v>
      </c>
    </row>
    <row r="402" spans="4:23" ht="15.75" customHeight="1" x14ac:dyDescent="0.2">
      <c r="D402" t="s">
        <v>285</v>
      </c>
      <c r="E402" t="s">
        <v>357</v>
      </c>
      <c r="F402">
        <v>5</v>
      </c>
      <c r="P402" t="s">
        <v>365</v>
      </c>
      <c r="Q402">
        <v>13</v>
      </c>
      <c r="R402" t="s">
        <v>295</v>
      </c>
      <c r="S402" t="s">
        <v>17</v>
      </c>
      <c r="T402">
        <v>-1</v>
      </c>
    </row>
    <row r="403" spans="4:23" ht="15.75" customHeight="1" x14ac:dyDescent="0.2">
      <c r="D403" t="s">
        <v>285</v>
      </c>
      <c r="E403" t="s">
        <v>357</v>
      </c>
      <c r="F403">
        <v>5</v>
      </c>
      <c r="P403" t="s">
        <v>365</v>
      </c>
      <c r="Q403">
        <v>13</v>
      </c>
      <c r="R403" t="s">
        <v>296</v>
      </c>
      <c r="S403" t="s">
        <v>1</v>
      </c>
      <c r="T403">
        <v>1</v>
      </c>
    </row>
    <row r="404" spans="4:23" ht="15.75" customHeight="1" x14ac:dyDescent="0.2">
      <c r="D404" t="s">
        <v>285</v>
      </c>
      <c r="E404" t="s">
        <v>357</v>
      </c>
      <c r="F404">
        <v>5</v>
      </c>
      <c r="P404" t="s">
        <v>365</v>
      </c>
      <c r="Q404">
        <v>13</v>
      </c>
      <c r="R404" t="s">
        <v>297</v>
      </c>
      <c r="S404" t="s">
        <v>18</v>
      </c>
      <c r="T404">
        <v>0</v>
      </c>
    </row>
    <row r="405" spans="4:23" ht="15.75" customHeight="1" x14ac:dyDescent="0.2">
      <c r="D405" t="s">
        <v>285</v>
      </c>
      <c r="E405" t="s">
        <v>357</v>
      </c>
      <c r="F405">
        <v>5</v>
      </c>
      <c r="P405" t="s">
        <v>365</v>
      </c>
      <c r="Q405">
        <v>13</v>
      </c>
      <c r="R405" t="s">
        <v>298</v>
      </c>
      <c r="S405" t="s">
        <v>19</v>
      </c>
      <c r="T405">
        <v>0</v>
      </c>
    </row>
    <row r="406" spans="4:23" ht="15.75" customHeight="1" x14ac:dyDescent="0.2">
      <c r="D406" t="s">
        <v>285</v>
      </c>
      <c r="E406" t="s">
        <v>357</v>
      </c>
      <c r="F406">
        <v>5</v>
      </c>
      <c r="P406" t="s">
        <v>365</v>
      </c>
      <c r="Q406">
        <v>13</v>
      </c>
      <c r="R406" t="s">
        <v>299</v>
      </c>
      <c r="S406" t="s">
        <v>20</v>
      </c>
      <c r="T406">
        <v>0</v>
      </c>
    </row>
    <row r="407" spans="4:23" ht="15.75" customHeight="1" x14ac:dyDescent="0.2">
      <c r="D407" t="s">
        <v>285</v>
      </c>
      <c r="E407" t="s">
        <v>357</v>
      </c>
      <c r="F407">
        <v>5</v>
      </c>
      <c r="U407" t="s">
        <v>300</v>
      </c>
      <c r="V407" t="s">
        <v>301</v>
      </c>
      <c r="W407">
        <v>1</v>
      </c>
    </row>
    <row r="408" spans="4:23" ht="15.75" customHeight="1" x14ac:dyDescent="0.2">
      <c r="D408" t="s">
        <v>285</v>
      </c>
      <c r="E408" t="s">
        <v>357</v>
      </c>
      <c r="F408">
        <v>5</v>
      </c>
      <c r="U408" t="s">
        <v>288</v>
      </c>
      <c r="V408" t="s">
        <v>302</v>
      </c>
      <c r="W408">
        <v>1</v>
      </c>
    </row>
    <row r="409" spans="4:23" ht="15.75" customHeight="1" x14ac:dyDescent="0.2">
      <c r="D409" t="s">
        <v>285</v>
      </c>
      <c r="E409" t="s">
        <v>357</v>
      </c>
      <c r="F409">
        <v>5</v>
      </c>
      <c r="U409" t="s">
        <v>303</v>
      </c>
      <c r="V409" t="s">
        <v>304</v>
      </c>
      <c r="W409" t="s">
        <v>366</v>
      </c>
    </row>
    <row r="410" spans="4:23" ht="15.75" customHeight="1" x14ac:dyDescent="0.2">
      <c r="D410" t="s">
        <v>285</v>
      </c>
      <c r="E410" t="s">
        <v>357</v>
      </c>
      <c r="F410">
        <v>5</v>
      </c>
      <c r="U410" t="s">
        <v>305</v>
      </c>
      <c r="V410" t="s">
        <v>306</v>
      </c>
      <c r="W410" t="s">
        <v>366</v>
      </c>
    </row>
    <row r="411" spans="4:23" ht="15.75" customHeight="1" x14ac:dyDescent="0.2">
      <c r="D411" t="s">
        <v>285</v>
      </c>
      <c r="E411" t="s">
        <v>357</v>
      </c>
      <c r="F411">
        <v>5</v>
      </c>
      <c r="U411" t="s">
        <v>307</v>
      </c>
      <c r="V411" t="s">
        <v>308</v>
      </c>
      <c r="W411" t="s">
        <v>366</v>
      </c>
    </row>
    <row r="412" spans="4:23" ht="15.75" customHeight="1" x14ac:dyDescent="0.2">
      <c r="D412" t="s">
        <v>285</v>
      </c>
      <c r="E412" t="s">
        <v>357</v>
      </c>
      <c r="F412">
        <v>5</v>
      </c>
      <c r="U412" t="s">
        <v>243</v>
      </c>
      <c r="V412" t="s">
        <v>309</v>
      </c>
      <c r="W412" t="s">
        <v>366</v>
      </c>
    </row>
    <row r="413" spans="4:23" ht="15.75" customHeight="1" x14ac:dyDescent="0.2">
      <c r="D413" t="s">
        <v>285</v>
      </c>
      <c r="E413" t="s">
        <v>357</v>
      </c>
      <c r="F413">
        <v>5</v>
      </c>
      <c r="U413" t="s">
        <v>245</v>
      </c>
      <c r="V413" t="s">
        <v>310</v>
      </c>
      <c r="W413" t="s">
        <v>366</v>
      </c>
    </row>
    <row r="414" spans="4:23" ht="15.75" customHeight="1" x14ac:dyDescent="0.2">
      <c r="D414" t="s">
        <v>285</v>
      </c>
      <c r="E414" t="s">
        <v>357</v>
      </c>
      <c r="F414">
        <v>5</v>
      </c>
      <c r="U414" t="s">
        <v>247</v>
      </c>
      <c r="V414" t="s">
        <v>311</v>
      </c>
      <c r="W414" t="s">
        <v>366</v>
      </c>
    </row>
    <row r="415" spans="4:23" ht="15.75" customHeight="1" x14ac:dyDescent="0.2">
      <c r="D415" t="s">
        <v>285</v>
      </c>
      <c r="E415" t="s">
        <v>357</v>
      </c>
      <c r="F415">
        <v>5</v>
      </c>
      <c r="U415" t="s">
        <v>249</v>
      </c>
      <c r="V415" t="s">
        <v>312</v>
      </c>
      <c r="W415" t="s">
        <v>366</v>
      </c>
    </row>
    <row r="416" spans="4:23" ht="15.75" customHeight="1" x14ac:dyDescent="0.2">
      <c r="D416" t="s">
        <v>285</v>
      </c>
      <c r="E416" t="s">
        <v>357</v>
      </c>
      <c r="F416">
        <v>5</v>
      </c>
      <c r="U416" t="s">
        <v>251</v>
      </c>
      <c r="V416" t="s">
        <v>313</v>
      </c>
      <c r="W416" t="s">
        <v>366</v>
      </c>
    </row>
    <row r="417" spans="4:23" ht="15.75" customHeight="1" x14ac:dyDescent="0.2">
      <c r="D417" t="s">
        <v>285</v>
      </c>
      <c r="E417" t="s">
        <v>357</v>
      </c>
      <c r="F417">
        <v>5</v>
      </c>
      <c r="U417" t="s">
        <v>253</v>
      </c>
      <c r="V417" t="s">
        <v>314</v>
      </c>
      <c r="W417" t="s">
        <v>366</v>
      </c>
    </row>
    <row r="418" spans="4:23" ht="15.75" customHeight="1" x14ac:dyDescent="0.2">
      <c r="D418" t="s">
        <v>285</v>
      </c>
      <c r="E418" t="s">
        <v>357</v>
      </c>
      <c r="F418">
        <v>5</v>
      </c>
      <c r="U418" t="s">
        <v>315</v>
      </c>
      <c r="V418" t="s">
        <v>316</v>
      </c>
      <c r="W418" t="s">
        <v>366</v>
      </c>
    </row>
    <row r="419" spans="4:23" ht="15.75" customHeight="1" x14ac:dyDescent="0.2">
      <c r="D419" t="s">
        <v>285</v>
      </c>
      <c r="E419" t="s">
        <v>357</v>
      </c>
      <c r="F419">
        <v>5</v>
      </c>
      <c r="U419" t="s">
        <v>317</v>
      </c>
      <c r="V419" t="s">
        <v>318</v>
      </c>
      <c r="W419">
        <v>66</v>
      </c>
    </row>
    <row r="420" spans="4:23" ht="15.75" customHeight="1" x14ac:dyDescent="0.2">
      <c r="D420" t="s">
        <v>285</v>
      </c>
      <c r="E420" t="s">
        <v>357</v>
      </c>
      <c r="F420">
        <v>5</v>
      </c>
      <c r="U420" t="s">
        <v>257</v>
      </c>
      <c r="V420" t="s">
        <v>319</v>
      </c>
      <c r="W420" t="s">
        <v>367</v>
      </c>
    </row>
    <row r="421" spans="4:23" ht="15.75" customHeight="1" x14ac:dyDescent="0.2">
      <c r="D421" t="s">
        <v>285</v>
      </c>
      <c r="E421" t="s">
        <v>357</v>
      </c>
      <c r="F421">
        <v>5</v>
      </c>
      <c r="U421" t="s">
        <v>320</v>
      </c>
      <c r="V421" t="s">
        <v>321</v>
      </c>
      <c r="W421" t="s">
        <v>366</v>
      </c>
    </row>
    <row r="422" spans="4:23" ht="15.75" customHeight="1" x14ac:dyDescent="0.2">
      <c r="D422" t="s">
        <v>285</v>
      </c>
      <c r="E422" t="s">
        <v>357</v>
      </c>
      <c r="F422">
        <v>5</v>
      </c>
      <c r="U422" t="s">
        <v>263</v>
      </c>
      <c r="V422" t="s">
        <v>322</v>
      </c>
      <c r="W422">
        <v>34</v>
      </c>
    </row>
    <row r="423" spans="4:23" ht="15.75" customHeight="1" x14ac:dyDescent="0.2">
      <c r="D423" t="s">
        <v>285</v>
      </c>
      <c r="E423" t="s">
        <v>357</v>
      </c>
      <c r="F423">
        <v>5</v>
      </c>
      <c r="U423" t="s">
        <v>323</v>
      </c>
      <c r="V423" t="s">
        <v>324</v>
      </c>
      <c r="W423" t="s">
        <v>366</v>
      </c>
    </row>
    <row r="424" spans="4:23" ht="15.75" customHeight="1" x14ac:dyDescent="0.2">
      <c r="D424" t="s">
        <v>285</v>
      </c>
      <c r="E424" t="s">
        <v>357</v>
      </c>
      <c r="F424">
        <v>5</v>
      </c>
      <c r="U424" t="s">
        <v>325</v>
      </c>
      <c r="V424" t="s">
        <v>326</v>
      </c>
      <c r="W424" t="s">
        <v>366</v>
      </c>
    </row>
    <row r="425" spans="4:23" ht="15.75" customHeight="1" x14ac:dyDescent="0.2">
      <c r="D425" t="s">
        <v>285</v>
      </c>
      <c r="E425" t="s">
        <v>357</v>
      </c>
      <c r="F425">
        <v>5</v>
      </c>
      <c r="U425" t="s">
        <v>327</v>
      </c>
      <c r="V425" t="s">
        <v>328</v>
      </c>
      <c r="W425" t="s">
        <v>366</v>
      </c>
    </row>
    <row r="426" spans="4:23" ht="15.75" customHeight="1" x14ac:dyDescent="0.2">
      <c r="D426" t="s">
        <v>285</v>
      </c>
      <c r="E426" t="s">
        <v>357</v>
      </c>
      <c r="F426">
        <v>5</v>
      </c>
      <c r="U426" t="s">
        <v>329</v>
      </c>
      <c r="V426" t="s">
        <v>330</v>
      </c>
      <c r="W426" t="s">
        <v>366</v>
      </c>
    </row>
    <row r="427" spans="4:23" ht="15.75" customHeight="1" x14ac:dyDescent="0.2">
      <c r="D427" t="s">
        <v>285</v>
      </c>
      <c r="E427" t="s">
        <v>357</v>
      </c>
      <c r="F427">
        <v>5</v>
      </c>
      <c r="U427" t="s">
        <v>331</v>
      </c>
      <c r="V427" t="s">
        <v>332</v>
      </c>
      <c r="W427" t="s">
        <v>366</v>
      </c>
    </row>
    <row r="428" spans="4:23" ht="15.75" customHeight="1" x14ac:dyDescent="0.2">
      <c r="D428" t="s">
        <v>285</v>
      </c>
      <c r="E428" t="s">
        <v>357</v>
      </c>
      <c r="F428">
        <v>5</v>
      </c>
      <c r="U428" t="s">
        <v>333</v>
      </c>
      <c r="V428" t="s">
        <v>334</v>
      </c>
      <c r="W428" t="s">
        <v>366</v>
      </c>
    </row>
    <row r="429" spans="4:23" ht="15.75" customHeight="1" x14ac:dyDescent="0.2">
      <c r="D429" t="s">
        <v>285</v>
      </c>
      <c r="E429" t="s">
        <v>357</v>
      </c>
      <c r="F429">
        <v>5</v>
      </c>
      <c r="U429" t="s">
        <v>335</v>
      </c>
      <c r="V429" t="s">
        <v>336</v>
      </c>
      <c r="W429" t="s">
        <v>366</v>
      </c>
    </row>
    <row r="430" spans="4:23" ht="15.75" customHeight="1" x14ac:dyDescent="0.2">
      <c r="D430" t="s">
        <v>285</v>
      </c>
      <c r="E430" t="s">
        <v>357</v>
      </c>
      <c r="F430">
        <v>5</v>
      </c>
      <c r="U430" t="s">
        <v>337</v>
      </c>
      <c r="V430" t="s">
        <v>338</v>
      </c>
      <c r="W430" t="s">
        <v>366</v>
      </c>
    </row>
    <row r="431" spans="4:23" ht="15.75" customHeight="1" x14ac:dyDescent="0.2">
      <c r="D431" t="s">
        <v>285</v>
      </c>
      <c r="E431" t="s">
        <v>357</v>
      </c>
      <c r="F431">
        <v>5</v>
      </c>
      <c r="U431" t="s">
        <v>339</v>
      </c>
      <c r="V431" t="s">
        <v>340</v>
      </c>
      <c r="W431" t="s">
        <v>366</v>
      </c>
    </row>
    <row r="432" spans="4:23" ht="15.75" customHeight="1" x14ac:dyDescent="0.2">
      <c r="D432" t="s">
        <v>285</v>
      </c>
      <c r="E432" t="s">
        <v>357</v>
      </c>
      <c r="F432">
        <v>5</v>
      </c>
      <c r="U432" t="s">
        <v>341</v>
      </c>
      <c r="V432" t="s">
        <v>342</v>
      </c>
      <c r="W432" t="s">
        <v>366</v>
      </c>
    </row>
    <row r="433" spans="4:23" ht="15.75" customHeight="1" x14ac:dyDescent="0.2">
      <c r="D433" t="s">
        <v>285</v>
      </c>
      <c r="E433" t="s">
        <v>357</v>
      </c>
      <c r="F433">
        <v>5</v>
      </c>
      <c r="U433" t="s">
        <v>343</v>
      </c>
      <c r="V433" t="s">
        <v>344</v>
      </c>
      <c r="W433" t="s">
        <v>366</v>
      </c>
    </row>
    <row r="434" spans="4:23" ht="15.75" customHeight="1" x14ac:dyDescent="0.2">
      <c r="D434" t="s">
        <v>285</v>
      </c>
      <c r="E434" t="s">
        <v>357</v>
      </c>
      <c r="F434">
        <v>5</v>
      </c>
      <c r="U434" t="s">
        <v>345</v>
      </c>
      <c r="V434" t="s">
        <v>346</v>
      </c>
      <c r="W434" t="s">
        <v>366</v>
      </c>
    </row>
    <row r="435" spans="4:23" ht="15.75" customHeight="1" x14ac:dyDescent="0.2">
      <c r="D435" t="s">
        <v>285</v>
      </c>
      <c r="E435" t="s">
        <v>357</v>
      </c>
      <c r="F435">
        <v>5</v>
      </c>
      <c r="U435" t="s">
        <v>347</v>
      </c>
      <c r="V435" t="s">
        <v>348</v>
      </c>
      <c r="W435" t="s">
        <v>366</v>
      </c>
    </row>
    <row r="436" spans="4:23" ht="15.75" customHeight="1" x14ac:dyDescent="0.2">
      <c r="D436" t="s">
        <v>285</v>
      </c>
      <c r="E436" t="s">
        <v>368</v>
      </c>
      <c r="F436">
        <v>6</v>
      </c>
      <c r="P436" t="s">
        <v>369</v>
      </c>
      <c r="Q436">
        <v>14</v>
      </c>
      <c r="R436" t="s">
        <v>288</v>
      </c>
      <c r="S436" t="s">
        <v>2</v>
      </c>
      <c r="T436">
        <v>0</v>
      </c>
    </row>
    <row r="437" spans="4:23" ht="15.75" customHeight="1" x14ac:dyDescent="0.2">
      <c r="D437" t="s">
        <v>285</v>
      </c>
      <c r="E437" t="s">
        <v>368</v>
      </c>
      <c r="F437">
        <v>6</v>
      </c>
      <c r="P437" t="s">
        <v>369</v>
      </c>
      <c r="Q437">
        <v>14</v>
      </c>
      <c r="R437" t="s">
        <v>289</v>
      </c>
      <c r="S437" t="s">
        <v>5</v>
      </c>
      <c r="T437">
        <v>0</v>
      </c>
    </row>
    <row r="438" spans="4:23" ht="15.75" customHeight="1" x14ac:dyDescent="0.2">
      <c r="D438" t="s">
        <v>285</v>
      </c>
      <c r="E438" t="s">
        <v>368</v>
      </c>
      <c r="F438">
        <v>6</v>
      </c>
      <c r="P438" t="s">
        <v>369</v>
      </c>
      <c r="Q438">
        <v>14</v>
      </c>
      <c r="R438" t="s">
        <v>290</v>
      </c>
      <c r="S438" t="s">
        <v>3</v>
      </c>
      <c r="T438">
        <v>0</v>
      </c>
    </row>
    <row r="439" spans="4:23" ht="15.75" customHeight="1" x14ac:dyDescent="0.2">
      <c r="D439" t="s">
        <v>285</v>
      </c>
      <c r="E439" t="s">
        <v>368</v>
      </c>
      <c r="F439">
        <v>6</v>
      </c>
      <c r="P439" t="s">
        <v>369</v>
      </c>
      <c r="Q439">
        <v>14</v>
      </c>
      <c r="R439" t="s">
        <v>291</v>
      </c>
      <c r="S439" t="s">
        <v>4</v>
      </c>
      <c r="T439">
        <v>0</v>
      </c>
    </row>
    <row r="440" spans="4:23" ht="15.75" customHeight="1" x14ac:dyDescent="0.2">
      <c r="D440" t="s">
        <v>285</v>
      </c>
      <c r="E440" t="s">
        <v>368</v>
      </c>
      <c r="F440">
        <v>6</v>
      </c>
      <c r="P440" t="s">
        <v>369</v>
      </c>
      <c r="Q440">
        <v>14</v>
      </c>
      <c r="R440" t="s">
        <v>292</v>
      </c>
      <c r="S440" t="s">
        <v>6</v>
      </c>
      <c r="T440">
        <v>0</v>
      </c>
    </row>
    <row r="441" spans="4:23" ht="15.75" customHeight="1" x14ac:dyDescent="0.2">
      <c r="D441" t="s">
        <v>285</v>
      </c>
      <c r="E441" t="s">
        <v>368</v>
      </c>
      <c r="F441">
        <v>6</v>
      </c>
      <c r="P441" t="s">
        <v>369</v>
      </c>
      <c r="Q441">
        <v>14</v>
      </c>
      <c r="R441" t="s">
        <v>243</v>
      </c>
      <c r="S441" t="s">
        <v>7</v>
      </c>
      <c r="T441">
        <v>1</v>
      </c>
    </row>
    <row r="442" spans="4:23" ht="15.75" customHeight="1" x14ac:dyDescent="0.2">
      <c r="D442" t="s">
        <v>285</v>
      </c>
      <c r="E442" t="s">
        <v>368</v>
      </c>
      <c r="F442">
        <v>6</v>
      </c>
      <c r="P442" t="s">
        <v>369</v>
      </c>
      <c r="Q442">
        <v>14</v>
      </c>
      <c r="R442" t="s">
        <v>245</v>
      </c>
      <c r="S442" t="s">
        <v>8</v>
      </c>
      <c r="T442">
        <v>4.7549000000000001</v>
      </c>
    </row>
    <row r="443" spans="4:23" ht="15.75" customHeight="1" x14ac:dyDescent="0.2">
      <c r="D443" t="s">
        <v>285</v>
      </c>
      <c r="E443" t="s">
        <v>368</v>
      </c>
      <c r="F443">
        <v>6</v>
      </c>
      <c r="P443" t="s">
        <v>369</v>
      </c>
      <c r="Q443">
        <v>14</v>
      </c>
      <c r="R443" t="s">
        <v>247</v>
      </c>
      <c r="S443" t="s">
        <v>9</v>
      </c>
      <c r="T443">
        <v>8.9999999999999998E-4</v>
      </c>
    </row>
    <row r="444" spans="4:23" ht="15.75" customHeight="1" x14ac:dyDescent="0.2">
      <c r="D444" t="s">
        <v>285</v>
      </c>
      <c r="E444" t="s">
        <v>368</v>
      </c>
      <c r="F444">
        <v>6</v>
      </c>
      <c r="P444" t="s">
        <v>369</v>
      </c>
      <c r="Q444">
        <v>14</v>
      </c>
      <c r="R444" t="s">
        <v>249</v>
      </c>
      <c r="S444" t="s">
        <v>10</v>
      </c>
      <c r="T444">
        <v>3</v>
      </c>
    </row>
    <row r="445" spans="4:23" ht="15.75" customHeight="1" x14ac:dyDescent="0.2">
      <c r="D445" t="s">
        <v>285</v>
      </c>
      <c r="E445" t="s">
        <v>368</v>
      </c>
      <c r="F445">
        <v>6</v>
      </c>
      <c r="P445" t="s">
        <v>369</v>
      </c>
      <c r="Q445">
        <v>14</v>
      </c>
      <c r="R445" t="s">
        <v>251</v>
      </c>
      <c r="S445" t="s">
        <v>11</v>
      </c>
      <c r="T445">
        <v>3</v>
      </c>
    </row>
    <row r="446" spans="4:23" ht="15.75" customHeight="1" x14ac:dyDescent="0.2">
      <c r="D446" t="s">
        <v>285</v>
      </c>
      <c r="E446" t="s">
        <v>368</v>
      </c>
      <c r="F446">
        <v>6</v>
      </c>
      <c r="P446" t="s">
        <v>369</v>
      </c>
      <c r="Q446">
        <v>14</v>
      </c>
      <c r="R446" t="s">
        <v>253</v>
      </c>
      <c r="S446" t="s">
        <v>12</v>
      </c>
      <c r="T446">
        <v>4.7549000000000001</v>
      </c>
    </row>
    <row r="447" spans="4:23" ht="15.75" customHeight="1" x14ac:dyDescent="0.2">
      <c r="D447" t="s">
        <v>285</v>
      </c>
      <c r="E447" t="s">
        <v>368</v>
      </c>
      <c r="F447">
        <v>6</v>
      </c>
      <c r="P447" t="s">
        <v>369</v>
      </c>
      <c r="Q447">
        <v>14</v>
      </c>
      <c r="R447" t="s">
        <v>255</v>
      </c>
      <c r="S447" t="s">
        <v>15</v>
      </c>
      <c r="T447">
        <v>7</v>
      </c>
    </row>
    <row r="448" spans="4:23" ht="15.75" customHeight="1" x14ac:dyDescent="0.2">
      <c r="D448" t="s">
        <v>285</v>
      </c>
      <c r="E448" t="s">
        <v>368</v>
      </c>
      <c r="F448">
        <v>6</v>
      </c>
      <c r="P448" t="s">
        <v>369</v>
      </c>
      <c r="Q448">
        <v>14</v>
      </c>
      <c r="R448" t="s">
        <v>293</v>
      </c>
      <c r="S448" t="s">
        <v>13</v>
      </c>
      <c r="T448">
        <v>1</v>
      </c>
    </row>
    <row r="449" spans="4:20" ht="15.75" customHeight="1" x14ac:dyDescent="0.2">
      <c r="D449" t="s">
        <v>285</v>
      </c>
      <c r="E449" t="s">
        <v>368</v>
      </c>
      <c r="F449">
        <v>6</v>
      </c>
      <c r="P449" t="s">
        <v>369</v>
      </c>
      <c r="Q449">
        <v>14</v>
      </c>
      <c r="R449" t="s">
        <v>294</v>
      </c>
      <c r="S449" t="s">
        <v>14</v>
      </c>
      <c r="T449">
        <v>0</v>
      </c>
    </row>
    <row r="450" spans="4:20" ht="15.75" customHeight="1" x14ac:dyDescent="0.2">
      <c r="D450" t="s">
        <v>285</v>
      </c>
      <c r="E450" t="s">
        <v>368</v>
      </c>
      <c r="F450">
        <v>6</v>
      </c>
      <c r="P450" t="s">
        <v>369</v>
      </c>
      <c r="Q450">
        <v>14</v>
      </c>
      <c r="R450" t="s">
        <v>257</v>
      </c>
      <c r="S450" t="s">
        <v>16</v>
      </c>
      <c r="T450">
        <v>77.349400000000003</v>
      </c>
    </row>
    <row r="451" spans="4:20" ht="15.75" customHeight="1" x14ac:dyDescent="0.2">
      <c r="D451" t="s">
        <v>285</v>
      </c>
      <c r="E451" t="s">
        <v>368</v>
      </c>
      <c r="F451">
        <v>6</v>
      </c>
      <c r="P451" t="s">
        <v>369</v>
      </c>
      <c r="Q451">
        <v>14</v>
      </c>
      <c r="R451" t="s">
        <v>295</v>
      </c>
      <c r="S451" t="s">
        <v>17</v>
      </c>
      <c r="T451">
        <v>0</v>
      </c>
    </row>
    <row r="452" spans="4:20" ht="15.75" customHeight="1" x14ac:dyDescent="0.2">
      <c r="D452" t="s">
        <v>285</v>
      </c>
      <c r="E452" t="s">
        <v>368</v>
      </c>
      <c r="F452">
        <v>6</v>
      </c>
      <c r="P452" t="s">
        <v>369</v>
      </c>
      <c r="Q452">
        <v>14</v>
      </c>
      <c r="R452" t="s">
        <v>296</v>
      </c>
      <c r="S452" t="s">
        <v>1</v>
      </c>
      <c r="T452">
        <v>1</v>
      </c>
    </row>
    <row r="453" spans="4:20" ht="15.75" customHeight="1" x14ac:dyDescent="0.2">
      <c r="D453" t="s">
        <v>285</v>
      </c>
      <c r="E453" t="s">
        <v>368</v>
      </c>
      <c r="F453">
        <v>6</v>
      </c>
      <c r="P453" t="s">
        <v>369</v>
      </c>
      <c r="Q453">
        <v>14</v>
      </c>
      <c r="R453" t="s">
        <v>297</v>
      </c>
      <c r="S453" t="s">
        <v>18</v>
      </c>
      <c r="T453">
        <v>1</v>
      </c>
    </row>
    <row r="454" spans="4:20" ht="15.75" customHeight="1" x14ac:dyDescent="0.2">
      <c r="D454" t="s">
        <v>285</v>
      </c>
      <c r="E454" t="s">
        <v>368</v>
      </c>
      <c r="F454">
        <v>6</v>
      </c>
      <c r="P454" t="s">
        <v>369</v>
      </c>
      <c r="Q454">
        <v>14</v>
      </c>
      <c r="R454" t="s">
        <v>298</v>
      </c>
      <c r="S454" t="s">
        <v>19</v>
      </c>
      <c r="T454">
        <v>0</v>
      </c>
    </row>
    <row r="455" spans="4:20" ht="15.75" customHeight="1" x14ac:dyDescent="0.2">
      <c r="D455" t="s">
        <v>285</v>
      </c>
      <c r="E455" t="s">
        <v>368</v>
      </c>
      <c r="F455">
        <v>6</v>
      </c>
      <c r="P455" t="s">
        <v>369</v>
      </c>
      <c r="Q455">
        <v>14</v>
      </c>
      <c r="R455" t="s">
        <v>299</v>
      </c>
      <c r="S455" t="s">
        <v>20</v>
      </c>
      <c r="T455">
        <v>0</v>
      </c>
    </row>
    <row r="456" spans="4:20" ht="15.75" customHeight="1" x14ac:dyDescent="0.2">
      <c r="D456" t="s">
        <v>285</v>
      </c>
      <c r="E456" t="s">
        <v>368</v>
      </c>
      <c r="F456">
        <v>6</v>
      </c>
      <c r="P456" t="s">
        <v>370</v>
      </c>
      <c r="Q456">
        <v>15</v>
      </c>
      <c r="R456" t="s">
        <v>288</v>
      </c>
      <c r="S456" t="s">
        <v>2</v>
      </c>
      <c r="T456">
        <v>3</v>
      </c>
    </row>
    <row r="457" spans="4:20" ht="15.75" customHeight="1" x14ac:dyDescent="0.2">
      <c r="D457" t="s">
        <v>285</v>
      </c>
      <c r="E457" t="s">
        <v>368</v>
      </c>
      <c r="F457">
        <v>6</v>
      </c>
      <c r="P457" t="s">
        <v>370</v>
      </c>
      <c r="Q457">
        <v>15</v>
      </c>
      <c r="R457" t="s">
        <v>289</v>
      </c>
      <c r="S457" t="s">
        <v>5</v>
      </c>
      <c r="T457">
        <v>1</v>
      </c>
    </row>
    <row r="458" spans="4:20" ht="15.75" customHeight="1" x14ac:dyDescent="0.2">
      <c r="D458" t="s">
        <v>285</v>
      </c>
      <c r="E458" t="s">
        <v>368</v>
      </c>
      <c r="F458">
        <v>6</v>
      </c>
      <c r="P458" t="s">
        <v>370</v>
      </c>
      <c r="Q458">
        <v>15</v>
      </c>
      <c r="R458" t="s">
        <v>290</v>
      </c>
      <c r="S458" t="s">
        <v>3</v>
      </c>
      <c r="T458">
        <v>0.25</v>
      </c>
    </row>
    <row r="459" spans="4:20" ht="15.75" customHeight="1" x14ac:dyDescent="0.2">
      <c r="D459" t="s">
        <v>285</v>
      </c>
      <c r="E459" t="s">
        <v>368</v>
      </c>
      <c r="F459">
        <v>6</v>
      </c>
      <c r="P459" t="s">
        <v>370</v>
      </c>
      <c r="Q459">
        <v>15</v>
      </c>
      <c r="R459" t="s">
        <v>291</v>
      </c>
      <c r="S459" t="s">
        <v>4</v>
      </c>
      <c r="T459">
        <v>2</v>
      </c>
    </row>
    <row r="460" spans="4:20" ht="15.75" customHeight="1" x14ac:dyDescent="0.2">
      <c r="D460" t="s">
        <v>285</v>
      </c>
      <c r="E460" t="s">
        <v>368</v>
      </c>
      <c r="F460">
        <v>6</v>
      </c>
      <c r="P460" t="s">
        <v>370</v>
      </c>
      <c r="Q460">
        <v>15</v>
      </c>
      <c r="R460" t="s">
        <v>292</v>
      </c>
      <c r="S460" t="s">
        <v>6</v>
      </c>
      <c r="T460">
        <v>0</v>
      </c>
    </row>
    <row r="461" spans="4:20" ht="15.75" customHeight="1" x14ac:dyDescent="0.2">
      <c r="D461" t="s">
        <v>285</v>
      </c>
      <c r="E461" t="s">
        <v>368</v>
      </c>
      <c r="F461">
        <v>6</v>
      </c>
      <c r="P461" t="s">
        <v>370</v>
      </c>
      <c r="Q461">
        <v>15</v>
      </c>
      <c r="R461" t="s">
        <v>243</v>
      </c>
      <c r="S461" t="s">
        <v>7</v>
      </c>
      <c r="T461">
        <v>10.2857</v>
      </c>
    </row>
    <row r="462" spans="4:20" ht="15.75" customHeight="1" x14ac:dyDescent="0.2">
      <c r="D462" t="s">
        <v>285</v>
      </c>
      <c r="E462" t="s">
        <v>368</v>
      </c>
      <c r="F462">
        <v>6</v>
      </c>
      <c r="P462" t="s">
        <v>370</v>
      </c>
      <c r="Q462">
        <v>15</v>
      </c>
      <c r="R462" t="s">
        <v>245</v>
      </c>
      <c r="S462" t="s">
        <v>8</v>
      </c>
      <c r="T462">
        <v>1092.3242</v>
      </c>
    </row>
    <row r="463" spans="4:20" ht="15.75" customHeight="1" x14ac:dyDescent="0.2">
      <c r="D463" t="s">
        <v>285</v>
      </c>
      <c r="E463" t="s">
        <v>368</v>
      </c>
      <c r="F463">
        <v>6</v>
      </c>
      <c r="P463" t="s">
        <v>370</v>
      </c>
      <c r="Q463">
        <v>15</v>
      </c>
      <c r="R463" t="s">
        <v>247</v>
      </c>
      <c r="S463" t="s">
        <v>9</v>
      </c>
      <c r="T463">
        <v>3.5400000000000001E-2</v>
      </c>
    </row>
    <row r="464" spans="4:20" ht="15.75" customHeight="1" x14ac:dyDescent="0.2">
      <c r="D464" t="s">
        <v>285</v>
      </c>
      <c r="E464" t="s">
        <v>368</v>
      </c>
      <c r="F464">
        <v>6</v>
      </c>
      <c r="P464" t="s">
        <v>370</v>
      </c>
      <c r="Q464">
        <v>15</v>
      </c>
      <c r="R464" t="s">
        <v>249</v>
      </c>
      <c r="S464" t="s">
        <v>10</v>
      </c>
      <c r="T464">
        <v>25</v>
      </c>
    </row>
    <row r="465" spans="4:20" ht="15.75" customHeight="1" x14ac:dyDescent="0.2">
      <c r="D465" t="s">
        <v>285</v>
      </c>
      <c r="E465" t="s">
        <v>368</v>
      </c>
      <c r="F465">
        <v>6</v>
      </c>
      <c r="P465" t="s">
        <v>370</v>
      </c>
      <c r="Q465">
        <v>15</v>
      </c>
      <c r="R465" t="s">
        <v>251</v>
      </c>
      <c r="S465" t="s">
        <v>11</v>
      </c>
      <c r="T465">
        <v>19</v>
      </c>
    </row>
    <row r="466" spans="4:20" ht="15.75" customHeight="1" x14ac:dyDescent="0.2">
      <c r="D466" t="s">
        <v>285</v>
      </c>
      <c r="E466" t="s">
        <v>368</v>
      </c>
      <c r="F466">
        <v>6</v>
      </c>
      <c r="P466" t="s">
        <v>370</v>
      </c>
      <c r="Q466">
        <v>15</v>
      </c>
      <c r="R466" t="s">
        <v>253</v>
      </c>
      <c r="S466" t="s">
        <v>12</v>
      </c>
      <c r="T466">
        <v>106.1982</v>
      </c>
    </row>
    <row r="467" spans="4:20" ht="15.75" customHeight="1" x14ac:dyDescent="0.2">
      <c r="D467" t="s">
        <v>285</v>
      </c>
      <c r="E467" t="s">
        <v>368</v>
      </c>
      <c r="F467">
        <v>6</v>
      </c>
      <c r="P467" t="s">
        <v>370</v>
      </c>
      <c r="Q467">
        <v>15</v>
      </c>
      <c r="R467" t="s">
        <v>255</v>
      </c>
      <c r="S467" t="s">
        <v>15</v>
      </c>
      <c r="T467">
        <v>23</v>
      </c>
    </row>
    <row r="468" spans="4:20" ht="15.75" customHeight="1" x14ac:dyDescent="0.2">
      <c r="D468" t="s">
        <v>285</v>
      </c>
      <c r="E468" t="s">
        <v>368</v>
      </c>
      <c r="F468">
        <v>6</v>
      </c>
      <c r="P468" t="s">
        <v>370</v>
      </c>
      <c r="Q468">
        <v>15</v>
      </c>
      <c r="R468" t="s">
        <v>293</v>
      </c>
      <c r="S468" t="s">
        <v>13</v>
      </c>
      <c r="T468">
        <v>0.5</v>
      </c>
    </row>
    <row r="469" spans="4:20" ht="15.75" customHeight="1" x14ac:dyDescent="0.2">
      <c r="D469" t="s">
        <v>285</v>
      </c>
      <c r="E469" t="s">
        <v>368</v>
      </c>
      <c r="F469">
        <v>6</v>
      </c>
      <c r="P469" t="s">
        <v>370</v>
      </c>
      <c r="Q469">
        <v>15</v>
      </c>
      <c r="R469" t="s">
        <v>294</v>
      </c>
      <c r="S469" t="s">
        <v>14</v>
      </c>
      <c r="T469">
        <v>0</v>
      </c>
    </row>
    <row r="470" spans="4:20" ht="15.75" customHeight="1" x14ac:dyDescent="0.2">
      <c r="D470" t="s">
        <v>285</v>
      </c>
      <c r="E470" t="s">
        <v>368</v>
      </c>
      <c r="F470">
        <v>6</v>
      </c>
      <c r="P470" t="s">
        <v>370</v>
      </c>
      <c r="Q470">
        <v>15</v>
      </c>
      <c r="R470" t="s">
        <v>257</v>
      </c>
      <c r="S470" t="s">
        <v>16</v>
      </c>
      <c r="T470">
        <v>55.927599999999998</v>
      </c>
    </row>
    <row r="471" spans="4:20" ht="15.75" customHeight="1" x14ac:dyDescent="0.2">
      <c r="D471" t="s">
        <v>285</v>
      </c>
      <c r="E471" t="s">
        <v>368</v>
      </c>
      <c r="F471">
        <v>6</v>
      </c>
      <c r="P471" t="s">
        <v>370</v>
      </c>
      <c r="Q471">
        <v>15</v>
      </c>
      <c r="R471" t="s">
        <v>295</v>
      </c>
      <c r="S471" t="s">
        <v>17</v>
      </c>
      <c r="T471">
        <v>1</v>
      </c>
    </row>
    <row r="472" spans="4:20" ht="15.75" customHeight="1" x14ac:dyDescent="0.2">
      <c r="D472" t="s">
        <v>285</v>
      </c>
      <c r="E472" t="s">
        <v>368</v>
      </c>
      <c r="F472">
        <v>6</v>
      </c>
      <c r="P472" t="s">
        <v>370</v>
      </c>
      <c r="Q472">
        <v>15</v>
      </c>
      <c r="R472" t="s">
        <v>296</v>
      </c>
      <c r="S472" t="s">
        <v>1</v>
      </c>
      <c r="T472">
        <v>4</v>
      </c>
    </row>
    <row r="473" spans="4:20" ht="15.75" customHeight="1" x14ac:dyDescent="0.2">
      <c r="D473" t="s">
        <v>285</v>
      </c>
      <c r="E473" t="s">
        <v>368</v>
      </c>
      <c r="F473">
        <v>6</v>
      </c>
      <c r="P473" t="s">
        <v>370</v>
      </c>
      <c r="Q473">
        <v>15</v>
      </c>
      <c r="R473" t="s">
        <v>297</v>
      </c>
      <c r="S473" t="s">
        <v>18</v>
      </c>
      <c r="T473">
        <v>4</v>
      </c>
    </row>
    <row r="474" spans="4:20" ht="15.75" customHeight="1" x14ac:dyDescent="0.2">
      <c r="D474" t="s">
        <v>285</v>
      </c>
      <c r="E474" t="s">
        <v>368</v>
      </c>
      <c r="F474">
        <v>6</v>
      </c>
      <c r="P474" t="s">
        <v>370</v>
      </c>
      <c r="Q474">
        <v>15</v>
      </c>
      <c r="R474" t="s">
        <v>298</v>
      </c>
      <c r="S474" t="s">
        <v>19</v>
      </c>
      <c r="T474">
        <v>0</v>
      </c>
    </row>
    <row r="475" spans="4:20" ht="15.75" customHeight="1" x14ac:dyDescent="0.2">
      <c r="D475" t="s">
        <v>285</v>
      </c>
      <c r="E475" t="s">
        <v>368</v>
      </c>
      <c r="F475">
        <v>6</v>
      </c>
      <c r="P475" t="s">
        <v>370</v>
      </c>
      <c r="Q475">
        <v>15</v>
      </c>
      <c r="R475" t="s">
        <v>299</v>
      </c>
      <c r="S475" t="s">
        <v>20</v>
      </c>
      <c r="T475">
        <v>1</v>
      </c>
    </row>
    <row r="476" spans="4:20" ht="15.75" customHeight="1" x14ac:dyDescent="0.2">
      <c r="D476" t="s">
        <v>285</v>
      </c>
      <c r="E476" t="s">
        <v>368</v>
      </c>
      <c r="F476">
        <v>6</v>
      </c>
      <c r="P476" t="s">
        <v>371</v>
      </c>
      <c r="Q476">
        <v>16</v>
      </c>
      <c r="R476" t="s">
        <v>288</v>
      </c>
      <c r="S476" t="s">
        <v>2</v>
      </c>
      <c r="T476">
        <v>2</v>
      </c>
    </row>
    <row r="477" spans="4:20" ht="15.75" customHeight="1" x14ac:dyDescent="0.2">
      <c r="D477" t="s">
        <v>285</v>
      </c>
      <c r="E477" t="s">
        <v>368</v>
      </c>
      <c r="F477">
        <v>6</v>
      </c>
      <c r="P477" t="s">
        <v>371</v>
      </c>
      <c r="Q477">
        <v>16</v>
      </c>
      <c r="R477" t="s">
        <v>289</v>
      </c>
      <c r="S477" t="s">
        <v>5</v>
      </c>
      <c r="T477">
        <v>1</v>
      </c>
    </row>
    <row r="478" spans="4:20" ht="15.75" customHeight="1" x14ac:dyDescent="0.2">
      <c r="D478" t="s">
        <v>285</v>
      </c>
      <c r="E478" t="s">
        <v>368</v>
      </c>
      <c r="F478">
        <v>6</v>
      </c>
      <c r="P478" t="s">
        <v>371</v>
      </c>
      <c r="Q478">
        <v>16</v>
      </c>
      <c r="R478" t="s">
        <v>290</v>
      </c>
      <c r="S478" t="s">
        <v>3</v>
      </c>
      <c r="T478">
        <v>0.66669999999999996</v>
      </c>
    </row>
    <row r="479" spans="4:20" ht="15.75" customHeight="1" x14ac:dyDescent="0.2">
      <c r="D479" t="s">
        <v>285</v>
      </c>
      <c r="E479" t="s">
        <v>368</v>
      </c>
      <c r="F479">
        <v>6</v>
      </c>
      <c r="P479" t="s">
        <v>371</v>
      </c>
      <c r="Q479">
        <v>16</v>
      </c>
      <c r="R479" t="s">
        <v>291</v>
      </c>
      <c r="S479" t="s">
        <v>4</v>
      </c>
      <c r="T479">
        <v>3</v>
      </c>
    </row>
    <row r="480" spans="4:20" ht="15.75" customHeight="1" x14ac:dyDescent="0.2">
      <c r="D480" t="s">
        <v>285</v>
      </c>
      <c r="E480" t="s">
        <v>368</v>
      </c>
      <c r="F480">
        <v>6</v>
      </c>
      <c r="P480" t="s">
        <v>371</v>
      </c>
      <c r="Q480">
        <v>16</v>
      </c>
      <c r="R480" t="s">
        <v>292</v>
      </c>
      <c r="S480" t="s">
        <v>6</v>
      </c>
      <c r="T480">
        <v>0</v>
      </c>
    </row>
    <row r="481" spans="4:20" ht="15.75" customHeight="1" x14ac:dyDescent="0.2">
      <c r="D481" t="s">
        <v>285</v>
      </c>
      <c r="E481" t="s">
        <v>368</v>
      </c>
      <c r="F481">
        <v>6</v>
      </c>
      <c r="P481" t="s">
        <v>371</v>
      </c>
      <c r="Q481">
        <v>16</v>
      </c>
      <c r="R481" t="s">
        <v>243</v>
      </c>
      <c r="S481" t="s">
        <v>7</v>
      </c>
      <c r="T481">
        <v>10.2143</v>
      </c>
    </row>
    <row r="482" spans="4:20" ht="15.75" customHeight="1" x14ac:dyDescent="0.2">
      <c r="D482" t="s">
        <v>285</v>
      </c>
      <c r="E482" t="s">
        <v>368</v>
      </c>
      <c r="F482">
        <v>6</v>
      </c>
      <c r="P482" t="s">
        <v>371</v>
      </c>
      <c r="Q482">
        <v>16</v>
      </c>
      <c r="R482" t="s">
        <v>245</v>
      </c>
      <c r="S482" t="s">
        <v>8</v>
      </c>
      <c r="T482">
        <v>1103.6351999999999</v>
      </c>
    </row>
    <row r="483" spans="4:20" ht="15.75" customHeight="1" x14ac:dyDescent="0.2">
      <c r="D483" t="s">
        <v>285</v>
      </c>
      <c r="E483" t="s">
        <v>368</v>
      </c>
      <c r="F483">
        <v>6</v>
      </c>
      <c r="P483" t="s">
        <v>371</v>
      </c>
      <c r="Q483">
        <v>16</v>
      </c>
      <c r="R483" t="s">
        <v>247</v>
      </c>
      <c r="S483" t="s">
        <v>9</v>
      </c>
      <c r="T483">
        <v>3.56E-2</v>
      </c>
    </row>
    <row r="484" spans="4:20" ht="15.75" customHeight="1" x14ac:dyDescent="0.2">
      <c r="D484" t="s">
        <v>285</v>
      </c>
      <c r="E484" t="s">
        <v>368</v>
      </c>
      <c r="F484">
        <v>6</v>
      </c>
      <c r="P484" t="s">
        <v>371</v>
      </c>
      <c r="Q484">
        <v>16</v>
      </c>
      <c r="R484" t="s">
        <v>249</v>
      </c>
      <c r="S484" t="s">
        <v>10</v>
      </c>
      <c r="T484">
        <v>25</v>
      </c>
    </row>
    <row r="485" spans="4:20" ht="15.75" customHeight="1" x14ac:dyDescent="0.2">
      <c r="D485" t="s">
        <v>285</v>
      </c>
      <c r="E485" t="s">
        <v>368</v>
      </c>
      <c r="F485">
        <v>6</v>
      </c>
      <c r="P485" t="s">
        <v>371</v>
      </c>
      <c r="Q485">
        <v>16</v>
      </c>
      <c r="R485" t="s">
        <v>251</v>
      </c>
      <c r="S485" t="s">
        <v>11</v>
      </c>
      <c r="T485">
        <v>20</v>
      </c>
    </row>
    <row r="486" spans="4:20" ht="15.75" customHeight="1" x14ac:dyDescent="0.2">
      <c r="D486" t="s">
        <v>285</v>
      </c>
      <c r="E486" t="s">
        <v>368</v>
      </c>
      <c r="F486">
        <v>6</v>
      </c>
      <c r="P486" t="s">
        <v>371</v>
      </c>
      <c r="Q486">
        <v>16</v>
      </c>
      <c r="R486" t="s">
        <v>253</v>
      </c>
      <c r="S486" t="s">
        <v>12</v>
      </c>
      <c r="T486">
        <v>108.04819999999999</v>
      </c>
    </row>
    <row r="487" spans="4:20" ht="15.75" customHeight="1" x14ac:dyDescent="0.2">
      <c r="D487" t="s">
        <v>285</v>
      </c>
      <c r="E487" t="s">
        <v>368</v>
      </c>
      <c r="F487">
        <v>6</v>
      </c>
      <c r="P487" t="s">
        <v>371</v>
      </c>
      <c r="Q487">
        <v>16</v>
      </c>
      <c r="R487" t="s">
        <v>255</v>
      </c>
      <c r="S487" t="s">
        <v>15</v>
      </c>
      <c r="T487">
        <v>16</v>
      </c>
    </row>
    <row r="488" spans="4:20" ht="15.75" customHeight="1" x14ac:dyDescent="0.2">
      <c r="D488" t="s">
        <v>285</v>
      </c>
      <c r="E488" t="s">
        <v>368</v>
      </c>
      <c r="F488">
        <v>6</v>
      </c>
      <c r="P488" t="s">
        <v>371</v>
      </c>
      <c r="Q488">
        <v>16</v>
      </c>
      <c r="R488" t="s">
        <v>293</v>
      </c>
      <c r="S488" t="s">
        <v>13</v>
      </c>
      <c r="T488">
        <v>1</v>
      </c>
    </row>
    <row r="489" spans="4:20" ht="15.75" customHeight="1" x14ac:dyDescent="0.2">
      <c r="D489" t="s">
        <v>285</v>
      </c>
      <c r="E489" t="s">
        <v>368</v>
      </c>
      <c r="F489">
        <v>6</v>
      </c>
      <c r="P489" t="s">
        <v>371</v>
      </c>
      <c r="Q489">
        <v>16</v>
      </c>
      <c r="R489" t="s">
        <v>294</v>
      </c>
      <c r="S489" t="s">
        <v>14</v>
      </c>
      <c r="T489">
        <v>1</v>
      </c>
    </row>
    <row r="490" spans="4:20" ht="15.75" customHeight="1" x14ac:dyDescent="0.2">
      <c r="D490" t="s">
        <v>285</v>
      </c>
      <c r="E490" t="s">
        <v>368</v>
      </c>
      <c r="F490">
        <v>6</v>
      </c>
      <c r="P490" t="s">
        <v>371</v>
      </c>
      <c r="Q490">
        <v>16</v>
      </c>
      <c r="R490" t="s">
        <v>257</v>
      </c>
      <c r="S490" t="s">
        <v>16</v>
      </c>
      <c r="T490">
        <v>59.347499999999997</v>
      </c>
    </row>
    <row r="491" spans="4:20" ht="15.75" customHeight="1" x14ac:dyDescent="0.2">
      <c r="D491" t="s">
        <v>285</v>
      </c>
      <c r="E491" t="s">
        <v>368</v>
      </c>
      <c r="F491">
        <v>6</v>
      </c>
      <c r="P491" t="s">
        <v>371</v>
      </c>
      <c r="Q491">
        <v>16</v>
      </c>
      <c r="R491" t="s">
        <v>295</v>
      </c>
      <c r="S491" t="s">
        <v>17</v>
      </c>
      <c r="T491">
        <v>1</v>
      </c>
    </row>
    <row r="492" spans="4:20" ht="15.75" customHeight="1" x14ac:dyDescent="0.2">
      <c r="D492" t="s">
        <v>285</v>
      </c>
      <c r="E492" t="s">
        <v>368</v>
      </c>
      <c r="F492">
        <v>6</v>
      </c>
      <c r="P492" t="s">
        <v>371</v>
      </c>
      <c r="Q492">
        <v>16</v>
      </c>
      <c r="R492" t="s">
        <v>296</v>
      </c>
      <c r="S492" t="s">
        <v>1</v>
      </c>
      <c r="T492">
        <v>3</v>
      </c>
    </row>
    <row r="493" spans="4:20" ht="15.75" customHeight="1" x14ac:dyDescent="0.2">
      <c r="D493" t="s">
        <v>285</v>
      </c>
      <c r="E493" t="s">
        <v>368</v>
      </c>
      <c r="F493">
        <v>6</v>
      </c>
      <c r="P493" t="s">
        <v>371</v>
      </c>
      <c r="Q493">
        <v>16</v>
      </c>
      <c r="R493" t="s">
        <v>297</v>
      </c>
      <c r="S493" t="s">
        <v>18</v>
      </c>
      <c r="T493">
        <v>3</v>
      </c>
    </row>
    <row r="494" spans="4:20" ht="15.75" customHeight="1" x14ac:dyDescent="0.2">
      <c r="D494" t="s">
        <v>285</v>
      </c>
      <c r="E494" t="s">
        <v>368</v>
      </c>
      <c r="F494">
        <v>6</v>
      </c>
      <c r="P494" t="s">
        <v>371</v>
      </c>
      <c r="Q494">
        <v>16</v>
      </c>
      <c r="R494" t="s">
        <v>298</v>
      </c>
      <c r="S494" t="s">
        <v>19</v>
      </c>
      <c r="T494">
        <v>1</v>
      </c>
    </row>
    <row r="495" spans="4:20" ht="15.75" customHeight="1" x14ac:dyDescent="0.2">
      <c r="D495" t="s">
        <v>285</v>
      </c>
      <c r="E495" t="s">
        <v>368</v>
      </c>
      <c r="F495">
        <v>6</v>
      </c>
      <c r="P495" t="s">
        <v>371</v>
      </c>
      <c r="Q495">
        <v>16</v>
      </c>
      <c r="R495" t="s">
        <v>299</v>
      </c>
      <c r="S495" t="s">
        <v>20</v>
      </c>
      <c r="T495">
        <v>1</v>
      </c>
    </row>
    <row r="496" spans="4:20" ht="15.75" customHeight="1" x14ac:dyDescent="0.2">
      <c r="D496" t="s">
        <v>285</v>
      </c>
      <c r="E496" t="s">
        <v>368</v>
      </c>
      <c r="F496">
        <v>6</v>
      </c>
      <c r="P496" t="s">
        <v>372</v>
      </c>
      <c r="Q496">
        <v>17</v>
      </c>
      <c r="R496" t="s">
        <v>288</v>
      </c>
      <c r="S496" t="s">
        <v>2</v>
      </c>
      <c r="T496">
        <v>3</v>
      </c>
    </row>
    <row r="497" spans="4:20" ht="15.75" customHeight="1" x14ac:dyDescent="0.2">
      <c r="D497" t="s">
        <v>285</v>
      </c>
      <c r="E497" t="s">
        <v>368</v>
      </c>
      <c r="F497">
        <v>6</v>
      </c>
      <c r="P497" t="s">
        <v>372</v>
      </c>
      <c r="Q497">
        <v>17</v>
      </c>
      <c r="R497" t="s">
        <v>289</v>
      </c>
      <c r="S497" t="s">
        <v>5</v>
      </c>
      <c r="T497">
        <v>1</v>
      </c>
    </row>
    <row r="498" spans="4:20" ht="15.75" customHeight="1" x14ac:dyDescent="0.2">
      <c r="D498" t="s">
        <v>285</v>
      </c>
      <c r="E498" t="s">
        <v>368</v>
      </c>
      <c r="F498">
        <v>6</v>
      </c>
      <c r="P498" t="s">
        <v>372</v>
      </c>
      <c r="Q498">
        <v>17</v>
      </c>
      <c r="R498" t="s">
        <v>290</v>
      </c>
      <c r="S498" t="s">
        <v>3</v>
      </c>
      <c r="T498">
        <v>0.75</v>
      </c>
    </row>
    <row r="499" spans="4:20" ht="15.75" customHeight="1" x14ac:dyDescent="0.2">
      <c r="D499" t="s">
        <v>285</v>
      </c>
      <c r="E499" t="s">
        <v>368</v>
      </c>
      <c r="F499">
        <v>6</v>
      </c>
      <c r="P499" t="s">
        <v>372</v>
      </c>
      <c r="Q499">
        <v>17</v>
      </c>
      <c r="R499" t="s">
        <v>291</v>
      </c>
      <c r="S499" t="s">
        <v>4</v>
      </c>
      <c r="T499">
        <v>3</v>
      </c>
    </row>
    <row r="500" spans="4:20" ht="15.75" customHeight="1" x14ac:dyDescent="0.2">
      <c r="D500" t="s">
        <v>285</v>
      </c>
      <c r="E500" t="s">
        <v>368</v>
      </c>
      <c r="F500">
        <v>6</v>
      </c>
      <c r="P500" t="s">
        <v>372</v>
      </c>
      <c r="Q500">
        <v>17</v>
      </c>
      <c r="R500" t="s">
        <v>292</v>
      </c>
      <c r="S500" t="s">
        <v>6</v>
      </c>
      <c r="T500">
        <v>1</v>
      </c>
    </row>
    <row r="501" spans="4:20" ht="15.75" customHeight="1" x14ac:dyDescent="0.2">
      <c r="D501" t="s">
        <v>285</v>
      </c>
      <c r="E501" t="s">
        <v>368</v>
      </c>
      <c r="F501">
        <v>6</v>
      </c>
      <c r="P501" t="s">
        <v>372</v>
      </c>
      <c r="Q501">
        <v>17</v>
      </c>
      <c r="R501" t="s">
        <v>243</v>
      </c>
      <c r="S501" t="s">
        <v>7</v>
      </c>
      <c r="T501">
        <v>14.375</v>
      </c>
    </row>
    <row r="502" spans="4:20" ht="15.75" customHeight="1" x14ac:dyDescent="0.2">
      <c r="D502" t="s">
        <v>285</v>
      </c>
      <c r="E502" t="s">
        <v>368</v>
      </c>
      <c r="F502">
        <v>6</v>
      </c>
      <c r="P502" t="s">
        <v>372</v>
      </c>
      <c r="Q502">
        <v>17</v>
      </c>
      <c r="R502" t="s">
        <v>245</v>
      </c>
      <c r="S502" t="s">
        <v>8</v>
      </c>
      <c r="T502">
        <v>2597.3573000000001</v>
      </c>
    </row>
    <row r="503" spans="4:20" ht="15.75" customHeight="1" x14ac:dyDescent="0.2">
      <c r="D503" t="s">
        <v>285</v>
      </c>
      <c r="E503" t="s">
        <v>368</v>
      </c>
      <c r="F503">
        <v>6</v>
      </c>
      <c r="P503" t="s">
        <v>372</v>
      </c>
      <c r="Q503">
        <v>17</v>
      </c>
      <c r="R503" t="s">
        <v>247</v>
      </c>
      <c r="S503" t="s">
        <v>9</v>
      </c>
      <c r="T503">
        <v>6.3E-2</v>
      </c>
    </row>
    <row r="504" spans="4:20" ht="15.75" customHeight="1" x14ac:dyDescent="0.2">
      <c r="D504" t="s">
        <v>285</v>
      </c>
      <c r="E504" t="s">
        <v>368</v>
      </c>
      <c r="F504">
        <v>6</v>
      </c>
      <c r="P504" t="s">
        <v>372</v>
      </c>
      <c r="Q504">
        <v>17</v>
      </c>
      <c r="R504" t="s">
        <v>249</v>
      </c>
      <c r="S504" t="s">
        <v>10</v>
      </c>
      <c r="T504">
        <v>38</v>
      </c>
    </row>
    <row r="505" spans="4:20" ht="15.75" customHeight="1" x14ac:dyDescent="0.2">
      <c r="D505" t="s">
        <v>285</v>
      </c>
      <c r="E505" t="s">
        <v>368</v>
      </c>
      <c r="F505">
        <v>6</v>
      </c>
      <c r="P505" t="s">
        <v>372</v>
      </c>
      <c r="Q505">
        <v>17</v>
      </c>
      <c r="R505" t="s">
        <v>251</v>
      </c>
      <c r="S505" t="s">
        <v>11</v>
      </c>
      <c r="T505">
        <v>27</v>
      </c>
    </row>
    <row r="506" spans="4:20" ht="15.75" customHeight="1" x14ac:dyDescent="0.2">
      <c r="D506" t="s">
        <v>285</v>
      </c>
      <c r="E506" t="s">
        <v>368</v>
      </c>
      <c r="F506">
        <v>6</v>
      </c>
      <c r="P506" t="s">
        <v>372</v>
      </c>
      <c r="Q506">
        <v>17</v>
      </c>
      <c r="R506" t="s">
        <v>253</v>
      </c>
      <c r="S506" t="s">
        <v>12</v>
      </c>
      <c r="T506">
        <v>180.6857</v>
      </c>
    </row>
    <row r="507" spans="4:20" ht="15.75" customHeight="1" x14ac:dyDescent="0.2">
      <c r="D507" t="s">
        <v>285</v>
      </c>
      <c r="E507" t="s">
        <v>368</v>
      </c>
      <c r="F507">
        <v>6</v>
      </c>
      <c r="P507" t="s">
        <v>372</v>
      </c>
      <c r="Q507">
        <v>17</v>
      </c>
      <c r="R507" t="s">
        <v>255</v>
      </c>
      <c r="S507" t="s">
        <v>15</v>
      </c>
      <c r="T507">
        <v>27</v>
      </c>
    </row>
    <row r="508" spans="4:20" ht="15.75" customHeight="1" x14ac:dyDescent="0.2">
      <c r="D508" t="s">
        <v>285</v>
      </c>
      <c r="E508" t="s">
        <v>368</v>
      </c>
      <c r="F508">
        <v>6</v>
      </c>
      <c r="P508" t="s">
        <v>372</v>
      </c>
      <c r="Q508">
        <v>17</v>
      </c>
      <c r="R508" t="s">
        <v>293</v>
      </c>
      <c r="S508" t="s">
        <v>13</v>
      </c>
      <c r="T508">
        <v>0</v>
      </c>
    </row>
    <row r="509" spans="4:20" ht="15.75" customHeight="1" x14ac:dyDescent="0.2">
      <c r="D509" t="s">
        <v>285</v>
      </c>
      <c r="E509" t="s">
        <v>368</v>
      </c>
      <c r="F509">
        <v>6</v>
      </c>
      <c r="P509" t="s">
        <v>372</v>
      </c>
      <c r="Q509">
        <v>17</v>
      </c>
      <c r="R509" t="s">
        <v>294</v>
      </c>
      <c r="S509" t="s">
        <v>14</v>
      </c>
      <c r="T509">
        <v>1</v>
      </c>
    </row>
    <row r="510" spans="4:20" ht="15.75" customHeight="1" x14ac:dyDescent="0.2">
      <c r="D510" t="s">
        <v>285</v>
      </c>
      <c r="E510" t="s">
        <v>368</v>
      </c>
      <c r="F510">
        <v>6</v>
      </c>
      <c r="P510" t="s">
        <v>372</v>
      </c>
      <c r="Q510">
        <v>17</v>
      </c>
      <c r="R510" t="s">
        <v>257</v>
      </c>
      <c r="S510" t="s">
        <v>16</v>
      </c>
      <c r="T510">
        <v>52.798400000000001</v>
      </c>
    </row>
    <row r="511" spans="4:20" ht="15.75" customHeight="1" x14ac:dyDescent="0.2">
      <c r="D511" t="s">
        <v>285</v>
      </c>
      <c r="E511" t="s">
        <v>368</v>
      </c>
      <c r="F511">
        <v>6</v>
      </c>
      <c r="P511" t="s">
        <v>372</v>
      </c>
      <c r="Q511">
        <v>17</v>
      </c>
      <c r="R511" t="s">
        <v>295</v>
      </c>
      <c r="S511" t="s">
        <v>17</v>
      </c>
      <c r="T511">
        <v>2</v>
      </c>
    </row>
    <row r="512" spans="4:20" ht="15.75" customHeight="1" x14ac:dyDescent="0.2">
      <c r="D512" t="s">
        <v>285</v>
      </c>
      <c r="E512" t="s">
        <v>368</v>
      </c>
      <c r="F512">
        <v>6</v>
      </c>
      <c r="P512" t="s">
        <v>372</v>
      </c>
      <c r="Q512">
        <v>17</v>
      </c>
      <c r="R512" t="s">
        <v>296</v>
      </c>
      <c r="S512" t="s">
        <v>1</v>
      </c>
      <c r="T512">
        <v>4</v>
      </c>
    </row>
    <row r="513" spans="4:20" ht="15.75" customHeight="1" x14ac:dyDescent="0.2">
      <c r="D513" t="s">
        <v>285</v>
      </c>
      <c r="E513" t="s">
        <v>368</v>
      </c>
      <c r="F513">
        <v>6</v>
      </c>
      <c r="P513" t="s">
        <v>372</v>
      </c>
      <c r="Q513">
        <v>17</v>
      </c>
      <c r="R513" t="s">
        <v>297</v>
      </c>
      <c r="S513" t="s">
        <v>18</v>
      </c>
      <c r="T513">
        <v>5</v>
      </c>
    </row>
    <row r="514" spans="4:20" ht="15.75" customHeight="1" x14ac:dyDescent="0.2">
      <c r="D514" t="s">
        <v>285</v>
      </c>
      <c r="E514" t="s">
        <v>368</v>
      </c>
      <c r="F514">
        <v>6</v>
      </c>
      <c r="P514" t="s">
        <v>372</v>
      </c>
      <c r="Q514">
        <v>17</v>
      </c>
      <c r="R514" t="s">
        <v>298</v>
      </c>
      <c r="S514" t="s">
        <v>19</v>
      </c>
      <c r="T514">
        <v>1</v>
      </c>
    </row>
    <row r="515" spans="4:20" ht="15.75" customHeight="1" x14ac:dyDescent="0.2">
      <c r="D515" t="s">
        <v>285</v>
      </c>
      <c r="E515" t="s">
        <v>368</v>
      </c>
      <c r="F515">
        <v>6</v>
      </c>
      <c r="P515" t="s">
        <v>372</v>
      </c>
      <c r="Q515">
        <v>17</v>
      </c>
      <c r="R515" t="s">
        <v>299</v>
      </c>
      <c r="S515" t="s">
        <v>20</v>
      </c>
      <c r="T515">
        <v>0</v>
      </c>
    </row>
    <row r="516" spans="4:20" ht="15.75" customHeight="1" x14ac:dyDescent="0.2">
      <c r="D516" t="s">
        <v>285</v>
      </c>
      <c r="E516" t="s">
        <v>368</v>
      </c>
      <c r="F516">
        <v>6</v>
      </c>
      <c r="P516" t="s">
        <v>373</v>
      </c>
      <c r="Q516">
        <v>18</v>
      </c>
      <c r="R516" t="s">
        <v>288</v>
      </c>
      <c r="S516" t="s">
        <v>2</v>
      </c>
      <c r="T516">
        <v>2</v>
      </c>
    </row>
    <row r="517" spans="4:20" ht="15.75" customHeight="1" x14ac:dyDescent="0.2">
      <c r="D517" t="s">
        <v>285</v>
      </c>
      <c r="E517" t="s">
        <v>368</v>
      </c>
      <c r="F517">
        <v>6</v>
      </c>
      <c r="P517" t="s">
        <v>373</v>
      </c>
      <c r="Q517">
        <v>18</v>
      </c>
      <c r="R517" t="s">
        <v>289</v>
      </c>
      <c r="S517" t="s">
        <v>5</v>
      </c>
      <c r="T517">
        <v>1</v>
      </c>
    </row>
    <row r="518" spans="4:20" ht="15.75" customHeight="1" x14ac:dyDescent="0.2">
      <c r="D518" t="s">
        <v>285</v>
      </c>
      <c r="E518" t="s">
        <v>368</v>
      </c>
      <c r="F518">
        <v>6</v>
      </c>
      <c r="P518" t="s">
        <v>373</v>
      </c>
      <c r="Q518">
        <v>18</v>
      </c>
      <c r="R518" t="s">
        <v>290</v>
      </c>
      <c r="S518" t="s">
        <v>3</v>
      </c>
      <c r="T518">
        <v>1</v>
      </c>
    </row>
    <row r="519" spans="4:20" ht="15.75" customHeight="1" x14ac:dyDescent="0.2">
      <c r="D519" t="s">
        <v>285</v>
      </c>
      <c r="E519" t="s">
        <v>368</v>
      </c>
      <c r="F519">
        <v>6</v>
      </c>
      <c r="P519" t="s">
        <v>373</v>
      </c>
      <c r="Q519">
        <v>18</v>
      </c>
      <c r="R519" t="s">
        <v>291</v>
      </c>
      <c r="S519" t="s">
        <v>4</v>
      </c>
      <c r="T519">
        <v>2</v>
      </c>
    </row>
    <row r="520" spans="4:20" ht="15.75" customHeight="1" x14ac:dyDescent="0.2">
      <c r="D520" t="s">
        <v>285</v>
      </c>
      <c r="E520" t="s">
        <v>368</v>
      </c>
      <c r="F520">
        <v>6</v>
      </c>
      <c r="P520" t="s">
        <v>373</v>
      </c>
      <c r="Q520">
        <v>18</v>
      </c>
      <c r="R520" t="s">
        <v>292</v>
      </c>
      <c r="S520" t="s">
        <v>6</v>
      </c>
      <c r="T520">
        <v>0</v>
      </c>
    </row>
    <row r="521" spans="4:20" ht="15.75" customHeight="1" x14ac:dyDescent="0.2">
      <c r="D521" t="s">
        <v>285</v>
      </c>
      <c r="E521" t="s">
        <v>368</v>
      </c>
      <c r="F521">
        <v>6</v>
      </c>
      <c r="P521" t="s">
        <v>373</v>
      </c>
      <c r="Q521">
        <v>18</v>
      </c>
      <c r="R521" t="s">
        <v>243</v>
      </c>
      <c r="S521" t="s">
        <v>7</v>
      </c>
      <c r="T521">
        <v>5.8333000000000004</v>
      </c>
    </row>
    <row r="522" spans="4:20" ht="15.75" customHeight="1" x14ac:dyDescent="0.2">
      <c r="D522" t="s">
        <v>285</v>
      </c>
      <c r="E522" t="s">
        <v>368</v>
      </c>
      <c r="F522">
        <v>6</v>
      </c>
      <c r="P522" t="s">
        <v>373</v>
      </c>
      <c r="Q522">
        <v>18</v>
      </c>
      <c r="R522" t="s">
        <v>245</v>
      </c>
      <c r="S522" t="s">
        <v>8</v>
      </c>
      <c r="T522">
        <v>232.535</v>
      </c>
    </row>
    <row r="523" spans="4:20" ht="15.75" customHeight="1" x14ac:dyDescent="0.2">
      <c r="D523" t="s">
        <v>285</v>
      </c>
      <c r="E523" t="s">
        <v>368</v>
      </c>
      <c r="F523">
        <v>6</v>
      </c>
      <c r="P523" t="s">
        <v>373</v>
      </c>
      <c r="Q523">
        <v>18</v>
      </c>
      <c r="R523" t="s">
        <v>247</v>
      </c>
      <c r="S523" t="s">
        <v>9</v>
      </c>
      <c r="T523">
        <v>1.26E-2</v>
      </c>
    </row>
    <row r="524" spans="4:20" ht="15.75" customHeight="1" x14ac:dyDescent="0.2">
      <c r="D524" t="s">
        <v>285</v>
      </c>
      <c r="E524" t="s">
        <v>368</v>
      </c>
      <c r="F524">
        <v>6</v>
      </c>
      <c r="P524" t="s">
        <v>373</v>
      </c>
      <c r="Q524">
        <v>18</v>
      </c>
      <c r="R524" t="s">
        <v>249</v>
      </c>
      <c r="S524" t="s">
        <v>10</v>
      </c>
      <c r="T524">
        <v>12</v>
      </c>
    </row>
    <row r="525" spans="4:20" ht="15.75" customHeight="1" x14ac:dyDescent="0.2">
      <c r="D525" t="s">
        <v>285</v>
      </c>
      <c r="E525" t="s">
        <v>368</v>
      </c>
      <c r="F525">
        <v>6</v>
      </c>
      <c r="P525" t="s">
        <v>373</v>
      </c>
      <c r="Q525">
        <v>18</v>
      </c>
      <c r="R525" t="s">
        <v>251</v>
      </c>
      <c r="S525" t="s">
        <v>11</v>
      </c>
      <c r="T525">
        <v>10</v>
      </c>
    </row>
    <row r="526" spans="4:20" ht="15.75" customHeight="1" x14ac:dyDescent="0.2">
      <c r="D526" t="s">
        <v>285</v>
      </c>
      <c r="E526" t="s">
        <v>368</v>
      </c>
      <c r="F526">
        <v>6</v>
      </c>
      <c r="P526" t="s">
        <v>373</v>
      </c>
      <c r="Q526">
        <v>18</v>
      </c>
      <c r="R526" t="s">
        <v>253</v>
      </c>
      <c r="S526" t="s">
        <v>12</v>
      </c>
      <c r="T526">
        <v>39.863100000000003</v>
      </c>
    </row>
    <row r="527" spans="4:20" ht="15.75" customHeight="1" x14ac:dyDescent="0.2">
      <c r="D527" t="s">
        <v>285</v>
      </c>
      <c r="E527" t="s">
        <v>368</v>
      </c>
      <c r="F527">
        <v>6</v>
      </c>
      <c r="P527" t="s">
        <v>373</v>
      </c>
      <c r="Q527">
        <v>18</v>
      </c>
      <c r="R527" t="s">
        <v>255</v>
      </c>
      <c r="S527" t="s">
        <v>15</v>
      </c>
      <c r="T527">
        <v>19</v>
      </c>
    </row>
    <row r="528" spans="4:20" ht="15.75" customHeight="1" x14ac:dyDescent="0.2">
      <c r="D528" t="s">
        <v>285</v>
      </c>
      <c r="E528" t="s">
        <v>368</v>
      </c>
      <c r="F528">
        <v>6</v>
      </c>
      <c r="P528" t="s">
        <v>373</v>
      </c>
      <c r="Q528">
        <v>18</v>
      </c>
      <c r="R528" t="s">
        <v>293</v>
      </c>
      <c r="S528" t="s">
        <v>13</v>
      </c>
      <c r="T528">
        <v>1</v>
      </c>
    </row>
    <row r="529" spans="4:20" ht="15.75" customHeight="1" x14ac:dyDescent="0.2">
      <c r="D529" t="s">
        <v>285</v>
      </c>
      <c r="E529" t="s">
        <v>368</v>
      </c>
      <c r="F529">
        <v>6</v>
      </c>
      <c r="P529" t="s">
        <v>373</v>
      </c>
      <c r="Q529">
        <v>18</v>
      </c>
      <c r="R529" t="s">
        <v>294</v>
      </c>
      <c r="S529" t="s">
        <v>14</v>
      </c>
      <c r="T529">
        <v>1</v>
      </c>
    </row>
    <row r="530" spans="4:20" ht="15.75" customHeight="1" x14ac:dyDescent="0.2">
      <c r="D530" t="s">
        <v>285</v>
      </c>
      <c r="E530" t="s">
        <v>368</v>
      </c>
      <c r="F530">
        <v>6</v>
      </c>
      <c r="P530" t="s">
        <v>373</v>
      </c>
      <c r="Q530">
        <v>18</v>
      </c>
      <c r="R530" t="s">
        <v>257</v>
      </c>
      <c r="S530" t="s">
        <v>16</v>
      </c>
      <c r="T530">
        <v>60.816899999999997</v>
      </c>
    </row>
    <row r="531" spans="4:20" ht="15.75" customHeight="1" x14ac:dyDescent="0.2">
      <c r="D531" t="s">
        <v>285</v>
      </c>
      <c r="E531" t="s">
        <v>368</v>
      </c>
      <c r="F531">
        <v>6</v>
      </c>
      <c r="P531" t="s">
        <v>373</v>
      </c>
      <c r="Q531">
        <v>18</v>
      </c>
      <c r="R531" t="s">
        <v>295</v>
      </c>
      <c r="S531" t="s">
        <v>17</v>
      </c>
      <c r="T531">
        <v>0</v>
      </c>
    </row>
    <row r="532" spans="4:20" ht="15.75" customHeight="1" x14ac:dyDescent="0.2">
      <c r="D532" t="s">
        <v>285</v>
      </c>
      <c r="E532" t="s">
        <v>368</v>
      </c>
      <c r="F532">
        <v>6</v>
      </c>
      <c r="P532" t="s">
        <v>373</v>
      </c>
      <c r="Q532">
        <v>18</v>
      </c>
      <c r="R532" t="s">
        <v>296</v>
      </c>
      <c r="S532" t="s">
        <v>1</v>
      </c>
      <c r="T532">
        <v>3</v>
      </c>
    </row>
    <row r="533" spans="4:20" ht="15.75" customHeight="1" x14ac:dyDescent="0.2">
      <c r="D533" t="s">
        <v>285</v>
      </c>
      <c r="E533" t="s">
        <v>368</v>
      </c>
      <c r="F533">
        <v>6</v>
      </c>
      <c r="P533" t="s">
        <v>373</v>
      </c>
      <c r="Q533">
        <v>18</v>
      </c>
      <c r="R533" t="s">
        <v>297</v>
      </c>
      <c r="S533" t="s">
        <v>18</v>
      </c>
      <c r="T533">
        <v>3</v>
      </c>
    </row>
    <row r="534" spans="4:20" ht="15.75" customHeight="1" x14ac:dyDescent="0.2">
      <c r="D534" t="s">
        <v>285</v>
      </c>
      <c r="E534" t="s">
        <v>368</v>
      </c>
      <c r="F534">
        <v>6</v>
      </c>
      <c r="P534" t="s">
        <v>373</v>
      </c>
      <c r="Q534">
        <v>18</v>
      </c>
      <c r="R534" t="s">
        <v>298</v>
      </c>
      <c r="S534" t="s">
        <v>19</v>
      </c>
      <c r="T534">
        <v>1</v>
      </c>
    </row>
    <row r="535" spans="4:20" ht="15.75" customHeight="1" x14ac:dyDescent="0.2">
      <c r="D535" t="s">
        <v>285</v>
      </c>
      <c r="E535" t="s">
        <v>368</v>
      </c>
      <c r="F535">
        <v>6</v>
      </c>
      <c r="P535" t="s">
        <v>373</v>
      </c>
      <c r="Q535">
        <v>18</v>
      </c>
      <c r="R535" t="s">
        <v>299</v>
      </c>
      <c r="S535" t="s">
        <v>20</v>
      </c>
      <c r="T535">
        <v>0</v>
      </c>
    </row>
    <row r="536" spans="4:20" ht="15.75" customHeight="1" x14ac:dyDescent="0.2">
      <c r="D536" t="s">
        <v>285</v>
      </c>
      <c r="E536" t="s">
        <v>368</v>
      </c>
      <c r="F536">
        <v>6</v>
      </c>
      <c r="P536" t="s">
        <v>374</v>
      </c>
      <c r="Q536">
        <v>19</v>
      </c>
      <c r="R536" t="s">
        <v>288</v>
      </c>
      <c r="S536" t="s">
        <v>2</v>
      </c>
      <c r="T536">
        <v>0</v>
      </c>
    </row>
    <row r="537" spans="4:20" ht="15.75" customHeight="1" x14ac:dyDescent="0.2">
      <c r="D537" t="s">
        <v>285</v>
      </c>
      <c r="E537" t="s">
        <v>368</v>
      </c>
      <c r="F537">
        <v>6</v>
      </c>
      <c r="P537" t="s">
        <v>374</v>
      </c>
      <c r="Q537">
        <v>19</v>
      </c>
      <c r="R537" t="s">
        <v>289</v>
      </c>
      <c r="S537" t="s">
        <v>5</v>
      </c>
      <c r="T537">
        <v>0</v>
      </c>
    </row>
    <row r="538" spans="4:20" ht="15.75" customHeight="1" x14ac:dyDescent="0.2">
      <c r="D538" t="s">
        <v>285</v>
      </c>
      <c r="E538" t="s">
        <v>368</v>
      </c>
      <c r="F538">
        <v>6</v>
      </c>
      <c r="P538" t="s">
        <v>374</v>
      </c>
      <c r="Q538">
        <v>19</v>
      </c>
      <c r="R538" t="s">
        <v>290</v>
      </c>
      <c r="S538" t="s">
        <v>3</v>
      </c>
      <c r="T538">
        <v>0</v>
      </c>
    </row>
    <row r="539" spans="4:20" ht="15.75" customHeight="1" x14ac:dyDescent="0.2">
      <c r="D539" t="s">
        <v>285</v>
      </c>
      <c r="E539" t="s">
        <v>368</v>
      </c>
      <c r="F539">
        <v>6</v>
      </c>
      <c r="P539" t="s">
        <v>374</v>
      </c>
      <c r="Q539">
        <v>19</v>
      </c>
      <c r="R539" t="s">
        <v>291</v>
      </c>
      <c r="S539" t="s">
        <v>4</v>
      </c>
      <c r="T539">
        <v>0</v>
      </c>
    </row>
    <row r="540" spans="4:20" ht="15.75" customHeight="1" x14ac:dyDescent="0.2">
      <c r="D540" t="s">
        <v>285</v>
      </c>
      <c r="E540" t="s">
        <v>368</v>
      </c>
      <c r="F540">
        <v>6</v>
      </c>
      <c r="P540" t="s">
        <v>374</v>
      </c>
      <c r="Q540">
        <v>19</v>
      </c>
      <c r="R540" t="s">
        <v>292</v>
      </c>
      <c r="S540" t="s">
        <v>6</v>
      </c>
      <c r="T540">
        <v>0</v>
      </c>
    </row>
    <row r="541" spans="4:20" ht="15.75" customHeight="1" x14ac:dyDescent="0.2">
      <c r="D541" t="s">
        <v>285</v>
      </c>
      <c r="E541" t="s">
        <v>368</v>
      </c>
      <c r="F541">
        <v>6</v>
      </c>
      <c r="P541" t="s">
        <v>374</v>
      </c>
      <c r="Q541">
        <v>19</v>
      </c>
      <c r="R541" t="s">
        <v>243</v>
      </c>
      <c r="S541" t="s">
        <v>7</v>
      </c>
      <c r="T541">
        <v>1</v>
      </c>
    </row>
    <row r="542" spans="4:20" ht="15.75" customHeight="1" x14ac:dyDescent="0.2">
      <c r="D542" t="s">
        <v>285</v>
      </c>
      <c r="E542" t="s">
        <v>368</v>
      </c>
      <c r="F542">
        <v>6</v>
      </c>
      <c r="P542" t="s">
        <v>374</v>
      </c>
      <c r="Q542">
        <v>19</v>
      </c>
      <c r="R542" t="s">
        <v>245</v>
      </c>
      <c r="S542" t="s">
        <v>8</v>
      </c>
      <c r="T542">
        <v>4.7549000000000001</v>
      </c>
    </row>
    <row r="543" spans="4:20" ht="15.75" customHeight="1" x14ac:dyDescent="0.2">
      <c r="D543" t="s">
        <v>285</v>
      </c>
      <c r="E543" t="s">
        <v>368</v>
      </c>
      <c r="F543">
        <v>6</v>
      </c>
      <c r="P543" t="s">
        <v>374</v>
      </c>
      <c r="Q543">
        <v>19</v>
      </c>
      <c r="R543" t="s">
        <v>247</v>
      </c>
      <c r="S543" t="s">
        <v>9</v>
      </c>
      <c r="T543">
        <v>8.9999999999999998E-4</v>
      </c>
    </row>
    <row r="544" spans="4:20" ht="15.75" customHeight="1" x14ac:dyDescent="0.2">
      <c r="D544" t="s">
        <v>285</v>
      </c>
      <c r="E544" t="s">
        <v>368</v>
      </c>
      <c r="F544">
        <v>6</v>
      </c>
      <c r="P544" t="s">
        <v>374</v>
      </c>
      <c r="Q544">
        <v>19</v>
      </c>
      <c r="R544" t="s">
        <v>249</v>
      </c>
      <c r="S544" t="s">
        <v>10</v>
      </c>
      <c r="T544">
        <v>3</v>
      </c>
    </row>
    <row r="545" spans="4:20" ht="15.75" customHeight="1" x14ac:dyDescent="0.2">
      <c r="D545" t="s">
        <v>285</v>
      </c>
      <c r="E545" t="s">
        <v>368</v>
      </c>
      <c r="F545">
        <v>6</v>
      </c>
      <c r="P545" t="s">
        <v>374</v>
      </c>
      <c r="Q545">
        <v>19</v>
      </c>
      <c r="R545" t="s">
        <v>251</v>
      </c>
      <c r="S545" t="s">
        <v>11</v>
      </c>
      <c r="T545">
        <v>3</v>
      </c>
    </row>
    <row r="546" spans="4:20" ht="15.75" customHeight="1" x14ac:dyDescent="0.2">
      <c r="D546" t="s">
        <v>285</v>
      </c>
      <c r="E546" t="s">
        <v>368</v>
      </c>
      <c r="F546">
        <v>6</v>
      </c>
      <c r="P546" t="s">
        <v>374</v>
      </c>
      <c r="Q546">
        <v>19</v>
      </c>
      <c r="R546" t="s">
        <v>253</v>
      </c>
      <c r="S546" t="s">
        <v>12</v>
      </c>
      <c r="T546">
        <v>4.7549000000000001</v>
      </c>
    </row>
    <row r="547" spans="4:20" ht="15.75" customHeight="1" x14ac:dyDescent="0.2">
      <c r="D547" t="s">
        <v>285</v>
      </c>
      <c r="E547" t="s">
        <v>368</v>
      </c>
      <c r="F547">
        <v>6</v>
      </c>
      <c r="P547" t="s">
        <v>374</v>
      </c>
      <c r="Q547">
        <v>19</v>
      </c>
      <c r="R547" t="s">
        <v>255</v>
      </c>
      <c r="S547" t="s">
        <v>15</v>
      </c>
      <c r="T547">
        <v>10</v>
      </c>
    </row>
    <row r="548" spans="4:20" ht="15.75" customHeight="1" x14ac:dyDescent="0.2">
      <c r="D548" t="s">
        <v>285</v>
      </c>
      <c r="E548" t="s">
        <v>368</v>
      </c>
      <c r="F548">
        <v>6</v>
      </c>
      <c r="P548" t="s">
        <v>374</v>
      </c>
      <c r="Q548">
        <v>19</v>
      </c>
      <c r="R548" t="s">
        <v>293</v>
      </c>
      <c r="S548" t="s">
        <v>13</v>
      </c>
      <c r="T548">
        <v>1</v>
      </c>
    </row>
    <row r="549" spans="4:20" ht="15.75" customHeight="1" x14ac:dyDescent="0.2">
      <c r="D549" t="s">
        <v>285</v>
      </c>
      <c r="E549" t="s">
        <v>368</v>
      </c>
      <c r="F549">
        <v>6</v>
      </c>
      <c r="P549" t="s">
        <v>374</v>
      </c>
      <c r="Q549">
        <v>19</v>
      </c>
      <c r="R549" t="s">
        <v>294</v>
      </c>
      <c r="S549" t="s">
        <v>14</v>
      </c>
      <c r="T549">
        <v>0</v>
      </c>
    </row>
    <row r="550" spans="4:20" ht="15.75" customHeight="1" x14ac:dyDescent="0.2">
      <c r="D550" t="s">
        <v>285</v>
      </c>
      <c r="E550" t="s">
        <v>368</v>
      </c>
      <c r="F550">
        <v>6</v>
      </c>
      <c r="P550" t="s">
        <v>374</v>
      </c>
      <c r="Q550">
        <v>19</v>
      </c>
      <c r="R550" t="s">
        <v>257</v>
      </c>
      <c r="S550" t="s">
        <v>16</v>
      </c>
      <c r="T550">
        <v>73.970399999999998</v>
      </c>
    </row>
    <row r="551" spans="4:20" ht="15.75" customHeight="1" x14ac:dyDescent="0.2">
      <c r="D551" t="s">
        <v>285</v>
      </c>
      <c r="E551" t="s">
        <v>368</v>
      </c>
      <c r="F551">
        <v>6</v>
      </c>
      <c r="P551" t="s">
        <v>374</v>
      </c>
      <c r="Q551">
        <v>19</v>
      </c>
      <c r="R551" t="s">
        <v>295</v>
      </c>
      <c r="S551" t="s">
        <v>17</v>
      </c>
      <c r="T551">
        <v>0</v>
      </c>
    </row>
    <row r="552" spans="4:20" ht="15.75" customHeight="1" x14ac:dyDescent="0.2">
      <c r="D552" t="s">
        <v>285</v>
      </c>
      <c r="E552" t="s">
        <v>368</v>
      </c>
      <c r="F552">
        <v>6</v>
      </c>
      <c r="P552" t="s">
        <v>374</v>
      </c>
      <c r="Q552">
        <v>19</v>
      </c>
      <c r="R552" t="s">
        <v>296</v>
      </c>
      <c r="S552" t="s">
        <v>1</v>
      </c>
      <c r="T552">
        <v>1</v>
      </c>
    </row>
    <row r="553" spans="4:20" ht="15.75" customHeight="1" x14ac:dyDescent="0.2">
      <c r="D553" t="s">
        <v>285</v>
      </c>
      <c r="E553" t="s">
        <v>368</v>
      </c>
      <c r="F553">
        <v>6</v>
      </c>
      <c r="P553" t="s">
        <v>374</v>
      </c>
      <c r="Q553">
        <v>19</v>
      </c>
      <c r="R553" t="s">
        <v>297</v>
      </c>
      <c r="S553" t="s">
        <v>18</v>
      </c>
      <c r="T553">
        <v>1</v>
      </c>
    </row>
    <row r="554" spans="4:20" ht="15.75" customHeight="1" x14ac:dyDescent="0.2">
      <c r="D554" t="s">
        <v>285</v>
      </c>
      <c r="E554" t="s">
        <v>368</v>
      </c>
      <c r="F554">
        <v>6</v>
      </c>
      <c r="P554" t="s">
        <v>374</v>
      </c>
      <c r="Q554">
        <v>19</v>
      </c>
      <c r="R554" t="s">
        <v>298</v>
      </c>
      <c r="S554" t="s">
        <v>19</v>
      </c>
      <c r="T554">
        <v>0</v>
      </c>
    </row>
    <row r="555" spans="4:20" ht="15.75" customHeight="1" x14ac:dyDescent="0.2">
      <c r="D555" t="s">
        <v>285</v>
      </c>
      <c r="E555" t="s">
        <v>368</v>
      </c>
      <c r="F555">
        <v>6</v>
      </c>
      <c r="P555" t="s">
        <v>374</v>
      </c>
      <c r="Q555">
        <v>19</v>
      </c>
      <c r="R555" t="s">
        <v>299</v>
      </c>
      <c r="S555" t="s">
        <v>20</v>
      </c>
      <c r="T555">
        <v>0</v>
      </c>
    </row>
    <row r="556" spans="4:20" ht="15.75" customHeight="1" x14ac:dyDescent="0.2">
      <c r="D556" t="s">
        <v>285</v>
      </c>
      <c r="E556" t="s">
        <v>368</v>
      </c>
      <c r="F556">
        <v>6</v>
      </c>
      <c r="P556" t="s">
        <v>375</v>
      </c>
      <c r="Q556">
        <v>20</v>
      </c>
      <c r="R556" t="s">
        <v>288</v>
      </c>
      <c r="S556" t="s">
        <v>2</v>
      </c>
      <c r="T556">
        <v>2</v>
      </c>
    </row>
    <row r="557" spans="4:20" ht="15.75" customHeight="1" x14ac:dyDescent="0.2">
      <c r="D557" t="s">
        <v>285</v>
      </c>
      <c r="E557" t="s">
        <v>368</v>
      </c>
      <c r="F557">
        <v>6</v>
      </c>
      <c r="P557" t="s">
        <v>375</v>
      </c>
      <c r="Q557">
        <v>20</v>
      </c>
      <c r="R557" t="s">
        <v>289</v>
      </c>
      <c r="S557" t="s">
        <v>5</v>
      </c>
      <c r="T557">
        <v>1</v>
      </c>
    </row>
    <row r="558" spans="4:20" ht="15.75" customHeight="1" x14ac:dyDescent="0.2">
      <c r="D558" t="s">
        <v>285</v>
      </c>
      <c r="E558" t="s">
        <v>368</v>
      </c>
      <c r="F558">
        <v>6</v>
      </c>
      <c r="P558" t="s">
        <v>375</v>
      </c>
      <c r="Q558">
        <v>20</v>
      </c>
      <c r="R558" t="s">
        <v>290</v>
      </c>
      <c r="S558" t="s">
        <v>3</v>
      </c>
      <c r="T558">
        <v>1</v>
      </c>
    </row>
    <row r="559" spans="4:20" ht="15.75" customHeight="1" x14ac:dyDescent="0.2">
      <c r="D559" t="s">
        <v>285</v>
      </c>
      <c r="E559" t="s">
        <v>368</v>
      </c>
      <c r="F559">
        <v>6</v>
      </c>
      <c r="P559" t="s">
        <v>375</v>
      </c>
      <c r="Q559">
        <v>20</v>
      </c>
      <c r="R559" t="s">
        <v>291</v>
      </c>
      <c r="S559" t="s">
        <v>4</v>
      </c>
      <c r="T559">
        <v>3</v>
      </c>
    </row>
    <row r="560" spans="4:20" ht="15.75" customHeight="1" x14ac:dyDescent="0.2">
      <c r="D560" t="s">
        <v>285</v>
      </c>
      <c r="E560" t="s">
        <v>368</v>
      </c>
      <c r="F560">
        <v>6</v>
      </c>
      <c r="P560" t="s">
        <v>375</v>
      </c>
      <c r="Q560">
        <v>20</v>
      </c>
      <c r="R560" t="s">
        <v>292</v>
      </c>
      <c r="S560" t="s">
        <v>6</v>
      </c>
      <c r="T560">
        <v>0</v>
      </c>
    </row>
    <row r="561" spans="4:20" ht="15.75" customHeight="1" x14ac:dyDescent="0.2">
      <c r="D561" t="s">
        <v>285</v>
      </c>
      <c r="E561" t="s">
        <v>368</v>
      </c>
      <c r="F561">
        <v>6</v>
      </c>
      <c r="P561" t="s">
        <v>375</v>
      </c>
      <c r="Q561">
        <v>20</v>
      </c>
      <c r="R561" t="s">
        <v>243</v>
      </c>
      <c r="S561" t="s">
        <v>7</v>
      </c>
      <c r="T561">
        <v>8</v>
      </c>
    </row>
    <row r="562" spans="4:20" ht="15.75" customHeight="1" x14ac:dyDescent="0.2">
      <c r="D562" t="s">
        <v>285</v>
      </c>
      <c r="E562" t="s">
        <v>368</v>
      </c>
      <c r="F562">
        <v>6</v>
      </c>
      <c r="P562" t="s">
        <v>375</v>
      </c>
      <c r="Q562">
        <v>20</v>
      </c>
      <c r="R562" t="s">
        <v>245</v>
      </c>
      <c r="S562" t="s">
        <v>8</v>
      </c>
      <c r="T562">
        <v>562.59220000000005</v>
      </c>
    </row>
    <row r="563" spans="4:20" ht="15.75" customHeight="1" x14ac:dyDescent="0.2">
      <c r="D563" t="s">
        <v>285</v>
      </c>
      <c r="E563" t="s">
        <v>368</v>
      </c>
      <c r="F563">
        <v>6</v>
      </c>
      <c r="P563" t="s">
        <v>375</v>
      </c>
      <c r="Q563">
        <v>20</v>
      </c>
      <c r="R563" t="s">
        <v>247</v>
      </c>
      <c r="S563" t="s">
        <v>9</v>
      </c>
      <c r="T563">
        <v>2.2700000000000001E-2</v>
      </c>
    </row>
    <row r="564" spans="4:20" ht="15.75" customHeight="1" x14ac:dyDescent="0.2">
      <c r="D564" t="s">
        <v>285</v>
      </c>
      <c r="E564" t="s">
        <v>368</v>
      </c>
      <c r="F564">
        <v>6</v>
      </c>
      <c r="P564" t="s">
        <v>375</v>
      </c>
      <c r="Q564">
        <v>20</v>
      </c>
      <c r="R564" t="s">
        <v>249</v>
      </c>
      <c r="S564" t="s">
        <v>10</v>
      </c>
      <c r="T564">
        <v>18</v>
      </c>
    </row>
    <row r="565" spans="4:20" ht="15.75" customHeight="1" x14ac:dyDescent="0.2">
      <c r="D565" t="s">
        <v>285</v>
      </c>
      <c r="E565" t="s">
        <v>368</v>
      </c>
      <c r="F565">
        <v>6</v>
      </c>
      <c r="P565" t="s">
        <v>375</v>
      </c>
      <c r="Q565">
        <v>20</v>
      </c>
      <c r="R565" t="s">
        <v>251</v>
      </c>
      <c r="S565" t="s">
        <v>11</v>
      </c>
      <c r="T565">
        <v>15</v>
      </c>
    </row>
    <row r="566" spans="4:20" ht="15.75" customHeight="1" x14ac:dyDescent="0.2">
      <c r="D566" t="s">
        <v>285</v>
      </c>
      <c r="E566" t="s">
        <v>368</v>
      </c>
      <c r="F566">
        <v>6</v>
      </c>
      <c r="P566" t="s">
        <v>375</v>
      </c>
      <c r="Q566">
        <v>20</v>
      </c>
      <c r="R566" t="s">
        <v>253</v>
      </c>
      <c r="S566" t="s">
        <v>12</v>
      </c>
      <c r="T566">
        <v>70.323999999999998</v>
      </c>
    </row>
    <row r="567" spans="4:20" ht="15.75" customHeight="1" x14ac:dyDescent="0.2">
      <c r="D567" t="s">
        <v>285</v>
      </c>
      <c r="E567" t="s">
        <v>368</v>
      </c>
      <c r="F567">
        <v>6</v>
      </c>
      <c r="P567" t="s">
        <v>375</v>
      </c>
      <c r="Q567">
        <v>20</v>
      </c>
      <c r="R567" t="s">
        <v>255</v>
      </c>
      <c r="S567" t="s">
        <v>15</v>
      </c>
      <c r="T567">
        <v>21</v>
      </c>
    </row>
    <row r="568" spans="4:20" ht="15.75" customHeight="1" x14ac:dyDescent="0.2">
      <c r="D568" t="s">
        <v>285</v>
      </c>
      <c r="E568" t="s">
        <v>368</v>
      </c>
      <c r="F568">
        <v>6</v>
      </c>
      <c r="P568" t="s">
        <v>375</v>
      </c>
      <c r="Q568">
        <v>20</v>
      </c>
      <c r="R568" t="s">
        <v>293</v>
      </c>
      <c r="S568" t="s">
        <v>13</v>
      </c>
      <c r="T568">
        <v>1</v>
      </c>
    </row>
    <row r="569" spans="4:20" ht="15.75" customHeight="1" x14ac:dyDescent="0.2">
      <c r="D569" t="s">
        <v>285</v>
      </c>
      <c r="E569" t="s">
        <v>368</v>
      </c>
      <c r="F569">
        <v>6</v>
      </c>
      <c r="P569" t="s">
        <v>375</v>
      </c>
      <c r="Q569">
        <v>20</v>
      </c>
      <c r="R569" t="s">
        <v>294</v>
      </c>
      <c r="S569" t="s">
        <v>14</v>
      </c>
      <c r="T569">
        <v>1</v>
      </c>
    </row>
    <row r="570" spans="4:20" ht="15.75" customHeight="1" x14ac:dyDescent="0.2">
      <c r="D570" t="s">
        <v>285</v>
      </c>
      <c r="E570" t="s">
        <v>368</v>
      </c>
      <c r="F570">
        <v>6</v>
      </c>
      <c r="P570" t="s">
        <v>375</v>
      </c>
      <c r="Q570">
        <v>20</v>
      </c>
      <c r="R570" t="s">
        <v>257</v>
      </c>
      <c r="S570" t="s">
        <v>16</v>
      </c>
      <c r="T570">
        <v>58.09</v>
      </c>
    </row>
    <row r="571" spans="4:20" ht="15.75" customHeight="1" x14ac:dyDescent="0.2">
      <c r="D571" t="s">
        <v>285</v>
      </c>
      <c r="E571" t="s">
        <v>368</v>
      </c>
      <c r="F571">
        <v>6</v>
      </c>
      <c r="P571" t="s">
        <v>375</v>
      </c>
      <c r="Q571">
        <v>20</v>
      </c>
      <c r="R571" t="s">
        <v>295</v>
      </c>
      <c r="S571" t="s">
        <v>17</v>
      </c>
      <c r="T571">
        <v>0</v>
      </c>
    </row>
    <row r="572" spans="4:20" ht="15.75" customHeight="1" x14ac:dyDescent="0.2">
      <c r="D572" t="s">
        <v>285</v>
      </c>
      <c r="E572" t="s">
        <v>368</v>
      </c>
      <c r="F572">
        <v>6</v>
      </c>
      <c r="P572" t="s">
        <v>375</v>
      </c>
      <c r="Q572">
        <v>20</v>
      </c>
      <c r="R572" t="s">
        <v>296</v>
      </c>
      <c r="S572" t="s">
        <v>1</v>
      </c>
      <c r="T572">
        <v>3</v>
      </c>
    </row>
    <row r="573" spans="4:20" ht="15.75" customHeight="1" x14ac:dyDescent="0.2">
      <c r="D573" t="s">
        <v>285</v>
      </c>
      <c r="E573" t="s">
        <v>368</v>
      </c>
      <c r="F573">
        <v>6</v>
      </c>
      <c r="P573" t="s">
        <v>375</v>
      </c>
      <c r="Q573">
        <v>20</v>
      </c>
      <c r="R573" t="s">
        <v>297</v>
      </c>
      <c r="S573" t="s">
        <v>18</v>
      </c>
      <c r="T573">
        <v>4</v>
      </c>
    </row>
    <row r="574" spans="4:20" ht="15.75" customHeight="1" x14ac:dyDescent="0.2">
      <c r="D574" t="s">
        <v>285</v>
      </c>
      <c r="E574" t="s">
        <v>368</v>
      </c>
      <c r="F574">
        <v>6</v>
      </c>
      <c r="P574" t="s">
        <v>375</v>
      </c>
      <c r="Q574">
        <v>20</v>
      </c>
      <c r="R574" t="s">
        <v>298</v>
      </c>
      <c r="S574" t="s">
        <v>19</v>
      </c>
      <c r="T574">
        <v>1</v>
      </c>
    </row>
    <row r="575" spans="4:20" ht="15.75" customHeight="1" x14ac:dyDescent="0.2">
      <c r="D575" t="s">
        <v>285</v>
      </c>
      <c r="E575" t="s">
        <v>368</v>
      </c>
      <c r="F575">
        <v>6</v>
      </c>
      <c r="P575" t="s">
        <v>375</v>
      </c>
      <c r="Q575">
        <v>20</v>
      </c>
      <c r="R575" t="s">
        <v>299</v>
      </c>
      <c r="S575" t="s">
        <v>20</v>
      </c>
      <c r="T575">
        <v>1</v>
      </c>
    </row>
    <row r="576" spans="4:20" ht="15.75" customHeight="1" x14ac:dyDescent="0.2">
      <c r="D576" t="s">
        <v>285</v>
      </c>
      <c r="E576" t="s">
        <v>368</v>
      </c>
      <c r="F576">
        <v>6</v>
      </c>
      <c r="P576" t="s">
        <v>376</v>
      </c>
      <c r="Q576">
        <v>21</v>
      </c>
      <c r="R576" t="s">
        <v>288</v>
      </c>
      <c r="S576" t="s">
        <v>2</v>
      </c>
      <c r="T576">
        <v>2</v>
      </c>
    </row>
    <row r="577" spans="4:20" ht="15.75" customHeight="1" x14ac:dyDescent="0.2">
      <c r="D577" t="s">
        <v>285</v>
      </c>
      <c r="E577" t="s">
        <v>368</v>
      </c>
      <c r="F577">
        <v>6</v>
      </c>
      <c r="P577" t="s">
        <v>376</v>
      </c>
      <c r="Q577">
        <v>21</v>
      </c>
      <c r="R577" t="s">
        <v>289</v>
      </c>
      <c r="S577" t="s">
        <v>5</v>
      </c>
      <c r="T577">
        <v>1</v>
      </c>
    </row>
    <row r="578" spans="4:20" ht="15.75" customHeight="1" x14ac:dyDescent="0.2">
      <c r="D578" t="s">
        <v>285</v>
      </c>
      <c r="E578" t="s">
        <v>368</v>
      </c>
      <c r="F578">
        <v>6</v>
      </c>
      <c r="P578" t="s">
        <v>376</v>
      </c>
      <c r="Q578">
        <v>21</v>
      </c>
      <c r="R578" t="s">
        <v>290</v>
      </c>
      <c r="S578" t="s">
        <v>3</v>
      </c>
      <c r="T578">
        <v>1</v>
      </c>
    </row>
    <row r="579" spans="4:20" ht="15.75" customHeight="1" x14ac:dyDescent="0.2">
      <c r="D579" t="s">
        <v>285</v>
      </c>
      <c r="E579" t="s">
        <v>368</v>
      </c>
      <c r="F579">
        <v>6</v>
      </c>
      <c r="P579" t="s">
        <v>376</v>
      </c>
      <c r="Q579">
        <v>21</v>
      </c>
      <c r="R579" t="s">
        <v>291</v>
      </c>
      <c r="S579" t="s">
        <v>4</v>
      </c>
      <c r="T579">
        <v>2</v>
      </c>
    </row>
    <row r="580" spans="4:20" ht="15.75" customHeight="1" x14ac:dyDescent="0.2">
      <c r="D580" t="s">
        <v>285</v>
      </c>
      <c r="E580" t="s">
        <v>368</v>
      </c>
      <c r="F580">
        <v>6</v>
      </c>
      <c r="P580" t="s">
        <v>376</v>
      </c>
      <c r="Q580">
        <v>21</v>
      </c>
      <c r="R580" t="s">
        <v>292</v>
      </c>
      <c r="S580" t="s">
        <v>6</v>
      </c>
      <c r="T580">
        <v>0</v>
      </c>
    </row>
    <row r="581" spans="4:20" ht="15.75" customHeight="1" x14ac:dyDescent="0.2">
      <c r="D581" t="s">
        <v>285</v>
      </c>
      <c r="E581" t="s">
        <v>368</v>
      </c>
      <c r="F581">
        <v>6</v>
      </c>
      <c r="P581" t="s">
        <v>376</v>
      </c>
      <c r="Q581">
        <v>21</v>
      </c>
      <c r="R581" t="s">
        <v>243</v>
      </c>
      <c r="S581" t="s">
        <v>7</v>
      </c>
      <c r="T581">
        <v>6.6666999999999996</v>
      </c>
    </row>
    <row r="582" spans="4:20" ht="15.75" customHeight="1" x14ac:dyDescent="0.2">
      <c r="D582" t="s">
        <v>285</v>
      </c>
      <c r="E582" t="s">
        <v>368</v>
      </c>
      <c r="F582">
        <v>6</v>
      </c>
      <c r="P582" t="s">
        <v>376</v>
      </c>
      <c r="Q582">
        <v>21</v>
      </c>
      <c r="R582" t="s">
        <v>245</v>
      </c>
      <c r="S582" t="s">
        <v>8</v>
      </c>
      <c r="T582">
        <v>299.81740000000002</v>
      </c>
    </row>
    <row r="583" spans="4:20" ht="15.75" customHeight="1" x14ac:dyDescent="0.2">
      <c r="D583" t="s">
        <v>285</v>
      </c>
      <c r="E583" t="s">
        <v>368</v>
      </c>
      <c r="F583">
        <v>6</v>
      </c>
      <c r="P583" t="s">
        <v>376</v>
      </c>
      <c r="Q583">
        <v>21</v>
      </c>
      <c r="R583" t="s">
        <v>247</v>
      </c>
      <c r="S583" t="s">
        <v>9</v>
      </c>
      <c r="T583">
        <v>1.49E-2</v>
      </c>
    </row>
    <row r="584" spans="4:20" ht="15.75" customHeight="1" x14ac:dyDescent="0.2">
      <c r="D584" t="s">
        <v>285</v>
      </c>
      <c r="E584" t="s">
        <v>368</v>
      </c>
      <c r="F584">
        <v>6</v>
      </c>
      <c r="P584" t="s">
        <v>376</v>
      </c>
      <c r="Q584">
        <v>21</v>
      </c>
      <c r="R584" t="s">
        <v>249</v>
      </c>
      <c r="S584" t="s">
        <v>10</v>
      </c>
      <c r="T584">
        <v>13</v>
      </c>
    </row>
    <row r="585" spans="4:20" ht="15.75" customHeight="1" x14ac:dyDescent="0.2">
      <c r="D585" t="s">
        <v>285</v>
      </c>
      <c r="E585" t="s">
        <v>368</v>
      </c>
      <c r="F585">
        <v>6</v>
      </c>
      <c r="P585" t="s">
        <v>376</v>
      </c>
      <c r="Q585">
        <v>21</v>
      </c>
      <c r="R585" t="s">
        <v>251</v>
      </c>
      <c r="S585" t="s">
        <v>11</v>
      </c>
      <c r="T585">
        <v>11</v>
      </c>
    </row>
    <row r="586" spans="4:20" ht="15.75" customHeight="1" x14ac:dyDescent="0.2">
      <c r="D586" t="s">
        <v>285</v>
      </c>
      <c r="E586" t="s">
        <v>368</v>
      </c>
      <c r="F586">
        <v>6</v>
      </c>
      <c r="P586" t="s">
        <v>376</v>
      </c>
      <c r="Q586">
        <v>21</v>
      </c>
      <c r="R586" t="s">
        <v>253</v>
      </c>
      <c r="S586" t="s">
        <v>12</v>
      </c>
      <c r="T586">
        <v>44.9726</v>
      </c>
    </row>
    <row r="587" spans="4:20" ht="15.75" customHeight="1" x14ac:dyDescent="0.2">
      <c r="D587" t="s">
        <v>285</v>
      </c>
      <c r="E587" t="s">
        <v>368</v>
      </c>
      <c r="F587">
        <v>6</v>
      </c>
      <c r="P587" t="s">
        <v>376</v>
      </c>
      <c r="Q587">
        <v>21</v>
      </c>
      <c r="R587" t="s">
        <v>255</v>
      </c>
      <c r="S587" t="s">
        <v>15</v>
      </c>
      <c r="T587">
        <v>19</v>
      </c>
    </row>
    <row r="588" spans="4:20" ht="15.75" customHeight="1" x14ac:dyDescent="0.2">
      <c r="D588" t="s">
        <v>285</v>
      </c>
      <c r="E588" t="s">
        <v>368</v>
      </c>
      <c r="F588">
        <v>6</v>
      </c>
      <c r="P588" t="s">
        <v>376</v>
      </c>
      <c r="Q588">
        <v>21</v>
      </c>
      <c r="R588" t="s">
        <v>293</v>
      </c>
      <c r="S588" t="s">
        <v>13</v>
      </c>
      <c r="T588">
        <v>1</v>
      </c>
    </row>
    <row r="589" spans="4:20" ht="15.75" customHeight="1" x14ac:dyDescent="0.2">
      <c r="D589" t="s">
        <v>285</v>
      </c>
      <c r="E589" t="s">
        <v>368</v>
      </c>
      <c r="F589">
        <v>6</v>
      </c>
      <c r="P589" t="s">
        <v>376</v>
      </c>
      <c r="Q589">
        <v>21</v>
      </c>
      <c r="R589" t="s">
        <v>294</v>
      </c>
      <c r="S589" t="s">
        <v>14</v>
      </c>
      <c r="T589">
        <v>1</v>
      </c>
    </row>
    <row r="590" spans="4:20" ht="15.75" customHeight="1" x14ac:dyDescent="0.2">
      <c r="D590" t="s">
        <v>285</v>
      </c>
      <c r="E590" t="s">
        <v>368</v>
      </c>
      <c r="F590">
        <v>6</v>
      </c>
      <c r="P590" t="s">
        <v>376</v>
      </c>
      <c r="Q590">
        <v>21</v>
      </c>
      <c r="R590" t="s">
        <v>257</v>
      </c>
      <c r="S590" t="s">
        <v>16</v>
      </c>
      <c r="T590">
        <v>60.450099999999999</v>
      </c>
    </row>
    <row r="591" spans="4:20" ht="15.75" customHeight="1" x14ac:dyDescent="0.2">
      <c r="D591" t="s">
        <v>285</v>
      </c>
      <c r="E591" t="s">
        <v>368</v>
      </c>
      <c r="F591">
        <v>6</v>
      </c>
      <c r="P591" t="s">
        <v>376</v>
      </c>
      <c r="Q591">
        <v>21</v>
      </c>
      <c r="R591" t="s">
        <v>295</v>
      </c>
      <c r="S591" t="s">
        <v>17</v>
      </c>
      <c r="T591">
        <v>0</v>
      </c>
    </row>
    <row r="592" spans="4:20" ht="15.75" customHeight="1" x14ac:dyDescent="0.2">
      <c r="D592" t="s">
        <v>285</v>
      </c>
      <c r="E592" t="s">
        <v>368</v>
      </c>
      <c r="F592">
        <v>6</v>
      </c>
      <c r="P592" t="s">
        <v>376</v>
      </c>
      <c r="Q592">
        <v>21</v>
      </c>
      <c r="R592" t="s">
        <v>296</v>
      </c>
      <c r="S592" t="s">
        <v>1</v>
      </c>
      <c r="T592">
        <v>3</v>
      </c>
    </row>
    <row r="593" spans="4:20" ht="15.75" customHeight="1" x14ac:dyDescent="0.2">
      <c r="D593" t="s">
        <v>285</v>
      </c>
      <c r="E593" t="s">
        <v>368</v>
      </c>
      <c r="F593">
        <v>6</v>
      </c>
      <c r="P593" t="s">
        <v>376</v>
      </c>
      <c r="Q593">
        <v>21</v>
      </c>
      <c r="R593" t="s">
        <v>297</v>
      </c>
      <c r="S593" t="s">
        <v>18</v>
      </c>
      <c r="T593">
        <v>3</v>
      </c>
    </row>
    <row r="594" spans="4:20" ht="15.75" customHeight="1" x14ac:dyDescent="0.2">
      <c r="D594" t="s">
        <v>285</v>
      </c>
      <c r="E594" t="s">
        <v>368</v>
      </c>
      <c r="F594">
        <v>6</v>
      </c>
      <c r="P594" t="s">
        <v>376</v>
      </c>
      <c r="Q594">
        <v>21</v>
      </c>
      <c r="R594" t="s">
        <v>298</v>
      </c>
      <c r="S594" t="s">
        <v>19</v>
      </c>
      <c r="T594">
        <v>1</v>
      </c>
    </row>
    <row r="595" spans="4:20" ht="15.75" customHeight="1" x14ac:dyDescent="0.2">
      <c r="D595" t="s">
        <v>285</v>
      </c>
      <c r="E595" t="s">
        <v>368</v>
      </c>
      <c r="F595">
        <v>6</v>
      </c>
      <c r="P595" t="s">
        <v>376</v>
      </c>
      <c r="Q595">
        <v>21</v>
      </c>
      <c r="R595" t="s">
        <v>299</v>
      </c>
      <c r="S595" t="s">
        <v>20</v>
      </c>
      <c r="T595">
        <v>0</v>
      </c>
    </row>
    <row r="596" spans="4:20" ht="15.75" customHeight="1" x14ac:dyDescent="0.2">
      <c r="D596" t="s">
        <v>285</v>
      </c>
      <c r="E596" t="s">
        <v>368</v>
      </c>
      <c r="F596">
        <v>6</v>
      </c>
      <c r="P596" t="s">
        <v>377</v>
      </c>
      <c r="Q596">
        <v>22</v>
      </c>
      <c r="R596" t="s">
        <v>288</v>
      </c>
      <c r="S596" t="s">
        <v>2</v>
      </c>
      <c r="T596">
        <v>0</v>
      </c>
    </row>
    <row r="597" spans="4:20" ht="15.75" customHeight="1" x14ac:dyDescent="0.2">
      <c r="D597" t="s">
        <v>285</v>
      </c>
      <c r="E597" t="s">
        <v>368</v>
      </c>
      <c r="F597">
        <v>6</v>
      </c>
      <c r="P597" t="s">
        <v>377</v>
      </c>
      <c r="Q597">
        <v>22</v>
      </c>
      <c r="R597" t="s">
        <v>289</v>
      </c>
      <c r="S597" t="s">
        <v>5</v>
      </c>
      <c r="T597">
        <v>0</v>
      </c>
    </row>
    <row r="598" spans="4:20" ht="15.75" customHeight="1" x14ac:dyDescent="0.2">
      <c r="D598" t="s">
        <v>285</v>
      </c>
      <c r="E598" t="s">
        <v>368</v>
      </c>
      <c r="F598">
        <v>6</v>
      </c>
      <c r="P598" t="s">
        <v>377</v>
      </c>
      <c r="Q598">
        <v>22</v>
      </c>
      <c r="R598" t="s">
        <v>290</v>
      </c>
      <c r="S598" t="s">
        <v>3</v>
      </c>
      <c r="T598">
        <v>0.25</v>
      </c>
    </row>
    <row r="599" spans="4:20" ht="15.75" customHeight="1" x14ac:dyDescent="0.2">
      <c r="D599" t="s">
        <v>285</v>
      </c>
      <c r="E599" t="s">
        <v>368</v>
      </c>
      <c r="F599">
        <v>6</v>
      </c>
      <c r="P599" t="s">
        <v>377</v>
      </c>
      <c r="Q599">
        <v>22</v>
      </c>
      <c r="R599" t="s">
        <v>291</v>
      </c>
      <c r="S599" t="s">
        <v>4</v>
      </c>
      <c r="T599">
        <v>4</v>
      </c>
    </row>
    <row r="600" spans="4:20" ht="15.75" customHeight="1" x14ac:dyDescent="0.2">
      <c r="D600" t="s">
        <v>285</v>
      </c>
      <c r="E600" t="s">
        <v>368</v>
      </c>
      <c r="F600">
        <v>6</v>
      </c>
      <c r="P600" t="s">
        <v>377</v>
      </c>
      <c r="Q600">
        <v>22</v>
      </c>
      <c r="R600" t="s">
        <v>292</v>
      </c>
      <c r="S600" t="s">
        <v>6</v>
      </c>
      <c r="T600">
        <v>1</v>
      </c>
    </row>
    <row r="601" spans="4:20" ht="15.75" customHeight="1" x14ac:dyDescent="0.2">
      <c r="D601" t="s">
        <v>285</v>
      </c>
      <c r="E601" t="s">
        <v>368</v>
      </c>
      <c r="F601">
        <v>6</v>
      </c>
      <c r="P601" t="s">
        <v>377</v>
      </c>
      <c r="Q601">
        <v>22</v>
      </c>
      <c r="R601" t="s">
        <v>243</v>
      </c>
      <c r="S601" t="s">
        <v>7</v>
      </c>
      <c r="T601">
        <v>14.4</v>
      </c>
    </row>
    <row r="602" spans="4:20" ht="15.75" customHeight="1" x14ac:dyDescent="0.2">
      <c r="D602" t="s">
        <v>285</v>
      </c>
      <c r="E602" t="s">
        <v>368</v>
      </c>
      <c r="F602">
        <v>6</v>
      </c>
      <c r="P602" t="s">
        <v>377</v>
      </c>
      <c r="Q602">
        <v>22</v>
      </c>
      <c r="R602" t="s">
        <v>245</v>
      </c>
      <c r="S602" t="s">
        <v>8</v>
      </c>
      <c r="T602">
        <v>1589.2056</v>
      </c>
    </row>
    <row r="603" spans="4:20" ht="15.75" customHeight="1" x14ac:dyDescent="0.2">
      <c r="D603" t="s">
        <v>285</v>
      </c>
      <c r="E603" t="s">
        <v>368</v>
      </c>
      <c r="F603">
        <v>6</v>
      </c>
      <c r="P603" t="s">
        <v>377</v>
      </c>
      <c r="Q603">
        <v>22</v>
      </c>
      <c r="R603" t="s">
        <v>247</v>
      </c>
      <c r="S603" t="s">
        <v>9</v>
      </c>
      <c r="T603">
        <v>4.5400000000000003E-2</v>
      </c>
    </row>
    <row r="604" spans="4:20" ht="15.75" customHeight="1" x14ac:dyDescent="0.2">
      <c r="D604" t="s">
        <v>285</v>
      </c>
      <c r="E604" t="s">
        <v>368</v>
      </c>
      <c r="F604">
        <v>6</v>
      </c>
      <c r="P604" t="s">
        <v>377</v>
      </c>
      <c r="Q604">
        <v>22</v>
      </c>
      <c r="R604" t="s">
        <v>249</v>
      </c>
      <c r="S604" t="s">
        <v>10</v>
      </c>
      <c r="T604">
        <v>27</v>
      </c>
    </row>
    <row r="605" spans="4:20" ht="15.75" customHeight="1" x14ac:dyDescent="0.2">
      <c r="D605" t="s">
        <v>285</v>
      </c>
      <c r="E605" t="s">
        <v>368</v>
      </c>
      <c r="F605">
        <v>6</v>
      </c>
      <c r="P605" t="s">
        <v>377</v>
      </c>
      <c r="Q605">
        <v>22</v>
      </c>
      <c r="R605" t="s">
        <v>251</v>
      </c>
      <c r="S605" t="s">
        <v>11</v>
      </c>
      <c r="T605">
        <v>17</v>
      </c>
    </row>
    <row r="606" spans="4:20" ht="15.75" customHeight="1" x14ac:dyDescent="0.2">
      <c r="D606" t="s">
        <v>285</v>
      </c>
      <c r="E606" t="s">
        <v>368</v>
      </c>
      <c r="F606">
        <v>6</v>
      </c>
      <c r="P606" t="s">
        <v>377</v>
      </c>
      <c r="Q606">
        <v>22</v>
      </c>
      <c r="R606" t="s">
        <v>253</v>
      </c>
      <c r="S606" t="s">
        <v>12</v>
      </c>
      <c r="T606">
        <v>110.36150000000001</v>
      </c>
    </row>
    <row r="607" spans="4:20" ht="15.75" customHeight="1" x14ac:dyDescent="0.2">
      <c r="D607" t="s">
        <v>285</v>
      </c>
      <c r="E607" t="s">
        <v>368</v>
      </c>
      <c r="F607">
        <v>6</v>
      </c>
      <c r="P607" t="s">
        <v>377</v>
      </c>
      <c r="Q607">
        <v>22</v>
      </c>
      <c r="R607" t="s">
        <v>255</v>
      </c>
      <c r="S607" t="s">
        <v>15</v>
      </c>
      <c r="T607">
        <v>12</v>
      </c>
    </row>
    <row r="608" spans="4:20" ht="15.75" customHeight="1" x14ac:dyDescent="0.2">
      <c r="D608" t="s">
        <v>285</v>
      </c>
      <c r="E608" t="s">
        <v>368</v>
      </c>
      <c r="F608">
        <v>6</v>
      </c>
      <c r="P608" t="s">
        <v>377</v>
      </c>
      <c r="Q608">
        <v>22</v>
      </c>
      <c r="R608" t="s">
        <v>293</v>
      </c>
      <c r="S608" t="s">
        <v>13</v>
      </c>
      <c r="T608">
        <v>0</v>
      </c>
    </row>
    <row r="609" spans="4:20" ht="15.75" customHeight="1" x14ac:dyDescent="0.2">
      <c r="D609" t="s">
        <v>285</v>
      </c>
      <c r="E609" t="s">
        <v>368</v>
      </c>
      <c r="F609">
        <v>6</v>
      </c>
      <c r="P609" t="s">
        <v>377</v>
      </c>
      <c r="Q609">
        <v>22</v>
      </c>
      <c r="R609" t="s">
        <v>294</v>
      </c>
      <c r="S609" t="s">
        <v>14</v>
      </c>
      <c r="T609">
        <v>0</v>
      </c>
    </row>
    <row r="610" spans="4:20" ht="15.75" customHeight="1" x14ac:dyDescent="0.2">
      <c r="D610" t="s">
        <v>285</v>
      </c>
      <c r="E610" t="s">
        <v>368</v>
      </c>
      <c r="F610">
        <v>6</v>
      </c>
      <c r="P610" t="s">
        <v>377</v>
      </c>
      <c r="Q610">
        <v>22</v>
      </c>
      <c r="R610" t="s">
        <v>257</v>
      </c>
      <c r="S610" t="s">
        <v>16</v>
      </c>
      <c r="T610">
        <v>61.978499999999997</v>
      </c>
    </row>
    <row r="611" spans="4:20" ht="15.75" customHeight="1" x14ac:dyDescent="0.2">
      <c r="D611" t="s">
        <v>285</v>
      </c>
      <c r="E611" t="s">
        <v>368</v>
      </c>
      <c r="F611">
        <v>6</v>
      </c>
      <c r="P611" t="s">
        <v>377</v>
      </c>
      <c r="Q611">
        <v>22</v>
      </c>
      <c r="R611" t="s">
        <v>295</v>
      </c>
      <c r="S611" t="s">
        <v>17</v>
      </c>
      <c r="T611">
        <v>0</v>
      </c>
    </row>
    <row r="612" spans="4:20" ht="15.75" customHeight="1" x14ac:dyDescent="0.2">
      <c r="D612" t="s">
        <v>285</v>
      </c>
      <c r="E612" t="s">
        <v>368</v>
      </c>
      <c r="F612">
        <v>6</v>
      </c>
      <c r="P612" t="s">
        <v>377</v>
      </c>
      <c r="Q612">
        <v>22</v>
      </c>
      <c r="R612" t="s">
        <v>296</v>
      </c>
      <c r="S612" t="s">
        <v>1</v>
      </c>
      <c r="T612">
        <v>4</v>
      </c>
    </row>
    <row r="613" spans="4:20" ht="15.75" customHeight="1" x14ac:dyDescent="0.2">
      <c r="D613" t="s">
        <v>285</v>
      </c>
      <c r="E613" t="s">
        <v>368</v>
      </c>
      <c r="F613">
        <v>6</v>
      </c>
      <c r="P613" t="s">
        <v>377</v>
      </c>
      <c r="Q613">
        <v>22</v>
      </c>
      <c r="R613" t="s">
        <v>297</v>
      </c>
      <c r="S613" t="s">
        <v>18</v>
      </c>
      <c r="T613">
        <v>2</v>
      </c>
    </row>
    <row r="614" spans="4:20" ht="15.75" customHeight="1" x14ac:dyDescent="0.2">
      <c r="D614" t="s">
        <v>285</v>
      </c>
      <c r="E614" t="s">
        <v>368</v>
      </c>
      <c r="F614">
        <v>6</v>
      </c>
      <c r="P614" t="s">
        <v>377</v>
      </c>
      <c r="Q614">
        <v>22</v>
      </c>
      <c r="R614" t="s">
        <v>298</v>
      </c>
      <c r="S614" t="s">
        <v>19</v>
      </c>
      <c r="T614">
        <v>0</v>
      </c>
    </row>
    <row r="615" spans="4:20" ht="15.75" customHeight="1" x14ac:dyDescent="0.2">
      <c r="D615" t="s">
        <v>285</v>
      </c>
      <c r="E615" t="s">
        <v>368</v>
      </c>
      <c r="F615">
        <v>6</v>
      </c>
      <c r="P615" t="s">
        <v>377</v>
      </c>
      <c r="Q615">
        <v>22</v>
      </c>
      <c r="R615" t="s">
        <v>299</v>
      </c>
      <c r="S615" t="s">
        <v>20</v>
      </c>
      <c r="T615">
        <v>1</v>
      </c>
    </row>
    <row r="616" spans="4:20" ht="15.75" customHeight="1" x14ac:dyDescent="0.2">
      <c r="D616" t="s">
        <v>285</v>
      </c>
      <c r="E616" t="s">
        <v>368</v>
      </c>
      <c r="F616">
        <v>6</v>
      </c>
      <c r="P616" t="s">
        <v>378</v>
      </c>
      <c r="Q616">
        <v>23</v>
      </c>
      <c r="R616" t="s">
        <v>288</v>
      </c>
      <c r="S616" t="s">
        <v>2</v>
      </c>
      <c r="T616">
        <v>0</v>
      </c>
    </row>
    <row r="617" spans="4:20" ht="15.75" customHeight="1" x14ac:dyDescent="0.2">
      <c r="D617" t="s">
        <v>285</v>
      </c>
      <c r="E617" t="s">
        <v>368</v>
      </c>
      <c r="F617">
        <v>6</v>
      </c>
      <c r="P617" t="s">
        <v>378</v>
      </c>
      <c r="Q617">
        <v>23</v>
      </c>
      <c r="R617" t="s">
        <v>289</v>
      </c>
      <c r="S617" t="s">
        <v>5</v>
      </c>
      <c r="T617">
        <v>0</v>
      </c>
    </row>
    <row r="618" spans="4:20" ht="15.75" customHeight="1" x14ac:dyDescent="0.2">
      <c r="D618" t="s">
        <v>285</v>
      </c>
      <c r="E618" t="s">
        <v>368</v>
      </c>
      <c r="F618">
        <v>6</v>
      </c>
      <c r="P618" t="s">
        <v>378</v>
      </c>
      <c r="Q618">
        <v>23</v>
      </c>
      <c r="R618" t="s">
        <v>290</v>
      </c>
      <c r="S618" t="s">
        <v>3</v>
      </c>
      <c r="T618">
        <v>0</v>
      </c>
    </row>
    <row r="619" spans="4:20" ht="15.75" customHeight="1" x14ac:dyDescent="0.2">
      <c r="D619" t="s">
        <v>285</v>
      </c>
      <c r="E619" t="s">
        <v>368</v>
      </c>
      <c r="F619">
        <v>6</v>
      </c>
      <c r="P619" t="s">
        <v>378</v>
      </c>
      <c r="Q619">
        <v>23</v>
      </c>
      <c r="R619" t="s">
        <v>291</v>
      </c>
      <c r="S619" t="s">
        <v>4</v>
      </c>
      <c r="T619">
        <v>0</v>
      </c>
    </row>
    <row r="620" spans="4:20" ht="15.75" customHeight="1" x14ac:dyDescent="0.2">
      <c r="D620" t="s">
        <v>285</v>
      </c>
      <c r="E620" t="s">
        <v>368</v>
      </c>
      <c r="F620">
        <v>6</v>
      </c>
      <c r="P620" t="s">
        <v>378</v>
      </c>
      <c r="Q620">
        <v>23</v>
      </c>
      <c r="R620" t="s">
        <v>292</v>
      </c>
      <c r="S620" t="s">
        <v>6</v>
      </c>
      <c r="T620">
        <v>0</v>
      </c>
    </row>
    <row r="621" spans="4:20" ht="15.75" customHeight="1" x14ac:dyDescent="0.2">
      <c r="D621" t="s">
        <v>285</v>
      </c>
      <c r="E621" t="s">
        <v>368</v>
      </c>
      <c r="F621">
        <v>6</v>
      </c>
      <c r="P621" t="s">
        <v>378</v>
      </c>
      <c r="Q621">
        <v>23</v>
      </c>
      <c r="R621" t="s">
        <v>243</v>
      </c>
      <c r="S621" t="s">
        <v>7</v>
      </c>
      <c r="T621">
        <v>1</v>
      </c>
    </row>
    <row r="622" spans="4:20" ht="15.75" customHeight="1" x14ac:dyDescent="0.2">
      <c r="D622" t="s">
        <v>285</v>
      </c>
      <c r="E622" t="s">
        <v>368</v>
      </c>
      <c r="F622">
        <v>6</v>
      </c>
      <c r="P622" t="s">
        <v>378</v>
      </c>
      <c r="Q622">
        <v>23</v>
      </c>
      <c r="R622" t="s">
        <v>245</v>
      </c>
      <c r="S622" t="s">
        <v>8</v>
      </c>
      <c r="T622">
        <v>4.7549000000000001</v>
      </c>
    </row>
    <row r="623" spans="4:20" ht="15.75" customHeight="1" x14ac:dyDescent="0.2">
      <c r="D623" t="s">
        <v>285</v>
      </c>
      <c r="E623" t="s">
        <v>368</v>
      </c>
      <c r="F623">
        <v>6</v>
      </c>
      <c r="P623" t="s">
        <v>378</v>
      </c>
      <c r="Q623">
        <v>23</v>
      </c>
      <c r="R623" t="s">
        <v>247</v>
      </c>
      <c r="S623" t="s">
        <v>9</v>
      </c>
      <c r="T623">
        <v>8.9999999999999998E-4</v>
      </c>
    </row>
    <row r="624" spans="4:20" ht="15.75" customHeight="1" x14ac:dyDescent="0.2">
      <c r="D624" t="s">
        <v>285</v>
      </c>
      <c r="E624" t="s">
        <v>368</v>
      </c>
      <c r="F624">
        <v>6</v>
      </c>
      <c r="P624" t="s">
        <v>378</v>
      </c>
      <c r="Q624">
        <v>23</v>
      </c>
      <c r="R624" t="s">
        <v>249</v>
      </c>
      <c r="S624" t="s">
        <v>10</v>
      </c>
      <c r="T624">
        <v>3</v>
      </c>
    </row>
    <row r="625" spans="4:20" ht="15.75" customHeight="1" x14ac:dyDescent="0.2">
      <c r="D625" t="s">
        <v>285</v>
      </c>
      <c r="E625" t="s">
        <v>368</v>
      </c>
      <c r="F625">
        <v>6</v>
      </c>
      <c r="P625" t="s">
        <v>378</v>
      </c>
      <c r="Q625">
        <v>23</v>
      </c>
      <c r="R625" t="s">
        <v>251</v>
      </c>
      <c r="S625" t="s">
        <v>11</v>
      </c>
      <c r="T625">
        <v>3</v>
      </c>
    </row>
    <row r="626" spans="4:20" ht="15.75" customHeight="1" x14ac:dyDescent="0.2">
      <c r="D626" t="s">
        <v>285</v>
      </c>
      <c r="E626" t="s">
        <v>368</v>
      </c>
      <c r="F626">
        <v>6</v>
      </c>
      <c r="P626" t="s">
        <v>378</v>
      </c>
      <c r="Q626">
        <v>23</v>
      </c>
      <c r="R626" t="s">
        <v>253</v>
      </c>
      <c r="S626" t="s">
        <v>12</v>
      </c>
      <c r="T626">
        <v>4.7549000000000001</v>
      </c>
    </row>
    <row r="627" spans="4:20" ht="15.75" customHeight="1" x14ac:dyDescent="0.2">
      <c r="D627" t="s">
        <v>285</v>
      </c>
      <c r="E627" t="s">
        <v>368</v>
      </c>
      <c r="F627">
        <v>6</v>
      </c>
      <c r="P627" t="s">
        <v>378</v>
      </c>
      <c r="Q627">
        <v>23</v>
      </c>
      <c r="R627" t="s">
        <v>255</v>
      </c>
      <c r="S627" t="s">
        <v>15</v>
      </c>
      <c r="T627">
        <v>7</v>
      </c>
    </row>
    <row r="628" spans="4:20" ht="15.75" customHeight="1" x14ac:dyDescent="0.2">
      <c r="D628" t="s">
        <v>285</v>
      </c>
      <c r="E628" t="s">
        <v>368</v>
      </c>
      <c r="F628">
        <v>6</v>
      </c>
      <c r="P628" t="s">
        <v>378</v>
      </c>
      <c r="Q628">
        <v>23</v>
      </c>
      <c r="R628" t="s">
        <v>293</v>
      </c>
      <c r="S628" t="s">
        <v>13</v>
      </c>
      <c r="T628">
        <v>1</v>
      </c>
    </row>
    <row r="629" spans="4:20" ht="15.75" customHeight="1" x14ac:dyDescent="0.2">
      <c r="D629" t="s">
        <v>285</v>
      </c>
      <c r="E629" t="s">
        <v>368</v>
      </c>
      <c r="F629">
        <v>6</v>
      </c>
      <c r="P629" t="s">
        <v>378</v>
      </c>
      <c r="Q629">
        <v>23</v>
      </c>
      <c r="R629" t="s">
        <v>294</v>
      </c>
      <c r="S629" t="s">
        <v>14</v>
      </c>
      <c r="T629">
        <v>0</v>
      </c>
    </row>
    <row r="630" spans="4:20" ht="15.75" customHeight="1" x14ac:dyDescent="0.2">
      <c r="D630" t="s">
        <v>285</v>
      </c>
      <c r="E630" t="s">
        <v>368</v>
      </c>
      <c r="F630">
        <v>6</v>
      </c>
      <c r="P630" t="s">
        <v>378</v>
      </c>
      <c r="Q630">
        <v>23</v>
      </c>
      <c r="R630" t="s">
        <v>257</v>
      </c>
      <c r="S630" t="s">
        <v>16</v>
      </c>
      <c r="T630">
        <v>77.349400000000003</v>
      </c>
    </row>
    <row r="631" spans="4:20" ht="15.75" customHeight="1" x14ac:dyDescent="0.2">
      <c r="D631" t="s">
        <v>285</v>
      </c>
      <c r="E631" t="s">
        <v>368</v>
      </c>
      <c r="F631">
        <v>6</v>
      </c>
      <c r="P631" t="s">
        <v>378</v>
      </c>
      <c r="Q631">
        <v>23</v>
      </c>
      <c r="R631" t="s">
        <v>295</v>
      </c>
      <c r="S631" t="s">
        <v>17</v>
      </c>
      <c r="T631">
        <v>0</v>
      </c>
    </row>
    <row r="632" spans="4:20" ht="15.75" customHeight="1" x14ac:dyDescent="0.2">
      <c r="D632" t="s">
        <v>285</v>
      </c>
      <c r="E632" t="s">
        <v>368</v>
      </c>
      <c r="F632">
        <v>6</v>
      </c>
      <c r="P632" t="s">
        <v>378</v>
      </c>
      <c r="Q632">
        <v>23</v>
      </c>
      <c r="R632" t="s">
        <v>296</v>
      </c>
      <c r="S632" t="s">
        <v>1</v>
      </c>
      <c r="T632">
        <v>1</v>
      </c>
    </row>
    <row r="633" spans="4:20" ht="15.75" customHeight="1" x14ac:dyDescent="0.2">
      <c r="D633" t="s">
        <v>285</v>
      </c>
      <c r="E633" t="s">
        <v>368</v>
      </c>
      <c r="F633">
        <v>6</v>
      </c>
      <c r="P633" t="s">
        <v>378</v>
      </c>
      <c r="Q633">
        <v>23</v>
      </c>
      <c r="R633" t="s">
        <v>297</v>
      </c>
      <c r="S633" t="s">
        <v>18</v>
      </c>
      <c r="T633">
        <v>1</v>
      </c>
    </row>
    <row r="634" spans="4:20" ht="15.75" customHeight="1" x14ac:dyDescent="0.2">
      <c r="D634" t="s">
        <v>285</v>
      </c>
      <c r="E634" t="s">
        <v>368</v>
      </c>
      <c r="F634">
        <v>6</v>
      </c>
      <c r="P634" t="s">
        <v>378</v>
      </c>
      <c r="Q634">
        <v>23</v>
      </c>
      <c r="R634" t="s">
        <v>298</v>
      </c>
      <c r="S634" t="s">
        <v>19</v>
      </c>
      <c r="T634">
        <v>0</v>
      </c>
    </row>
    <row r="635" spans="4:20" ht="15.75" customHeight="1" x14ac:dyDescent="0.2">
      <c r="D635" t="s">
        <v>285</v>
      </c>
      <c r="E635" t="s">
        <v>368</v>
      </c>
      <c r="F635">
        <v>6</v>
      </c>
      <c r="P635" t="s">
        <v>378</v>
      </c>
      <c r="Q635">
        <v>23</v>
      </c>
      <c r="R635" t="s">
        <v>299</v>
      </c>
      <c r="S635" t="s">
        <v>20</v>
      </c>
      <c r="T635">
        <v>0</v>
      </c>
    </row>
    <row r="636" spans="4:20" ht="15.75" customHeight="1" x14ac:dyDescent="0.2">
      <c r="D636" t="s">
        <v>285</v>
      </c>
      <c r="E636" t="s">
        <v>368</v>
      </c>
      <c r="F636">
        <v>6</v>
      </c>
      <c r="P636" t="s">
        <v>379</v>
      </c>
      <c r="Q636">
        <v>24</v>
      </c>
      <c r="R636" t="s">
        <v>288</v>
      </c>
      <c r="S636" t="s">
        <v>2</v>
      </c>
      <c r="T636">
        <v>0</v>
      </c>
    </row>
    <row r="637" spans="4:20" ht="15.75" customHeight="1" x14ac:dyDescent="0.2">
      <c r="D637" t="s">
        <v>285</v>
      </c>
      <c r="E637" t="s">
        <v>368</v>
      </c>
      <c r="F637">
        <v>6</v>
      </c>
      <c r="P637" t="s">
        <v>379</v>
      </c>
      <c r="Q637">
        <v>24</v>
      </c>
      <c r="R637" t="s">
        <v>289</v>
      </c>
      <c r="S637" t="s">
        <v>5</v>
      </c>
      <c r="T637">
        <v>0</v>
      </c>
    </row>
    <row r="638" spans="4:20" ht="15.75" customHeight="1" x14ac:dyDescent="0.2">
      <c r="D638" t="s">
        <v>285</v>
      </c>
      <c r="E638" t="s">
        <v>368</v>
      </c>
      <c r="F638">
        <v>6</v>
      </c>
      <c r="P638" t="s">
        <v>379</v>
      </c>
      <c r="Q638">
        <v>24</v>
      </c>
      <c r="R638" t="s">
        <v>290</v>
      </c>
      <c r="S638" t="s">
        <v>3</v>
      </c>
      <c r="T638">
        <v>0</v>
      </c>
    </row>
    <row r="639" spans="4:20" ht="15.75" customHeight="1" x14ac:dyDescent="0.2">
      <c r="D639" t="s">
        <v>285</v>
      </c>
      <c r="E639" t="s">
        <v>368</v>
      </c>
      <c r="F639">
        <v>6</v>
      </c>
      <c r="P639" t="s">
        <v>379</v>
      </c>
      <c r="Q639">
        <v>24</v>
      </c>
      <c r="R639" t="s">
        <v>291</v>
      </c>
      <c r="S639" t="s">
        <v>4</v>
      </c>
      <c r="T639">
        <v>0</v>
      </c>
    </row>
    <row r="640" spans="4:20" ht="15.75" customHeight="1" x14ac:dyDescent="0.2">
      <c r="D640" t="s">
        <v>285</v>
      </c>
      <c r="E640" t="s">
        <v>368</v>
      </c>
      <c r="F640">
        <v>6</v>
      </c>
      <c r="P640" t="s">
        <v>379</v>
      </c>
      <c r="Q640">
        <v>24</v>
      </c>
      <c r="R640" t="s">
        <v>292</v>
      </c>
      <c r="S640" t="s">
        <v>6</v>
      </c>
      <c r="T640">
        <v>0</v>
      </c>
    </row>
    <row r="641" spans="4:20" ht="15.75" customHeight="1" x14ac:dyDescent="0.2">
      <c r="D641" t="s">
        <v>285</v>
      </c>
      <c r="E641" t="s">
        <v>368</v>
      </c>
      <c r="F641">
        <v>6</v>
      </c>
      <c r="P641" t="s">
        <v>379</v>
      </c>
      <c r="Q641">
        <v>24</v>
      </c>
      <c r="R641" t="s">
        <v>243</v>
      </c>
      <c r="S641" t="s">
        <v>7</v>
      </c>
      <c r="T641">
        <v>0</v>
      </c>
    </row>
    <row r="642" spans="4:20" ht="15.75" customHeight="1" x14ac:dyDescent="0.2">
      <c r="D642" t="s">
        <v>285</v>
      </c>
      <c r="E642" t="s">
        <v>368</v>
      </c>
      <c r="F642">
        <v>6</v>
      </c>
      <c r="P642" t="s">
        <v>379</v>
      </c>
      <c r="Q642">
        <v>24</v>
      </c>
      <c r="R642" t="s">
        <v>245</v>
      </c>
      <c r="S642" t="s">
        <v>8</v>
      </c>
      <c r="T642">
        <v>0</v>
      </c>
    </row>
    <row r="643" spans="4:20" ht="15.75" customHeight="1" x14ac:dyDescent="0.2">
      <c r="D643" t="s">
        <v>285</v>
      </c>
      <c r="E643" t="s">
        <v>368</v>
      </c>
      <c r="F643">
        <v>6</v>
      </c>
      <c r="P643" t="s">
        <v>379</v>
      </c>
      <c r="Q643">
        <v>24</v>
      </c>
      <c r="R643" t="s">
        <v>247</v>
      </c>
      <c r="S643" t="s">
        <v>9</v>
      </c>
      <c r="T643">
        <v>0</v>
      </c>
    </row>
    <row r="644" spans="4:20" ht="15.75" customHeight="1" x14ac:dyDescent="0.2">
      <c r="D644" t="s">
        <v>285</v>
      </c>
      <c r="E644" t="s">
        <v>368</v>
      </c>
      <c r="F644">
        <v>6</v>
      </c>
      <c r="P644" t="s">
        <v>379</v>
      </c>
      <c r="Q644">
        <v>24</v>
      </c>
      <c r="R644" t="s">
        <v>249</v>
      </c>
      <c r="S644" t="s">
        <v>10</v>
      </c>
      <c r="T644">
        <v>4</v>
      </c>
    </row>
    <row r="645" spans="4:20" ht="15.75" customHeight="1" x14ac:dyDescent="0.2">
      <c r="D645" t="s">
        <v>285</v>
      </c>
      <c r="E645" t="s">
        <v>368</v>
      </c>
      <c r="F645">
        <v>6</v>
      </c>
      <c r="P645" t="s">
        <v>379</v>
      </c>
      <c r="Q645">
        <v>24</v>
      </c>
      <c r="R645" t="s">
        <v>251</v>
      </c>
      <c r="S645" t="s">
        <v>11</v>
      </c>
      <c r="T645">
        <v>4</v>
      </c>
    </row>
    <row r="646" spans="4:20" ht="15.75" customHeight="1" x14ac:dyDescent="0.2">
      <c r="D646" t="s">
        <v>285</v>
      </c>
      <c r="E646" t="s">
        <v>368</v>
      </c>
      <c r="F646">
        <v>6</v>
      </c>
      <c r="P646" t="s">
        <v>379</v>
      </c>
      <c r="Q646">
        <v>24</v>
      </c>
      <c r="R646" t="s">
        <v>253</v>
      </c>
      <c r="S646" t="s">
        <v>12</v>
      </c>
      <c r="T646">
        <v>8</v>
      </c>
    </row>
    <row r="647" spans="4:20" ht="15.75" customHeight="1" x14ac:dyDescent="0.2">
      <c r="D647" t="s">
        <v>285</v>
      </c>
      <c r="E647" t="s">
        <v>368</v>
      </c>
      <c r="F647">
        <v>6</v>
      </c>
      <c r="P647" t="s">
        <v>379</v>
      </c>
      <c r="Q647">
        <v>24</v>
      </c>
      <c r="R647" t="s">
        <v>255</v>
      </c>
      <c r="S647" t="s">
        <v>15</v>
      </c>
      <c r="T647">
        <v>7</v>
      </c>
    </row>
    <row r="648" spans="4:20" ht="15.75" customHeight="1" x14ac:dyDescent="0.2">
      <c r="D648" t="s">
        <v>285</v>
      </c>
      <c r="E648" t="s">
        <v>368</v>
      </c>
      <c r="F648">
        <v>6</v>
      </c>
      <c r="P648" t="s">
        <v>379</v>
      </c>
      <c r="Q648">
        <v>24</v>
      </c>
      <c r="R648" t="s">
        <v>293</v>
      </c>
      <c r="S648" t="s">
        <v>13</v>
      </c>
      <c r="T648">
        <v>0</v>
      </c>
    </row>
    <row r="649" spans="4:20" ht="15.75" customHeight="1" x14ac:dyDescent="0.2">
      <c r="D649" t="s">
        <v>285</v>
      </c>
      <c r="E649" t="s">
        <v>368</v>
      </c>
      <c r="F649">
        <v>6</v>
      </c>
      <c r="P649" t="s">
        <v>379</v>
      </c>
      <c r="Q649">
        <v>24</v>
      </c>
      <c r="R649" t="s">
        <v>294</v>
      </c>
      <c r="S649" t="s">
        <v>14</v>
      </c>
      <c r="T649">
        <v>0</v>
      </c>
    </row>
    <row r="650" spans="4:20" ht="15.75" customHeight="1" x14ac:dyDescent="0.2">
      <c r="D650" t="s">
        <v>285</v>
      </c>
      <c r="E650" t="s">
        <v>368</v>
      </c>
      <c r="F650">
        <v>6</v>
      </c>
      <c r="P650" t="s">
        <v>379</v>
      </c>
      <c r="Q650">
        <v>24</v>
      </c>
      <c r="R650" t="s">
        <v>257</v>
      </c>
      <c r="S650" t="s">
        <v>16</v>
      </c>
      <c r="T650">
        <v>75.241600000000005</v>
      </c>
    </row>
    <row r="651" spans="4:20" ht="15.75" customHeight="1" x14ac:dyDescent="0.2">
      <c r="D651" t="s">
        <v>285</v>
      </c>
      <c r="E651" t="s">
        <v>368</v>
      </c>
      <c r="F651">
        <v>6</v>
      </c>
      <c r="P651" t="s">
        <v>379</v>
      </c>
      <c r="Q651">
        <v>24</v>
      </c>
      <c r="R651" t="s">
        <v>295</v>
      </c>
      <c r="S651" t="s">
        <v>17</v>
      </c>
      <c r="T651">
        <v>0</v>
      </c>
    </row>
    <row r="652" spans="4:20" ht="15.75" customHeight="1" x14ac:dyDescent="0.2">
      <c r="D652" t="s">
        <v>285</v>
      </c>
      <c r="E652" t="s">
        <v>368</v>
      </c>
      <c r="F652">
        <v>6</v>
      </c>
      <c r="P652" t="s">
        <v>379</v>
      </c>
      <c r="Q652">
        <v>24</v>
      </c>
      <c r="R652" t="s">
        <v>296</v>
      </c>
      <c r="S652" t="s">
        <v>1</v>
      </c>
      <c r="T652">
        <v>1</v>
      </c>
    </row>
    <row r="653" spans="4:20" ht="15.75" customHeight="1" x14ac:dyDescent="0.2">
      <c r="D653" t="s">
        <v>285</v>
      </c>
      <c r="E653" t="s">
        <v>368</v>
      </c>
      <c r="F653">
        <v>6</v>
      </c>
      <c r="P653" t="s">
        <v>379</v>
      </c>
      <c r="Q653">
        <v>24</v>
      </c>
      <c r="R653" t="s">
        <v>297</v>
      </c>
      <c r="S653" t="s">
        <v>18</v>
      </c>
      <c r="T653">
        <v>0</v>
      </c>
    </row>
    <row r="654" spans="4:20" ht="15.75" customHeight="1" x14ac:dyDescent="0.2">
      <c r="D654" t="s">
        <v>285</v>
      </c>
      <c r="E654" t="s">
        <v>368</v>
      </c>
      <c r="F654">
        <v>6</v>
      </c>
      <c r="P654" t="s">
        <v>379</v>
      </c>
      <c r="Q654">
        <v>24</v>
      </c>
      <c r="R654" t="s">
        <v>298</v>
      </c>
      <c r="S654" t="s">
        <v>19</v>
      </c>
      <c r="T654">
        <v>0</v>
      </c>
    </row>
    <row r="655" spans="4:20" ht="15.75" customHeight="1" x14ac:dyDescent="0.2">
      <c r="D655" t="s">
        <v>285</v>
      </c>
      <c r="E655" t="s">
        <v>368</v>
      </c>
      <c r="F655">
        <v>6</v>
      </c>
      <c r="P655" t="s">
        <v>379</v>
      </c>
      <c r="Q655">
        <v>24</v>
      </c>
      <c r="R655" t="s">
        <v>299</v>
      </c>
      <c r="S655" t="s">
        <v>20</v>
      </c>
      <c r="T655">
        <v>0</v>
      </c>
    </row>
    <row r="656" spans="4:20" ht="15.75" customHeight="1" x14ac:dyDescent="0.2">
      <c r="D656" t="s">
        <v>285</v>
      </c>
      <c r="E656" t="s">
        <v>368</v>
      </c>
      <c r="F656">
        <v>6</v>
      </c>
      <c r="P656" t="s">
        <v>380</v>
      </c>
      <c r="Q656">
        <v>25</v>
      </c>
      <c r="R656" t="s">
        <v>288</v>
      </c>
      <c r="S656" t="s">
        <v>2</v>
      </c>
      <c r="T656">
        <v>1</v>
      </c>
    </row>
    <row r="657" spans="4:20" ht="15.75" customHeight="1" x14ac:dyDescent="0.2">
      <c r="D657" t="s">
        <v>285</v>
      </c>
      <c r="E657" t="s">
        <v>368</v>
      </c>
      <c r="F657">
        <v>6</v>
      </c>
      <c r="P657" t="s">
        <v>380</v>
      </c>
      <c r="Q657">
        <v>25</v>
      </c>
      <c r="R657" t="s">
        <v>289</v>
      </c>
      <c r="S657" t="s">
        <v>5</v>
      </c>
      <c r="T657">
        <v>0</v>
      </c>
    </row>
    <row r="658" spans="4:20" ht="15.75" customHeight="1" x14ac:dyDescent="0.2">
      <c r="D658" t="s">
        <v>285</v>
      </c>
      <c r="E658" t="s">
        <v>368</v>
      </c>
      <c r="F658">
        <v>6</v>
      </c>
      <c r="P658" t="s">
        <v>380</v>
      </c>
      <c r="Q658">
        <v>25</v>
      </c>
      <c r="R658" t="s">
        <v>290</v>
      </c>
      <c r="S658" t="s">
        <v>3</v>
      </c>
      <c r="T658">
        <v>1</v>
      </c>
    </row>
    <row r="659" spans="4:20" ht="15.75" customHeight="1" x14ac:dyDescent="0.2">
      <c r="D659" t="s">
        <v>285</v>
      </c>
      <c r="E659" t="s">
        <v>368</v>
      </c>
      <c r="F659">
        <v>6</v>
      </c>
      <c r="P659" t="s">
        <v>380</v>
      </c>
      <c r="Q659">
        <v>25</v>
      </c>
      <c r="R659" t="s">
        <v>291</v>
      </c>
      <c r="S659" t="s">
        <v>4</v>
      </c>
      <c r="T659">
        <v>1</v>
      </c>
    </row>
    <row r="660" spans="4:20" ht="15.75" customHeight="1" x14ac:dyDescent="0.2">
      <c r="D660" t="s">
        <v>285</v>
      </c>
      <c r="E660" t="s">
        <v>368</v>
      </c>
      <c r="F660">
        <v>6</v>
      </c>
      <c r="P660" t="s">
        <v>380</v>
      </c>
      <c r="Q660">
        <v>25</v>
      </c>
      <c r="R660" t="s">
        <v>292</v>
      </c>
      <c r="S660" t="s">
        <v>6</v>
      </c>
      <c r="T660">
        <v>1</v>
      </c>
    </row>
    <row r="661" spans="4:20" ht="15.75" customHeight="1" x14ac:dyDescent="0.2">
      <c r="D661" t="s">
        <v>285</v>
      </c>
      <c r="E661" t="s">
        <v>368</v>
      </c>
      <c r="F661">
        <v>6</v>
      </c>
      <c r="P661" t="s">
        <v>380</v>
      </c>
      <c r="Q661">
        <v>25</v>
      </c>
      <c r="R661" t="s">
        <v>243</v>
      </c>
      <c r="S661" t="s">
        <v>7</v>
      </c>
      <c r="T661">
        <v>3.75</v>
      </c>
    </row>
    <row r="662" spans="4:20" ht="15.75" customHeight="1" x14ac:dyDescent="0.2">
      <c r="D662" t="s">
        <v>285</v>
      </c>
      <c r="E662" t="s">
        <v>368</v>
      </c>
      <c r="F662">
        <v>6</v>
      </c>
      <c r="P662" t="s">
        <v>380</v>
      </c>
      <c r="Q662">
        <v>25</v>
      </c>
      <c r="R662" t="s">
        <v>245</v>
      </c>
      <c r="S662" t="s">
        <v>8</v>
      </c>
      <c r="T662">
        <v>137.02950000000001</v>
      </c>
    </row>
    <row r="663" spans="4:20" ht="15.75" customHeight="1" x14ac:dyDescent="0.2">
      <c r="D663" t="s">
        <v>285</v>
      </c>
      <c r="E663" t="s">
        <v>368</v>
      </c>
      <c r="F663">
        <v>6</v>
      </c>
      <c r="P663" t="s">
        <v>380</v>
      </c>
      <c r="Q663">
        <v>25</v>
      </c>
      <c r="R663" t="s">
        <v>247</v>
      </c>
      <c r="S663" t="s">
        <v>9</v>
      </c>
      <c r="T663">
        <v>8.8999999999999999E-3</v>
      </c>
    </row>
    <row r="664" spans="4:20" ht="15.75" customHeight="1" x14ac:dyDescent="0.2">
      <c r="D664" t="s">
        <v>285</v>
      </c>
      <c r="E664" t="s">
        <v>368</v>
      </c>
      <c r="F664">
        <v>6</v>
      </c>
      <c r="P664" t="s">
        <v>380</v>
      </c>
      <c r="Q664">
        <v>25</v>
      </c>
      <c r="R664" t="s">
        <v>249</v>
      </c>
      <c r="S664" t="s">
        <v>10</v>
      </c>
      <c r="T664">
        <v>11</v>
      </c>
    </row>
    <row r="665" spans="4:20" ht="15.75" customHeight="1" x14ac:dyDescent="0.2">
      <c r="D665" t="s">
        <v>285</v>
      </c>
      <c r="E665" t="s">
        <v>368</v>
      </c>
      <c r="F665">
        <v>6</v>
      </c>
      <c r="P665" t="s">
        <v>380</v>
      </c>
      <c r="Q665">
        <v>25</v>
      </c>
      <c r="R665" t="s">
        <v>251</v>
      </c>
      <c r="S665" t="s">
        <v>11</v>
      </c>
      <c r="T665">
        <v>10</v>
      </c>
    </row>
    <row r="666" spans="4:20" ht="15.75" customHeight="1" x14ac:dyDescent="0.2">
      <c r="D666" t="s">
        <v>285</v>
      </c>
      <c r="E666" t="s">
        <v>368</v>
      </c>
      <c r="F666">
        <v>6</v>
      </c>
      <c r="P666" t="s">
        <v>380</v>
      </c>
      <c r="Q666">
        <v>25</v>
      </c>
      <c r="R666" t="s">
        <v>253</v>
      </c>
      <c r="S666" t="s">
        <v>12</v>
      </c>
      <c r="T666">
        <v>36.541200000000003</v>
      </c>
    </row>
    <row r="667" spans="4:20" ht="15.75" customHeight="1" x14ac:dyDescent="0.2">
      <c r="D667" t="s">
        <v>285</v>
      </c>
      <c r="E667" t="s">
        <v>368</v>
      </c>
      <c r="F667">
        <v>6</v>
      </c>
      <c r="P667" t="s">
        <v>380</v>
      </c>
      <c r="Q667">
        <v>25</v>
      </c>
      <c r="R667" t="s">
        <v>255</v>
      </c>
      <c r="S667" t="s">
        <v>15</v>
      </c>
      <c r="T667">
        <v>11</v>
      </c>
    </row>
    <row r="668" spans="4:20" ht="15.75" customHeight="1" x14ac:dyDescent="0.2">
      <c r="D668" t="s">
        <v>285</v>
      </c>
      <c r="E668" t="s">
        <v>368</v>
      </c>
      <c r="F668">
        <v>6</v>
      </c>
      <c r="P668" t="s">
        <v>380</v>
      </c>
      <c r="Q668">
        <v>25</v>
      </c>
      <c r="R668" t="s">
        <v>293</v>
      </c>
      <c r="S668" t="s">
        <v>13</v>
      </c>
      <c r="T668">
        <v>0</v>
      </c>
    </row>
    <row r="669" spans="4:20" ht="15.75" customHeight="1" x14ac:dyDescent="0.2">
      <c r="D669" t="s">
        <v>285</v>
      </c>
      <c r="E669" t="s">
        <v>368</v>
      </c>
      <c r="F669">
        <v>6</v>
      </c>
      <c r="P669" t="s">
        <v>380</v>
      </c>
      <c r="Q669">
        <v>25</v>
      </c>
      <c r="R669" t="s">
        <v>294</v>
      </c>
      <c r="S669" t="s">
        <v>14</v>
      </c>
      <c r="T669">
        <v>1</v>
      </c>
    </row>
    <row r="670" spans="4:20" ht="15.75" customHeight="1" x14ac:dyDescent="0.2">
      <c r="D670" t="s">
        <v>285</v>
      </c>
      <c r="E670" t="s">
        <v>368</v>
      </c>
      <c r="F670">
        <v>6</v>
      </c>
      <c r="P670" t="s">
        <v>380</v>
      </c>
      <c r="Q670">
        <v>25</v>
      </c>
      <c r="R670" t="s">
        <v>257</v>
      </c>
      <c r="S670" t="s">
        <v>16</v>
      </c>
      <c r="T670">
        <v>66.292599999999993</v>
      </c>
    </row>
    <row r="671" spans="4:20" ht="15.75" customHeight="1" x14ac:dyDescent="0.2">
      <c r="D671" t="s">
        <v>285</v>
      </c>
      <c r="E671" t="s">
        <v>368</v>
      </c>
      <c r="F671">
        <v>6</v>
      </c>
      <c r="P671" t="s">
        <v>380</v>
      </c>
      <c r="Q671">
        <v>25</v>
      </c>
      <c r="R671" t="s">
        <v>295</v>
      </c>
      <c r="S671" t="s">
        <v>17</v>
      </c>
      <c r="T671">
        <v>0</v>
      </c>
    </row>
    <row r="672" spans="4:20" ht="15.75" customHeight="1" x14ac:dyDescent="0.2">
      <c r="D672" t="s">
        <v>285</v>
      </c>
      <c r="E672" t="s">
        <v>368</v>
      </c>
      <c r="F672">
        <v>6</v>
      </c>
      <c r="P672" t="s">
        <v>380</v>
      </c>
      <c r="Q672">
        <v>25</v>
      </c>
      <c r="R672" t="s">
        <v>296</v>
      </c>
      <c r="S672" t="s">
        <v>1</v>
      </c>
      <c r="T672">
        <v>2</v>
      </c>
    </row>
    <row r="673" spans="4:20" ht="15.75" customHeight="1" x14ac:dyDescent="0.2">
      <c r="D673" t="s">
        <v>285</v>
      </c>
      <c r="E673" t="s">
        <v>368</v>
      </c>
      <c r="F673">
        <v>6</v>
      </c>
      <c r="P673" t="s">
        <v>380</v>
      </c>
      <c r="Q673">
        <v>25</v>
      </c>
      <c r="R673" t="s">
        <v>297</v>
      </c>
      <c r="S673" t="s">
        <v>18</v>
      </c>
      <c r="T673">
        <v>3</v>
      </c>
    </row>
    <row r="674" spans="4:20" ht="15.75" customHeight="1" x14ac:dyDescent="0.2">
      <c r="D674" t="s">
        <v>285</v>
      </c>
      <c r="E674" t="s">
        <v>368</v>
      </c>
      <c r="F674">
        <v>6</v>
      </c>
      <c r="P674" t="s">
        <v>380</v>
      </c>
      <c r="Q674">
        <v>25</v>
      </c>
      <c r="R674" t="s">
        <v>298</v>
      </c>
      <c r="S674" t="s">
        <v>19</v>
      </c>
      <c r="T674">
        <v>1</v>
      </c>
    </row>
    <row r="675" spans="4:20" ht="15.75" customHeight="1" x14ac:dyDescent="0.2">
      <c r="D675" t="s">
        <v>285</v>
      </c>
      <c r="E675" t="s">
        <v>368</v>
      </c>
      <c r="F675">
        <v>6</v>
      </c>
      <c r="P675" t="s">
        <v>380</v>
      </c>
      <c r="Q675">
        <v>25</v>
      </c>
      <c r="R675" t="s">
        <v>299</v>
      </c>
      <c r="S675" t="s">
        <v>20</v>
      </c>
      <c r="T675">
        <v>1</v>
      </c>
    </row>
    <row r="676" spans="4:20" ht="15.75" customHeight="1" x14ac:dyDescent="0.2">
      <c r="D676" t="s">
        <v>285</v>
      </c>
      <c r="E676" t="s">
        <v>368</v>
      </c>
      <c r="F676">
        <v>6</v>
      </c>
      <c r="P676" t="s">
        <v>381</v>
      </c>
      <c r="Q676">
        <v>26</v>
      </c>
      <c r="R676" t="s">
        <v>288</v>
      </c>
      <c r="S676" t="s">
        <v>2</v>
      </c>
      <c r="T676">
        <v>0</v>
      </c>
    </row>
    <row r="677" spans="4:20" ht="15.75" customHeight="1" x14ac:dyDescent="0.2">
      <c r="D677" t="s">
        <v>285</v>
      </c>
      <c r="E677" t="s">
        <v>368</v>
      </c>
      <c r="F677">
        <v>6</v>
      </c>
      <c r="P677" t="s">
        <v>381</v>
      </c>
      <c r="Q677">
        <v>26</v>
      </c>
      <c r="R677" t="s">
        <v>289</v>
      </c>
      <c r="S677" t="s">
        <v>5</v>
      </c>
      <c r="T677">
        <v>0</v>
      </c>
    </row>
    <row r="678" spans="4:20" ht="15.75" customHeight="1" x14ac:dyDescent="0.2">
      <c r="D678" t="s">
        <v>285</v>
      </c>
      <c r="E678" t="s">
        <v>368</v>
      </c>
      <c r="F678">
        <v>6</v>
      </c>
      <c r="P678" t="s">
        <v>381</v>
      </c>
      <c r="Q678">
        <v>26</v>
      </c>
      <c r="R678" t="s">
        <v>290</v>
      </c>
      <c r="S678" t="s">
        <v>3</v>
      </c>
      <c r="T678">
        <v>0</v>
      </c>
    </row>
    <row r="679" spans="4:20" ht="15.75" customHeight="1" x14ac:dyDescent="0.2">
      <c r="D679" t="s">
        <v>285</v>
      </c>
      <c r="E679" t="s">
        <v>368</v>
      </c>
      <c r="F679">
        <v>6</v>
      </c>
      <c r="P679" t="s">
        <v>381</v>
      </c>
      <c r="Q679">
        <v>26</v>
      </c>
      <c r="R679" t="s">
        <v>291</v>
      </c>
      <c r="S679" t="s">
        <v>4</v>
      </c>
      <c r="T679">
        <v>0</v>
      </c>
    </row>
    <row r="680" spans="4:20" ht="15.75" customHeight="1" x14ac:dyDescent="0.2">
      <c r="D680" t="s">
        <v>285</v>
      </c>
      <c r="E680" t="s">
        <v>368</v>
      </c>
      <c r="F680">
        <v>6</v>
      </c>
      <c r="P680" t="s">
        <v>381</v>
      </c>
      <c r="Q680">
        <v>26</v>
      </c>
      <c r="R680" t="s">
        <v>292</v>
      </c>
      <c r="S680" t="s">
        <v>6</v>
      </c>
      <c r="T680">
        <v>0</v>
      </c>
    </row>
    <row r="681" spans="4:20" ht="15.75" customHeight="1" x14ac:dyDescent="0.2">
      <c r="D681" t="s">
        <v>285</v>
      </c>
      <c r="E681" t="s">
        <v>368</v>
      </c>
      <c r="F681">
        <v>6</v>
      </c>
      <c r="P681" t="s">
        <v>381</v>
      </c>
      <c r="Q681">
        <v>26</v>
      </c>
      <c r="R681" t="s">
        <v>243</v>
      </c>
      <c r="S681" t="s">
        <v>7</v>
      </c>
      <c r="T681">
        <v>4.5</v>
      </c>
    </row>
    <row r="682" spans="4:20" ht="15.75" customHeight="1" x14ac:dyDescent="0.2">
      <c r="D682" t="s">
        <v>285</v>
      </c>
      <c r="E682" t="s">
        <v>368</v>
      </c>
      <c r="F682">
        <v>6</v>
      </c>
      <c r="P682" t="s">
        <v>381</v>
      </c>
      <c r="Q682">
        <v>26</v>
      </c>
      <c r="R682" t="s">
        <v>245</v>
      </c>
      <c r="S682" t="s">
        <v>8</v>
      </c>
      <c r="T682">
        <v>121.5</v>
      </c>
    </row>
    <row r="683" spans="4:20" ht="15.75" customHeight="1" x14ac:dyDescent="0.2">
      <c r="D683" t="s">
        <v>285</v>
      </c>
      <c r="E683" t="s">
        <v>368</v>
      </c>
      <c r="F683">
        <v>6</v>
      </c>
      <c r="P683" t="s">
        <v>381</v>
      </c>
      <c r="Q683">
        <v>26</v>
      </c>
      <c r="R683" t="s">
        <v>247</v>
      </c>
      <c r="S683" t="s">
        <v>9</v>
      </c>
      <c r="T683">
        <v>8.2000000000000007E-3</v>
      </c>
    </row>
    <row r="684" spans="4:20" ht="15.75" customHeight="1" x14ac:dyDescent="0.2">
      <c r="D684" t="s">
        <v>285</v>
      </c>
      <c r="E684" t="s">
        <v>368</v>
      </c>
      <c r="F684">
        <v>6</v>
      </c>
      <c r="P684" t="s">
        <v>381</v>
      </c>
      <c r="Q684">
        <v>26</v>
      </c>
      <c r="R684" t="s">
        <v>249</v>
      </c>
      <c r="S684" t="s">
        <v>10</v>
      </c>
      <c r="T684">
        <v>9</v>
      </c>
    </row>
    <row r="685" spans="4:20" ht="15.75" customHeight="1" x14ac:dyDescent="0.2">
      <c r="D685" t="s">
        <v>285</v>
      </c>
      <c r="E685" t="s">
        <v>368</v>
      </c>
      <c r="F685">
        <v>6</v>
      </c>
      <c r="P685" t="s">
        <v>381</v>
      </c>
      <c r="Q685">
        <v>26</v>
      </c>
      <c r="R685" t="s">
        <v>251</v>
      </c>
      <c r="S685" t="s">
        <v>11</v>
      </c>
      <c r="T685">
        <v>8</v>
      </c>
    </row>
    <row r="686" spans="4:20" ht="15.75" customHeight="1" x14ac:dyDescent="0.2">
      <c r="D686" t="s">
        <v>285</v>
      </c>
      <c r="E686" t="s">
        <v>368</v>
      </c>
      <c r="F686">
        <v>6</v>
      </c>
      <c r="P686" t="s">
        <v>381</v>
      </c>
      <c r="Q686">
        <v>26</v>
      </c>
      <c r="R686" t="s">
        <v>253</v>
      </c>
      <c r="S686" t="s">
        <v>12</v>
      </c>
      <c r="T686">
        <v>27</v>
      </c>
    </row>
    <row r="687" spans="4:20" ht="15.75" customHeight="1" x14ac:dyDescent="0.2">
      <c r="D687" t="s">
        <v>285</v>
      </c>
      <c r="E687" t="s">
        <v>368</v>
      </c>
      <c r="F687">
        <v>6</v>
      </c>
      <c r="P687" t="s">
        <v>381</v>
      </c>
      <c r="Q687">
        <v>26</v>
      </c>
      <c r="R687" t="s">
        <v>255</v>
      </c>
      <c r="S687" t="s">
        <v>15</v>
      </c>
      <c r="T687">
        <v>11</v>
      </c>
    </row>
    <row r="688" spans="4:20" ht="15.75" customHeight="1" x14ac:dyDescent="0.2">
      <c r="D688" t="s">
        <v>285</v>
      </c>
      <c r="E688" t="s">
        <v>368</v>
      </c>
      <c r="F688">
        <v>6</v>
      </c>
      <c r="P688" t="s">
        <v>381</v>
      </c>
      <c r="Q688">
        <v>26</v>
      </c>
      <c r="R688" t="s">
        <v>293</v>
      </c>
      <c r="S688" t="s">
        <v>13</v>
      </c>
      <c r="T688">
        <v>0</v>
      </c>
    </row>
    <row r="689" spans="4:20" ht="15.75" customHeight="1" x14ac:dyDescent="0.2">
      <c r="D689" t="s">
        <v>285</v>
      </c>
      <c r="E689" t="s">
        <v>368</v>
      </c>
      <c r="F689">
        <v>6</v>
      </c>
      <c r="P689" t="s">
        <v>381</v>
      </c>
      <c r="Q689">
        <v>26</v>
      </c>
      <c r="R689" t="s">
        <v>294</v>
      </c>
      <c r="S689" t="s">
        <v>14</v>
      </c>
      <c r="T689">
        <v>0</v>
      </c>
    </row>
    <row r="690" spans="4:20" ht="15.75" customHeight="1" x14ac:dyDescent="0.2">
      <c r="D690" t="s">
        <v>285</v>
      </c>
      <c r="E690" t="s">
        <v>368</v>
      </c>
      <c r="F690">
        <v>6</v>
      </c>
      <c r="P690" t="s">
        <v>381</v>
      </c>
      <c r="Q690">
        <v>26</v>
      </c>
      <c r="R690" t="s">
        <v>257</v>
      </c>
      <c r="S690" t="s">
        <v>16</v>
      </c>
      <c r="T690">
        <v>67.375399999999999</v>
      </c>
    </row>
    <row r="691" spans="4:20" ht="15.75" customHeight="1" x14ac:dyDescent="0.2">
      <c r="D691" t="s">
        <v>285</v>
      </c>
      <c r="E691" t="s">
        <v>368</v>
      </c>
      <c r="F691">
        <v>6</v>
      </c>
      <c r="P691" t="s">
        <v>381</v>
      </c>
      <c r="Q691">
        <v>26</v>
      </c>
      <c r="R691" t="s">
        <v>295</v>
      </c>
      <c r="S691" t="s">
        <v>17</v>
      </c>
      <c r="T691">
        <v>0</v>
      </c>
    </row>
    <row r="692" spans="4:20" ht="15.75" customHeight="1" x14ac:dyDescent="0.2">
      <c r="D692" t="s">
        <v>285</v>
      </c>
      <c r="E692" t="s">
        <v>368</v>
      </c>
      <c r="F692">
        <v>6</v>
      </c>
      <c r="P692" t="s">
        <v>381</v>
      </c>
      <c r="Q692">
        <v>26</v>
      </c>
      <c r="R692" t="s">
        <v>296</v>
      </c>
      <c r="S692" t="s">
        <v>1</v>
      </c>
      <c r="T692">
        <v>1</v>
      </c>
    </row>
    <row r="693" spans="4:20" ht="15.75" customHeight="1" x14ac:dyDescent="0.2">
      <c r="D693" t="s">
        <v>285</v>
      </c>
      <c r="E693" t="s">
        <v>368</v>
      </c>
      <c r="F693">
        <v>6</v>
      </c>
      <c r="P693" t="s">
        <v>381</v>
      </c>
      <c r="Q693">
        <v>26</v>
      </c>
      <c r="R693" t="s">
        <v>297</v>
      </c>
      <c r="S693" t="s">
        <v>18</v>
      </c>
      <c r="T693">
        <v>1</v>
      </c>
    </row>
    <row r="694" spans="4:20" ht="15.75" customHeight="1" x14ac:dyDescent="0.2">
      <c r="D694" t="s">
        <v>285</v>
      </c>
      <c r="E694" t="s">
        <v>368</v>
      </c>
      <c r="F694">
        <v>6</v>
      </c>
      <c r="P694" t="s">
        <v>381</v>
      </c>
      <c r="Q694">
        <v>26</v>
      </c>
      <c r="R694" t="s">
        <v>298</v>
      </c>
      <c r="S694" t="s">
        <v>19</v>
      </c>
      <c r="T694">
        <v>0</v>
      </c>
    </row>
    <row r="695" spans="4:20" ht="15.75" customHeight="1" x14ac:dyDescent="0.2">
      <c r="D695" t="s">
        <v>285</v>
      </c>
      <c r="E695" t="s">
        <v>368</v>
      </c>
      <c r="F695">
        <v>6</v>
      </c>
      <c r="P695" t="s">
        <v>381</v>
      </c>
      <c r="Q695">
        <v>26</v>
      </c>
      <c r="R695" t="s">
        <v>299</v>
      </c>
      <c r="S695" t="s">
        <v>20</v>
      </c>
      <c r="T695">
        <v>1</v>
      </c>
    </row>
    <row r="696" spans="4:20" ht="15.75" customHeight="1" x14ac:dyDescent="0.2">
      <c r="D696" t="s">
        <v>285</v>
      </c>
      <c r="E696" t="s">
        <v>368</v>
      </c>
      <c r="F696">
        <v>6</v>
      </c>
      <c r="P696" t="s">
        <v>382</v>
      </c>
      <c r="Q696">
        <v>27</v>
      </c>
      <c r="R696" t="s">
        <v>288</v>
      </c>
      <c r="S696" t="s">
        <v>2</v>
      </c>
      <c r="T696">
        <v>0</v>
      </c>
    </row>
    <row r="697" spans="4:20" ht="15.75" customHeight="1" x14ac:dyDescent="0.2">
      <c r="D697" t="s">
        <v>285</v>
      </c>
      <c r="E697" t="s">
        <v>368</v>
      </c>
      <c r="F697">
        <v>6</v>
      </c>
      <c r="P697" t="s">
        <v>382</v>
      </c>
      <c r="Q697">
        <v>27</v>
      </c>
      <c r="R697" t="s">
        <v>289</v>
      </c>
      <c r="S697" t="s">
        <v>5</v>
      </c>
      <c r="T697">
        <v>0</v>
      </c>
    </row>
    <row r="698" spans="4:20" ht="15.75" customHeight="1" x14ac:dyDescent="0.2">
      <c r="D698" t="s">
        <v>285</v>
      </c>
      <c r="E698" t="s">
        <v>368</v>
      </c>
      <c r="F698">
        <v>6</v>
      </c>
      <c r="P698" t="s">
        <v>382</v>
      </c>
      <c r="Q698">
        <v>27</v>
      </c>
      <c r="R698" t="s">
        <v>290</v>
      </c>
      <c r="S698" t="s">
        <v>3</v>
      </c>
      <c r="T698">
        <v>0.5</v>
      </c>
    </row>
    <row r="699" spans="4:20" ht="15.75" customHeight="1" x14ac:dyDescent="0.2">
      <c r="D699" t="s">
        <v>285</v>
      </c>
      <c r="E699" t="s">
        <v>368</v>
      </c>
      <c r="F699">
        <v>6</v>
      </c>
      <c r="P699" t="s">
        <v>382</v>
      </c>
      <c r="Q699">
        <v>27</v>
      </c>
      <c r="R699" t="s">
        <v>291</v>
      </c>
      <c r="S699" t="s">
        <v>4</v>
      </c>
      <c r="T699">
        <v>2</v>
      </c>
    </row>
    <row r="700" spans="4:20" ht="15.75" customHeight="1" x14ac:dyDescent="0.2">
      <c r="D700" t="s">
        <v>285</v>
      </c>
      <c r="E700" t="s">
        <v>368</v>
      </c>
      <c r="F700">
        <v>6</v>
      </c>
      <c r="P700" t="s">
        <v>382</v>
      </c>
      <c r="Q700">
        <v>27</v>
      </c>
      <c r="R700" t="s">
        <v>292</v>
      </c>
      <c r="S700" t="s">
        <v>6</v>
      </c>
      <c r="T700">
        <v>1</v>
      </c>
    </row>
    <row r="701" spans="4:20" ht="15.75" customHeight="1" x14ac:dyDescent="0.2">
      <c r="D701" t="s">
        <v>285</v>
      </c>
      <c r="E701" t="s">
        <v>368</v>
      </c>
      <c r="F701">
        <v>6</v>
      </c>
      <c r="P701" t="s">
        <v>382</v>
      </c>
      <c r="Q701">
        <v>27</v>
      </c>
      <c r="R701" t="s">
        <v>243</v>
      </c>
      <c r="S701" t="s">
        <v>7</v>
      </c>
      <c r="T701">
        <v>3.5</v>
      </c>
    </row>
    <row r="702" spans="4:20" ht="15.75" customHeight="1" x14ac:dyDescent="0.2">
      <c r="D702" t="s">
        <v>285</v>
      </c>
      <c r="E702" t="s">
        <v>368</v>
      </c>
      <c r="F702">
        <v>6</v>
      </c>
      <c r="P702" t="s">
        <v>382</v>
      </c>
      <c r="Q702">
        <v>27</v>
      </c>
      <c r="R702" t="s">
        <v>245</v>
      </c>
      <c r="S702" t="s">
        <v>8</v>
      </c>
      <c r="T702">
        <v>157.4041</v>
      </c>
    </row>
    <row r="703" spans="4:20" ht="15.75" customHeight="1" x14ac:dyDescent="0.2">
      <c r="D703" t="s">
        <v>285</v>
      </c>
      <c r="E703" t="s">
        <v>368</v>
      </c>
      <c r="F703">
        <v>6</v>
      </c>
      <c r="P703" t="s">
        <v>382</v>
      </c>
      <c r="Q703">
        <v>27</v>
      </c>
      <c r="R703" t="s">
        <v>247</v>
      </c>
      <c r="S703" t="s">
        <v>9</v>
      </c>
      <c r="T703">
        <v>9.7000000000000003E-3</v>
      </c>
    </row>
    <row r="704" spans="4:20" ht="15.75" customHeight="1" x14ac:dyDescent="0.2">
      <c r="D704" t="s">
        <v>285</v>
      </c>
      <c r="E704" t="s">
        <v>368</v>
      </c>
      <c r="F704">
        <v>6</v>
      </c>
      <c r="P704" t="s">
        <v>382</v>
      </c>
      <c r="Q704">
        <v>27</v>
      </c>
      <c r="R704" t="s">
        <v>249</v>
      </c>
      <c r="S704" t="s">
        <v>10</v>
      </c>
      <c r="T704">
        <v>13</v>
      </c>
    </row>
    <row r="705" spans="4:20" ht="15.75" customHeight="1" x14ac:dyDescent="0.2">
      <c r="D705" t="s">
        <v>285</v>
      </c>
      <c r="E705" t="s">
        <v>368</v>
      </c>
      <c r="F705">
        <v>6</v>
      </c>
      <c r="P705" t="s">
        <v>382</v>
      </c>
      <c r="Q705">
        <v>27</v>
      </c>
      <c r="R705" t="s">
        <v>251</v>
      </c>
      <c r="S705" t="s">
        <v>11</v>
      </c>
      <c r="T705">
        <v>11</v>
      </c>
    </row>
    <row r="706" spans="4:20" ht="15.75" customHeight="1" x14ac:dyDescent="0.2">
      <c r="D706" t="s">
        <v>285</v>
      </c>
      <c r="E706" t="s">
        <v>368</v>
      </c>
      <c r="F706">
        <v>6</v>
      </c>
      <c r="P706" t="s">
        <v>382</v>
      </c>
      <c r="Q706">
        <v>27</v>
      </c>
      <c r="R706" t="s">
        <v>253</v>
      </c>
      <c r="S706" t="s">
        <v>12</v>
      </c>
      <c r="T706">
        <v>44.9726</v>
      </c>
    </row>
    <row r="707" spans="4:20" ht="15.75" customHeight="1" x14ac:dyDescent="0.2">
      <c r="D707" t="s">
        <v>285</v>
      </c>
      <c r="E707" t="s">
        <v>368</v>
      </c>
      <c r="F707">
        <v>6</v>
      </c>
      <c r="P707" t="s">
        <v>382</v>
      </c>
      <c r="Q707">
        <v>27</v>
      </c>
      <c r="R707" t="s">
        <v>255</v>
      </c>
      <c r="S707" t="s">
        <v>15</v>
      </c>
      <c r="T707">
        <v>14</v>
      </c>
    </row>
    <row r="708" spans="4:20" ht="15.75" customHeight="1" x14ac:dyDescent="0.2">
      <c r="D708" t="s">
        <v>285</v>
      </c>
      <c r="E708" t="s">
        <v>368</v>
      </c>
      <c r="F708">
        <v>6</v>
      </c>
      <c r="P708" t="s">
        <v>382</v>
      </c>
      <c r="Q708">
        <v>27</v>
      </c>
      <c r="R708" t="s">
        <v>293</v>
      </c>
      <c r="S708" t="s">
        <v>13</v>
      </c>
      <c r="T708">
        <v>0</v>
      </c>
    </row>
    <row r="709" spans="4:20" ht="15.75" customHeight="1" x14ac:dyDescent="0.2">
      <c r="D709" t="s">
        <v>285</v>
      </c>
      <c r="E709" t="s">
        <v>368</v>
      </c>
      <c r="F709">
        <v>6</v>
      </c>
      <c r="P709" t="s">
        <v>382</v>
      </c>
      <c r="Q709">
        <v>27</v>
      </c>
      <c r="R709" t="s">
        <v>294</v>
      </c>
      <c r="S709" t="s">
        <v>14</v>
      </c>
      <c r="T709">
        <v>0</v>
      </c>
    </row>
    <row r="710" spans="4:20" ht="15.75" customHeight="1" x14ac:dyDescent="0.2">
      <c r="D710" t="s">
        <v>285</v>
      </c>
      <c r="E710" t="s">
        <v>368</v>
      </c>
      <c r="F710">
        <v>6</v>
      </c>
      <c r="P710" t="s">
        <v>382</v>
      </c>
      <c r="Q710">
        <v>27</v>
      </c>
      <c r="R710" t="s">
        <v>257</v>
      </c>
      <c r="S710" t="s">
        <v>16</v>
      </c>
      <c r="T710">
        <v>63.490900000000003</v>
      </c>
    </row>
    <row r="711" spans="4:20" ht="15.75" customHeight="1" x14ac:dyDescent="0.2">
      <c r="D711" t="s">
        <v>285</v>
      </c>
      <c r="E711" t="s">
        <v>368</v>
      </c>
      <c r="F711">
        <v>6</v>
      </c>
      <c r="P711" t="s">
        <v>382</v>
      </c>
      <c r="Q711">
        <v>27</v>
      </c>
      <c r="R711" t="s">
        <v>295</v>
      </c>
      <c r="S711" t="s">
        <v>17</v>
      </c>
      <c r="T711">
        <v>0</v>
      </c>
    </row>
    <row r="712" spans="4:20" ht="15.75" customHeight="1" x14ac:dyDescent="0.2">
      <c r="D712" t="s">
        <v>285</v>
      </c>
      <c r="E712" t="s">
        <v>368</v>
      </c>
      <c r="F712">
        <v>6</v>
      </c>
      <c r="P712" t="s">
        <v>382</v>
      </c>
      <c r="Q712">
        <v>27</v>
      </c>
      <c r="R712" t="s">
        <v>296</v>
      </c>
      <c r="S712" t="s">
        <v>1</v>
      </c>
      <c r="T712">
        <v>1</v>
      </c>
    </row>
    <row r="713" spans="4:20" ht="15.75" customHeight="1" x14ac:dyDescent="0.2">
      <c r="D713" t="s">
        <v>285</v>
      </c>
      <c r="E713" t="s">
        <v>368</v>
      </c>
      <c r="F713">
        <v>6</v>
      </c>
      <c r="P713" t="s">
        <v>382</v>
      </c>
      <c r="Q713">
        <v>27</v>
      </c>
      <c r="R713" t="s">
        <v>297</v>
      </c>
      <c r="S713" t="s">
        <v>18</v>
      </c>
      <c r="T713">
        <v>1</v>
      </c>
    </row>
    <row r="714" spans="4:20" ht="15.75" customHeight="1" x14ac:dyDescent="0.2">
      <c r="D714" t="s">
        <v>285</v>
      </c>
      <c r="E714" t="s">
        <v>368</v>
      </c>
      <c r="F714">
        <v>6</v>
      </c>
      <c r="P714" t="s">
        <v>382</v>
      </c>
      <c r="Q714">
        <v>27</v>
      </c>
      <c r="R714" t="s">
        <v>298</v>
      </c>
      <c r="S714" t="s">
        <v>19</v>
      </c>
      <c r="T714">
        <v>0</v>
      </c>
    </row>
    <row r="715" spans="4:20" ht="15.75" customHeight="1" x14ac:dyDescent="0.2">
      <c r="D715" t="s">
        <v>285</v>
      </c>
      <c r="E715" t="s">
        <v>368</v>
      </c>
      <c r="F715">
        <v>6</v>
      </c>
      <c r="P715" t="s">
        <v>382</v>
      </c>
      <c r="Q715">
        <v>27</v>
      </c>
      <c r="R715" t="s">
        <v>299</v>
      </c>
      <c r="S715" t="s">
        <v>20</v>
      </c>
      <c r="T715">
        <v>0</v>
      </c>
    </row>
    <row r="716" spans="4:20" ht="15.75" customHeight="1" x14ac:dyDescent="0.2">
      <c r="D716" t="s">
        <v>285</v>
      </c>
      <c r="E716" t="s">
        <v>368</v>
      </c>
      <c r="F716">
        <v>6</v>
      </c>
      <c r="P716" t="s">
        <v>383</v>
      </c>
      <c r="Q716">
        <v>28</v>
      </c>
      <c r="R716" t="s">
        <v>288</v>
      </c>
      <c r="S716" t="s">
        <v>2</v>
      </c>
      <c r="T716">
        <v>2</v>
      </c>
    </row>
    <row r="717" spans="4:20" ht="15.75" customHeight="1" x14ac:dyDescent="0.2">
      <c r="D717" t="s">
        <v>285</v>
      </c>
      <c r="E717" t="s">
        <v>368</v>
      </c>
      <c r="F717">
        <v>6</v>
      </c>
      <c r="P717" t="s">
        <v>383</v>
      </c>
      <c r="Q717">
        <v>28</v>
      </c>
      <c r="R717" t="s">
        <v>289</v>
      </c>
      <c r="S717" t="s">
        <v>5</v>
      </c>
      <c r="T717">
        <v>1</v>
      </c>
    </row>
    <row r="718" spans="4:20" ht="15.75" customHeight="1" x14ac:dyDescent="0.2">
      <c r="D718" t="s">
        <v>285</v>
      </c>
      <c r="E718" t="s">
        <v>368</v>
      </c>
      <c r="F718">
        <v>6</v>
      </c>
      <c r="P718" t="s">
        <v>383</v>
      </c>
      <c r="Q718">
        <v>28</v>
      </c>
      <c r="R718" t="s">
        <v>290</v>
      </c>
      <c r="S718" t="s">
        <v>3</v>
      </c>
      <c r="T718">
        <v>1</v>
      </c>
    </row>
    <row r="719" spans="4:20" ht="15.75" customHeight="1" x14ac:dyDescent="0.2">
      <c r="D719" t="s">
        <v>285</v>
      </c>
      <c r="E719" t="s">
        <v>368</v>
      </c>
      <c r="F719">
        <v>6</v>
      </c>
      <c r="P719" t="s">
        <v>383</v>
      </c>
      <c r="Q719">
        <v>28</v>
      </c>
      <c r="R719" t="s">
        <v>291</v>
      </c>
      <c r="S719" t="s">
        <v>4</v>
      </c>
      <c r="T719">
        <v>1</v>
      </c>
    </row>
    <row r="720" spans="4:20" ht="15.75" customHeight="1" x14ac:dyDescent="0.2">
      <c r="D720" t="s">
        <v>285</v>
      </c>
      <c r="E720" t="s">
        <v>368</v>
      </c>
      <c r="F720">
        <v>6</v>
      </c>
      <c r="P720" t="s">
        <v>383</v>
      </c>
      <c r="Q720">
        <v>28</v>
      </c>
      <c r="R720" t="s">
        <v>292</v>
      </c>
      <c r="S720" t="s">
        <v>6</v>
      </c>
      <c r="T720">
        <v>0</v>
      </c>
    </row>
    <row r="721" spans="4:23" ht="15.75" customHeight="1" x14ac:dyDescent="0.2">
      <c r="D721" t="s">
        <v>285</v>
      </c>
      <c r="E721" t="s">
        <v>368</v>
      </c>
      <c r="F721">
        <v>6</v>
      </c>
      <c r="P721" t="s">
        <v>383</v>
      </c>
      <c r="Q721">
        <v>28</v>
      </c>
      <c r="R721" t="s">
        <v>243</v>
      </c>
      <c r="S721" t="s">
        <v>7</v>
      </c>
      <c r="T721">
        <v>6.125</v>
      </c>
    </row>
    <row r="722" spans="4:23" ht="15.75" customHeight="1" x14ac:dyDescent="0.2">
      <c r="D722" t="s">
        <v>285</v>
      </c>
      <c r="E722" t="s">
        <v>368</v>
      </c>
      <c r="F722">
        <v>6</v>
      </c>
      <c r="P722" t="s">
        <v>383</v>
      </c>
      <c r="Q722">
        <v>28</v>
      </c>
      <c r="R722" t="s">
        <v>245</v>
      </c>
      <c r="S722" t="s">
        <v>8</v>
      </c>
      <c r="T722">
        <v>317.83530000000002</v>
      </c>
    </row>
    <row r="723" spans="4:23" ht="15.75" customHeight="1" x14ac:dyDescent="0.2">
      <c r="D723" t="s">
        <v>285</v>
      </c>
      <c r="E723" t="s">
        <v>368</v>
      </c>
      <c r="F723">
        <v>6</v>
      </c>
      <c r="P723" t="s">
        <v>383</v>
      </c>
      <c r="Q723">
        <v>28</v>
      </c>
      <c r="R723" t="s">
        <v>247</v>
      </c>
      <c r="S723" t="s">
        <v>9</v>
      </c>
      <c r="T723">
        <v>1.55E-2</v>
      </c>
    </row>
    <row r="724" spans="4:23" ht="15.75" customHeight="1" x14ac:dyDescent="0.2">
      <c r="D724" t="s">
        <v>285</v>
      </c>
      <c r="E724" t="s">
        <v>368</v>
      </c>
      <c r="F724">
        <v>6</v>
      </c>
      <c r="P724" t="s">
        <v>383</v>
      </c>
      <c r="Q724">
        <v>28</v>
      </c>
      <c r="R724" t="s">
        <v>249</v>
      </c>
      <c r="S724" t="s">
        <v>10</v>
      </c>
      <c r="T724">
        <v>15</v>
      </c>
    </row>
    <row r="725" spans="4:23" ht="15.75" customHeight="1" x14ac:dyDescent="0.2">
      <c r="D725" t="s">
        <v>285</v>
      </c>
      <c r="E725" t="s">
        <v>368</v>
      </c>
      <c r="F725">
        <v>6</v>
      </c>
      <c r="P725" t="s">
        <v>383</v>
      </c>
      <c r="Q725">
        <v>28</v>
      </c>
      <c r="R725" t="s">
        <v>251</v>
      </c>
      <c r="S725" t="s">
        <v>11</v>
      </c>
      <c r="T725">
        <v>11</v>
      </c>
    </row>
    <row r="726" spans="4:23" ht="15.75" customHeight="1" x14ac:dyDescent="0.2">
      <c r="D726" t="s">
        <v>285</v>
      </c>
      <c r="E726" t="s">
        <v>368</v>
      </c>
      <c r="F726">
        <v>6</v>
      </c>
      <c r="P726" t="s">
        <v>383</v>
      </c>
      <c r="Q726">
        <v>28</v>
      </c>
      <c r="R726" t="s">
        <v>253</v>
      </c>
      <c r="S726" t="s">
        <v>12</v>
      </c>
      <c r="T726">
        <v>51.891500000000001</v>
      </c>
    </row>
    <row r="727" spans="4:23" ht="15.75" customHeight="1" x14ac:dyDescent="0.2">
      <c r="D727" t="s">
        <v>285</v>
      </c>
      <c r="E727" t="s">
        <v>368</v>
      </c>
      <c r="F727">
        <v>6</v>
      </c>
      <c r="P727" t="s">
        <v>383</v>
      </c>
      <c r="Q727">
        <v>28</v>
      </c>
      <c r="R727" t="s">
        <v>255</v>
      </c>
      <c r="S727" t="s">
        <v>15</v>
      </c>
      <c r="T727">
        <v>20</v>
      </c>
    </row>
    <row r="728" spans="4:23" ht="15.75" customHeight="1" x14ac:dyDescent="0.2">
      <c r="D728" t="s">
        <v>285</v>
      </c>
      <c r="E728" t="s">
        <v>368</v>
      </c>
      <c r="F728">
        <v>6</v>
      </c>
      <c r="P728" t="s">
        <v>383</v>
      </c>
      <c r="Q728">
        <v>28</v>
      </c>
      <c r="R728" t="s">
        <v>293</v>
      </c>
      <c r="S728" t="s">
        <v>13</v>
      </c>
      <c r="T728">
        <v>1</v>
      </c>
    </row>
    <row r="729" spans="4:23" ht="15.75" customHeight="1" x14ac:dyDescent="0.2">
      <c r="D729" t="s">
        <v>285</v>
      </c>
      <c r="E729" t="s">
        <v>368</v>
      </c>
      <c r="F729">
        <v>6</v>
      </c>
      <c r="P729" t="s">
        <v>383</v>
      </c>
      <c r="Q729">
        <v>28</v>
      </c>
      <c r="R729" t="s">
        <v>294</v>
      </c>
      <c r="S729" t="s">
        <v>14</v>
      </c>
      <c r="T729">
        <v>1</v>
      </c>
    </row>
    <row r="730" spans="4:23" ht="15.75" customHeight="1" x14ac:dyDescent="0.2">
      <c r="D730" t="s">
        <v>285</v>
      </c>
      <c r="E730" t="s">
        <v>368</v>
      </c>
      <c r="F730">
        <v>6</v>
      </c>
      <c r="P730" t="s">
        <v>383</v>
      </c>
      <c r="Q730">
        <v>28</v>
      </c>
      <c r="R730" t="s">
        <v>257</v>
      </c>
      <c r="S730" t="s">
        <v>16</v>
      </c>
      <c r="T730">
        <v>59.5152</v>
      </c>
    </row>
    <row r="731" spans="4:23" ht="15.75" customHeight="1" x14ac:dyDescent="0.2">
      <c r="D731" t="s">
        <v>285</v>
      </c>
      <c r="E731" t="s">
        <v>368</v>
      </c>
      <c r="F731">
        <v>6</v>
      </c>
      <c r="P731" t="s">
        <v>383</v>
      </c>
      <c r="Q731">
        <v>28</v>
      </c>
      <c r="R731" t="s">
        <v>295</v>
      </c>
      <c r="S731" t="s">
        <v>17</v>
      </c>
      <c r="T731">
        <v>0</v>
      </c>
    </row>
    <row r="732" spans="4:23" ht="15.75" customHeight="1" x14ac:dyDescent="0.2">
      <c r="D732" t="s">
        <v>285</v>
      </c>
      <c r="E732" t="s">
        <v>368</v>
      </c>
      <c r="F732">
        <v>6</v>
      </c>
      <c r="P732" t="s">
        <v>383</v>
      </c>
      <c r="Q732">
        <v>28</v>
      </c>
      <c r="R732" t="s">
        <v>296</v>
      </c>
      <c r="S732" t="s">
        <v>1</v>
      </c>
      <c r="T732">
        <v>3</v>
      </c>
    </row>
    <row r="733" spans="4:23" ht="15.75" customHeight="1" x14ac:dyDescent="0.2">
      <c r="D733" t="s">
        <v>285</v>
      </c>
      <c r="E733" t="s">
        <v>368</v>
      </c>
      <c r="F733">
        <v>6</v>
      </c>
      <c r="P733" t="s">
        <v>383</v>
      </c>
      <c r="Q733">
        <v>28</v>
      </c>
      <c r="R733" t="s">
        <v>297</v>
      </c>
      <c r="S733" t="s">
        <v>18</v>
      </c>
      <c r="T733">
        <v>3</v>
      </c>
    </row>
    <row r="734" spans="4:23" ht="15.75" customHeight="1" x14ac:dyDescent="0.2">
      <c r="D734" t="s">
        <v>285</v>
      </c>
      <c r="E734" t="s">
        <v>368</v>
      </c>
      <c r="F734">
        <v>6</v>
      </c>
      <c r="P734" t="s">
        <v>383</v>
      </c>
      <c r="Q734">
        <v>28</v>
      </c>
      <c r="R734" t="s">
        <v>298</v>
      </c>
      <c r="S734" t="s">
        <v>19</v>
      </c>
      <c r="T734">
        <v>1</v>
      </c>
    </row>
    <row r="735" spans="4:23" ht="15.75" customHeight="1" x14ac:dyDescent="0.2">
      <c r="D735" t="s">
        <v>285</v>
      </c>
      <c r="E735" t="s">
        <v>368</v>
      </c>
      <c r="F735">
        <v>6</v>
      </c>
      <c r="P735" t="s">
        <v>383</v>
      </c>
      <c r="Q735">
        <v>28</v>
      </c>
      <c r="R735" t="s">
        <v>299</v>
      </c>
      <c r="S735" t="s">
        <v>20</v>
      </c>
      <c r="T735">
        <v>1</v>
      </c>
    </row>
    <row r="736" spans="4:23" ht="15.75" customHeight="1" x14ac:dyDescent="0.2">
      <c r="D736" t="s">
        <v>285</v>
      </c>
      <c r="E736" t="s">
        <v>368</v>
      </c>
      <c r="F736">
        <v>6</v>
      </c>
      <c r="U736" t="s">
        <v>300</v>
      </c>
      <c r="V736" t="s">
        <v>301</v>
      </c>
      <c r="W736">
        <v>2</v>
      </c>
    </row>
    <row r="737" spans="4:23" ht="15.75" customHeight="1" x14ac:dyDescent="0.2">
      <c r="D737" t="s">
        <v>285</v>
      </c>
      <c r="E737" t="s">
        <v>368</v>
      </c>
      <c r="F737">
        <v>6</v>
      </c>
      <c r="U737" t="s">
        <v>288</v>
      </c>
      <c r="V737" t="s">
        <v>302</v>
      </c>
      <c r="W737">
        <v>17</v>
      </c>
    </row>
    <row r="738" spans="4:23" ht="15.75" customHeight="1" x14ac:dyDescent="0.2">
      <c r="D738" t="s">
        <v>285</v>
      </c>
      <c r="E738" t="s">
        <v>368</v>
      </c>
      <c r="F738">
        <v>6</v>
      </c>
      <c r="U738" t="s">
        <v>303</v>
      </c>
      <c r="V738" t="s">
        <v>304</v>
      </c>
      <c r="W738">
        <v>14</v>
      </c>
    </row>
    <row r="739" spans="4:23" ht="15.75" customHeight="1" x14ac:dyDescent="0.2">
      <c r="D739" t="s">
        <v>285</v>
      </c>
      <c r="E739" t="s">
        <v>368</v>
      </c>
      <c r="F739">
        <v>6</v>
      </c>
      <c r="U739" t="s">
        <v>305</v>
      </c>
      <c r="V739" t="s">
        <v>306</v>
      </c>
      <c r="W739">
        <v>1</v>
      </c>
    </row>
    <row r="740" spans="4:23" ht="15.75" customHeight="1" x14ac:dyDescent="0.2">
      <c r="D740" t="s">
        <v>285</v>
      </c>
      <c r="E740" t="s">
        <v>368</v>
      </c>
      <c r="F740">
        <v>6</v>
      </c>
      <c r="U740" t="s">
        <v>307</v>
      </c>
      <c r="V740" t="s">
        <v>308</v>
      </c>
      <c r="W740">
        <v>1</v>
      </c>
    </row>
    <row r="741" spans="4:23" ht="15.75" customHeight="1" x14ac:dyDescent="0.2">
      <c r="D741" t="s">
        <v>285</v>
      </c>
      <c r="E741" t="s">
        <v>368</v>
      </c>
      <c r="F741">
        <v>6</v>
      </c>
      <c r="U741" t="s">
        <v>243</v>
      </c>
      <c r="V741" t="s">
        <v>309</v>
      </c>
      <c r="W741">
        <v>78.400000000000006</v>
      </c>
    </row>
    <row r="742" spans="4:23" ht="15.75" customHeight="1" x14ac:dyDescent="0.2">
      <c r="D742" t="s">
        <v>285</v>
      </c>
      <c r="E742" t="s">
        <v>368</v>
      </c>
      <c r="F742">
        <v>6</v>
      </c>
      <c r="U742" t="s">
        <v>245</v>
      </c>
      <c r="V742" t="s">
        <v>310</v>
      </c>
      <c r="W742">
        <v>110381.7196</v>
      </c>
    </row>
    <row r="743" spans="4:23" ht="15.75" customHeight="1" x14ac:dyDescent="0.2">
      <c r="D743" t="s">
        <v>285</v>
      </c>
      <c r="E743" t="s">
        <v>368</v>
      </c>
      <c r="F743">
        <v>6</v>
      </c>
      <c r="U743" t="s">
        <v>247</v>
      </c>
      <c r="V743" t="s">
        <v>311</v>
      </c>
      <c r="W743">
        <v>0.76700000000000002</v>
      </c>
    </row>
    <row r="744" spans="4:23" ht="15.75" customHeight="1" x14ac:dyDescent="0.2">
      <c r="D744" t="s">
        <v>285</v>
      </c>
      <c r="E744" t="s">
        <v>368</v>
      </c>
      <c r="F744">
        <v>6</v>
      </c>
      <c r="U744" t="s">
        <v>249</v>
      </c>
      <c r="V744" t="s">
        <v>312</v>
      </c>
      <c r="W744">
        <v>224</v>
      </c>
    </row>
    <row r="745" spans="4:23" ht="15.75" customHeight="1" x14ac:dyDescent="0.2">
      <c r="D745" t="s">
        <v>285</v>
      </c>
      <c r="E745" t="s">
        <v>368</v>
      </c>
      <c r="F745">
        <v>6</v>
      </c>
      <c r="U745" t="s">
        <v>251</v>
      </c>
      <c r="V745" t="s">
        <v>313</v>
      </c>
      <c r="W745">
        <v>78</v>
      </c>
    </row>
    <row r="746" spans="4:23" ht="15.75" customHeight="1" x14ac:dyDescent="0.2">
      <c r="D746" t="s">
        <v>285</v>
      </c>
      <c r="E746" t="s">
        <v>368</v>
      </c>
      <c r="F746">
        <v>6</v>
      </c>
      <c r="U746" t="s">
        <v>253</v>
      </c>
      <c r="V746" t="s">
        <v>314</v>
      </c>
      <c r="W746">
        <v>1407.9301</v>
      </c>
    </row>
    <row r="747" spans="4:23" ht="15.75" customHeight="1" x14ac:dyDescent="0.2">
      <c r="D747" t="s">
        <v>285</v>
      </c>
      <c r="E747" t="s">
        <v>368</v>
      </c>
      <c r="F747">
        <v>6</v>
      </c>
      <c r="U747" t="s">
        <v>315</v>
      </c>
      <c r="V747" t="s">
        <v>316</v>
      </c>
      <c r="W747">
        <v>1</v>
      </c>
    </row>
    <row r="748" spans="4:23" ht="15.75" customHeight="1" x14ac:dyDescent="0.2">
      <c r="D748" t="s">
        <v>285</v>
      </c>
      <c r="E748" t="s">
        <v>368</v>
      </c>
      <c r="F748">
        <v>6</v>
      </c>
      <c r="U748" t="s">
        <v>317</v>
      </c>
      <c r="V748" t="s">
        <v>318</v>
      </c>
      <c r="W748">
        <v>224</v>
      </c>
    </row>
    <row r="749" spans="4:23" ht="15.75" customHeight="1" x14ac:dyDescent="0.2">
      <c r="D749" t="s">
        <v>285</v>
      </c>
      <c r="E749" t="s">
        <v>368</v>
      </c>
      <c r="F749">
        <v>6</v>
      </c>
      <c r="U749" t="s">
        <v>257</v>
      </c>
      <c r="V749" t="s">
        <v>319</v>
      </c>
      <c r="W749">
        <v>26.209199999999999</v>
      </c>
    </row>
    <row r="750" spans="4:23" ht="15.75" customHeight="1" x14ac:dyDescent="0.2">
      <c r="D750" t="s">
        <v>285</v>
      </c>
      <c r="E750" t="s">
        <v>368</v>
      </c>
      <c r="F750">
        <v>6</v>
      </c>
      <c r="U750" t="s">
        <v>320</v>
      </c>
      <c r="V750" t="s">
        <v>321</v>
      </c>
      <c r="W750">
        <v>34</v>
      </c>
    </row>
    <row r="751" spans="4:23" ht="15.75" customHeight="1" x14ac:dyDescent="0.2">
      <c r="D751" t="s">
        <v>285</v>
      </c>
      <c r="E751" t="s">
        <v>368</v>
      </c>
      <c r="F751">
        <v>6</v>
      </c>
      <c r="U751" t="s">
        <v>263</v>
      </c>
      <c r="V751" t="s">
        <v>322</v>
      </c>
      <c r="W751">
        <v>71</v>
      </c>
    </row>
    <row r="752" spans="4:23" ht="15.75" customHeight="1" x14ac:dyDescent="0.2">
      <c r="D752" t="s">
        <v>285</v>
      </c>
      <c r="E752" t="s">
        <v>368</v>
      </c>
      <c r="F752">
        <v>6</v>
      </c>
      <c r="U752" t="s">
        <v>323</v>
      </c>
      <c r="V752" t="s">
        <v>324</v>
      </c>
      <c r="W752">
        <v>1</v>
      </c>
    </row>
    <row r="753" spans="4:23" ht="15.75" customHeight="1" x14ac:dyDescent="0.2">
      <c r="D753" t="s">
        <v>285</v>
      </c>
      <c r="E753" t="s">
        <v>368</v>
      </c>
      <c r="F753">
        <v>6</v>
      </c>
      <c r="U753" t="s">
        <v>325</v>
      </c>
      <c r="V753" t="s">
        <v>326</v>
      </c>
      <c r="W753">
        <v>14</v>
      </c>
    </row>
    <row r="754" spans="4:23" ht="15.75" customHeight="1" x14ac:dyDescent="0.2">
      <c r="D754" t="s">
        <v>285</v>
      </c>
      <c r="E754" t="s">
        <v>368</v>
      </c>
      <c r="F754">
        <v>6</v>
      </c>
      <c r="U754" t="s">
        <v>327</v>
      </c>
      <c r="V754" t="s">
        <v>328</v>
      </c>
      <c r="W754">
        <v>2</v>
      </c>
    </row>
    <row r="755" spans="4:23" ht="15.75" customHeight="1" x14ac:dyDescent="0.2">
      <c r="D755" t="s">
        <v>285</v>
      </c>
      <c r="E755" t="s">
        <v>368</v>
      </c>
      <c r="F755">
        <v>6</v>
      </c>
      <c r="U755" t="s">
        <v>329</v>
      </c>
      <c r="V755" t="s">
        <v>330</v>
      </c>
      <c r="W755">
        <v>35</v>
      </c>
    </row>
    <row r="756" spans="4:23" ht="15.75" customHeight="1" x14ac:dyDescent="0.2">
      <c r="D756" t="s">
        <v>285</v>
      </c>
      <c r="E756" t="s">
        <v>368</v>
      </c>
      <c r="F756">
        <v>6</v>
      </c>
      <c r="U756" t="s">
        <v>331</v>
      </c>
      <c r="V756" t="s">
        <v>332</v>
      </c>
      <c r="W756">
        <v>0</v>
      </c>
    </row>
    <row r="757" spans="4:23" ht="15.75" customHeight="1" x14ac:dyDescent="0.2">
      <c r="D757" t="s">
        <v>285</v>
      </c>
      <c r="E757" t="s">
        <v>368</v>
      </c>
      <c r="F757">
        <v>6</v>
      </c>
      <c r="U757" t="s">
        <v>333</v>
      </c>
      <c r="V757" t="s">
        <v>334</v>
      </c>
      <c r="W757">
        <v>15</v>
      </c>
    </row>
    <row r="758" spans="4:23" ht="15.75" customHeight="1" x14ac:dyDescent="0.2">
      <c r="D758" t="s">
        <v>285</v>
      </c>
      <c r="E758" t="s">
        <v>368</v>
      </c>
      <c r="F758">
        <v>6</v>
      </c>
      <c r="U758" t="s">
        <v>335</v>
      </c>
      <c r="V758" t="s">
        <v>336</v>
      </c>
      <c r="W758">
        <v>35</v>
      </c>
    </row>
    <row r="759" spans="4:23" ht="15.75" customHeight="1" x14ac:dyDescent="0.2">
      <c r="D759" t="s">
        <v>285</v>
      </c>
      <c r="E759" t="s">
        <v>368</v>
      </c>
      <c r="F759">
        <v>6</v>
      </c>
      <c r="U759" t="s">
        <v>337</v>
      </c>
      <c r="V759" t="s">
        <v>338</v>
      </c>
      <c r="W759">
        <v>0</v>
      </c>
    </row>
    <row r="760" spans="4:23" ht="15.75" customHeight="1" x14ac:dyDescent="0.2">
      <c r="D760" t="s">
        <v>285</v>
      </c>
      <c r="E760" t="s">
        <v>368</v>
      </c>
      <c r="F760">
        <v>6</v>
      </c>
      <c r="U760" t="s">
        <v>339</v>
      </c>
      <c r="V760" t="s">
        <v>340</v>
      </c>
      <c r="W760">
        <v>0</v>
      </c>
    </row>
    <row r="761" spans="4:23" ht="15.75" customHeight="1" x14ac:dyDescent="0.2">
      <c r="D761" t="s">
        <v>285</v>
      </c>
      <c r="E761" t="s">
        <v>368</v>
      </c>
      <c r="F761">
        <v>6</v>
      </c>
      <c r="U761" t="s">
        <v>341</v>
      </c>
      <c r="V761" t="s">
        <v>342</v>
      </c>
      <c r="W761">
        <v>33</v>
      </c>
    </row>
    <row r="762" spans="4:23" ht="15.75" customHeight="1" x14ac:dyDescent="0.2">
      <c r="D762" t="s">
        <v>285</v>
      </c>
      <c r="E762" t="s">
        <v>368</v>
      </c>
      <c r="F762">
        <v>6</v>
      </c>
      <c r="U762" t="s">
        <v>343</v>
      </c>
      <c r="V762" t="s">
        <v>344</v>
      </c>
      <c r="W762">
        <v>0.35899999999999999</v>
      </c>
    </row>
    <row r="763" spans="4:23" ht="15.75" customHeight="1" x14ac:dyDescent="0.2">
      <c r="D763" t="s">
        <v>285</v>
      </c>
      <c r="E763" t="s">
        <v>368</v>
      </c>
      <c r="F763">
        <v>6</v>
      </c>
      <c r="U763" t="s">
        <v>345</v>
      </c>
      <c r="V763" t="s">
        <v>346</v>
      </c>
      <c r="W763">
        <v>0.71430000000000005</v>
      </c>
    </row>
    <row r="764" spans="4:23" ht="15.75" customHeight="1" x14ac:dyDescent="0.2">
      <c r="D764" t="s">
        <v>285</v>
      </c>
      <c r="E764" t="s">
        <v>368</v>
      </c>
      <c r="F764">
        <v>6</v>
      </c>
      <c r="U764" t="s">
        <v>347</v>
      </c>
      <c r="V764" t="s">
        <v>348</v>
      </c>
      <c r="W764">
        <v>35</v>
      </c>
    </row>
    <row r="765" spans="4:23" ht="15.75" customHeight="1" x14ac:dyDescent="0.2">
      <c r="D765" t="s">
        <v>285</v>
      </c>
      <c r="E765" t="s">
        <v>384</v>
      </c>
      <c r="F765">
        <v>7</v>
      </c>
      <c r="P765" t="s">
        <v>385</v>
      </c>
      <c r="Q765">
        <v>29</v>
      </c>
      <c r="R765" t="s">
        <v>288</v>
      </c>
      <c r="S765" t="s">
        <v>2</v>
      </c>
      <c r="T765">
        <v>5</v>
      </c>
    </row>
    <row r="766" spans="4:23" ht="15.75" customHeight="1" x14ac:dyDescent="0.2">
      <c r="D766" t="s">
        <v>285</v>
      </c>
      <c r="E766" t="s">
        <v>384</v>
      </c>
      <c r="F766">
        <v>7</v>
      </c>
      <c r="P766" t="s">
        <v>385</v>
      </c>
      <c r="Q766">
        <v>29</v>
      </c>
      <c r="R766" t="s">
        <v>289</v>
      </c>
      <c r="S766" t="s">
        <v>5</v>
      </c>
      <c r="T766">
        <v>0</v>
      </c>
    </row>
    <row r="767" spans="4:23" ht="15.75" customHeight="1" x14ac:dyDescent="0.2">
      <c r="D767" t="s">
        <v>285</v>
      </c>
      <c r="E767" t="s">
        <v>384</v>
      </c>
      <c r="F767">
        <v>7</v>
      </c>
      <c r="P767" t="s">
        <v>385</v>
      </c>
      <c r="Q767">
        <v>29</v>
      </c>
      <c r="R767" t="s">
        <v>290</v>
      </c>
      <c r="S767" t="s">
        <v>3</v>
      </c>
      <c r="T767">
        <v>0.5</v>
      </c>
    </row>
    <row r="768" spans="4:23" ht="15.75" customHeight="1" x14ac:dyDescent="0.2">
      <c r="D768" t="s">
        <v>285</v>
      </c>
      <c r="E768" t="s">
        <v>384</v>
      </c>
      <c r="F768">
        <v>7</v>
      </c>
      <c r="P768" t="s">
        <v>385</v>
      </c>
      <c r="Q768">
        <v>29</v>
      </c>
      <c r="R768" t="s">
        <v>291</v>
      </c>
      <c r="S768" t="s">
        <v>4</v>
      </c>
      <c r="T768">
        <v>6</v>
      </c>
    </row>
    <row r="769" spans="4:20" ht="15.75" customHeight="1" x14ac:dyDescent="0.2">
      <c r="D769" t="s">
        <v>285</v>
      </c>
      <c r="E769" t="s">
        <v>384</v>
      </c>
      <c r="F769">
        <v>7</v>
      </c>
      <c r="P769" t="s">
        <v>385</v>
      </c>
      <c r="Q769">
        <v>29</v>
      </c>
      <c r="R769" t="s">
        <v>292</v>
      </c>
      <c r="S769" t="s">
        <v>6</v>
      </c>
      <c r="T769">
        <v>1</v>
      </c>
    </row>
    <row r="770" spans="4:20" ht="15.75" customHeight="1" x14ac:dyDescent="0.2">
      <c r="D770" t="s">
        <v>285</v>
      </c>
      <c r="E770" t="s">
        <v>384</v>
      </c>
      <c r="F770">
        <v>7</v>
      </c>
      <c r="P770" t="s">
        <v>385</v>
      </c>
      <c r="Q770">
        <v>29</v>
      </c>
      <c r="R770" t="s">
        <v>243</v>
      </c>
      <c r="S770" t="s">
        <v>7</v>
      </c>
      <c r="T770">
        <v>27</v>
      </c>
    </row>
    <row r="771" spans="4:20" ht="15.75" customHeight="1" x14ac:dyDescent="0.2">
      <c r="D771" t="s">
        <v>285</v>
      </c>
      <c r="E771" t="s">
        <v>384</v>
      </c>
      <c r="F771">
        <v>7</v>
      </c>
      <c r="P771" t="s">
        <v>385</v>
      </c>
      <c r="Q771">
        <v>29</v>
      </c>
      <c r="R771" t="s">
        <v>245</v>
      </c>
      <c r="S771" t="s">
        <v>8</v>
      </c>
      <c r="T771">
        <v>12198.390299999999</v>
      </c>
    </row>
    <row r="772" spans="4:20" ht="15.75" customHeight="1" x14ac:dyDescent="0.2">
      <c r="D772" t="s">
        <v>285</v>
      </c>
      <c r="E772" t="s">
        <v>384</v>
      </c>
      <c r="F772">
        <v>7</v>
      </c>
      <c r="P772" t="s">
        <v>385</v>
      </c>
      <c r="Q772">
        <v>29</v>
      </c>
      <c r="R772" t="s">
        <v>247</v>
      </c>
      <c r="S772" t="s">
        <v>9</v>
      </c>
      <c r="T772">
        <v>0.17660000000000001</v>
      </c>
    </row>
    <row r="773" spans="4:20" ht="15.75" customHeight="1" x14ac:dyDescent="0.2">
      <c r="D773" t="s">
        <v>285</v>
      </c>
      <c r="E773" t="s">
        <v>384</v>
      </c>
      <c r="F773">
        <v>7</v>
      </c>
      <c r="P773" t="s">
        <v>385</v>
      </c>
      <c r="Q773">
        <v>29</v>
      </c>
      <c r="R773" t="s">
        <v>249</v>
      </c>
      <c r="S773" t="s">
        <v>10</v>
      </c>
      <c r="T773">
        <v>93</v>
      </c>
    </row>
    <row r="774" spans="4:20" ht="15.75" customHeight="1" x14ac:dyDescent="0.2">
      <c r="D774" t="s">
        <v>285</v>
      </c>
      <c r="E774" t="s">
        <v>384</v>
      </c>
      <c r="F774">
        <v>7</v>
      </c>
      <c r="P774" t="s">
        <v>385</v>
      </c>
      <c r="Q774">
        <v>29</v>
      </c>
      <c r="R774" t="s">
        <v>251</v>
      </c>
      <c r="S774" t="s">
        <v>11</v>
      </c>
      <c r="T774">
        <v>29</v>
      </c>
    </row>
    <row r="775" spans="4:20" ht="15.75" customHeight="1" x14ac:dyDescent="0.2">
      <c r="D775" t="s">
        <v>285</v>
      </c>
      <c r="E775" t="s">
        <v>384</v>
      </c>
      <c r="F775">
        <v>7</v>
      </c>
      <c r="P775" t="s">
        <v>385</v>
      </c>
      <c r="Q775">
        <v>29</v>
      </c>
      <c r="R775" t="s">
        <v>253</v>
      </c>
      <c r="S775" t="s">
        <v>12</v>
      </c>
      <c r="T775">
        <v>451.79219999999998</v>
      </c>
    </row>
    <row r="776" spans="4:20" ht="15.75" customHeight="1" x14ac:dyDescent="0.2">
      <c r="D776" t="s">
        <v>285</v>
      </c>
      <c r="E776" t="s">
        <v>384</v>
      </c>
      <c r="F776">
        <v>7</v>
      </c>
      <c r="P776" t="s">
        <v>385</v>
      </c>
      <c r="Q776">
        <v>29</v>
      </c>
      <c r="R776" t="s">
        <v>255</v>
      </c>
      <c r="S776" t="s">
        <v>15</v>
      </c>
      <c r="T776">
        <v>27</v>
      </c>
    </row>
    <row r="777" spans="4:20" ht="15.75" customHeight="1" x14ac:dyDescent="0.2">
      <c r="D777" t="s">
        <v>285</v>
      </c>
      <c r="E777" t="s">
        <v>384</v>
      </c>
      <c r="F777">
        <v>7</v>
      </c>
      <c r="P777" t="s">
        <v>385</v>
      </c>
      <c r="Q777">
        <v>29</v>
      </c>
      <c r="R777" t="s">
        <v>293</v>
      </c>
      <c r="S777" t="s">
        <v>13</v>
      </c>
      <c r="T777">
        <v>0</v>
      </c>
    </row>
    <row r="778" spans="4:20" ht="15.75" customHeight="1" x14ac:dyDescent="0.2">
      <c r="D778" t="s">
        <v>285</v>
      </c>
      <c r="E778" t="s">
        <v>384</v>
      </c>
      <c r="F778">
        <v>7</v>
      </c>
      <c r="P778" t="s">
        <v>385</v>
      </c>
      <c r="Q778">
        <v>29</v>
      </c>
      <c r="R778" t="s">
        <v>294</v>
      </c>
      <c r="S778" t="s">
        <v>14</v>
      </c>
      <c r="T778">
        <v>1</v>
      </c>
    </row>
    <row r="779" spans="4:20" ht="15.75" customHeight="1" x14ac:dyDescent="0.2">
      <c r="D779" t="s">
        <v>285</v>
      </c>
      <c r="E779" t="s">
        <v>384</v>
      </c>
      <c r="F779">
        <v>7</v>
      </c>
      <c r="P779" t="s">
        <v>385</v>
      </c>
      <c r="Q779">
        <v>29</v>
      </c>
      <c r="R779" t="s">
        <v>257</v>
      </c>
      <c r="S779" t="s">
        <v>16</v>
      </c>
      <c r="T779">
        <v>49.8962</v>
      </c>
    </row>
    <row r="780" spans="4:20" ht="15.75" customHeight="1" x14ac:dyDescent="0.2">
      <c r="D780" t="s">
        <v>285</v>
      </c>
      <c r="E780" t="s">
        <v>384</v>
      </c>
      <c r="F780">
        <v>7</v>
      </c>
      <c r="P780" t="s">
        <v>385</v>
      </c>
      <c r="Q780">
        <v>29</v>
      </c>
      <c r="R780" t="s">
        <v>295</v>
      </c>
      <c r="S780" t="s">
        <v>17</v>
      </c>
      <c r="T780">
        <v>1</v>
      </c>
    </row>
    <row r="781" spans="4:20" ht="15.75" customHeight="1" x14ac:dyDescent="0.2">
      <c r="D781" t="s">
        <v>285</v>
      </c>
      <c r="E781" t="s">
        <v>384</v>
      </c>
      <c r="F781">
        <v>7</v>
      </c>
      <c r="P781" t="s">
        <v>385</v>
      </c>
      <c r="Q781">
        <v>29</v>
      </c>
      <c r="R781" t="s">
        <v>296</v>
      </c>
      <c r="S781" t="s">
        <v>1</v>
      </c>
      <c r="T781">
        <v>9</v>
      </c>
    </row>
    <row r="782" spans="4:20" ht="15.75" customHeight="1" x14ac:dyDescent="0.2">
      <c r="D782" t="s">
        <v>285</v>
      </c>
      <c r="E782" t="s">
        <v>384</v>
      </c>
      <c r="F782">
        <v>7</v>
      </c>
      <c r="P782" t="s">
        <v>385</v>
      </c>
      <c r="Q782">
        <v>29</v>
      </c>
      <c r="R782" t="s">
        <v>297</v>
      </c>
      <c r="S782" t="s">
        <v>18</v>
      </c>
      <c r="T782">
        <v>10</v>
      </c>
    </row>
    <row r="783" spans="4:20" ht="15.75" customHeight="1" x14ac:dyDescent="0.2">
      <c r="D783" t="s">
        <v>285</v>
      </c>
      <c r="E783" t="s">
        <v>384</v>
      </c>
      <c r="F783">
        <v>7</v>
      </c>
      <c r="P783" t="s">
        <v>385</v>
      </c>
      <c r="Q783">
        <v>29</v>
      </c>
      <c r="R783" t="s">
        <v>298</v>
      </c>
      <c r="S783" t="s">
        <v>19</v>
      </c>
      <c r="T783">
        <v>4</v>
      </c>
    </row>
    <row r="784" spans="4:20" ht="15.75" customHeight="1" x14ac:dyDescent="0.2">
      <c r="D784" t="s">
        <v>285</v>
      </c>
      <c r="E784" t="s">
        <v>384</v>
      </c>
      <c r="F784">
        <v>7</v>
      </c>
      <c r="P784" t="s">
        <v>385</v>
      </c>
      <c r="Q784">
        <v>29</v>
      </c>
      <c r="R784" t="s">
        <v>299</v>
      </c>
      <c r="S784" t="s">
        <v>20</v>
      </c>
      <c r="T784">
        <v>2</v>
      </c>
    </row>
    <row r="785" spans="4:23" ht="15.75" customHeight="1" x14ac:dyDescent="0.2">
      <c r="D785" t="s">
        <v>285</v>
      </c>
      <c r="E785" t="s">
        <v>384</v>
      </c>
      <c r="F785">
        <v>7</v>
      </c>
      <c r="U785" t="s">
        <v>300</v>
      </c>
      <c r="V785" t="s">
        <v>301</v>
      </c>
      <c r="W785">
        <v>1</v>
      </c>
    </row>
    <row r="786" spans="4:23" ht="15.75" customHeight="1" x14ac:dyDescent="0.2">
      <c r="D786" t="s">
        <v>285</v>
      </c>
      <c r="E786" t="s">
        <v>384</v>
      </c>
      <c r="F786">
        <v>7</v>
      </c>
      <c r="U786" t="s">
        <v>288</v>
      </c>
      <c r="V786" t="s">
        <v>302</v>
      </c>
      <c r="W786">
        <v>5</v>
      </c>
    </row>
    <row r="787" spans="4:23" ht="15.75" customHeight="1" x14ac:dyDescent="0.2">
      <c r="D787" t="s">
        <v>285</v>
      </c>
      <c r="E787" t="s">
        <v>384</v>
      </c>
      <c r="F787">
        <v>7</v>
      </c>
      <c r="U787" t="s">
        <v>303</v>
      </c>
      <c r="V787" t="s">
        <v>304</v>
      </c>
      <c r="W787">
        <v>5</v>
      </c>
    </row>
    <row r="788" spans="4:23" ht="15.75" customHeight="1" x14ac:dyDescent="0.2">
      <c r="D788" t="s">
        <v>285</v>
      </c>
      <c r="E788" t="s">
        <v>384</v>
      </c>
      <c r="F788">
        <v>7</v>
      </c>
      <c r="U788" t="s">
        <v>305</v>
      </c>
      <c r="V788" t="s">
        <v>306</v>
      </c>
      <c r="W788">
        <v>0</v>
      </c>
    </row>
    <row r="789" spans="4:23" ht="15.75" customHeight="1" x14ac:dyDescent="0.2">
      <c r="D789" t="s">
        <v>285</v>
      </c>
      <c r="E789" t="s">
        <v>384</v>
      </c>
      <c r="F789">
        <v>7</v>
      </c>
      <c r="U789" t="s">
        <v>307</v>
      </c>
      <c r="V789" t="s">
        <v>308</v>
      </c>
      <c r="W789">
        <v>2</v>
      </c>
    </row>
    <row r="790" spans="4:23" ht="15.75" customHeight="1" x14ac:dyDescent="0.2">
      <c r="D790" t="s">
        <v>285</v>
      </c>
      <c r="E790" t="s">
        <v>384</v>
      </c>
      <c r="F790">
        <v>7</v>
      </c>
      <c r="U790" t="s">
        <v>243</v>
      </c>
      <c r="V790" t="s">
        <v>309</v>
      </c>
      <c r="W790">
        <v>30</v>
      </c>
    </row>
    <row r="791" spans="4:23" ht="15.75" customHeight="1" x14ac:dyDescent="0.2">
      <c r="D791" t="s">
        <v>285</v>
      </c>
      <c r="E791" t="s">
        <v>384</v>
      </c>
      <c r="F791">
        <v>7</v>
      </c>
      <c r="U791" t="s">
        <v>245</v>
      </c>
      <c r="V791" t="s">
        <v>310</v>
      </c>
      <c r="W791">
        <v>14268.0854</v>
      </c>
    </row>
    <row r="792" spans="4:23" ht="15.75" customHeight="1" x14ac:dyDescent="0.2">
      <c r="D792" t="s">
        <v>285</v>
      </c>
      <c r="E792" t="s">
        <v>384</v>
      </c>
      <c r="F792">
        <v>7</v>
      </c>
      <c r="U792" t="s">
        <v>247</v>
      </c>
      <c r="V792" t="s">
        <v>311</v>
      </c>
      <c r="W792">
        <v>0.1961</v>
      </c>
    </row>
    <row r="793" spans="4:23" ht="15.75" customHeight="1" x14ac:dyDescent="0.2">
      <c r="D793" t="s">
        <v>285</v>
      </c>
      <c r="E793" t="s">
        <v>384</v>
      </c>
      <c r="F793">
        <v>7</v>
      </c>
      <c r="U793" t="s">
        <v>249</v>
      </c>
      <c r="V793" t="s">
        <v>312</v>
      </c>
      <c r="W793">
        <v>96</v>
      </c>
    </row>
    <row r="794" spans="4:23" ht="15.75" customHeight="1" x14ac:dyDescent="0.2">
      <c r="D794" t="s">
        <v>285</v>
      </c>
      <c r="E794" t="s">
        <v>384</v>
      </c>
      <c r="F794">
        <v>7</v>
      </c>
      <c r="U794" t="s">
        <v>251</v>
      </c>
      <c r="V794" t="s">
        <v>313</v>
      </c>
      <c r="W794">
        <v>31</v>
      </c>
    </row>
    <row r="795" spans="4:23" ht="15.75" customHeight="1" x14ac:dyDescent="0.2">
      <c r="D795" t="s">
        <v>285</v>
      </c>
      <c r="E795" t="s">
        <v>384</v>
      </c>
      <c r="F795">
        <v>7</v>
      </c>
      <c r="U795" t="s">
        <v>253</v>
      </c>
      <c r="V795" t="s">
        <v>314</v>
      </c>
      <c r="W795">
        <v>475.6028</v>
      </c>
    </row>
    <row r="796" spans="4:23" ht="15.75" customHeight="1" x14ac:dyDescent="0.2">
      <c r="D796" t="s">
        <v>285</v>
      </c>
      <c r="E796" t="s">
        <v>384</v>
      </c>
      <c r="F796">
        <v>7</v>
      </c>
      <c r="U796" t="s">
        <v>315</v>
      </c>
      <c r="V796" t="s">
        <v>316</v>
      </c>
      <c r="W796">
        <v>0</v>
      </c>
    </row>
    <row r="797" spans="4:23" ht="15.75" customHeight="1" x14ac:dyDescent="0.2">
      <c r="D797" t="s">
        <v>285</v>
      </c>
      <c r="E797" t="s">
        <v>384</v>
      </c>
      <c r="F797">
        <v>7</v>
      </c>
      <c r="U797" t="s">
        <v>317</v>
      </c>
      <c r="V797" t="s">
        <v>318</v>
      </c>
      <c r="W797">
        <v>27</v>
      </c>
    </row>
    <row r="798" spans="4:23" ht="15.75" customHeight="1" x14ac:dyDescent="0.2">
      <c r="D798" t="s">
        <v>285</v>
      </c>
      <c r="E798" t="s">
        <v>384</v>
      </c>
      <c r="F798">
        <v>7</v>
      </c>
      <c r="U798" t="s">
        <v>257</v>
      </c>
      <c r="V798" t="s">
        <v>319</v>
      </c>
      <c r="W798">
        <v>49.738500000000002</v>
      </c>
    </row>
    <row r="799" spans="4:23" ht="15.75" customHeight="1" x14ac:dyDescent="0.2">
      <c r="D799" t="s">
        <v>285</v>
      </c>
      <c r="E799" t="s">
        <v>384</v>
      </c>
      <c r="F799">
        <v>7</v>
      </c>
      <c r="U799" t="s">
        <v>320</v>
      </c>
      <c r="V799" t="s">
        <v>321</v>
      </c>
      <c r="W799">
        <v>21</v>
      </c>
    </row>
    <row r="800" spans="4:23" ht="15.75" customHeight="1" x14ac:dyDescent="0.2">
      <c r="D800" t="s">
        <v>285</v>
      </c>
      <c r="E800" t="s">
        <v>384</v>
      </c>
      <c r="F800">
        <v>7</v>
      </c>
      <c r="U800" t="s">
        <v>263</v>
      </c>
      <c r="V800" t="s">
        <v>322</v>
      </c>
      <c r="W800">
        <v>28</v>
      </c>
    </row>
    <row r="801" spans="4:23" ht="15.75" customHeight="1" x14ac:dyDescent="0.2">
      <c r="D801" t="s">
        <v>285</v>
      </c>
      <c r="E801" t="s">
        <v>384</v>
      </c>
      <c r="F801">
        <v>7</v>
      </c>
      <c r="U801" t="s">
        <v>323</v>
      </c>
      <c r="V801" t="s">
        <v>324</v>
      </c>
      <c r="W801">
        <v>0</v>
      </c>
    </row>
    <row r="802" spans="4:23" ht="15.75" customHeight="1" x14ac:dyDescent="0.2">
      <c r="D802" t="s">
        <v>285</v>
      </c>
      <c r="E802" t="s">
        <v>384</v>
      </c>
      <c r="F802">
        <v>7</v>
      </c>
      <c r="U802" t="s">
        <v>325</v>
      </c>
      <c r="V802" t="s">
        <v>326</v>
      </c>
      <c r="W802">
        <v>0</v>
      </c>
    </row>
    <row r="803" spans="4:23" ht="15.75" customHeight="1" x14ac:dyDescent="0.2">
      <c r="D803" t="s">
        <v>285</v>
      </c>
      <c r="E803" t="s">
        <v>384</v>
      </c>
      <c r="F803">
        <v>7</v>
      </c>
      <c r="U803" t="s">
        <v>327</v>
      </c>
      <c r="V803" t="s">
        <v>328</v>
      </c>
      <c r="W803">
        <v>10</v>
      </c>
    </row>
    <row r="804" spans="4:23" ht="15.75" customHeight="1" x14ac:dyDescent="0.2">
      <c r="D804" t="s">
        <v>285</v>
      </c>
      <c r="E804" t="s">
        <v>384</v>
      </c>
      <c r="F804">
        <v>7</v>
      </c>
      <c r="U804" t="s">
        <v>329</v>
      </c>
      <c r="V804" t="s">
        <v>330</v>
      </c>
      <c r="W804">
        <v>53</v>
      </c>
    </row>
    <row r="805" spans="4:23" ht="15.75" customHeight="1" x14ac:dyDescent="0.2">
      <c r="D805" t="s">
        <v>285</v>
      </c>
      <c r="E805" t="s">
        <v>384</v>
      </c>
      <c r="F805">
        <v>7</v>
      </c>
      <c r="U805" t="s">
        <v>331</v>
      </c>
      <c r="V805" t="s">
        <v>332</v>
      </c>
      <c r="W805">
        <v>0</v>
      </c>
    </row>
    <row r="806" spans="4:23" ht="15.75" customHeight="1" x14ac:dyDescent="0.2">
      <c r="D806" t="s">
        <v>285</v>
      </c>
      <c r="E806" t="s">
        <v>384</v>
      </c>
      <c r="F806">
        <v>7</v>
      </c>
      <c r="U806" t="s">
        <v>333</v>
      </c>
      <c r="V806" t="s">
        <v>334</v>
      </c>
      <c r="W806">
        <v>1</v>
      </c>
    </row>
    <row r="807" spans="4:23" ht="15.75" customHeight="1" x14ac:dyDescent="0.2">
      <c r="D807" t="s">
        <v>285</v>
      </c>
      <c r="E807" t="s">
        <v>384</v>
      </c>
      <c r="F807">
        <v>7</v>
      </c>
      <c r="U807" t="s">
        <v>335</v>
      </c>
      <c r="V807" t="s">
        <v>336</v>
      </c>
      <c r="W807">
        <v>49</v>
      </c>
    </row>
    <row r="808" spans="4:23" ht="15.75" customHeight="1" x14ac:dyDescent="0.2">
      <c r="D808" t="s">
        <v>285</v>
      </c>
      <c r="E808" t="s">
        <v>384</v>
      </c>
      <c r="F808">
        <v>7</v>
      </c>
      <c r="U808" t="s">
        <v>337</v>
      </c>
      <c r="V808" t="s">
        <v>338</v>
      </c>
      <c r="W808">
        <v>0</v>
      </c>
    </row>
    <row r="809" spans="4:23" ht="15.75" customHeight="1" x14ac:dyDescent="0.2">
      <c r="D809" t="s">
        <v>285</v>
      </c>
      <c r="E809" t="s">
        <v>384</v>
      </c>
      <c r="F809">
        <v>7</v>
      </c>
      <c r="U809" t="s">
        <v>339</v>
      </c>
      <c r="V809" t="s">
        <v>340</v>
      </c>
      <c r="W809">
        <v>0</v>
      </c>
    </row>
    <row r="810" spans="4:23" ht="15.75" customHeight="1" x14ac:dyDescent="0.2">
      <c r="D810" t="s">
        <v>285</v>
      </c>
      <c r="E810" t="s">
        <v>384</v>
      </c>
      <c r="F810">
        <v>7</v>
      </c>
      <c r="U810" t="s">
        <v>341</v>
      </c>
      <c r="V810" t="s">
        <v>342</v>
      </c>
      <c r="W810">
        <v>8</v>
      </c>
    </row>
    <row r="811" spans="4:23" ht="15.75" customHeight="1" x14ac:dyDescent="0.2">
      <c r="D811" t="s">
        <v>285</v>
      </c>
      <c r="E811" t="s">
        <v>384</v>
      </c>
      <c r="F811">
        <v>7</v>
      </c>
      <c r="U811" t="s">
        <v>343</v>
      </c>
      <c r="V811" t="s">
        <v>344</v>
      </c>
      <c r="W811">
        <v>0</v>
      </c>
    </row>
    <row r="812" spans="4:23" ht="15.75" customHeight="1" x14ac:dyDescent="0.2">
      <c r="D812" t="s">
        <v>285</v>
      </c>
      <c r="E812" t="s">
        <v>384</v>
      </c>
      <c r="F812">
        <v>7</v>
      </c>
      <c r="U812" t="s">
        <v>345</v>
      </c>
      <c r="V812" t="s">
        <v>346</v>
      </c>
      <c r="W812">
        <v>0</v>
      </c>
    </row>
    <row r="813" spans="4:23" ht="15.75" customHeight="1" x14ac:dyDescent="0.2">
      <c r="D813" t="s">
        <v>285</v>
      </c>
      <c r="E813" t="s">
        <v>384</v>
      </c>
      <c r="F813">
        <v>7</v>
      </c>
      <c r="U813" t="s">
        <v>347</v>
      </c>
      <c r="V813" t="s">
        <v>348</v>
      </c>
      <c r="W813">
        <v>9</v>
      </c>
    </row>
    <row r="814" spans="4:23" ht="15.75" customHeight="1" x14ac:dyDescent="0.2">
      <c r="D814" t="s">
        <v>285</v>
      </c>
      <c r="E814" t="s">
        <v>386</v>
      </c>
      <c r="F814">
        <v>8</v>
      </c>
      <c r="P814" t="s">
        <v>387</v>
      </c>
      <c r="Q814">
        <v>30</v>
      </c>
      <c r="R814" t="s">
        <v>288</v>
      </c>
      <c r="S814" t="s">
        <v>2</v>
      </c>
      <c r="T814">
        <v>1</v>
      </c>
    </row>
    <row r="815" spans="4:23" ht="15.75" customHeight="1" x14ac:dyDescent="0.2">
      <c r="D815" t="s">
        <v>285</v>
      </c>
      <c r="E815" t="s">
        <v>386</v>
      </c>
      <c r="F815">
        <v>8</v>
      </c>
      <c r="P815" t="s">
        <v>387</v>
      </c>
      <c r="Q815">
        <v>30</v>
      </c>
      <c r="R815" t="s">
        <v>289</v>
      </c>
      <c r="S815" t="s">
        <v>5</v>
      </c>
      <c r="T815">
        <v>0</v>
      </c>
    </row>
    <row r="816" spans="4:23" ht="15.75" customHeight="1" x14ac:dyDescent="0.2">
      <c r="D816" t="s">
        <v>285</v>
      </c>
      <c r="E816" t="s">
        <v>386</v>
      </c>
      <c r="F816">
        <v>8</v>
      </c>
      <c r="P816" t="s">
        <v>387</v>
      </c>
      <c r="Q816">
        <v>30</v>
      </c>
      <c r="R816" t="s">
        <v>290</v>
      </c>
      <c r="S816" t="s">
        <v>3</v>
      </c>
      <c r="T816">
        <v>0.2</v>
      </c>
    </row>
    <row r="817" spans="4:20" ht="15.75" customHeight="1" x14ac:dyDescent="0.2">
      <c r="D817" t="s">
        <v>285</v>
      </c>
      <c r="E817" t="s">
        <v>386</v>
      </c>
      <c r="F817">
        <v>8</v>
      </c>
      <c r="P817" t="s">
        <v>387</v>
      </c>
      <c r="Q817">
        <v>30</v>
      </c>
      <c r="R817" t="s">
        <v>291</v>
      </c>
      <c r="S817" t="s">
        <v>4</v>
      </c>
      <c r="T817">
        <v>1</v>
      </c>
    </row>
    <row r="818" spans="4:20" ht="15.75" customHeight="1" x14ac:dyDescent="0.2">
      <c r="D818" t="s">
        <v>285</v>
      </c>
      <c r="E818" t="s">
        <v>386</v>
      </c>
      <c r="F818">
        <v>8</v>
      </c>
      <c r="P818" t="s">
        <v>387</v>
      </c>
      <c r="Q818">
        <v>30</v>
      </c>
      <c r="R818" t="s">
        <v>292</v>
      </c>
      <c r="S818" t="s">
        <v>6</v>
      </c>
      <c r="T818">
        <v>1</v>
      </c>
    </row>
    <row r="819" spans="4:20" ht="15.75" customHeight="1" x14ac:dyDescent="0.2">
      <c r="D819" t="s">
        <v>285</v>
      </c>
      <c r="E819" t="s">
        <v>386</v>
      </c>
      <c r="F819">
        <v>8</v>
      </c>
      <c r="P819" t="s">
        <v>387</v>
      </c>
      <c r="Q819">
        <v>30</v>
      </c>
      <c r="R819" t="s">
        <v>243</v>
      </c>
      <c r="S819" t="s">
        <v>7</v>
      </c>
      <c r="T819">
        <v>8.125</v>
      </c>
    </row>
    <row r="820" spans="4:20" ht="15.75" customHeight="1" x14ac:dyDescent="0.2">
      <c r="D820" t="s">
        <v>285</v>
      </c>
      <c r="E820" t="s">
        <v>386</v>
      </c>
      <c r="F820">
        <v>8</v>
      </c>
      <c r="P820" t="s">
        <v>387</v>
      </c>
      <c r="Q820">
        <v>30</v>
      </c>
      <c r="R820" t="s">
        <v>245</v>
      </c>
      <c r="S820" t="s">
        <v>8</v>
      </c>
      <c r="T820">
        <v>982.53859999999997</v>
      </c>
    </row>
    <row r="821" spans="4:20" ht="15.75" customHeight="1" x14ac:dyDescent="0.2">
      <c r="D821" t="s">
        <v>285</v>
      </c>
      <c r="E821" t="s">
        <v>386</v>
      </c>
      <c r="F821">
        <v>8</v>
      </c>
      <c r="P821" t="s">
        <v>387</v>
      </c>
      <c r="Q821">
        <v>30</v>
      </c>
      <c r="R821" t="s">
        <v>247</v>
      </c>
      <c r="S821" t="s">
        <v>9</v>
      </c>
      <c r="T821">
        <v>3.2899999999999999E-2</v>
      </c>
    </row>
    <row r="822" spans="4:20" ht="15.75" customHeight="1" x14ac:dyDescent="0.2">
      <c r="D822" t="s">
        <v>285</v>
      </c>
      <c r="E822" t="s">
        <v>386</v>
      </c>
      <c r="F822">
        <v>8</v>
      </c>
      <c r="P822" t="s">
        <v>387</v>
      </c>
      <c r="Q822">
        <v>30</v>
      </c>
      <c r="R822" t="s">
        <v>249</v>
      </c>
      <c r="S822" t="s">
        <v>10</v>
      </c>
      <c r="T822">
        <v>29</v>
      </c>
    </row>
    <row r="823" spans="4:20" ht="15.75" customHeight="1" x14ac:dyDescent="0.2">
      <c r="D823" t="s">
        <v>285</v>
      </c>
      <c r="E823" t="s">
        <v>386</v>
      </c>
      <c r="F823">
        <v>8</v>
      </c>
      <c r="P823" t="s">
        <v>387</v>
      </c>
      <c r="Q823">
        <v>30</v>
      </c>
      <c r="R823" t="s">
        <v>251</v>
      </c>
      <c r="S823" t="s">
        <v>11</v>
      </c>
      <c r="T823">
        <v>18</v>
      </c>
    </row>
    <row r="824" spans="4:20" ht="15.75" customHeight="1" x14ac:dyDescent="0.2">
      <c r="D824" t="s">
        <v>285</v>
      </c>
      <c r="E824" t="s">
        <v>386</v>
      </c>
      <c r="F824">
        <v>8</v>
      </c>
      <c r="P824" t="s">
        <v>387</v>
      </c>
      <c r="Q824">
        <v>30</v>
      </c>
      <c r="R824" t="s">
        <v>253</v>
      </c>
      <c r="S824" t="s">
        <v>12</v>
      </c>
      <c r="T824">
        <v>120.9278</v>
      </c>
    </row>
    <row r="825" spans="4:20" ht="15.75" customHeight="1" x14ac:dyDescent="0.2">
      <c r="D825" t="s">
        <v>285</v>
      </c>
      <c r="E825" t="s">
        <v>386</v>
      </c>
      <c r="F825">
        <v>8</v>
      </c>
      <c r="P825" t="s">
        <v>387</v>
      </c>
      <c r="Q825">
        <v>30</v>
      </c>
      <c r="R825" t="s">
        <v>255</v>
      </c>
      <c r="S825" t="s">
        <v>15</v>
      </c>
      <c r="T825">
        <v>23</v>
      </c>
    </row>
    <row r="826" spans="4:20" ht="15.75" customHeight="1" x14ac:dyDescent="0.2">
      <c r="D826" t="s">
        <v>285</v>
      </c>
      <c r="E826" t="s">
        <v>386</v>
      </c>
      <c r="F826">
        <v>8</v>
      </c>
      <c r="P826" t="s">
        <v>387</v>
      </c>
      <c r="Q826">
        <v>30</v>
      </c>
      <c r="R826" t="s">
        <v>293</v>
      </c>
      <c r="S826" t="s">
        <v>13</v>
      </c>
      <c r="T826">
        <v>0</v>
      </c>
    </row>
    <row r="827" spans="4:20" ht="15.75" customHeight="1" x14ac:dyDescent="0.2">
      <c r="D827" t="s">
        <v>285</v>
      </c>
      <c r="E827" t="s">
        <v>386</v>
      </c>
      <c r="F827">
        <v>8</v>
      </c>
      <c r="P827" t="s">
        <v>387</v>
      </c>
      <c r="Q827">
        <v>30</v>
      </c>
      <c r="R827" t="s">
        <v>294</v>
      </c>
      <c r="S827" t="s">
        <v>14</v>
      </c>
      <c r="T827">
        <v>0</v>
      </c>
    </row>
    <row r="828" spans="4:20" ht="15.75" customHeight="1" x14ac:dyDescent="0.2">
      <c r="D828" t="s">
        <v>285</v>
      </c>
      <c r="E828" t="s">
        <v>386</v>
      </c>
      <c r="F828">
        <v>8</v>
      </c>
      <c r="P828" t="s">
        <v>387</v>
      </c>
      <c r="Q828">
        <v>30</v>
      </c>
      <c r="R828" t="s">
        <v>257</v>
      </c>
      <c r="S828" t="s">
        <v>16</v>
      </c>
      <c r="T828">
        <v>55.520400000000002</v>
      </c>
    </row>
    <row r="829" spans="4:20" ht="15.75" customHeight="1" x14ac:dyDescent="0.2">
      <c r="D829" t="s">
        <v>285</v>
      </c>
      <c r="E829" t="s">
        <v>386</v>
      </c>
      <c r="F829">
        <v>8</v>
      </c>
      <c r="P829" t="s">
        <v>387</v>
      </c>
      <c r="Q829">
        <v>30</v>
      </c>
      <c r="R829" t="s">
        <v>295</v>
      </c>
      <c r="S829" t="s">
        <v>17</v>
      </c>
      <c r="T829">
        <v>1</v>
      </c>
    </row>
    <row r="830" spans="4:20" ht="15.75" customHeight="1" x14ac:dyDescent="0.2">
      <c r="D830" t="s">
        <v>285</v>
      </c>
      <c r="E830" t="s">
        <v>386</v>
      </c>
      <c r="F830">
        <v>8</v>
      </c>
      <c r="P830" t="s">
        <v>387</v>
      </c>
      <c r="Q830">
        <v>30</v>
      </c>
      <c r="R830" t="s">
        <v>296</v>
      </c>
      <c r="S830" t="s">
        <v>1</v>
      </c>
      <c r="T830">
        <v>5</v>
      </c>
    </row>
    <row r="831" spans="4:20" ht="15.75" customHeight="1" x14ac:dyDescent="0.2">
      <c r="D831" t="s">
        <v>285</v>
      </c>
      <c r="E831" t="s">
        <v>386</v>
      </c>
      <c r="F831">
        <v>8</v>
      </c>
      <c r="P831" t="s">
        <v>387</v>
      </c>
      <c r="Q831">
        <v>30</v>
      </c>
      <c r="R831" t="s">
        <v>297</v>
      </c>
      <c r="S831" t="s">
        <v>18</v>
      </c>
      <c r="T831">
        <v>6</v>
      </c>
    </row>
    <row r="832" spans="4:20" ht="15.75" customHeight="1" x14ac:dyDescent="0.2">
      <c r="D832" t="s">
        <v>285</v>
      </c>
      <c r="E832" t="s">
        <v>386</v>
      </c>
      <c r="F832">
        <v>8</v>
      </c>
      <c r="P832" t="s">
        <v>387</v>
      </c>
      <c r="Q832">
        <v>30</v>
      </c>
      <c r="R832" t="s">
        <v>298</v>
      </c>
      <c r="S832" t="s">
        <v>19</v>
      </c>
      <c r="T832">
        <v>0</v>
      </c>
    </row>
    <row r="833" spans="4:20" ht="15.75" customHeight="1" x14ac:dyDescent="0.2">
      <c r="D833" t="s">
        <v>285</v>
      </c>
      <c r="E833" t="s">
        <v>386</v>
      </c>
      <c r="F833">
        <v>8</v>
      </c>
      <c r="P833" t="s">
        <v>387</v>
      </c>
      <c r="Q833">
        <v>30</v>
      </c>
      <c r="R833" t="s">
        <v>299</v>
      </c>
      <c r="S833" t="s">
        <v>20</v>
      </c>
      <c r="T833">
        <v>2</v>
      </c>
    </row>
    <row r="834" spans="4:20" ht="15.75" customHeight="1" x14ac:dyDescent="0.2">
      <c r="D834" t="s">
        <v>285</v>
      </c>
      <c r="E834" t="s">
        <v>386</v>
      </c>
      <c r="F834">
        <v>8</v>
      </c>
      <c r="P834" t="s">
        <v>388</v>
      </c>
      <c r="Q834">
        <v>31</v>
      </c>
      <c r="R834" t="s">
        <v>288</v>
      </c>
      <c r="S834" t="s">
        <v>2</v>
      </c>
      <c r="T834">
        <v>1</v>
      </c>
    </row>
    <row r="835" spans="4:20" ht="15.75" customHeight="1" x14ac:dyDescent="0.2">
      <c r="D835" t="s">
        <v>285</v>
      </c>
      <c r="E835" t="s">
        <v>386</v>
      </c>
      <c r="F835">
        <v>8</v>
      </c>
      <c r="P835" t="s">
        <v>388</v>
      </c>
      <c r="Q835">
        <v>31</v>
      </c>
      <c r="R835" t="s">
        <v>289</v>
      </c>
      <c r="S835" t="s">
        <v>5</v>
      </c>
      <c r="T835">
        <v>0</v>
      </c>
    </row>
    <row r="836" spans="4:20" ht="15.75" customHeight="1" x14ac:dyDescent="0.2">
      <c r="D836" t="s">
        <v>285</v>
      </c>
      <c r="E836" t="s">
        <v>386</v>
      </c>
      <c r="F836">
        <v>8</v>
      </c>
      <c r="P836" t="s">
        <v>388</v>
      </c>
      <c r="Q836">
        <v>31</v>
      </c>
      <c r="R836" t="s">
        <v>290</v>
      </c>
      <c r="S836" t="s">
        <v>3</v>
      </c>
      <c r="T836">
        <v>0.75</v>
      </c>
    </row>
    <row r="837" spans="4:20" ht="15.75" customHeight="1" x14ac:dyDescent="0.2">
      <c r="D837" t="s">
        <v>285</v>
      </c>
      <c r="E837" t="s">
        <v>386</v>
      </c>
      <c r="F837">
        <v>8</v>
      </c>
      <c r="P837" t="s">
        <v>388</v>
      </c>
      <c r="Q837">
        <v>31</v>
      </c>
      <c r="R837" t="s">
        <v>291</v>
      </c>
      <c r="S837" t="s">
        <v>4</v>
      </c>
      <c r="T837">
        <v>4</v>
      </c>
    </row>
    <row r="838" spans="4:20" ht="15.75" customHeight="1" x14ac:dyDescent="0.2">
      <c r="D838" t="s">
        <v>285</v>
      </c>
      <c r="E838" t="s">
        <v>386</v>
      </c>
      <c r="F838">
        <v>8</v>
      </c>
      <c r="P838" t="s">
        <v>388</v>
      </c>
      <c r="Q838">
        <v>31</v>
      </c>
      <c r="R838" t="s">
        <v>292</v>
      </c>
      <c r="S838" t="s">
        <v>6</v>
      </c>
      <c r="T838">
        <v>0</v>
      </c>
    </row>
    <row r="839" spans="4:20" ht="15.75" customHeight="1" x14ac:dyDescent="0.2">
      <c r="D839" t="s">
        <v>285</v>
      </c>
      <c r="E839" t="s">
        <v>386</v>
      </c>
      <c r="F839">
        <v>8</v>
      </c>
      <c r="P839" t="s">
        <v>388</v>
      </c>
      <c r="Q839">
        <v>31</v>
      </c>
      <c r="R839" t="s">
        <v>243</v>
      </c>
      <c r="S839" t="s">
        <v>7</v>
      </c>
      <c r="T839">
        <v>15.166700000000001</v>
      </c>
    </row>
    <row r="840" spans="4:20" ht="15.75" customHeight="1" x14ac:dyDescent="0.2">
      <c r="D840" t="s">
        <v>285</v>
      </c>
      <c r="E840" t="s">
        <v>386</v>
      </c>
      <c r="F840">
        <v>8</v>
      </c>
      <c r="P840" t="s">
        <v>388</v>
      </c>
      <c r="Q840">
        <v>31</v>
      </c>
      <c r="R840" t="s">
        <v>245</v>
      </c>
      <c r="S840" t="s">
        <v>8</v>
      </c>
      <c r="T840">
        <v>2512.6491000000001</v>
      </c>
    </row>
    <row r="841" spans="4:20" ht="15.75" customHeight="1" x14ac:dyDescent="0.2">
      <c r="D841" t="s">
        <v>285</v>
      </c>
      <c r="E841" t="s">
        <v>386</v>
      </c>
      <c r="F841">
        <v>8</v>
      </c>
      <c r="P841" t="s">
        <v>388</v>
      </c>
      <c r="Q841">
        <v>31</v>
      </c>
      <c r="R841" t="s">
        <v>247</v>
      </c>
      <c r="S841" t="s">
        <v>9</v>
      </c>
      <c r="T841">
        <v>6.1600000000000002E-2</v>
      </c>
    </row>
    <row r="842" spans="4:20" ht="15.75" customHeight="1" x14ac:dyDescent="0.2">
      <c r="D842" t="s">
        <v>285</v>
      </c>
      <c r="E842" t="s">
        <v>386</v>
      </c>
      <c r="F842">
        <v>8</v>
      </c>
      <c r="P842" t="s">
        <v>388</v>
      </c>
      <c r="Q842">
        <v>31</v>
      </c>
      <c r="R842" t="s">
        <v>249</v>
      </c>
      <c r="S842" t="s">
        <v>10</v>
      </c>
      <c r="T842">
        <v>39</v>
      </c>
    </row>
    <row r="843" spans="4:20" ht="15.75" customHeight="1" x14ac:dyDescent="0.2">
      <c r="D843" t="s">
        <v>285</v>
      </c>
      <c r="E843" t="s">
        <v>386</v>
      </c>
      <c r="F843">
        <v>8</v>
      </c>
      <c r="P843" t="s">
        <v>388</v>
      </c>
      <c r="Q843">
        <v>31</v>
      </c>
      <c r="R843" t="s">
        <v>251</v>
      </c>
      <c r="S843" t="s">
        <v>11</v>
      </c>
      <c r="T843">
        <v>19</v>
      </c>
    </row>
    <row r="844" spans="4:20" ht="15.75" customHeight="1" x14ac:dyDescent="0.2">
      <c r="D844" t="s">
        <v>285</v>
      </c>
      <c r="E844" t="s">
        <v>386</v>
      </c>
      <c r="F844">
        <v>8</v>
      </c>
      <c r="P844" t="s">
        <v>388</v>
      </c>
      <c r="Q844">
        <v>31</v>
      </c>
      <c r="R844" t="s">
        <v>253</v>
      </c>
      <c r="S844" t="s">
        <v>12</v>
      </c>
      <c r="T844">
        <v>165.66919999999999</v>
      </c>
    </row>
    <row r="845" spans="4:20" ht="15.75" customHeight="1" x14ac:dyDescent="0.2">
      <c r="D845" t="s">
        <v>285</v>
      </c>
      <c r="E845" t="s">
        <v>386</v>
      </c>
      <c r="F845">
        <v>8</v>
      </c>
      <c r="P845" t="s">
        <v>388</v>
      </c>
      <c r="Q845">
        <v>31</v>
      </c>
      <c r="R845" t="s">
        <v>255</v>
      </c>
      <c r="S845" t="s">
        <v>15</v>
      </c>
      <c r="T845">
        <v>12</v>
      </c>
    </row>
    <row r="846" spans="4:20" ht="15.75" customHeight="1" x14ac:dyDescent="0.2">
      <c r="D846" t="s">
        <v>285</v>
      </c>
      <c r="E846" t="s">
        <v>386</v>
      </c>
      <c r="F846">
        <v>8</v>
      </c>
      <c r="P846" t="s">
        <v>388</v>
      </c>
      <c r="Q846">
        <v>31</v>
      </c>
      <c r="R846" t="s">
        <v>293</v>
      </c>
      <c r="S846" t="s">
        <v>13</v>
      </c>
      <c r="T846">
        <v>0</v>
      </c>
    </row>
    <row r="847" spans="4:20" ht="15.75" customHeight="1" x14ac:dyDescent="0.2">
      <c r="D847" t="s">
        <v>285</v>
      </c>
      <c r="E847" t="s">
        <v>386</v>
      </c>
      <c r="F847">
        <v>8</v>
      </c>
      <c r="P847" t="s">
        <v>388</v>
      </c>
      <c r="Q847">
        <v>31</v>
      </c>
      <c r="R847" t="s">
        <v>294</v>
      </c>
      <c r="S847" t="s">
        <v>14</v>
      </c>
      <c r="T847">
        <v>1</v>
      </c>
    </row>
    <row r="848" spans="4:20" ht="15.75" customHeight="1" x14ac:dyDescent="0.2">
      <c r="D848" t="s">
        <v>285</v>
      </c>
      <c r="E848" t="s">
        <v>386</v>
      </c>
      <c r="F848">
        <v>8</v>
      </c>
      <c r="P848" t="s">
        <v>388</v>
      </c>
      <c r="Q848">
        <v>31</v>
      </c>
      <c r="R848" t="s">
        <v>257</v>
      </c>
      <c r="S848" t="s">
        <v>16</v>
      </c>
      <c r="T848">
        <v>60.838700000000003</v>
      </c>
    </row>
    <row r="849" spans="4:20" ht="15.75" customHeight="1" x14ac:dyDescent="0.2">
      <c r="D849" t="s">
        <v>285</v>
      </c>
      <c r="E849" t="s">
        <v>386</v>
      </c>
      <c r="F849">
        <v>8</v>
      </c>
      <c r="P849" t="s">
        <v>388</v>
      </c>
      <c r="Q849">
        <v>31</v>
      </c>
      <c r="R849" t="s">
        <v>295</v>
      </c>
      <c r="S849" t="s">
        <v>17</v>
      </c>
      <c r="T849">
        <v>1</v>
      </c>
    </row>
    <row r="850" spans="4:20" ht="15.75" customHeight="1" x14ac:dyDescent="0.2">
      <c r="D850" t="s">
        <v>285</v>
      </c>
      <c r="E850" t="s">
        <v>386</v>
      </c>
      <c r="F850">
        <v>8</v>
      </c>
      <c r="P850" t="s">
        <v>388</v>
      </c>
      <c r="Q850">
        <v>31</v>
      </c>
      <c r="R850" t="s">
        <v>296</v>
      </c>
      <c r="S850" t="s">
        <v>1</v>
      </c>
      <c r="T850">
        <v>2</v>
      </c>
    </row>
    <row r="851" spans="4:20" ht="15.75" customHeight="1" x14ac:dyDescent="0.2">
      <c r="D851" t="s">
        <v>285</v>
      </c>
      <c r="E851" t="s">
        <v>386</v>
      </c>
      <c r="F851">
        <v>8</v>
      </c>
      <c r="P851" t="s">
        <v>388</v>
      </c>
      <c r="Q851">
        <v>31</v>
      </c>
      <c r="R851" t="s">
        <v>297</v>
      </c>
      <c r="S851" t="s">
        <v>18</v>
      </c>
      <c r="T851">
        <v>2</v>
      </c>
    </row>
    <row r="852" spans="4:20" ht="15.75" customHeight="1" x14ac:dyDescent="0.2">
      <c r="D852" t="s">
        <v>285</v>
      </c>
      <c r="E852" t="s">
        <v>386</v>
      </c>
      <c r="F852">
        <v>8</v>
      </c>
      <c r="P852" t="s">
        <v>388</v>
      </c>
      <c r="Q852">
        <v>31</v>
      </c>
      <c r="R852" t="s">
        <v>298</v>
      </c>
      <c r="S852" t="s">
        <v>19</v>
      </c>
      <c r="T852">
        <v>1</v>
      </c>
    </row>
    <row r="853" spans="4:20" ht="15.75" customHeight="1" x14ac:dyDescent="0.2">
      <c r="D853" t="s">
        <v>285</v>
      </c>
      <c r="E853" t="s">
        <v>386</v>
      </c>
      <c r="F853">
        <v>8</v>
      </c>
      <c r="P853" t="s">
        <v>388</v>
      </c>
      <c r="Q853">
        <v>31</v>
      </c>
      <c r="R853" t="s">
        <v>299</v>
      </c>
      <c r="S853" t="s">
        <v>20</v>
      </c>
      <c r="T853">
        <v>1</v>
      </c>
    </row>
    <row r="854" spans="4:20" ht="15.75" customHeight="1" x14ac:dyDescent="0.2">
      <c r="D854" t="s">
        <v>285</v>
      </c>
      <c r="E854" t="s">
        <v>386</v>
      </c>
      <c r="F854">
        <v>8</v>
      </c>
      <c r="P854" t="s">
        <v>389</v>
      </c>
      <c r="Q854">
        <v>32</v>
      </c>
      <c r="R854" t="s">
        <v>288</v>
      </c>
      <c r="S854" t="s">
        <v>2</v>
      </c>
      <c r="T854">
        <v>1</v>
      </c>
    </row>
    <row r="855" spans="4:20" ht="15.75" customHeight="1" x14ac:dyDescent="0.2">
      <c r="D855" t="s">
        <v>285</v>
      </c>
      <c r="E855" t="s">
        <v>386</v>
      </c>
      <c r="F855">
        <v>8</v>
      </c>
      <c r="P855" t="s">
        <v>389</v>
      </c>
      <c r="Q855">
        <v>32</v>
      </c>
      <c r="R855" t="s">
        <v>289</v>
      </c>
      <c r="S855" t="s">
        <v>5</v>
      </c>
      <c r="T855">
        <v>0</v>
      </c>
    </row>
    <row r="856" spans="4:20" ht="15.75" customHeight="1" x14ac:dyDescent="0.2">
      <c r="D856" t="s">
        <v>285</v>
      </c>
      <c r="E856" t="s">
        <v>386</v>
      </c>
      <c r="F856">
        <v>8</v>
      </c>
      <c r="P856" t="s">
        <v>389</v>
      </c>
      <c r="Q856">
        <v>32</v>
      </c>
      <c r="R856" t="s">
        <v>290</v>
      </c>
      <c r="S856" t="s">
        <v>3</v>
      </c>
      <c r="T856">
        <v>0.75</v>
      </c>
    </row>
    <row r="857" spans="4:20" ht="15.75" customHeight="1" x14ac:dyDescent="0.2">
      <c r="D857" t="s">
        <v>285</v>
      </c>
      <c r="E857" t="s">
        <v>386</v>
      </c>
      <c r="F857">
        <v>8</v>
      </c>
      <c r="P857" t="s">
        <v>389</v>
      </c>
      <c r="Q857">
        <v>32</v>
      </c>
      <c r="R857" t="s">
        <v>291</v>
      </c>
      <c r="S857" t="s">
        <v>4</v>
      </c>
      <c r="T857">
        <v>4</v>
      </c>
    </row>
    <row r="858" spans="4:20" ht="15.75" customHeight="1" x14ac:dyDescent="0.2">
      <c r="D858" t="s">
        <v>285</v>
      </c>
      <c r="E858" t="s">
        <v>386</v>
      </c>
      <c r="F858">
        <v>8</v>
      </c>
      <c r="P858" t="s">
        <v>389</v>
      </c>
      <c r="Q858">
        <v>32</v>
      </c>
      <c r="R858" t="s">
        <v>292</v>
      </c>
      <c r="S858" t="s">
        <v>6</v>
      </c>
      <c r="T858">
        <v>0</v>
      </c>
    </row>
    <row r="859" spans="4:20" ht="15.75" customHeight="1" x14ac:dyDescent="0.2">
      <c r="D859" t="s">
        <v>285</v>
      </c>
      <c r="E859" t="s">
        <v>386</v>
      </c>
      <c r="F859">
        <v>8</v>
      </c>
      <c r="P859" t="s">
        <v>389</v>
      </c>
      <c r="Q859">
        <v>32</v>
      </c>
      <c r="R859" t="s">
        <v>243</v>
      </c>
      <c r="S859" t="s">
        <v>7</v>
      </c>
      <c r="T859">
        <v>15</v>
      </c>
    </row>
    <row r="860" spans="4:20" ht="15.75" customHeight="1" x14ac:dyDescent="0.2">
      <c r="D860" t="s">
        <v>285</v>
      </c>
      <c r="E860" t="s">
        <v>386</v>
      </c>
      <c r="F860">
        <v>8</v>
      </c>
      <c r="P860" t="s">
        <v>389</v>
      </c>
      <c r="Q860">
        <v>32</v>
      </c>
      <c r="R860" t="s">
        <v>245</v>
      </c>
      <c r="S860" t="s">
        <v>8</v>
      </c>
      <c r="T860">
        <v>2564.5039000000002</v>
      </c>
    </row>
    <row r="861" spans="4:20" ht="15.75" customHeight="1" x14ac:dyDescent="0.2">
      <c r="D861" t="s">
        <v>285</v>
      </c>
      <c r="E861" t="s">
        <v>386</v>
      </c>
      <c r="F861">
        <v>8</v>
      </c>
      <c r="P861" t="s">
        <v>389</v>
      </c>
      <c r="Q861">
        <v>32</v>
      </c>
      <c r="R861" t="s">
        <v>247</v>
      </c>
      <c r="S861" t="s">
        <v>9</v>
      </c>
      <c r="T861">
        <v>6.25E-2</v>
      </c>
    </row>
    <row r="862" spans="4:20" ht="15.75" customHeight="1" x14ac:dyDescent="0.2">
      <c r="D862" t="s">
        <v>285</v>
      </c>
      <c r="E862" t="s">
        <v>386</v>
      </c>
      <c r="F862">
        <v>8</v>
      </c>
      <c r="P862" t="s">
        <v>389</v>
      </c>
      <c r="Q862">
        <v>32</v>
      </c>
      <c r="R862" t="s">
        <v>249</v>
      </c>
      <c r="S862" t="s">
        <v>10</v>
      </c>
      <c r="T862">
        <v>41</v>
      </c>
    </row>
    <row r="863" spans="4:20" ht="15.75" customHeight="1" x14ac:dyDescent="0.2">
      <c r="D863" t="s">
        <v>285</v>
      </c>
      <c r="E863" t="s">
        <v>386</v>
      </c>
      <c r="F863">
        <v>8</v>
      </c>
      <c r="P863" t="s">
        <v>389</v>
      </c>
      <c r="Q863">
        <v>32</v>
      </c>
      <c r="R863" t="s">
        <v>251</v>
      </c>
      <c r="S863" t="s">
        <v>11</v>
      </c>
      <c r="T863">
        <v>18</v>
      </c>
    </row>
    <row r="864" spans="4:20" ht="15.75" customHeight="1" x14ac:dyDescent="0.2">
      <c r="D864" t="s">
        <v>285</v>
      </c>
      <c r="E864" t="s">
        <v>386</v>
      </c>
      <c r="F864">
        <v>8</v>
      </c>
      <c r="P864" t="s">
        <v>389</v>
      </c>
      <c r="Q864">
        <v>32</v>
      </c>
      <c r="R864" t="s">
        <v>253</v>
      </c>
      <c r="S864" t="s">
        <v>12</v>
      </c>
      <c r="T864">
        <v>170.96690000000001</v>
      </c>
    </row>
    <row r="865" spans="4:20" ht="15.75" customHeight="1" x14ac:dyDescent="0.2">
      <c r="D865" t="s">
        <v>285</v>
      </c>
      <c r="E865" t="s">
        <v>386</v>
      </c>
      <c r="F865">
        <v>8</v>
      </c>
      <c r="P865" t="s">
        <v>389</v>
      </c>
      <c r="Q865">
        <v>32</v>
      </c>
      <c r="R865" t="s">
        <v>255</v>
      </c>
      <c r="S865" t="s">
        <v>15</v>
      </c>
      <c r="T865">
        <v>12</v>
      </c>
    </row>
    <row r="866" spans="4:20" ht="15.75" customHeight="1" x14ac:dyDescent="0.2">
      <c r="D866" t="s">
        <v>285</v>
      </c>
      <c r="E866" t="s">
        <v>386</v>
      </c>
      <c r="F866">
        <v>8</v>
      </c>
      <c r="P866" t="s">
        <v>389</v>
      </c>
      <c r="Q866">
        <v>32</v>
      </c>
      <c r="R866" t="s">
        <v>293</v>
      </c>
      <c r="S866" t="s">
        <v>13</v>
      </c>
      <c r="T866">
        <v>0</v>
      </c>
    </row>
    <row r="867" spans="4:20" ht="15.75" customHeight="1" x14ac:dyDescent="0.2">
      <c r="D867" t="s">
        <v>285</v>
      </c>
      <c r="E867" t="s">
        <v>386</v>
      </c>
      <c r="F867">
        <v>8</v>
      </c>
      <c r="P867" t="s">
        <v>389</v>
      </c>
      <c r="Q867">
        <v>32</v>
      </c>
      <c r="R867" t="s">
        <v>294</v>
      </c>
      <c r="S867" t="s">
        <v>14</v>
      </c>
      <c r="T867">
        <v>1</v>
      </c>
    </row>
    <row r="868" spans="4:20" ht="15.75" customHeight="1" x14ac:dyDescent="0.2">
      <c r="D868" t="s">
        <v>285</v>
      </c>
      <c r="E868" t="s">
        <v>386</v>
      </c>
      <c r="F868">
        <v>8</v>
      </c>
      <c r="P868" t="s">
        <v>389</v>
      </c>
      <c r="Q868">
        <v>32</v>
      </c>
      <c r="R868" t="s">
        <v>257</v>
      </c>
      <c r="S868" t="s">
        <v>16</v>
      </c>
      <c r="T868">
        <v>60.747900000000001</v>
      </c>
    </row>
    <row r="869" spans="4:20" ht="15.75" customHeight="1" x14ac:dyDescent="0.2">
      <c r="D869" t="s">
        <v>285</v>
      </c>
      <c r="E869" t="s">
        <v>386</v>
      </c>
      <c r="F869">
        <v>8</v>
      </c>
      <c r="P869" t="s">
        <v>389</v>
      </c>
      <c r="Q869">
        <v>32</v>
      </c>
      <c r="R869" t="s">
        <v>295</v>
      </c>
      <c r="S869" t="s">
        <v>17</v>
      </c>
      <c r="T869">
        <v>1</v>
      </c>
    </row>
    <row r="870" spans="4:20" ht="15.75" customHeight="1" x14ac:dyDescent="0.2">
      <c r="D870" t="s">
        <v>285</v>
      </c>
      <c r="E870" t="s">
        <v>386</v>
      </c>
      <c r="F870">
        <v>8</v>
      </c>
      <c r="P870" t="s">
        <v>389</v>
      </c>
      <c r="Q870">
        <v>32</v>
      </c>
      <c r="R870" t="s">
        <v>296</v>
      </c>
      <c r="S870" t="s">
        <v>1</v>
      </c>
      <c r="T870">
        <v>2</v>
      </c>
    </row>
    <row r="871" spans="4:20" ht="15.75" customHeight="1" x14ac:dyDescent="0.2">
      <c r="D871" t="s">
        <v>285</v>
      </c>
      <c r="E871" t="s">
        <v>386</v>
      </c>
      <c r="F871">
        <v>8</v>
      </c>
      <c r="P871" t="s">
        <v>389</v>
      </c>
      <c r="Q871">
        <v>32</v>
      </c>
      <c r="R871" t="s">
        <v>297</v>
      </c>
      <c r="S871" t="s">
        <v>18</v>
      </c>
      <c r="T871">
        <v>2</v>
      </c>
    </row>
    <row r="872" spans="4:20" ht="15.75" customHeight="1" x14ac:dyDescent="0.2">
      <c r="D872" t="s">
        <v>285</v>
      </c>
      <c r="E872" t="s">
        <v>386</v>
      </c>
      <c r="F872">
        <v>8</v>
      </c>
      <c r="P872" t="s">
        <v>389</v>
      </c>
      <c r="Q872">
        <v>32</v>
      </c>
      <c r="R872" t="s">
        <v>298</v>
      </c>
      <c r="S872" t="s">
        <v>19</v>
      </c>
      <c r="T872">
        <v>1</v>
      </c>
    </row>
    <row r="873" spans="4:20" ht="15.75" customHeight="1" x14ac:dyDescent="0.2">
      <c r="D873" t="s">
        <v>285</v>
      </c>
      <c r="E873" t="s">
        <v>386</v>
      </c>
      <c r="F873">
        <v>8</v>
      </c>
      <c r="P873" t="s">
        <v>389</v>
      </c>
      <c r="Q873">
        <v>32</v>
      </c>
      <c r="R873" t="s">
        <v>299</v>
      </c>
      <c r="S873" t="s">
        <v>20</v>
      </c>
      <c r="T873">
        <v>1</v>
      </c>
    </row>
    <row r="874" spans="4:20" ht="15.75" customHeight="1" x14ac:dyDescent="0.2">
      <c r="D874" t="s">
        <v>285</v>
      </c>
      <c r="E874" t="s">
        <v>386</v>
      </c>
      <c r="F874">
        <v>8</v>
      </c>
      <c r="P874" t="s">
        <v>390</v>
      </c>
      <c r="Q874">
        <v>33</v>
      </c>
      <c r="R874" t="s">
        <v>288</v>
      </c>
      <c r="S874" t="s">
        <v>2</v>
      </c>
      <c r="T874">
        <v>2</v>
      </c>
    </row>
    <row r="875" spans="4:20" ht="15.75" customHeight="1" x14ac:dyDescent="0.2">
      <c r="D875" t="s">
        <v>285</v>
      </c>
      <c r="E875" t="s">
        <v>386</v>
      </c>
      <c r="F875">
        <v>8</v>
      </c>
      <c r="P875" t="s">
        <v>390</v>
      </c>
      <c r="Q875">
        <v>33</v>
      </c>
      <c r="R875" t="s">
        <v>289</v>
      </c>
      <c r="S875" t="s">
        <v>5</v>
      </c>
      <c r="T875">
        <v>0</v>
      </c>
    </row>
    <row r="876" spans="4:20" ht="15.75" customHeight="1" x14ac:dyDescent="0.2">
      <c r="D876" t="s">
        <v>285</v>
      </c>
      <c r="E876" t="s">
        <v>386</v>
      </c>
      <c r="F876">
        <v>8</v>
      </c>
      <c r="P876" t="s">
        <v>390</v>
      </c>
      <c r="Q876">
        <v>33</v>
      </c>
      <c r="R876" t="s">
        <v>290</v>
      </c>
      <c r="S876" t="s">
        <v>3</v>
      </c>
      <c r="T876">
        <v>0.75</v>
      </c>
    </row>
    <row r="877" spans="4:20" ht="15.75" customHeight="1" x14ac:dyDescent="0.2">
      <c r="D877" t="s">
        <v>285</v>
      </c>
      <c r="E877" t="s">
        <v>386</v>
      </c>
      <c r="F877">
        <v>8</v>
      </c>
      <c r="P877" t="s">
        <v>390</v>
      </c>
      <c r="Q877">
        <v>33</v>
      </c>
      <c r="R877" t="s">
        <v>291</v>
      </c>
      <c r="S877" t="s">
        <v>4</v>
      </c>
      <c r="T877">
        <v>4</v>
      </c>
    </row>
    <row r="878" spans="4:20" ht="15.75" customHeight="1" x14ac:dyDescent="0.2">
      <c r="D878" t="s">
        <v>285</v>
      </c>
      <c r="E878" t="s">
        <v>386</v>
      </c>
      <c r="F878">
        <v>8</v>
      </c>
      <c r="P878" t="s">
        <v>390</v>
      </c>
      <c r="Q878">
        <v>33</v>
      </c>
      <c r="R878" t="s">
        <v>292</v>
      </c>
      <c r="S878" t="s">
        <v>6</v>
      </c>
      <c r="T878">
        <v>0</v>
      </c>
    </row>
    <row r="879" spans="4:20" ht="15.75" customHeight="1" x14ac:dyDescent="0.2">
      <c r="D879" t="s">
        <v>285</v>
      </c>
      <c r="E879" t="s">
        <v>386</v>
      </c>
      <c r="F879">
        <v>8</v>
      </c>
      <c r="P879" t="s">
        <v>390</v>
      </c>
      <c r="Q879">
        <v>33</v>
      </c>
      <c r="R879" t="s">
        <v>243</v>
      </c>
      <c r="S879" t="s">
        <v>7</v>
      </c>
      <c r="T879">
        <v>14.857100000000001</v>
      </c>
    </row>
    <row r="880" spans="4:20" ht="15.75" customHeight="1" x14ac:dyDescent="0.2">
      <c r="D880" t="s">
        <v>285</v>
      </c>
      <c r="E880" t="s">
        <v>386</v>
      </c>
      <c r="F880">
        <v>8</v>
      </c>
      <c r="P880" t="s">
        <v>390</v>
      </c>
      <c r="Q880">
        <v>33</v>
      </c>
      <c r="R880" t="s">
        <v>245</v>
      </c>
      <c r="S880" t="s">
        <v>8</v>
      </c>
      <c r="T880">
        <v>2568.4600999999998</v>
      </c>
    </row>
    <row r="881" spans="4:20" ht="15.75" customHeight="1" x14ac:dyDescent="0.2">
      <c r="D881" t="s">
        <v>285</v>
      </c>
      <c r="E881" t="s">
        <v>386</v>
      </c>
      <c r="F881">
        <v>8</v>
      </c>
      <c r="P881" t="s">
        <v>390</v>
      </c>
      <c r="Q881">
        <v>33</v>
      </c>
      <c r="R881" t="s">
        <v>247</v>
      </c>
      <c r="S881" t="s">
        <v>9</v>
      </c>
      <c r="T881">
        <v>6.25E-2</v>
      </c>
    </row>
    <row r="882" spans="4:20" ht="15.75" customHeight="1" x14ac:dyDescent="0.2">
      <c r="D882" t="s">
        <v>285</v>
      </c>
      <c r="E882" t="s">
        <v>386</v>
      </c>
      <c r="F882">
        <v>8</v>
      </c>
      <c r="P882" t="s">
        <v>390</v>
      </c>
      <c r="Q882">
        <v>33</v>
      </c>
      <c r="R882" t="s">
        <v>249</v>
      </c>
      <c r="S882" t="s">
        <v>10</v>
      </c>
      <c r="T882">
        <v>40</v>
      </c>
    </row>
    <row r="883" spans="4:20" ht="15.75" customHeight="1" x14ac:dyDescent="0.2">
      <c r="D883" t="s">
        <v>285</v>
      </c>
      <c r="E883" t="s">
        <v>386</v>
      </c>
      <c r="F883">
        <v>8</v>
      </c>
      <c r="P883" t="s">
        <v>390</v>
      </c>
      <c r="Q883">
        <v>33</v>
      </c>
      <c r="R883" t="s">
        <v>251</v>
      </c>
      <c r="S883" t="s">
        <v>11</v>
      </c>
      <c r="T883">
        <v>20</v>
      </c>
    </row>
    <row r="884" spans="4:20" ht="15.75" customHeight="1" x14ac:dyDescent="0.2">
      <c r="D884" t="s">
        <v>285</v>
      </c>
      <c r="E884" t="s">
        <v>386</v>
      </c>
      <c r="F884">
        <v>8</v>
      </c>
      <c r="P884" t="s">
        <v>390</v>
      </c>
      <c r="Q884">
        <v>33</v>
      </c>
      <c r="R884" t="s">
        <v>253</v>
      </c>
      <c r="S884" t="s">
        <v>12</v>
      </c>
      <c r="T884">
        <v>172.87710000000001</v>
      </c>
    </row>
    <row r="885" spans="4:20" ht="15.75" customHeight="1" x14ac:dyDescent="0.2">
      <c r="D885" t="s">
        <v>285</v>
      </c>
      <c r="E885" t="s">
        <v>386</v>
      </c>
      <c r="F885">
        <v>8</v>
      </c>
      <c r="P885" t="s">
        <v>390</v>
      </c>
      <c r="Q885">
        <v>33</v>
      </c>
      <c r="R885" t="s">
        <v>255</v>
      </c>
      <c r="S885" t="s">
        <v>15</v>
      </c>
      <c r="T885">
        <v>13</v>
      </c>
    </row>
    <row r="886" spans="4:20" ht="15.75" customHeight="1" x14ac:dyDescent="0.2">
      <c r="D886" t="s">
        <v>285</v>
      </c>
      <c r="E886" t="s">
        <v>386</v>
      </c>
      <c r="F886">
        <v>8</v>
      </c>
      <c r="P886" t="s">
        <v>390</v>
      </c>
      <c r="Q886">
        <v>33</v>
      </c>
      <c r="R886" t="s">
        <v>293</v>
      </c>
      <c r="S886" t="s">
        <v>13</v>
      </c>
      <c r="T886">
        <v>0</v>
      </c>
    </row>
    <row r="887" spans="4:20" ht="15.75" customHeight="1" x14ac:dyDescent="0.2">
      <c r="D887" t="s">
        <v>285</v>
      </c>
      <c r="E887" t="s">
        <v>386</v>
      </c>
      <c r="F887">
        <v>8</v>
      </c>
      <c r="P887" t="s">
        <v>390</v>
      </c>
      <c r="Q887">
        <v>33</v>
      </c>
      <c r="R887" t="s">
        <v>294</v>
      </c>
      <c r="S887" t="s">
        <v>14</v>
      </c>
      <c r="T887">
        <v>1</v>
      </c>
    </row>
    <row r="888" spans="4:20" ht="15.75" customHeight="1" x14ac:dyDescent="0.2">
      <c r="D888" t="s">
        <v>285</v>
      </c>
      <c r="E888" t="s">
        <v>386</v>
      </c>
      <c r="F888">
        <v>8</v>
      </c>
      <c r="P888" t="s">
        <v>390</v>
      </c>
      <c r="Q888">
        <v>33</v>
      </c>
      <c r="R888" t="s">
        <v>257</v>
      </c>
      <c r="S888" t="s">
        <v>16</v>
      </c>
      <c r="T888">
        <v>59.899500000000003</v>
      </c>
    </row>
    <row r="889" spans="4:20" ht="15.75" customHeight="1" x14ac:dyDescent="0.2">
      <c r="D889" t="s">
        <v>285</v>
      </c>
      <c r="E889" t="s">
        <v>386</v>
      </c>
      <c r="F889">
        <v>8</v>
      </c>
      <c r="P889" t="s">
        <v>390</v>
      </c>
      <c r="Q889">
        <v>33</v>
      </c>
      <c r="R889" t="s">
        <v>295</v>
      </c>
      <c r="S889" t="s">
        <v>17</v>
      </c>
      <c r="T889">
        <v>1</v>
      </c>
    </row>
    <row r="890" spans="4:20" ht="15.75" customHeight="1" x14ac:dyDescent="0.2">
      <c r="D890" t="s">
        <v>285</v>
      </c>
      <c r="E890" t="s">
        <v>386</v>
      </c>
      <c r="F890">
        <v>8</v>
      </c>
      <c r="P890" t="s">
        <v>390</v>
      </c>
      <c r="Q890">
        <v>33</v>
      </c>
      <c r="R890" t="s">
        <v>296</v>
      </c>
      <c r="S890" t="s">
        <v>1</v>
      </c>
      <c r="T890">
        <v>3</v>
      </c>
    </row>
    <row r="891" spans="4:20" ht="15.75" customHeight="1" x14ac:dyDescent="0.2">
      <c r="D891" t="s">
        <v>285</v>
      </c>
      <c r="E891" t="s">
        <v>386</v>
      </c>
      <c r="F891">
        <v>8</v>
      </c>
      <c r="P891" t="s">
        <v>390</v>
      </c>
      <c r="Q891">
        <v>33</v>
      </c>
      <c r="R891" t="s">
        <v>297</v>
      </c>
      <c r="S891" t="s">
        <v>18</v>
      </c>
      <c r="T891">
        <v>3</v>
      </c>
    </row>
    <row r="892" spans="4:20" ht="15.75" customHeight="1" x14ac:dyDescent="0.2">
      <c r="D892" t="s">
        <v>285</v>
      </c>
      <c r="E892" t="s">
        <v>386</v>
      </c>
      <c r="F892">
        <v>8</v>
      </c>
      <c r="P892" t="s">
        <v>390</v>
      </c>
      <c r="Q892">
        <v>33</v>
      </c>
      <c r="R892" t="s">
        <v>298</v>
      </c>
      <c r="S892" t="s">
        <v>19</v>
      </c>
      <c r="T892">
        <v>2</v>
      </c>
    </row>
    <row r="893" spans="4:20" ht="15.75" customHeight="1" x14ac:dyDescent="0.2">
      <c r="D893" t="s">
        <v>285</v>
      </c>
      <c r="E893" t="s">
        <v>386</v>
      </c>
      <c r="F893">
        <v>8</v>
      </c>
      <c r="P893" t="s">
        <v>390</v>
      </c>
      <c r="Q893">
        <v>33</v>
      </c>
      <c r="R893" t="s">
        <v>299</v>
      </c>
      <c r="S893" t="s">
        <v>20</v>
      </c>
      <c r="T893">
        <v>1</v>
      </c>
    </row>
    <row r="894" spans="4:20" ht="15.75" customHeight="1" x14ac:dyDescent="0.2">
      <c r="D894" t="s">
        <v>285</v>
      </c>
      <c r="E894" t="s">
        <v>386</v>
      </c>
      <c r="F894">
        <v>8</v>
      </c>
      <c r="P894" t="s">
        <v>391</v>
      </c>
      <c r="Q894">
        <v>34</v>
      </c>
      <c r="R894" t="s">
        <v>288</v>
      </c>
      <c r="S894" t="s">
        <v>2</v>
      </c>
      <c r="T894">
        <v>1</v>
      </c>
    </row>
    <row r="895" spans="4:20" ht="15.75" customHeight="1" x14ac:dyDescent="0.2">
      <c r="D895" t="s">
        <v>285</v>
      </c>
      <c r="E895" t="s">
        <v>386</v>
      </c>
      <c r="F895">
        <v>8</v>
      </c>
      <c r="P895" t="s">
        <v>391</v>
      </c>
      <c r="Q895">
        <v>34</v>
      </c>
      <c r="R895" t="s">
        <v>289</v>
      </c>
      <c r="S895" t="s">
        <v>5</v>
      </c>
      <c r="T895">
        <v>0</v>
      </c>
    </row>
    <row r="896" spans="4:20" ht="15.75" customHeight="1" x14ac:dyDescent="0.2">
      <c r="D896" t="s">
        <v>285</v>
      </c>
      <c r="E896" t="s">
        <v>386</v>
      </c>
      <c r="F896">
        <v>8</v>
      </c>
      <c r="P896" t="s">
        <v>391</v>
      </c>
      <c r="Q896">
        <v>34</v>
      </c>
      <c r="R896" t="s">
        <v>290</v>
      </c>
      <c r="S896" t="s">
        <v>3</v>
      </c>
      <c r="T896">
        <v>0.75</v>
      </c>
    </row>
    <row r="897" spans="4:20" ht="15.75" customHeight="1" x14ac:dyDescent="0.2">
      <c r="D897" t="s">
        <v>285</v>
      </c>
      <c r="E897" t="s">
        <v>386</v>
      </c>
      <c r="F897">
        <v>8</v>
      </c>
      <c r="P897" t="s">
        <v>391</v>
      </c>
      <c r="Q897">
        <v>34</v>
      </c>
      <c r="R897" t="s">
        <v>291</v>
      </c>
      <c r="S897" t="s">
        <v>4</v>
      </c>
      <c r="T897">
        <v>4</v>
      </c>
    </row>
    <row r="898" spans="4:20" ht="15.75" customHeight="1" x14ac:dyDescent="0.2">
      <c r="D898" t="s">
        <v>285</v>
      </c>
      <c r="E898" t="s">
        <v>386</v>
      </c>
      <c r="F898">
        <v>8</v>
      </c>
      <c r="P898" t="s">
        <v>391</v>
      </c>
      <c r="Q898">
        <v>34</v>
      </c>
      <c r="R898" t="s">
        <v>292</v>
      </c>
      <c r="S898" t="s">
        <v>6</v>
      </c>
      <c r="T898">
        <v>0</v>
      </c>
    </row>
    <row r="899" spans="4:20" ht="15.75" customHeight="1" x14ac:dyDescent="0.2">
      <c r="D899" t="s">
        <v>285</v>
      </c>
      <c r="E899" t="s">
        <v>386</v>
      </c>
      <c r="F899">
        <v>8</v>
      </c>
      <c r="P899" t="s">
        <v>391</v>
      </c>
      <c r="Q899">
        <v>34</v>
      </c>
      <c r="R899" t="s">
        <v>243</v>
      </c>
      <c r="S899" t="s">
        <v>7</v>
      </c>
      <c r="T899">
        <v>18.2</v>
      </c>
    </row>
    <row r="900" spans="4:20" ht="15.75" customHeight="1" x14ac:dyDescent="0.2">
      <c r="D900" t="s">
        <v>285</v>
      </c>
      <c r="E900" t="s">
        <v>386</v>
      </c>
      <c r="F900">
        <v>8</v>
      </c>
      <c r="P900" t="s">
        <v>391</v>
      </c>
      <c r="Q900">
        <v>34</v>
      </c>
      <c r="R900" t="s">
        <v>245</v>
      </c>
      <c r="S900" t="s">
        <v>8</v>
      </c>
      <c r="T900">
        <v>2959.8128000000002</v>
      </c>
    </row>
    <row r="901" spans="4:20" ht="15.75" customHeight="1" x14ac:dyDescent="0.2">
      <c r="D901" t="s">
        <v>285</v>
      </c>
      <c r="E901" t="s">
        <v>386</v>
      </c>
      <c r="F901">
        <v>8</v>
      </c>
      <c r="P901" t="s">
        <v>391</v>
      </c>
      <c r="Q901">
        <v>34</v>
      </c>
      <c r="R901" t="s">
        <v>247</v>
      </c>
      <c r="S901" t="s">
        <v>9</v>
      </c>
      <c r="T901">
        <v>6.8699999999999997E-2</v>
      </c>
    </row>
    <row r="902" spans="4:20" ht="15.75" customHeight="1" x14ac:dyDescent="0.2">
      <c r="D902" t="s">
        <v>285</v>
      </c>
      <c r="E902" t="s">
        <v>386</v>
      </c>
      <c r="F902">
        <v>8</v>
      </c>
      <c r="P902" t="s">
        <v>391</v>
      </c>
      <c r="Q902">
        <v>34</v>
      </c>
      <c r="R902" t="s">
        <v>249</v>
      </c>
      <c r="S902" t="s">
        <v>10</v>
      </c>
      <c r="T902">
        <v>39</v>
      </c>
    </row>
    <row r="903" spans="4:20" ht="15.75" customHeight="1" x14ac:dyDescent="0.2">
      <c r="D903" t="s">
        <v>285</v>
      </c>
      <c r="E903" t="s">
        <v>386</v>
      </c>
      <c r="F903">
        <v>8</v>
      </c>
      <c r="P903" t="s">
        <v>391</v>
      </c>
      <c r="Q903">
        <v>34</v>
      </c>
      <c r="R903" t="s">
        <v>251</v>
      </c>
      <c r="S903" t="s">
        <v>11</v>
      </c>
      <c r="T903">
        <v>18</v>
      </c>
    </row>
    <row r="904" spans="4:20" ht="15.75" customHeight="1" x14ac:dyDescent="0.2">
      <c r="D904" t="s">
        <v>285</v>
      </c>
      <c r="E904" t="s">
        <v>386</v>
      </c>
      <c r="F904">
        <v>8</v>
      </c>
      <c r="P904" t="s">
        <v>391</v>
      </c>
      <c r="Q904">
        <v>34</v>
      </c>
      <c r="R904" t="s">
        <v>253</v>
      </c>
      <c r="S904" t="s">
        <v>12</v>
      </c>
      <c r="T904">
        <v>162.62710000000001</v>
      </c>
    </row>
    <row r="905" spans="4:20" ht="15.75" customHeight="1" x14ac:dyDescent="0.2">
      <c r="D905" t="s">
        <v>285</v>
      </c>
      <c r="E905" t="s">
        <v>386</v>
      </c>
      <c r="F905">
        <v>8</v>
      </c>
      <c r="P905" t="s">
        <v>391</v>
      </c>
      <c r="Q905">
        <v>34</v>
      </c>
      <c r="R905" t="s">
        <v>255</v>
      </c>
      <c r="S905" t="s">
        <v>15</v>
      </c>
      <c r="T905">
        <v>12</v>
      </c>
    </row>
    <row r="906" spans="4:20" ht="15.75" customHeight="1" x14ac:dyDescent="0.2">
      <c r="D906" t="s">
        <v>285</v>
      </c>
      <c r="E906" t="s">
        <v>386</v>
      </c>
      <c r="F906">
        <v>8</v>
      </c>
      <c r="P906" t="s">
        <v>391</v>
      </c>
      <c r="Q906">
        <v>34</v>
      </c>
      <c r="R906" t="s">
        <v>293</v>
      </c>
      <c r="S906" t="s">
        <v>13</v>
      </c>
      <c r="T906">
        <v>0</v>
      </c>
    </row>
    <row r="907" spans="4:20" ht="15.75" customHeight="1" x14ac:dyDescent="0.2">
      <c r="D907" t="s">
        <v>285</v>
      </c>
      <c r="E907" t="s">
        <v>386</v>
      </c>
      <c r="F907">
        <v>8</v>
      </c>
      <c r="P907" t="s">
        <v>391</v>
      </c>
      <c r="Q907">
        <v>34</v>
      </c>
      <c r="R907" t="s">
        <v>294</v>
      </c>
      <c r="S907" t="s">
        <v>14</v>
      </c>
      <c r="T907">
        <v>1</v>
      </c>
    </row>
    <row r="908" spans="4:20" ht="15.75" customHeight="1" x14ac:dyDescent="0.2">
      <c r="D908" t="s">
        <v>285</v>
      </c>
      <c r="E908" t="s">
        <v>386</v>
      </c>
      <c r="F908">
        <v>8</v>
      </c>
      <c r="P908" t="s">
        <v>391</v>
      </c>
      <c r="Q908">
        <v>34</v>
      </c>
      <c r="R908" t="s">
        <v>257</v>
      </c>
      <c r="S908" t="s">
        <v>16</v>
      </c>
      <c r="T908">
        <v>60.894500000000001</v>
      </c>
    </row>
    <row r="909" spans="4:20" ht="15.75" customHeight="1" x14ac:dyDescent="0.2">
      <c r="D909" t="s">
        <v>285</v>
      </c>
      <c r="E909" t="s">
        <v>386</v>
      </c>
      <c r="F909">
        <v>8</v>
      </c>
      <c r="P909" t="s">
        <v>391</v>
      </c>
      <c r="Q909">
        <v>34</v>
      </c>
      <c r="R909" t="s">
        <v>295</v>
      </c>
      <c r="S909" t="s">
        <v>17</v>
      </c>
      <c r="T909">
        <v>1</v>
      </c>
    </row>
    <row r="910" spans="4:20" ht="15.75" customHeight="1" x14ac:dyDescent="0.2">
      <c r="D910" t="s">
        <v>285</v>
      </c>
      <c r="E910" t="s">
        <v>386</v>
      </c>
      <c r="F910">
        <v>8</v>
      </c>
      <c r="P910" t="s">
        <v>391</v>
      </c>
      <c r="Q910">
        <v>34</v>
      </c>
      <c r="R910" t="s">
        <v>296</v>
      </c>
      <c r="S910" t="s">
        <v>1</v>
      </c>
      <c r="T910">
        <v>2</v>
      </c>
    </row>
    <row r="911" spans="4:20" ht="15.75" customHeight="1" x14ac:dyDescent="0.2">
      <c r="D911" t="s">
        <v>285</v>
      </c>
      <c r="E911" t="s">
        <v>386</v>
      </c>
      <c r="F911">
        <v>8</v>
      </c>
      <c r="P911" t="s">
        <v>391</v>
      </c>
      <c r="Q911">
        <v>34</v>
      </c>
      <c r="R911" t="s">
        <v>297</v>
      </c>
      <c r="S911" t="s">
        <v>18</v>
      </c>
      <c r="T911">
        <v>2</v>
      </c>
    </row>
    <row r="912" spans="4:20" ht="15.75" customHeight="1" x14ac:dyDescent="0.2">
      <c r="D912" t="s">
        <v>285</v>
      </c>
      <c r="E912" t="s">
        <v>386</v>
      </c>
      <c r="F912">
        <v>8</v>
      </c>
      <c r="P912" t="s">
        <v>391</v>
      </c>
      <c r="Q912">
        <v>34</v>
      </c>
      <c r="R912" t="s">
        <v>298</v>
      </c>
      <c r="S912" t="s">
        <v>19</v>
      </c>
      <c r="T912">
        <v>1</v>
      </c>
    </row>
    <row r="913" spans="4:23" ht="15.75" customHeight="1" x14ac:dyDescent="0.2">
      <c r="D913" t="s">
        <v>285</v>
      </c>
      <c r="E913" t="s">
        <v>386</v>
      </c>
      <c r="F913">
        <v>8</v>
      </c>
      <c r="P913" t="s">
        <v>391</v>
      </c>
      <c r="Q913">
        <v>34</v>
      </c>
      <c r="R913" t="s">
        <v>299</v>
      </c>
      <c r="S913" t="s">
        <v>20</v>
      </c>
      <c r="T913">
        <v>1</v>
      </c>
    </row>
    <row r="914" spans="4:23" ht="15.75" customHeight="1" x14ac:dyDescent="0.2">
      <c r="D914" t="s">
        <v>285</v>
      </c>
      <c r="E914" t="s">
        <v>386</v>
      </c>
      <c r="F914">
        <v>8</v>
      </c>
      <c r="U914" t="s">
        <v>300</v>
      </c>
      <c r="V914" t="s">
        <v>301</v>
      </c>
      <c r="W914">
        <v>1</v>
      </c>
    </row>
    <row r="915" spans="4:23" ht="15.75" customHeight="1" x14ac:dyDescent="0.2">
      <c r="D915" t="s">
        <v>285</v>
      </c>
      <c r="E915" t="s">
        <v>386</v>
      </c>
      <c r="F915">
        <v>8</v>
      </c>
      <c r="U915" t="s">
        <v>288</v>
      </c>
      <c r="V915" t="s">
        <v>302</v>
      </c>
      <c r="W915">
        <v>6</v>
      </c>
    </row>
    <row r="916" spans="4:23" ht="15.75" customHeight="1" x14ac:dyDescent="0.2">
      <c r="D916" t="s">
        <v>285</v>
      </c>
      <c r="E916" t="s">
        <v>386</v>
      </c>
      <c r="F916">
        <v>8</v>
      </c>
      <c r="U916" t="s">
        <v>303</v>
      </c>
      <c r="V916" t="s">
        <v>304</v>
      </c>
      <c r="W916">
        <v>5</v>
      </c>
    </row>
    <row r="917" spans="4:23" ht="15.75" customHeight="1" x14ac:dyDescent="0.2">
      <c r="D917" t="s">
        <v>285</v>
      </c>
      <c r="E917" t="s">
        <v>386</v>
      </c>
      <c r="F917">
        <v>8</v>
      </c>
      <c r="U917" t="s">
        <v>305</v>
      </c>
      <c r="V917" t="s">
        <v>306</v>
      </c>
      <c r="W917">
        <v>0</v>
      </c>
    </row>
    <row r="918" spans="4:23" ht="15.75" customHeight="1" x14ac:dyDescent="0.2">
      <c r="D918" t="s">
        <v>285</v>
      </c>
      <c r="E918" t="s">
        <v>386</v>
      </c>
      <c r="F918">
        <v>8</v>
      </c>
      <c r="U918" t="s">
        <v>307</v>
      </c>
      <c r="V918" t="s">
        <v>308</v>
      </c>
      <c r="W918">
        <v>2</v>
      </c>
    </row>
    <row r="919" spans="4:23" ht="15.75" customHeight="1" x14ac:dyDescent="0.2">
      <c r="D919" t="s">
        <v>285</v>
      </c>
      <c r="E919" t="s">
        <v>386</v>
      </c>
      <c r="F919">
        <v>8</v>
      </c>
      <c r="U919" t="s">
        <v>243</v>
      </c>
      <c r="V919" t="s">
        <v>309</v>
      </c>
      <c r="W919">
        <v>60</v>
      </c>
    </row>
    <row r="920" spans="4:23" ht="15.75" customHeight="1" x14ac:dyDescent="0.2">
      <c r="D920" t="s">
        <v>285</v>
      </c>
      <c r="E920" t="s">
        <v>386</v>
      </c>
      <c r="F920">
        <v>8</v>
      </c>
      <c r="U920" t="s">
        <v>245</v>
      </c>
      <c r="V920" t="s">
        <v>310</v>
      </c>
      <c r="W920">
        <v>60989.296000000002</v>
      </c>
    </row>
    <row r="921" spans="4:23" ht="15.75" customHeight="1" x14ac:dyDescent="0.2">
      <c r="D921" t="s">
        <v>285</v>
      </c>
      <c r="E921" t="s">
        <v>386</v>
      </c>
      <c r="F921">
        <v>8</v>
      </c>
      <c r="U921" t="s">
        <v>247</v>
      </c>
      <c r="V921" t="s">
        <v>311</v>
      </c>
      <c r="W921">
        <v>0.51649999999999996</v>
      </c>
    </row>
    <row r="922" spans="4:23" ht="15.75" customHeight="1" x14ac:dyDescent="0.2">
      <c r="D922" t="s">
        <v>285</v>
      </c>
      <c r="E922" t="s">
        <v>386</v>
      </c>
      <c r="F922">
        <v>8</v>
      </c>
      <c r="U922" t="s">
        <v>249</v>
      </c>
      <c r="V922" t="s">
        <v>312</v>
      </c>
      <c r="W922">
        <v>191</v>
      </c>
    </row>
    <row r="923" spans="4:23" ht="15.75" customHeight="1" x14ac:dyDescent="0.2">
      <c r="D923" t="s">
        <v>285</v>
      </c>
      <c r="E923" t="s">
        <v>386</v>
      </c>
      <c r="F923">
        <v>8</v>
      </c>
      <c r="U923" t="s">
        <v>251</v>
      </c>
      <c r="V923" t="s">
        <v>313</v>
      </c>
      <c r="W923">
        <v>40</v>
      </c>
    </row>
    <row r="924" spans="4:23" ht="15.75" customHeight="1" x14ac:dyDescent="0.2">
      <c r="D924" t="s">
        <v>285</v>
      </c>
      <c r="E924" t="s">
        <v>386</v>
      </c>
      <c r="F924">
        <v>8</v>
      </c>
      <c r="U924" t="s">
        <v>253</v>
      </c>
      <c r="V924" t="s">
        <v>314</v>
      </c>
      <c r="W924">
        <v>1016.4883</v>
      </c>
    </row>
    <row r="925" spans="4:23" ht="15.75" customHeight="1" x14ac:dyDescent="0.2">
      <c r="D925" t="s">
        <v>285</v>
      </c>
      <c r="E925" t="s">
        <v>386</v>
      </c>
      <c r="F925">
        <v>8</v>
      </c>
      <c r="U925" t="s">
        <v>315</v>
      </c>
      <c r="V925" t="s">
        <v>316</v>
      </c>
      <c r="W925">
        <v>0</v>
      </c>
    </row>
    <row r="926" spans="4:23" ht="15.75" customHeight="1" x14ac:dyDescent="0.2">
      <c r="D926" t="s">
        <v>285</v>
      </c>
      <c r="E926" t="s">
        <v>386</v>
      </c>
      <c r="F926">
        <v>8</v>
      </c>
      <c r="U926" t="s">
        <v>317</v>
      </c>
      <c r="V926" t="s">
        <v>318</v>
      </c>
      <c r="W926">
        <v>72</v>
      </c>
    </row>
    <row r="927" spans="4:23" ht="15.75" customHeight="1" x14ac:dyDescent="0.2">
      <c r="D927" t="s">
        <v>285</v>
      </c>
      <c r="E927" t="s">
        <v>386</v>
      </c>
      <c r="F927">
        <v>8</v>
      </c>
      <c r="U927" t="s">
        <v>257</v>
      </c>
      <c r="V927" t="s">
        <v>319</v>
      </c>
      <c r="W927">
        <v>38.0749</v>
      </c>
    </row>
    <row r="928" spans="4:23" ht="15.75" customHeight="1" x14ac:dyDescent="0.2">
      <c r="D928" t="s">
        <v>285</v>
      </c>
      <c r="E928" t="s">
        <v>386</v>
      </c>
      <c r="F928">
        <v>8</v>
      </c>
      <c r="U928" t="s">
        <v>320</v>
      </c>
      <c r="V928" t="s">
        <v>321</v>
      </c>
      <c r="W928">
        <v>49</v>
      </c>
    </row>
    <row r="929" spans="4:23" ht="15.75" customHeight="1" x14ac:dyDescent="0.2">
      <c r="D929" t="s">
        <v>285</v>
      </c>
      <c r="E929" t="s">
        <v>386</v>
      </c>
      <c r="F929">
        <v>8</v>
      </c>
      <c r="U929" t="s">
        <v>263</v>
      </c>
      <c r="V929" t="s">
        <v>322</v>
      </c>
      <c r="W929">
        <v>46</v>
      </c>
    </row>
    <row r="930" spans="4:23" ht="15.75" customHeight="1" x14ac:dyDescent="0.2">
      <c r="D930" t="s">
        <v>285</v>
      </c>
      <c r="E930" t="s">
        <v>386</v>
      </c>
      <c r="F930">
        <v>8</v>
      </c>
      <c r="U930" t="s">
        <v>323</v>
      </c>
      <c r="V930" t="s">
        <v>324</v>
      </c>
      <c r="W930">
        <v>0</v>
      </c>
    </row>
    <row r="931" spans="4:23" ht="15.75" customHeight="1" x14ac:dyDescent="0.2">
      <c r="D931" t="s">
        <v>285</v>
      </c>
      <c r="E931" t="s">
        <v>386</v>
      </c>
      <c r="F931">
        <v>8</v>
      </c>
      <c r="U931" t="s">
        <v>325</v>
      </c>
      <c r="V931" t="s">
        <v>326</v>
      </c>
      <c r="W931">
        <v>4</v>
      </c>
    </row>
    <row r="932" spans="4:23" ht="15.75" customHeight="1" x14ac:dyDescent="0.2">
      <c r="D932" t="s">
        <v>285</v>
      </c>
      <c r="E932" t="s">
        <v>386</v>
      </c>
      <c r="F932">
        <v>8</v>
      </c>
      <c r="U932" t="s">
        <v>327</v>
      </c>
      <c r="V932" t="s">
        <v>328</v>
      </c>
      <c r="W932">
        <v>10</v>
      </c>
    </row>
    <row r="933" spans="4:23" ht="15.75" customHeight="1" x14ac:dyDescent="0.2">
      <c r="D933" t="s">
        <v>285</v>
      </c>
      <c r="E933" t="s">
        <v>386</v>
      </c>
      <c r="F933">
        <v>8</v>
      </c>
      <c r="U933" t="s">
        <v>329</v>
      </c>
      <c r="V933" t="s">
        <v>330</v>
      </c>
      <c r="W933">
        <v>57</v>
      </c>
    </row>
    <row r="934" spans="4:23" ht="15.75" customHeight="1" x14ac:dyDescent="0.2">
      <c r="D934" t="s">
        <v>285</v>
      </c>
      <c r="E934" t="s">
        <v>386</v>
      </c>
      <c r="F934">
        <v>8</v>
      </c>
      <c r="U934" t="s">
        <v>331</v>
      </c>
      <c r="V934" t="s">
        <v>332</v>
      </c>
      <c r="W934">
        <v>0</v>
      </c>
    </row>
    <row r="935" spans="4:23" ht="15.75" customHeight="1" x14ac:dyDescent="0.2">
      <c r="D935" t="s">
        <v>285</v>
      </c>
      <c r="E935" t="s">
        <v>386</v>
      </c>
      <c r="F935">
        <v>8</v>
      </c>
      <c r="U935" t="s">
        <v>333</v>
      </c>
      <c r="V935" t="s">
        <v>334</v>
      </c>
      <c r="W935">
        <v>5</v>
      </c>
    </row>
    <row r="936" spans="4:23" ht="15.75" customHeight="1" x14ac:dyDescent="0.2">
      <c r="D936" t="s">
        <v>285</v>
      </c>
      <c r="E936" t="s">
        <v>386</v>
      </c>
      <c r="F936">
        <v>8</v>
      </c>
      <c r="U936" t="s">
        <v>335</v>
      </c>
      <c r="V936" t="s">
        <v>336</v>
      </c>
      <c r="W936">
        <v>53</v>
      </c>
    </row>
    <row r="937" spans="4:23" ht="15.75" customHeight="1" x14ac:dyDescent="0.2">
      <c r="D937" t="s">
        <v>285</v>
      </c>
      <c r="E937" t="s">
        <v>386</v>
      </c>
      <c r="F937">
        <v>8</v>
      </c>
      <c r="U937" t="s">
        <v>337</v>
      </c>
      <c r="V937" t="s">
        <v>338</v>
      </c>
      <c r="W937">
        <v>0</v>
      </c>
    </row>
    <row r="938" spans="4:23" ht="15.75" customHeight="1" x14ac:dyDescent="0.2">
      <c r="D938" t="s">
        <v>285</v>
      </c>
      <c r="E938" t="s">
        <v>386</v>
      </c>
      <c r="F938">
        <v>8</v>
      </c>
      <c r="U938" t="s">
        <v>339</v>
      </c>
      <c r="V938" t="s">
        <v>340</v>
      </c>
      <c r="W938">
        <v>0</v>
      </c>
    </row>
    <row r="939" spans="4:23" ht="15.75" customHeight="1" x14ac:dyDescent="0.2">
      <c r="D939" t="s">
        <v>285</v>
      </c>
      <c r="E939" t="s">
        <v>386</v>
      </c>
      <c r="F939">
        <v>8</v>
      </c>
      <c r="U939" t="s">
        <v>341</v>
      </c>
      <c r="V939" t="s">
        <v>342</v>
      </c>
      <c r="W939">
        <v>11</v>
      </c>
    </row>
    <row r="940" spans="4:23" ht="15.75" customHeight="1" x14ac:dyDescent="0.2">
      <c r="D940" t="s">
        <v>285</v>
      </c>
      <c r="E940" t="s">
        <v>386</v>
      </c>
      <c r="F940">
        <v>8</v>
      </c>
      <c r="U940" t="s">
        <v>343</v>
      </c>
      <c r="V940" t="s">
        <v>344</v>
      </c>
      <c r="W940">
        <v>0</v>
      </c>
    </row>
    <row r="941" spans="4:23" ht="15.75" customHeight="1" x14ac:dyDescent="0.2">
      <c r="D941" t="s">
        <v>285</v>
      </c>
      <c r="E941" t="s">
        <v>386</v>
      </c>
      <c r="F941">
        <v>8</v>
      </c>
      <c r="U941" t="s">
        <v>345</v>
      </c>
      <c r="V941" t="s">
        <v>346</v>
      </c>
      <c r="W941">
        <v>1</v>
      </c>
    </row>
    <row r="942" spans="4:23" ht="15.75" customHeight="1" x14ac:dyDescent="0.2">
      <c r="D942" t="s">
        <v>285</v>
      </c>
      <c r="E942" t="s">
        <v>386</v>
      </c>
      <c r="F942">
        <v>8</v>
      </c>
      <c r="U942" t="s">
        <v>347</v>
      </c>
      <c r="V942" t="s">
        <v>348</v>
      </c>
      <c r="W942">
        <v>14</v>
      </c>
    </row>
    <row r="943" spans="4:23" ht="15.75" customHeight="1" x14ac:dyDescent="0.2">
      <c r="D943" t="s">
        <v>285</v>
      </c>
      <c r="E943" t="s">
        <v>392</v>
      </c>
      <c r="F943">
        <v>9</v>
      </c>
      <c r="P943" t="s">
        <v>393</v>
      </c>
      <c r="Q943">
        <v>35</v>
      </c>
      <c r="R943" t="s">
        <v>288</v>
      </c>
      <c r="S943" t="s">
        <v>2</v>
      </c>
      <c r="T943">
        <v>0</v>
      </c>
    </row>
    <row r="944" spans="4:23" ht="15.75" customHeight="1" x14ac:dyDescent="0.2">
      <c r="D944" t="s">
        <v>285</v>
      </c>
      <c r="E944" t="s">
        <v>392</v>
      </c>
      <c r="F944">
        <v>9</v>
      </c>
      <c r="P944" t="s">
        <v>393</v>
      </c>
      <c r="Q944">
        <v>35</v>
      </c>
      <c r="R944" t="s">
        <v>289</v>
      </c>
      <c r="S944" t="s">
        <v>5</v>
      </c>
      <c r="T944">
        <v>0</v>
      </c>
    </row>
    <row r="945" spans="4:20" ht="15.75" customHeight="1" x14ac:dyDescent="0.2">
      <c r="D945" t="s">
        <v>285</v>
      </c>
      <c r="E945" t="s">
        <v>392</v>
      </c>
      <c r="F945">
        <v>9</v>
      </c>
      <c r="P945" t="s">
        <v>393</v>
      </c>
      <c r="Q945">
        <v>35</v>
      </c>
      <c r="R945" t="s">
        <v>290</v>
      </c>
      <c r="S945" t="s">
        <v>3</v>
      </c>
      <c r="T945">
        <v>1</v>
      </c>
    </row>
    <row r="946" spans="4:20" ht="15.75" customHeight="1" x14ac:dyDescent="0.2">
      <c r="D946" t="s">
        <v>285</v>
      </c>
      <c r="E946" t="s">
        <v>392</v>
      </c>
      <c r="F946">
        <v>9</v>
      </c>
      <c r="P946" t="s">
        <v>393</v>
      </c>
      <c r="Q946">
        <v>35</v>
      </c>
      <c r="R946" t="s">
        <v>291</v>
      </c>
      <c r="S946" t="s">
        <v>4</v>
      </c>
      <c r="T946">
        <v>1</v>
      </c>
    </row>
    <row r="947" spans="4:20" ht="15.75" customHeight="1" x14ac:dyDescent="0.2">
      <c r="D947" t="s">
        <v>285</v>
      </c>
      <c r="E947" t="s">
        <v>392</v>
      </c>
      <c r="F947">
        <v>9</v>
      </c>
      <c r="P947" t="s">
        <v>393</v>
      </c>
      <c r="Q947">
        <v>35</v>
      </c>
      <c r="R947" t="s">
        <v>292</v>
      </c>
      <c r="S947" t="s">
        <v>6</v>
      </c>
      <c r="T947">
        <v>0</v>
      </c>
    </row>
    <row r="948" spans="4:20" ht="15.75" customHeight="1" x14ac:dyDescent="0.2">
      <c r="D948" t="s">
        <v>285</v>
      </c>
      <c r="E948" t="s">
        <v>392</v>
      </c>
      <c r="F948">
        <v>9</v>
      </c>
      <c r="P948" t="s">
        <v>393</v>
      </c>
      <c r="Q948">
        <v>35</v>
      </c>
      <c r="R948" t="s">
        <v>243</v>
      </c>
      <c r="S948" t="s">
        <v>7</v>
      </c>
      <c r="T948">
        <v>2.5</v>
      </c>
    </row>
    <row r="949" spans="4:20" ht="15.75" customHeight="1" x14ac:dyDescent="0.2">
      <c r="D949" t="s">
        <v>285</v>
      </c>
      <c r="E949" t="s">
        <v>392</v>
      </c>
      <c r="F949">
        <v>9</v>
      </c>
      <c r="P949" t="s">
        <v>393</v>
      </c>
      <c r="Q949">
        <v>35</v>
      </c>
      <c r="R949" t="s">
        <v>245</v>
      </c>
      <c r="S949" t="s">
        <v>8</v>
      </c>
      <c r="T949">
        <v>280</v>
      </c>
    </row>
    <row r="950" spans="4:20" ht="15.75" customHeight="1" x14ac:dyDescent="0.2">
      <c r="D950" t="s">
        <v>285</v>
      </c>
      <c r="E950" t="s">
        <v>392</v>
      </c>
      <c r="F950">
        <v>9</v>
      </c>
      <c r="P950" t="s">
        <v>393</v>
      </c>
      <c r="Q950">
        <v>35</v>
      </c>
      <c r="R950" t="s">
        <v>247</v>
      </c>
      <c r="S950" t="s">
        <v>9</v>
      </c>
      <c r="T950">
        <v>1.43E-2</v>
      </c>
    </row>
    <row r="951" spans="4:20" ht="15.75" customHeight="1" x14ac:dyDescent="0.2">
      <c r="D951" t="s">
        <v>285</v>
      </c>
      <c r="E951" t="s">
        <v>392</v>
      </c>
      <c r="F951">
        <v>9</v>
      </c>
      <c r="P951" t="s">
        <v>393</v>
      </c>
      <c r="Q951">
        <v>35</v>
      </c>
      <c r="R951" t="s">
        <v>249</v>
      </c>
      <c r="S951" t="s">
        <v>10</v>
      </c>
      <c r="T951">
        <v>28</v>
      </c>
    </row>
    <row r="952" spans="4:20" ht="15.75" customHeight="1" x14ac:dyDescent="0.2">
      <c r="D952" t="s">
        <v>285</v>
      </c>
      <c r="E952" t="s">
        <v>392</v>
      </c>
      <c r="F952">
        <v>9</v>
      </c>
      <c r="P952" t="s">
        <v>393</v>
      </c>
      <c r="Q952">
        <v>35</v>
      </c>
      <c r="R952" t="s">
        <v>251</v>
      </c>
      <c r="S952" t="s">
        <v>11</v>
      </c>
      <c r="T952">
        <v>16</v>
      </c>
    </row>
    <row r="953" spans="4:20" ht="15.75" customHeight="1" x14ac:dyDescent="0.2">
      <c r="D953" t="s">
        <v>285</v>
      </c>
      <c r="E953" t="s">
        <v>392</v>
      </c>
      <c r="F953">
        <v>9</v>
      </c>
      <c r="P953" t="s">
        <v>393</v>
      </c>
      <c r="Q953">
        <v>35</v>
      </c>
      <c r="R953" t="s">
        <v>253</v>
      </c>
      <c r="S953" t="s">
        <v>12</v>
      </c>
      <c r="T953">
        <v>112</v>
      </c>
    </row>
    <row r="954" spans="4:20" ht="15.75" customHeight="1" x14ac:dyDescent="0.2">
      <c r="D954" t="s">
        <v>285</v>
      </c>
      <c r="E954" t="s">
        <v>392</v>
      </c>
      <c r="F954">
        <v>9</v>
      </c>
      <c r="P954" t="s">
        <v>393</v>
      </c>
      <c r="Q954">
        <v>35</v>
      </c>
      <c r="R954" t="s">
        <v>255</v>
      </c>
      <c r="S954" t="s">
        <v>15</v>
      </c>
      <c r="T954">
        <v>14</v>
      </c>
    </row>
    <row r="955" spans="4:20" ht="15.75" customHeight="1" x14ac:dyDescent="0.2">
      <c r="D955" t="s">
        <v>285</v>
      </c>
      <c r="E955" t="s">
        <v>392</v>
      </c>
      <c r="F955">
        <v>9</v>
      </c>
      <c r="P955" t="s">
        <v>393</v>
      </c>
      <c r="Q955">
        <v>35</v>
      </c>
      <c r="R955" t="s">
        <v>293</v>
      </c>
      <c r="S955" t="s">
        <v>13</v>
      </c>
      <c r="T955">
        <v>1</v>
      </c>
    </row>
    <row r="956" spans="4:20" ht="15.75" customHeight="1" x14ac:dyDescent="0.2">
      <c r="D956" t="s">
        <v>285</v>
      </c>
      <c r="E956" t="s">
        <v>392</v>
      </c>
      <c r="F956">
        <v>9</v>
      </c>
      <c r="P956" t="s">
        <v>393</v>
      </c>
      <c r="Q956">
        <v>35</v>
      </c>
      <c r="R956" t="s">
        <v>294</v>
      </c>
      <c r="S956" t="s">
        <v>14</v>
      </c>
      <c r="T956">
        <v>0</v>
      </c>
    </row>
    <row r="957" spans="4:20" ht="15.75" customHeight="1" x14ac:dyDescent="0.2">
      <c r="D957" t="s">
        <v>285</v>
      </c>
      <c r="E957" t="s">
        <v>392</v>
      </c>
      <c r="F957">
        <v>9</v>
      </c>
      <c r="P957" t="s">
        <v>393</v>
      </c>
      <c r="Q957">
        <v>35</v>
      </c>
      <c r="R957" t="s">
        <v>257</v>
      </c>
      <c r="S957" t="s">
        <v>16</v>
      </c>
      <c r="T957">
        <v>60.649799999999999</v>
      </c>
    </row>
    <row r="958" spans="4:20" ht="15.75" customHeight="1" x14ac:dyDescent="0.2">
      <c r="D958" t="s">
        <v>285</v>
      </c>
      <c r="E958" t="s">
        <v>392</v>
      </c>
      <c r="F958">
        <v>9</v>
      </c>
      <c r="P958" t="s">
        <v>393</v>
      </c>
      <c r="Q958">
        <v>35</v>
      </c>
      <c r="R958" t="s">
        <v>295</v>
      </c>
      <c r="S958" t="s">
        <v>17</v>
      </c>
      <c r="T958">
        <v>0</v>
      </c>
    </row>
    <row r="959" spans="4:20" ht="15.75" customHeight="1" x14ac:dyDescent="0.2">
      <c r="D959" t="s">
        <v>285</v>
      </c>
      <c r="E959" t="s">
        <v>392</v>
      </c>
      <c r="F959">
        <v>9</v>
      </c>
      <c r="P959" t="s">
        <v>393</v>
      </c>
      <c r="Q959">
        <v>35</v>
      </c>
      <c r="R959" t="s">
        <v>296</v>
      </c>
      <c r="S959" t="s">
        <v>1</v>
      </c>
      <c r="T959">
        <v>1</v>
      </c>
    </row>
    <row r="960" spans="4:20" ht="15.75" customHeight="1" x14ac:dyDescent="0.2">
      <c r="D960" t="s">
        <v>285</v>
      </c>
      <c r="E960" t="s">
        <v>392</v>
      </c>
      <c r="F960">
        <v>9</v>
      </c>
      <c r="P960" t="s">
        <v>393</v>
      </c>
      <c r="Q960">
        <v>35</v>
      </c>
      <c r="R960" t="s">
        <v>297</v>
      </c>
      <c r="S960" t="s">
        <v>18</v>
      </c>
      <c r="T960">
        <v>10</v>
      </c>
    </row>
    <row r="961" spans="4:20" ht="15.75" customHeight="1" x14ac:dyDescent="0.2">
      <c r="D961" t="s">
        <v>285</v>
      </c>
      <c r="E961" t="s">
        <v>392</v>
      </c>
      <c r="F961">
        <v>9</v>
      </c>
      <c r="P961" t="s">
        <v>393</v>
      </c>
      <c r="Q961">
        <v>35</v>
      </c>
      <c r="R961" t="s">
        <v>298</v>
      </c>
      <c r="S961" t="s">
        <v>19</v>
      </c>
      <c r="T961">
        <v>0</v>
      </c>
    </row>
    <row r="962" spans="4:20" ht="15.75" customHeight="1" x14ac:dyDescent="0.2">
      <c r="D962" t="s">
        <v>285</v>
      </c>
      <c r="E962" t="s">
        <v>392</v>
      </c>
      <c r="F962">
        <v>9</v>
      </c>
      <c r="P962" t="s">
        <v>393</v>
      </c>
      <c r="Q962">
        <v>35</v>
      </c>
      <c r="R962" t="s">
        <v>299</v>
      </c>
      <c r="S962" t="s">
        <v>20</v>
      </c>
      <c r="T962">
        <v>1</v>
      </c>
    </row>
    <row r="963" spans="4:20" ht="15.75" customHeight="1" x14ac:dyDescent="0.2">
      <c r="D963" t="s">
        <v>285</v>
      </c>
      <c r="E963" t="s">
        <v>392</v>
      </c>
      <c r="F963">
        <v>9</v>
      </c>
      <c r="P963" t="s">
        <v>394</v>
      </c>
      <c r="Q963">
        <v>36</v>
      </c>
      <c r="R963" t="s">
        <v>288</v>
      </c>
      <c r="S963" t="s">
        <v>2</v>
      </c>
      <c r="T963">
        <v>17</v>
      </c>
    </row>
    <row r="964" spans="4:20" ht="15.75" customHeight="1" x14ac:dyDescent="0.2">
      <c r="D964" t="s">
        <v>285</v>
      </c>
      <c r="E964" t="s">
        <v>392</v>
      </c>
      <c r="F964">
        <v>9</v>
      </c>
      <c r="P964" t="s">
        <v>394</v>
      </c>
      <c r="Q964">
        <v>36</v>
      </c>
      <c r="R964" t="s">
        <v>289</v>
      </c>
      <c r="S964" t="s">
        <v>5</v>
      </c>
      <c r="T964">
        <v>3</v>
      </c>
    </row>
    <row r="965" spans="4:20" ht="15.75" customHeight="1" x14ac:dyDescent="0.2">
      <c r="D965" t="s">
        <v>285</v>
      </c>
      <c r="E965" t="s">
        <v>392</v>
      </c>
      <c r="F965">
        <v>9</v>
      </c>
      <c r="P965" t="s">
        <v>394</v>
      </c>
      <c r="Q965">
        <v>36</v>
      </c>
      <c r="R965" t="s">
        <v>290</v>
      </c>
      <c r="S965" t="s">
        <v>3</v>
      </c>
      <c r="T965">
        <v>0.5</v>
      </c>
    </row>
    <row r="966" spans="4:20" ht="15.75" customHeight="1" x14ac:dyDescent="0.2">
      <c r="D966" t="s">
        <v>285</v>
      </c>
      <c r="E966" t="s">
        <v>392</v>
      </c>
      <c r="F966">
        <v>9</v>
      </c>
      <c r="P966" t="s">
        <v>394</v>
      </c>
      <c r="Q966">
        <v>36</v>
      </c>
      <c r="R966" t="s">
        <v>291</v>
      </c>
      <c r="S966" t="s">
        <v>4</v>
      </c>
      <c r="T966">
        <v>8</v>
      </c>
    </row>
    <row r="967" spans="4:20" ht="15.75" customHeight="1" x14ac:dyDescent="0.2">
      <c r="D967" t="s">
        <v>285</v>
      </c>
      <c r="E967" t="s">
        <v>392</v>
      </c>
      <c r="F967">
        <v>9</v>
      </c>
      <c r="P967" t="s">
        <v>394</v>
      </c>
      <c r="Q967">
        <v>36</v>
      </c>
      <c r="R967" t="s">
        <v>292</v>
      </c>
      <c r="S967" t="s">
        <v>6</v>
      </c>
      <c r="T967">
        <v>0</v>
      </c>
    </row>
    <row r="968" spans="4:20" ht="15.75" customHeight="1" x14ac:dyDescent="0.2">
      <c r="D968" t="s">
        <v>285</v>
      </c>
      <c r="E968" t="s">
        <v>392</v>
      </c>
      <c r="F968">
        <v>9</v>
      </c>
      <c r="P968" t="s">
        <v>394</v>
      </c>
      <c r="Q968">
        <v>36</v>
      </c>
      <c r="R968" t="s">
        <v>243</v>
      </c>
      <c r="S968" t="s">
        <v>7</v>
      </c>
      <c r="T968">
        <v>40.363599999999998</v>
      </c>
    </row>
    <row r="969" spans="4:20" ht="15.75" customHeight="1" x14ac:dyDescent="0.2">
      <c r="D969" t="s">
        <v>285</v>
      </c>
      <c r="E969" t="s">
        <v>392</v>
      </c>
      <c r="F969">
        <v>9</v>
      </c>
      <c r="P969" t="s">
        <v>394</v>
      </c>
      <c r="Q969">
        <v>36</v>
      </c>
      <c r="R969" t="s">
        <v>245</v>
      </c>
      <c r="S969" t="s">
        <v>8</v>
      </c>
      <c r="T969">
        <v>30098.391199999998</v>
      </c>
    </row>
    <row r="970" spans="4:20" ht="15.75" customHeight="1" x14ac:dyDescent="0.2">
      <c r="D970" t="s">
        <v>285</v>
      </c>
      <c r="E970" t="s">
        <v>392</v>
      </c>
      <c r="F970">
        <v>9</v>
      </c>
      <c r="P970" t="s">
        <v>394</v>
      </c>
      <c r="Q970">
        <v>36</v>
      </c>
      <c r="R970" t="s">
        <v>247</v>
      </c>
      <c r="S970" t="s">
        <v>9</v>
      </c>
      <c r="T970">
        <v>0.32250000000000001</v>
      </c>
    </row>
    <row r="971" spans="4:20" ht="15.75" customHeight="1" x14ac:dyDescent="0.2">
      <c r="D971" t="s">
        <v>285</v>
      </c>
      <c r="E971" t="s">
        <v>392</v>
      </c>
      <c r="F971">
        <v>9</v>
      </c>
      <c r="P971" t="s">
        <v>394</v>
      </c>
      <c r="Q971">
        <v>36</v>
      </c>
      <c r="R971" t="s">
        <v>249</v>
      </c>
      <c r="S971" t="s">
        <v>10</v>
      </c>
      <c r="T971">
        <v>135</v>
      </c>
    </row>
    <row r="972" spans="4:20" ht="15.75" customHeight="1" x14ac:dyDescent="0.2">
      <c r="D972" t="s">
        <v>285</v>
      </c>
      <c r="E972" t="s">
        <v>392</v>
      </c>
      <c r="F972">
        <v>9</v>
      </c>
      <c r="P972" t="s">
        <v>394</v>
      </c>
      <c r="Q972">
        <v>36</v>
      </c>
      <c r="R972" t="s">
        <v>251</v>
      </c>
      <c r="S972" t="s">
        <v>11</v>
      </c>
      <c r="T972">
        <v>46</v>
      </c>
    </row>
    <row r="973" spans="4:20" ht="15.75" customHeight="1" x14ac:dyDescent="0.2">
      <c r="D973" t="s">
        <v>285</v>
      </c>
      <c r="E973" t="s">
        <v>392</v>
      </c>
      <c r="F973">
        <v>9</v>
      </c>
      <c r="P973" t="s">
        <v>394</v>
      </c>
      <c r="Q973">
        <v>36</v>
      </c>
      <c r="R973" t="s">
        <v>253</v>
      </c>
      <c r="S973" t="s">
        <v>12</v>
      </c>
      <c r="T973">
        <v>745.68089999999995</v>
      </c>
    </row>
    <row r="974" spans="4:20" ht="15.75" customHeight="1" x14ac:dyDescent="0.2">
      <c r="D974" t="s">
        <v>285</v>
      </c>
      <c r="E974" t="s">
        <v>392</v>
      </c>
      <c r="F974">
        <v>9</v>
      </c>
      <c r="P974" t="s">
        <v>394</v>
      </c>
      <c r="Q974">
        <v>36</v>
      </c>
      <c r="R974" t="s">
        <v>255</v>
      </c>
      <c r="S974" t="s">
        <v>15</v>
      </c>
      <c r="T974">
        <v>43</v>
      </c>
    </row>
    <row r="975" spans="4:20" ht="15.75" customHeight="1" x14ac:dyDescent="0.2">
      <c r="D975" t="s">
        <v>285</v>
      </c>
      <c r="E975" t="s">
        <v>392</v>
      </c>
      <c r="F975">
        <v>9</v>
      </c>
      <c r="P975" t="s">
        <v>394</v>
      </c>
      <c r="Q975">
        <v>36</v>
      </c>
      <c r="R975" t="s">
        <v>293</v>
      </c>
      <c r="S975" t="s">
        <v>13</v>
      </c>
      <c r="T975">
        <v>1</v>
      </c>
    </row>
    <row r="976" spans="4:20" ht="15.75" customHeight="1" x14ac:dyDescent="0.2">
      <c r="D976" t="s">
        <v>285</v>
      </c>
      <c r="E976" t="s">
        <v>392</v>
      </c>
      <c r="F976">
        <v>9</v>
      </c>
      <c r="P976" t="s">
        <v>394</v>
      </c>
      <c r="Q976">
        <v>36</v>
      </c>
      <c r="R976" t="s">
        <v>294</v>
      </c>
      <c r="S976" t="s">
        <v>14</v>
      </c>
      <c r="T976">
        <v>2</v>
      </c>
    </row>
    <row r="977" spans="4:20" ht="15.75" customHeight="1" x14ac:dyDescent="0.2">
      <c r="D977" t="s">
        <v>285</v>
      </c>
      <c r="E977" t="s">
        <v>392</v>
      </c>
      <c r="F977">
        <v>9</v>
      </c>
      <c r="P977" t="s">
        <v>394</v>
      </c>
      <c r="Q977">
        <v>36</v>
      </c>
      <c r="R977" t="s">
        <v>257</v>
      </c>
      <c r="S977" t="s">
        <v>16</v>
      </c>
      <c r="T977">
        <v>43.867899999999999</v>
      </c>
    </row>
    <row r="978" spans="4:20" ht="15.75" customHeight="1" x14ac:dyDescent="0.2">
      <c r="D978" t="s">
        <v>285</v>
      </c>
      <c r="E978" t="s">
        <v>392</v>
      </c>
      <c r="F978">
        <v>9</v>
      </c>
      <c r="P978" t="s">
        <v>394</v>
      </c>
      <c r="Q978">
        <v>36</v>
      </c>
      <c r="R978" t="s">
        <v>295</v>
      </c>
      <c r="S978" t="s">
        <v>17</v>
      </c>
      <c r="T978">
        <v>4</v>
      </c>
    </row>
    <row r="979" spans="4:20" ht="15.75" customHeight="1" x14ac:dyDescent="0.2">
      <c r="D979" t="s">
        <v>285</v>
      </c>
      <c r="E979" t="s">
        <v>392</v>
      </c>
      <c r="F979">
        <v>9</v>
      </c>
      <c r="P979" t="s">
        <v>394</v>
      </c>
      <c r="Q979">
        <v>36</v>
      </c>
      <c r="R979" t="s">
        <v>296</v>
      </c>
      <c r="S979" t="s">
        <v>1</v>
      </c>
      <c r="T979">
        <v>18</v>
      </c>
    </row>
    <row r="980" spans="4:20" ht="15.75" customHeight="1" x14ac:dyDescent="0.2">
      <c r="D980" t="s">
        <v>285</v>
      </c>
      <c r="E980" t="s">
        <v>392</v>
      </c>
      <c r="F980">
        <v>9</v>
      </c>
      <c r="P980" t="s">
        <v>394</v>
      </c>
      <c r="Q980">
        <v>36</v>
      </c>
      <c r="R980" t="s">
        <v>297</v>
      </c>
      <c r="S980" t="s">
        <v>18</v>
      </c>
      <c r="T980">
        <v>22</v>
      </c>
    </row>
    <row r="981" spans="4:20" ht="15.75" customHeight="1" x14ac:dyDescent="0.2">
      <c r="D981" t="s">
        <v>285</v>
      </c>
      <c r="E981" t="s">
        <v>392</v>
      </c>
      <c r="F981">
        <v>9</v>
      </c>
      <c r="P981" t="s">
        <v>394</v>
      </c>
      <c r="Q981">
        <v>36</v>
      </c>
      <c r="R981" t="s">
        <v>298</v>
      </c>
      <c r="S981" t="s">
        <v>19</v>
      </c>
      <c r="T981">
        <v>9</v>
      </c>
    </row>
    <row r="982" spans="4:20" ht="15.75" customHeight="1" x14ac:dyDescent="0.2">
      <c r="D982" t="s">
        <v>285</v>
      </c>
      <c r="E982" t="s">
        <v>392</v>
      </c>
      <c r="F982">
        <v>9</v>
      </c>
      <c r="P982" t="s">
        <v>394</v>
      </c>
      <c r="Q982">
        <v>36</v>
      </c>
      <c r="R982" t="s">
        <v>299</v>
      </c>
      <c r="S982" t="s">
        <v>20</v>
      </c>
      <c r="T982">
        <v>4</v>
      </c>
    </row>
    <row r="983" spans="4:20" ht="15.75" customHeight="1" x14ac:dyDescent="0.2">
      <c r="D983" t="s">
        <v>285</v>
      </c>
      <c r="E983" t="s">
        <v>392</v>
      </c>
      <c r="F983">
        <v>9</v>
      </c>
      <c r="P983" t="s">
        <v>395</v>
      </c>
      <c r="Q983">
        <v>37</v>
      </c>
      <c r="R983" t="s">
        <v>288</v>
      </c>
      <c r="S983" t="s">
        <v>2</v>
      </c>
      <c r="T983">
        <v>2</v>
      </c>
    </row>
    <row r="984" spans="4:20" ht="15.75" customHeight="1" x14ac:dyDescent="0.2">
      <c r="D984" t="s">
        <v>285</v>
      </c>
      <c r="E984" t="s">
        <v>392</v>
      </c>
      <c r="F984">
        <v>9</v>
      </c>
      <c r="P984" t="s">
        <v>395</v>
      </c>
      <c r="Q984">
        <v>37</v>
      </c>
      <c r="R984" t="s">
        <v>289</v>
      </c>
      <c r="S984" t="s">
        <v>5</v>
      </c>
      <c r="T984">
        <v>1</v>
      </c>
    </row>
    <row r="985" spans="4:20" ht="15.75" customHeight="1" x14ac:dyDescent="0.2">
      <c r="D985" t="s">
        <v>285</v>
      </c>
      <c r="E985" t="s">
        <v>392</v>
      </c>
      <c r="F985">
        <v>9</v>
      </c>
      <c r="P985" t="s">
        <v>395</v>
      </c>
      <c r="Q985">
        <v>37</v>
      </c>
      <c r="R985" t="s">
        <v>290</v>
      </c>
      <c r="S985" t="s">
        <v>3</v>
      </c>
      <c r="T985">
        <v>0.4</v>
      </c>
    </row>
    <row r="986" spans="4:20" ht="15.75" customHeight="1" x14ac:dyDescent="0.2">
      <c r="D986" t="s">
        <v>285</v>
      </c>
      <c r="E986" t="s">
        <v>392</v>
      </c>
      <c r="F986">
        <v>9</v>
      </c>
      <c r="P986" t="s">
        <v>395</v>
      </c>
      <c r="Q986">
        <v>37</v>
      </c>
      <c r="R986" t="s">
        <v>291</v>
      </c>
      <c r="S986" t="s">
        <v>4</v>
      </c>
      <c r="T986">
        <v>4</v>
      </c>
    </row>
    <row r="987" spans="4:20" ht="15.75" customHeight="1" x14ac:dyDescent="0.2">
      <c r="D987" t="s">
        <v>285</v>
      </c>
      <c r="E987" t="s">
        <v>392</v>
      </c>
      <c r="F987">
        <v>9</v>
      </c>
      <c r="P987" t="s">
        <v>395</v>
      </c>
      <c r="Q987">
        <v>37</v>
      </c>
      <c r="R987" t="s">
        <v>292</v>
      </c>
      <c r="S987" t="s">
        <v>6</v>
      </c>
      <c r="T987">
        <v>0</v>
      </c>
    </row>
    <row r="988" spans="4:20" ht="15.75" customHeight="1" x14ac:dyDescent="0.2">
      <c r="D988" t="s">
        <v>285</v>
      </c>
      <c r="E988" t="s">
        <v>392</v>
      </c>
      <c r="F988">
        <v>9</v>
      </c>
      <c r="P988" t="s">
        <v>395</v>
      </c>
      <c r="Q988">
        <v>37</v>
      </c>
      <c r="R988" t="s">
        <v>243</v>
      </c>
      <c r="S988" t="s">
        <v>7</v>
      </c>
      <c r="T988">
        <v>12.833299999999999</v>
      </c>
    </row>
    <row r="989" spans="4:20" ht="15.75" customHeight="1" x14ac:dyDescent="0.2">
      <c r="D989" t="s">
        <v>285</v>
      </c>
      <c r="E989" t="s">
        <v>392</v>
      </c>
      <c r="F989">
        <v>9</v>
      </c>
      <c r="P989" t="s">
        <v>395</v>
      </c>
      <c r="Q989">
        <v>37</v>
      </c>
      <c r="R989" t="s">
        <v>245</v>
      </c>
      <c r="S989" t="s">
        <v>8</v>
      </c>
      <c r="T989">
        <v>2533.5369999999998</v>
      </c>
    </row>
    <row r="990" spans="4:20" ht="15.75" customHeight="1" x14ac:dyDescent="0.2">
      <c r="D990" t="s">
        <v>285</v>
      </c>
      <c r="E990" t="s">
        <v>392</v>
      </c>
      <c r="F990">
        <v>9</v>
      </c>
      <c r="P990" t="s">
        <v>395</v>
      </c>
      <c r="Q990">
        <v>37</v>
      </c>
      <c r="R990" t="s">
        <v>247</v>
      </c>
      <c r="S990" t="s">
        <v>9</v>
      </c>
      <c r="T990">
        <v>6.1899999999999997E-2</v>
      </c>
    </row>
    <row r="991" spans="4:20" ht="15.75" customHeight="1" x14ac:dyDescent="0.2">
      <c r="D991" t="s">
        <v>285</v>
      </c>
      <c r="E991" t="s">
        <v>392</v>
      </c>
      <c r="F991">
        <v>9</v>
      </c>
      <c r="P991" t="s">
        <v>395</v>
      </c>
      <c r="Q991">
        <v>37</v>
      </c>
      <c r="R991" t="s">
        <v>249</v>
      </c>
      <c r="S991" t="s">
        <v>10</v>
      </c>
      <c r="T991">
        <v>42</v>
      </c>
    </row>
    <row r="992" spans="4:20" ht="15.75" customHeight="1" x14ac:dyDescent="0.2">
      <c r="D992" t="s">
        <v>285</v>
      </c>
      <c r="E992" t="s">
        <v>392</v>
      </c>
      <c r="F992">
        <v>9</v>
      </c>
      <c r="P992" t="s">
        <v>395</v>
      </c>
      <c r="Q992">
        <v>37</v>
      </c>
      <c r="R992" t="s">
        <v>251</v>
      </c>
      <c r="S992" t="s">
        <v>11</v>
      </c>
      <c r="T992">
        <v>26</v>
      </c>
    </row>
    <row r="993" spans="4:20" ht="15.75" customHeight="1" x14ac:dyDescent="0.2">
      <c r="D993" t="s">
        <v>285</v>
      </c>
      <c r="E993" t="s">
        <v>392</v>
      </c>
      <c r="F993">
        <v>9</v>
      </c>
      <c r="P993" t="s">
        <v>395</v>
      </c>
      <c r="Q993">
        <v>37</v>
      </c>
      <c r="R993" t="s">
        <v>253</v>
      </c>
      <c r="S993" t="s">
        <v>12</v>
      </c>
      <c r="T993">
        <v>197.41849999999999</v>
      </c>
    </row>
    <row r="994" spans="4:20" ht="15.75" customHeight="1" x14ac:dyDescent="0.2">
      <c r="D994" t="s">
        <v>285</v>
      </c>
      <c r="E994" t="s">
        <v>392</v>
      </c>
      <c r="F994">
        <v>9</v>
      </c>
      <c r="P994" t="s">
        <v>395</v>
      </c>
      <c r="Q994">
        <v>37</v>
      </c>
      <c r="R994" t="s">
        <v>255</v>
      </c>
      <c r="S994" t="s">
        <v>15</v>
      </c>
      <c r="T994">
        <v>30</v>
      </c>
    </row>
    <row r="995" spans="4:20" ht="15.75" customHeight="1" x14ac:dyDescent="0.2">
      <c r="D995" t="s">
        <v>285</v>
      </c>
      <c r="E995" t="s">
        <v>392</v>
      </c>
      <c r="F995">
        <v>9</v>
      </c>
      <c r="P995" t="s">
        <v>395</v>
      </c>
      <c r="Q995">
        <v>37</v>
      </c>
      <c r="R995" t="s">
        <v>293</v>
      </c>
      <c r="S995" t="s">
        <v>13</v>
      </c>
      <c r="T995">
        <v>1</v>
      </c>
    </row>
    <row r="996" spans="4:20" ht="15.75" customHeight="1" x14ac:dyDescent="0.2">
      <c r="D996" t="s">
        <v>285</v>
      </c>
      <c r="E996" t="s">
        <v>392</v>
      </c>
      <c r="F996">
        <v>9</v>
      </c>
      <c r="P996" t="s">
        <v>395</v>
      </c>
      <c r="Q996">
        <v>37</v>
      </c>
      <c r="R996" t="s">
        <v>294</v>
      </c>
      <c r="S996" t="s">
        <v>14</v>
      </c>
      <c r="T996">
        <v>1</v>
      </c>
    </row>
    <row r="997" spans="4:20" ht="15.75" customHeight="1" x14ac:dyDescent="0.2">
      <c r="D997" t="s">
        <v>285</v>
      </c>
      <c r="E997" t="s">
        <v>392</v>
      </c>
      <c r="F997">
        <v>9</v>
      </c>
      <c r="P997" t="s">
        <v>395</v>
      </c>
      <c r="Q997">
        <v>37</v>
      </c>
      <c r="R997" t="s">
        <v>257</v>
      </c>
      <c r="S997" t="s">
        <v>16</v>
      </c>
      <c r="T997">
        <v>51.564500000000002</v>
      </c>
    </row>
    <row r="998" spans="4:20" ht="15.75" customHeight="1" x14ac:dyDescent="0.2">
      <c r="D998" t="s">
        <v>285</v>
      </c>
      <c r="E998" t="s">
        <v>392</v>
      </c>
      <c r="F998">
        <v>9</v>
      </c>
      <c r="P998" t="s">
        <v>395</v>
      </c>
      <c r="Q998">
        <v>37</v>
      </c>
      <c r="R998" t="s">
        <v>295</v>
      </c>
      <c r="S998" t="s">
        <v>17</v>
      </c>
      <c r="T998">
        <v>1</v>
      </c>
    </row>
    <row r="999" spans="4:20" ht="15.75" customHeight="1" x14ac:dyDescent="0.2">
      <c r="D999" t="s">
        <v>285</v>
      </c>
      <c r="E999" t="s">
        <v>392</v>
      </c>
      <c r="F999">
        <v>9</v>
      </c>
      <c r="P999" t="s">
        <v>395</v>
      </c>
      <c r="Q999">
        <v>37</v>
      </c>
      <c r="R999" t="s">
        <v>296</v>
      </c>
      <c r="S999" t="s">
        <v>1</v>
      </c>
      <c r="T999">
        <v>3</v>
      </c>
    </row>
    <row r="1000" spans="4:20" ht="15.75" customHeight="1" x14ac:dyDescent="0.2">
      <c r="D1000" t="s">
        <v>285</v>
      </c>
      <c r="E1000" t="s">
        <v>392</v>
      </c>
      <c r="F1000">
        <v>9</v>
      </c>
      <c r="P1000" t="s">
        <v>395</v>
      </c>
      <c r="Q1000">
        <v>37</v>
      </c>
      <c r="R1000" t="s">
        <v>297</v>
      </c>
      <c r="S1000" t="s">
        <v>18</v>
      </c>
      <c r="T1000">
        <v>8</v>
      </c>
    </row>
    <row r="1001" spans="4:20" ht="15.75" customHeight="1" x14ac:dyDescent="0.2">
      <c r="D1001" t="s">
        <v>285</v>
      </c>
      <c r="E1001" t="s">
        <v>392</v>
      </c>
      <c r="F1001">
        <v>9</v>
      </c>
      <c r="P1001" t="s">
        <v>395</v>
      </c>
      <c r="Q1001">
        <v>37</v>
      </c>
      <c r="R1001" t="s">
        <v>298</v>
      </c>
      <c r="S1001" t="s">
        <v>19</v>
      </c>
      <c r="T1001">
        <v>1</v>
      </c>
    </row>
    <row r="1002" spans="4:20" ht="15.75" customHeight="1" x14ac:dyDescent="0.2">
      <c r="D1002" t="s">
        <v>285</v>
      </c>
      <c r="E1002" t="s">
        <v>392</v>
      </c>
      <c r="F1002">
        <v>9</v>
      </c>
      <c r="P1002" t="s">
        <v>395</v>
      </c>
      <c r="Q1002">
        <v>37</v>
      </c>
      <c r="R1002" t="s">
        <v>299</v>
      </c>
      <c r="S1002" t="s">
        <v>20</v>
      </c>
      <c r="T1002">
        <v>1</v>
      </c>
    </row>
    <row r="1003" spans="4:20" ht="15.75" customHeight="1" x14ac:dyDescent="0.2">
      <c r="D1003" t="s">
        <v>285</v>
      </c>
      <c r="E1003" t="s">
        <v>392</v>
      </c>
      <c r="F1003">
        <v>9</v>
      </c>
      <c r="P1003" t="s">
        <v>396</v>
      </c>
      <c r="Q1003">
        <v>38</v>
      </c>
      <c r="R1003" t="s">
        <v>288</v>
      </c>
      <c r="S1003" t="s">
        <v>2</v>
      </c>
      <c r="T1003">
        <v>2</v>
      </c>
    </row>
    <row r="1004" spans="4:20" ht="15.75" customHeight="1" x14ac:dyDescent="0.2">
      <c r="D1004" t="s">
        <v>285</v>
      </c>
      <c r="E1004" t="s">
        <v>392</v>
      </c>
      <c r="F1004">
        <v>9</v>
      </c>
      <c r="P1004" t="s">
        <v>396</v>
      </c>
      <c r="Q1004">
        <v>38</v>
      </c>
      <c r="R1004" t="s">
        <v>289</v>
      </c>
      <c r="S1004" t="s">
        <v>5</v>
      </c>
      <c r="T1004">
        <v>1</v>
      </c>
    </row>
    <row r="1005" spans="4:20" ht="15.75" customHeight="1" x14ac:dyDescent="0.2">
      <c r="D1005" t="s">
        <v>285</v>
      </c>
      <c r="E1005" t="s">
        <v>392</v>
      </c>
      <c r="F1005">
        <v>9</v>
      </c>
      <c r="P1005" t="s">
        <v>396</v>
      </c>
      <c r="Q1005">
        <v>38</v>
      </c>
      <c r="R1005" t="s">
        <v>290</v>
      </c>
      <c r="S1005" t="s">
        <v>3</v>
      </c>
      <c r="T1005">
        <v>0.4</v>
      </c>
    </row>
    <row r="1006" spans="4:20" ht="15.75" customHeight="1" x14ac:dyDescent="0.2">
      <c r="D1006" t="s">
        <v>285</v>
      </c>
      <c r="E1006" t="s">
        <v>392</v>
      </c>
      <c r="F1006">
        <v>9</v>
      </c>
      <c r="P1006" t="s">
        <v>396</v>
      </c>
      <c r="Q1006">
        <v>38</v>
      </c>
      <c r="R1006" t="s">
        <v>291</v>
      </c>
      <c r="S1006" t="s">
        <v>4</v>
      </c>
      <c r="T1006">
        <v>4</v>
      </c>
    </row>
    <row r="1007" spans="4:20" ht="15.75" customHeight="1" x14ac:dyDescent="0.2">
      <c r="D1007" t="s">
        <v>285</v>
      </c>
      <c r="E1007" t="s">
        <v>392</v>
      </c>
      <c r="F1007">
        <v>9</v>
      </c>
      <c r="P1007" t="s">
        <v>396</v>
      </c>
      <c r="Q1007">
        <v>38</v>
      </c>
      <c r="R1007" t="s">
        <v>292</v>
      </c>
      <c r="S1007" t="s">
        <v>6</v>
      </c>
      <c r="T1007">
        <v>0</v>
      </c>
    </row>
    <row r="1008" spans="4:20" ht="15.75" customHeight="1" x14ac:dyDescent="0.2">
      <c r="D1008" t="s">
        <v>285</v>
      </c>
      <c r="E1008" t="s">
        <v>392</v>
      </c>
      <c r="F1008">
        <v>9</v>
      </c>
      <c r="P1008" t="s">
        <v>396</v>
      </c>
      <c r="Q1008">
        <v>38</v>
      </c>
      <c r="R1008" t="s">
        <v>243</v>
      </c>
      <c r="S1008" t="s">
        <v>7</v>
      </c>
      <c r="T1008">
        <v>12.833299999999999</v>
      </c>
    </row>
    <row r="1009" spans="4:20" ht="15.75" customHeight="1" x14ac:dyDescent="0.2">
      <c r="D1009" t="s">
        <v>285</v>
      </c>
      <c r="E1009" t="s">
        <v>392</v>
      </c>
      <c r="F1009">
        <v>9</v>
      </c>
      <c r="P1009" t="s">
        <v>396</v>
      </c>
      <c r="Q1009">
        <v>38</v>
      </c>
      <c r="R1009" t="s">
        <v>245</v>
      </c>
      <c r="S1009" t="s">
        <v>8</v>
      </c>
      <c r="T1009">
        <v>2533.5369999999998</v>
      </c>
    </row>
    <row r="1010" spans="4:20" ht="15.75" customHeight="1" x14ac:dyDescent="0.2">
      <c r="D1010" t="s">
        <v>285</v>
      </c>
      <c r="E1010" t="s">
        <v>392</v>
      </c>
      <c r="F1010">
        <v>9</v>
      </c>
      <c r="P1010" t="s">
        <v>396</v>
      </c>
      <c r="Q1010">
        <v>38</v>
      </c>
      <c r="R1010" t="s">
        <v>247</v>
      </c>
      <c r="S1010" t="s">
        <v>9</v>
      </c>
      <c r="T1010">
        <v>6.1899999999999997E-2</v>
      </c>
    </row>
    <row r="1011" spans="4:20" ht="15.75" customHeight="1" x14ac:dyDescent="0.2">
      <c r="D1011" t="s">
        <v>285</v>
      </c>
      <c r="E1011" t="s">
        <v>392</v>
      </c>
      <c r="F1011">
        <v>9</v>
      </c>
      <c r="P1011" t="s">
        <v>396</v>
      </c>
      <c r="Q1011">
        <v>38</v>
      </c>
      <c r="R1011" t="s">
        <v>249</v>
      </c>
      <c r="S1011" t="s">
        <v>10</v>
      </c>
      <c r="T1011">
        <v>42</v>
      </c>
    </row>
    <row r="1012" spans="4:20" ht="15.75" customHeight="1" x14ac:dyDescent="0.2">
      <c r="D1012" t="s">
        <v>285</v>
      </c>
      <c r="E1012" t="s">
        <v>392</v>
      </c>
      <c r="F1012">
        <v>9</v>
      </c>
      <c r="P1012" t="s">
        <v>396</v>
      </c>
      <c r="Q1012">
        <v>38</v>
      </c>
      <c r="R1012" t="s">
        <v>251</v>
      </c>
      <c r="S1012" t="s">
        <v>11</v>
      </c>
      <c r="T1012">
        <v>26</v>
      </c>
    </row>
    <row r="1013" spans="4:20" ht="15.75" customHeight="1" x14ac:dyDescent="0.2">
      <c r="D1013" t="s">
        <v>285</v>
      </c>
      <c r="E1013" t="s">
        <v>392</v>
      </c>
      <c r="F1013">
        <v>9</v>
      </c>
      <c r="P1013" t="s">
        <v>396</v>
      </c>
      <c r="Q1013">
        <v>38</v>
      </c>
      <c r="R1013" t="s">
        <v>253</v>
      </c>
      <c r="S1013" t="s">
        <v>12</v>
      </c>
      <c r="T1013">
        <v>197.41849999999999</v>
      </c>
    </row>
    <row r="1014" spans="4:20" ht="15.75" customHeight="1" x14ac:dyDescent="0.2">
      <c r="D1014" t="s">
        <v>285</v>
      </c>
      <c r="E1014" t="s">
        <v>392</v>
      </c>
      <c r="F1014">
        <v>9</v>
      </c>
      <c r="P1014" t="s">
        <v>396</v>
      </c>
      <c r="Q1014">
        <v>38</v>
      </c>
      <c r="R1014" t="s">
        <v>255</v>
      </c>
      <c r="S1014" t="s">
        <v>15</v>
      </c>
      <c r="T1014">
        <v>22</v>
      </c>
    </row>
    <row r="1015" spans="4:20" ht="15.75" customHeight="1" x14ac:dyDescent="0.2">
      <c r="D1015" t="s">
        <v>285</v>
      </c>
      <c r="E1015" t="s">
        <v>392</v>
      </c>
      <c r="F1015">
        <v>9</v>
      </c>
      <c r="P1015" t="s">
        <v>396</v>
      </c>
      <c r="Q1015">
        <v>38</v>
      </c>
      <c r="R1015" t="s">
        <v>293</v>
      </c>
      <c r="S1015" t="s">
        <v>13</v>
      </c>
      <c r="T1015">
        <v>1</v>
      </c>
    </row>
    <row r="1016" spans="4:20" ht="15.75" customHeight="1" x14ac:dyDescent="0.2">
      <c r="D1016" t="s">
        <v>285</v>
      </c>
      <c r="E1016" t="s">
        <v>392</v>
      </c>
      <c r="F1016">
        <v>9</v>
      </c>
      <c r="P1016" t="s">
        <v>396</v>
      </c>
      <c r="Q1016">
        <v>38</v>
      </c>
      <c r="R1016" t="s">
        <v>294</v>
      </c>
      <c r="S1016" t="s">
        <v>14</v>
      </c>
      <c r="T1016">
        <v>1</v>
      </c>
    </row>
    <row r="1017" spans="4:20" ht="15.75" customHeight="1" x14ac:dyDescent="0.2">
      <c r="D1017" t="s">
        <v>285</v>
      </c>
      <c r="E1017" t="s">
        <v>392</v>
      </c>
      <c r="F1017">
        <v>9</v>
      </c>
      <c r="P1017" t="s">
        <v>396</v>
      </c>
      <c r="Q1017">
        <v>38</v>
      </c>
      <c r="R1017" t="s">
        <v>257</v>
      </c>
      <c r="S1017" t="s">
        <v>16</v>
      </c>
      <c r="T1017">
        <v>54.502800000000001</v>
      </c>
    </row>
    <row r="1018" spans="4:20" ht="15.75" customHeight="1" x14ac:dyDescent="0.2">
      <c r="D1018" t="s">
        <v>285</v>
      </c>
      <c r="E1018" t="s">
        <v>392</v>
      </c>
      <c r="F1018">
        <v>9</v>
      </c>
      <c r="P1018" t="s">
        <v>396</v>
      </c>
      <c r="Q1018">
        <v>38</v>
      </c>
      <c r="R1018" t="s">
        <v>295</v>
      </c>
      <c r="S1018" t="s">
        <v>17</v>
      </c>
      <c r="T1018">
        <v>1</v>
      </c>
    </row>
    <row r="1019" spans="4:20" ht="15.75" customHeight="1" x14ac:dyDescent="0.2">
      <c r="D1019" t="s">
        <v>285</v>
      </c>
      <c r="E1019" t="s">
        <v>392</v>
      </c>
      <c r="F1019">
        <v>9</v>
      </c>
      <c r="P1019" t="s">
        <v>396</v>
      </c>
      <c r="Q1019">
        <v>38</v>
      </c>
      <c r="R1019" t="s">
        <v>296</v>
      </c>
      <c r="S1019" t="s">
        <v>1</v>
      </c>
      <c r="T1019">
        <v>3</v>
      </c>
    </row>
    <row r="1020" spans="4:20" ht="15.75" customHeight="1" x14ac:dyDescent="0.2">
      <c r="D1020" t="s">
        <v>285</v>
      </c>
      <c r="E1020" t="s">
        <v>392</v>
      </c>
      <c r="F1020">
        <v>9</v>
      </c>
      <c r="P1020" t="s">
        <v>396</v>
      </c>
      <c r="Q1020">
        <v>38</v>
      </c>
      <c r="R1020" t="s">
        <v>297</v>
      </c>
      <c r="S1020" t="s">
        <v>18</v>
      </c>
      <c r="T1020">
        <v>8</v>
      </c>
    </row>
    <row r="1021" spans="4:20" ht="15.75" customHeight="1" x14ac:dyDescent="0.2">
      <c r="D1021" t="s">
        <v>285</v>
      </c>
      <c r="E1021" t="s">
        <v>392</v>
      </c>
      <c r="F1021">
        <v>9</v>
      </c>
      <c r="P1021" t="s">
        <v>396</v>
      </c>
      <c r="Q1021">
        <v>38</v>
      </c>
      <c r="R1021" t="s">
        <v>298</v>
      </c>
      <c r="S1021" t="s">
        <v>19</v>
      </c>
      <c r="T1021">
        <v>1</v>
      </c>
    </row>
    <row r="1022" spans="4:20" ht="15.75" customHeight="1" x14ac:dyDescent="0.2">
      <c r="D1022" t="s">
        <v>285</v>
      </c>
      <c r="E1022" t="s">
        <v>392</v>
      </c>
      <c r="F1022">
        <v>9</v>
      </c>
      <c r="P1022" t="s">
        <v>396</v>
      </c>
      <c r="Q1022">
        <v>38</v>
      </c>
      <c r="R1022" t="s">
        <v>299</v>
      </c>
      <c r="S1022" t="s">
        <v>20</v>
      </c>
      <c r="T1022">
        <v>1</v>
      </c>
    </row>
    <row r="1023" spans="4:20" ht="15.75" customHeight="1" x14ac:dyDescent="0.2">
      <c r="D1023" t="s">
        <v>285</v>
      </c>
      <c r="E1023" t="s">
        <v>392</v>
      </c>
      <c r="F1023">
        <v>9</v>
      </c>
      <c r="P1023" t="s">
        <v>397</v>
      </c>
      <c r="Q1023">
        <v>39</v>
      </c>
      <c r="R1023" t="s">
        <v>288</v>
      </c>
      <c r="S1023" t="s">
        <v>2</v>
      </c>
      <c r="T1023">
        <v>6</v>
      </c>
    </row>
    <row r="1024" spans="4:20" ht="15.75" customHeight="1" x14ac:dyDescent="0.2">
      <c r="D1024" t="s">
        <v>285</v>
      </c>
      <c r="E1024" t="s">
        <v>392</v>
      </c>
      <c r="F1024">
        <v>9</v>
      </c>
      <c r="P1024" t="s">
        <v>397</v>
      </c>
      <c r="Q1024">
        <v>39</v>
      </c>
      <c r="R1024" t="s">
        <v>289</v>
      </c>
      <c r="S1024" t="s">
        <v>5</v>
      </c>
      <c r="T1024">
        <v>2</v>
      </c>
    </row>
    <row r="1025" spans="4:20" ht="15.75" customHeight="1" x14ac:dyDescent="0.2">
      <c r="D1025" t="s">
        <v>285</v>
      </c>
      <c r="E1025" t="s">
        <v>392</v>
      </c>
      <c r="F1025">
        <v>9</v>
      </c>
      <c r="P1025" t="s">
        <v>397</v>
      </c>
      <c r="Q1025">
        <v>39</v>
      </c>
      <c r="R1025" t="s">
        <v>290</v>
      </c>
      <c r="S1025" t="s">
        <v>3</v>
      </c>
      <c r="T1025">
        <v>0.6</v>
      </c>
    </row>
    <row r="1026" spans="4:20" ht="15.75" customHeight="1" x14ac:dyDescent="0.2">
      <c r="D1026" t="s">
        <v>285</v>
      </c>
      <c r="E1026" t="s">
        <v>392</v>
      </c>
      <c r="F1026">
        <v>9</v>
      </c>
      <c r="P1026" t="s">
        <v>397</v>
      </c>
      <c r="Q1026">
        <v>39</v>
      </c>
      <c r="R1026" t="s">
        <v>291</v>
      </c>
      <c r="S1026" t="s">
        <v>4</v>
      </c>
      <c r="T1026">
        <v>4</v>
      </c>
    </row>
    <row r="1027" spans="4:20" ht="15.75" customHeight="1" x14ac:dyDescent="0.2">
      <c r="D1027" t="s">
        <v>285</v>
      </c>
      <c r="E1027" t="s">
        <v>392</v>
      </c>
      <c r="F1027">
        <v>9</v>
      </c>
      <c r="P1027" t="s">
        <v>397</v>
      </c>
      <c r="Q1027">
        <v>39</v>
      </c>
      <c r="R1027" t="s">
        <v>292</v>
      </c>
      <c r="S1027" t="s">
        <v>6</v>
      </c>
      <c r="T1027">
        <v>0</v>
      </c>
    </row>
    <row r="1028" spans="4:20" ht="15.75" customHeight="1" x14ac:dyDescent="0.2">
      <c r="D1028" t="s">
        <v>285</v>
      </c>
      <c r="E1028" t="s">
        <v>392</v>
      </c>
      <c r="F1028">
        <v>9</v>
      </c>
      <c r="P1028" t="s">
        <v>397</v>
      </c>
      <c r="Q1028">
        <v>39</v>
      </c>
      <c r="R1028" t="s">
        <v>243</v>
      </c>
      <c r="S1028" t="s">
        <v>7</v>
      </c>
      <c r="T1028">
        <v>24.7273</v>
      </c>
    </row>
    <row r="1029" spans="4:20" ht="15.75" customHeight="1" x14ac:dyDescent="0.2">
      <c r="D1029" t="s">
        <v>285</v>
      </c>
      <c r="E1029" t="s">
        <v>392</v>
      </c>
      <c r="F1029">
        <v>9</v>
      </c>
      <c r="P1029" t="s">
        <v>397</v>
      </c>
      <c r="Q1029">
        <v>39</v>
      </c>
      <c r="R1029" t="s">
        <v>245</v>
      </c>
      <c r="S1029" t="s">
        <v>8</v>
      </c>
      <c r="T1029">
        <v>7607.8576999999996</v>
      </c>
    </row>
    <row r="1030" spans="4:20" ht="15.75" customHeight="1" x14ac:dyDescent="0.2">
      <c r="D1030" t="s">
        <v>285</v>
      </c>
      <c r="E1030" t="s">
        <v>392</v>
      </c>
      <c r="F1030">
        <v>9</v>
      </c>
      <c r="P1030" t="s">
        <v>397</v>
      </c>
      <c r="Q1030">
        <v>39</v>
      </c>
      <c r="R1030" t="s">
        <v>247</v>
      </c>
      <c r="S1030" t="s">
        <v>9</v>
      </c>
      <c r="T1030">
        <v>0.12889999999999999</v>
      </c>
    </row>
    <row r="1031" spans="4:20" ht="15.75" customHeight="1" x14ac:dyDescent="0.2">
      <c r="D1031" t="s">
        <v>285</v>
      </c>
      <c r="E1031" t="s">
        <v>392</v>
      </c>
      <c r="F1031">
        <v>9</v>
      </c>
      <c r="P1031" t="s">
        <v>397</v>
      </c>
      <c r="Q1031">
        <v>39</v>
      </c>
      <c r="R1031" t="s">
        <v>249</v>
      </c>
      <c r="S1031" t="s">
        <v>10</v>
      </c>
      <c r="T1031">
        <v>64</v>
      </c>
    </row>
    <row r="1032" spans="4:20" ht="15.75" customHeight="1" x14ac:dyDescent="0.2">
      <c r="D1032" t="s">
        <v>285</v>
      </c>
      <c r="E1032" t="s">
        <v>392</v>
      </c>
      <c r="F1032">
        <v>9</v>
      </c>
      <c r="P1032" t="s">
        <v>397</v>
      </c>
      <c r="Q1032">
        <v>39</v>
      </c>
      <c r="R1032" t="s">
        <v>251</v>
      </c>
      <c r="S1032" t="s">
        <v>11</v>
      </c>
      <c r="T1032">
        <v>28</v>
      </c>
    </row>
    <row r="1033" spans="4:20" ht="15.75" customHeight="1" x14ac:dyDescent="0.2">
      <c r="D1033" t="s">
        <v>285</v>
      </c>
      <c r="E1033" t="s">
        <v>392</v>
      </c>
      <c r="F1033">
        <v>9</v>
      </c>
      <c r="P1033" t="s">
        <v>397</v>
      </c>
      <c r="Q1033">
        <v>39</v>
      </c>
      <c r="R1033" t="s">
        <v>253</v>
      </c>
      <c r="S1033" t="s">
        <v>12</v>
      </c>
      <c r="T1033">
        <v>307.67070000000001</v>
      </c>
    </row>
    <row r="1034" spans="4:20" ht="15.75" customHeight="1" x14ac:dyDescent="0.2">
      <c r="D1034" t="s">
        <v>285</v>
      </c>
      <c r="E1034" t="s">
        <v>392</v>
      </c>
      <c r="F1034">
        <v>9</v>
      </c>
      <c r="P1034" t="s">
        <v>397</v>
      </c>
      <c r="Q1034">
        <v>39</v>
      </c>
      <c r="R1034" t="s">
        <v>255</v>
      </c>
      <c r="S1034" t="s">
        <v>15</v>
      </c>
      <c r="T1034">
        <v>33</v>
      </c>
    </row>
    <row r="1035" spans="4:20" ht="15.75" customHeight="1" x14ac:dyDescent="0.2">
      <c r="D1035" t="s">
        <v>285</v>
      </c>
      <c r="E1035" t="s">
        <v>392</v>
      </c>
      <c r="F1035">
        <v>9</v>
      </c>
      <c r="P1035" t="s">
        <v>397</v>
      </c>
      <c r="Q1035">
        <v>39</v>
      </c>
      <c r="R1035" t="s">
        <v>293</v>
      </c>
      <c r="S1035" t="s">
        <v>13</v>
      </c>
      <c r="T1035">
        <v>1</v>
      </c>
    </row>
    <row r="1036" spans="4:20" ht="15.75" customHeight="1" x14ac:dyDescent="0.2">
      <c r="D1036" t="s">
        <v>285</v>
      </c>
      <c r="E1036" t="s">
        <v>392</v>
      </c>
      <c r="F1036">
        <v>9</v>
      </c>
      <c r="P1036" t="s">
        <v>397</v>
      </c>
      <c r="Q1036">
        <v>39</v>
      </c>
      <c r="R1036" t="s">
        <v>294</v>
      </c>
      <c r="S1036" t="s">
        <v>14</v>
      </c>
      <c r="T1036">
        <v>0</v>
      </c>
    </row>
    <row r="1037" spans="4:20" ht="15.75" customHeight="1" x14ac:dyDescent="0.2">
      <c r="D1037" t="s">
        <v>285</v>
      </c>
      <c r="E1037" t="s">
        <v>392</v>
      </c>
      <c r="F1037">
        <v>9</v>
      </c>
      <c r="P1037" t="s">
        <v>397</v>
      </c>
      <c r="Q1037">
        <v>39</v>
      </c>
      <c r="R1037" t="s">
        <v>257</v>
      </c>
      <c r="S1037" t="s">
        <v>16</v>
      </c>
      <c r="T1037">
        <v>49.219200000000001</v>
      </c>
    </row>
    <row r="1038" spans="4:20" ht="15.75" customHeight="1" x14ac:dyDescent="0.2">
      <c r="D1038" t="s">
        <v>285</v>
      </c>
      <c r="E1038" t="s">
        <v>392</v>
      </c>
      <c r="F1038">
        <v>9</v>
      </c>
      <c r="P1038" t="s">
        <v>397</v>
      </c>
      <c r="Q1038">
        <v>39</v>
      </c>
      <c r="R1038" t="s">
        <v>295</v>
      </c>
      <c r="S1038" t="s">
        <v>17</v>
      </c>
      <c r="T1038">
        <v>2</v>
      </c>
    </row>
    <row r="1039" spans="4:20" ht="15.75" customHeight="1" x14ac:dyDescent="0.2">
      <c r="D1039" t="s">
        <v>285</v>
      </c>
      <c r="E1039" t="s">
        <v>392</v>
      </c>
      <c r="F1039">
        <v>9</v>
      </c>
      <c r="P1039" t="s">
        <v>397</v>
      </c>
      <c r="Q1039">
        <v>39</v>
      </c>
      <c r="R1039" t="s">
        <v>296</v>
      </c>
      <c r="S1039" t="s">
        <v>1</v>
      </c>
      <c r="T1039">
        <v>6</v>
      </c>
    </row>
    <row r="1040" spans="4:20" ht="15.75" customHeight="1" x14ac:dyDescent="0.2">
      <c r="D1040" t="s">
        <v>285</v>
      </c>
      <c r="E1040" t="s">
        <v>392</v>
      </c>
      <c r="F1040">
        <v>9</v>
      </c>
      <c r="P1040" t="s">
        <v>397</v>
      </c>
      <c r="Q1040">
        <v>39</v>
      </c>
      <c r="R1040" t="s">
        <v>297</v>
      </c>
      <c r="S1040" t="s">
        <v>18</v>
      </c>
      <c r="T1040">
        <v>8</v>
      </c>
    </row>
    <row r="1041" spans="4:20" ht="15.75" customHeight="1" x14ac:dyDescent="0.2">
      <c r="D1041" t="s">
        <v>285</v>
      </c>
      <c r="E1041" t="s">
        <v>392</v>
      </c>
      <c r="F1041">
        <v>9</v>
      </c>
      <c r="P1041" t="s">
        <v>397</v>
      </c>
      <c r="Q1041">
        <v>39</v>
      </c>
      <c r="R1041" t="s">
        <v>298</v>
      </c>
      <c r="S1041" t="s">
        <v>19</v>
      </c>
      <c r="T1041">
        <v>0</v>
      </c>
    </row>
    <row r="1042" spans="4:20" ht="15.75" customHeight="1" x14ac:dyDescent="0.2">
      <c r="D1042" t="s">
        <v>285</v>
      </c>
      <c r="E1042" t="s">
        <v>392</v>
      </c>
      <c r="F1042">
        <v>9</v>
      </c>
      <c r="P1042" t="s">
        <v>397</v>
      </c>
      <c r="Q1042">
        <v>39</v>
      </c>
      <c r="R1042" t="s">
        <v>299</v>
      </c>
      <c r="S1042" t="s">
        <v>20</v>
      </c>
      <c r="T1042">
        <v>2</v>
      </c>
    </row>
    <row r="1043" spans="4:20" ht="15.75" customHeight="1" x14ac:dyDescent="0.2">
      <c r="D1043" t="s">
        <v>285</v>
      </c>
      <c r="E1043" t="s">
        <v>392</v>
      </c>
      <c r="F1043">
        <v>9</v>
      </c>
      <c r="P1043" t="s">
        <v>398</v>
      </c>
      <c r="Q1043">
        <v>40</v>
      </c>
      <c r="R1043" t="s">
        <v>288</v>
      </c>
      <c r="S1043" t="s">
        <v>2</v>
      </c>
      <c r="T1043">
        <v>4</v>
      </c>
    </row>
    <row r="1044" spans="4:20" ht="15.75" customHeight="1" x14ac:dyDescent="0.2">
      <c r="D1044" t="s">
        <v>285</v>
      </c>
      <c r="E1044" t="s">
        <v>392</v>
      </c>
      <c r="F1044">
        <v>9</v>
      </c>
      <c r="P1044" t="s">
        <v>398</v>
      </c>
      <c r="Q1044">
        <v>40</v>
      </c>
      <c r="R1044" t="s">
        <v>289</v>
      </c>
      <c r="S1044" t="s">
        <v>5</v>
      </c>
      <c r="T1044">
        <v>1</v>
      </c>
    </row>
    <row r="1045" spans="4:20" ht="15.75" customHeight="1" x14ac:dyDescent="0.2">
      <c r="D1045" t="s">
        <v>285</v>
      </c>
      <c r="E1045" t="s">
        <v>392</v>
      </c>
      <c r="F1045">
        <v>9</v>
      </c>
      <c r="P1045" t="s">
        <v>398</v>
      </c>
      <c r="Q1045">
        <v>40</v>
      </c>
      <c r="R1045" t="s">
        <v>290</v>
      </c>
      <c r="S1045" t="s">
        <v>3</v>
      </c>
      <c r="T1045">
        <v>0.6</v>
      </c>
    </row>
    <row r="1046" spans="4:20" ht="15.75" customHeight="1" x14ac:dyDescent="0.2">
      <c r="D1046" t="s">
        <v>285</v>
      </c>
      <c r="E1046" t="s">
        <v>392</v>
      </c>
      <c r="F1046">
        <v>9</v>
      </c>
      <c r="P1046" t="s">
        <v>398</v>
      </c>
      <c r="Q1046">
        <v>40</v>
      </c>
      <c r="R1046" t="s">
        <v>291</v>
      </c>
      <c r="S1046" t="s">
        <v>4</v>
      </c>
      <c r="T1046">
        <v>4</v>
      </c>
    </row>
    <row r="1047" spans="4:20" ht="15.75" customHeight="1" x14ac:dyDescent="0.2">
      <c r="D1047" t="s">
        <v>285</v>
      </c>
      <c r="E1047" t="s">
        <v>392</v>
      </c>
      <c r="F1047">
        <v>9</v>
      </c>
      <c r="P1047" t="s">
        <v>398</v>
      </c>
      <c r="Q1047">
        <v>40</v>
      </c>
      <c r="R1047" t="s">
        <v>292</v>
      </c>
      <c r="S1047" t="s">
        <v>6</v>
      </c>
      <c r="T1047">
        <v>0</v>
      </c>
    </row>
    <row r="1048" spans="4:20" ht="15.75" customHeight="1" x14ac:dyDescent="0.2">
      <c r="D1048" t="s">
        <v>285</v>
      </c>
      <c r="E1048" t="s">
        <v>392</v>
      </c>
      <c r="F1048">
        <v>9</v>
      </c>
      <c r="P1048" t="s">
        <v>398</v>
      </c>
      <c r="Q1048">
        <v>40</v>
      </c>
      <c r="R1048" t="s">
        <v>243</v>
      </c>
      <c r="S1048" t="s">
        <v>7</v>
      </c>
      <c r="T1048">
        <v>28.928599999999999</v>
      </c>
    </row>
    <row r="1049" spans="4:20" ht="15.75" customHeight="1" x14ac:dyDescent="0.2">
      <c r="D1049" t="s">
        <v>285</v>
      </c>
      <c r="E1049" t="s">
        <v>392</v>
      </c>
      <c r="F1049">
        <v>9</v>
      </c>
      <c r="P1049" t="s">
        <v>398</v>
      </c>
      <c r="Q1049">
        <v>40</v>
      </c>
      <c r="R1049" t="s">
        <v>245</v>
      </c>
      <c r="S1049" t="s">
        <v>8</v>
      </c>
      <c r="T1049">
        <v>6579.2542999999996</v>
      </c>
    </row>
    <row r="1050" spans="4:20" ht="15.75" customHeight="1" x14ac:dyDescent="0.2">
      <c r="D1050" t="s">
        <v>285</v>
      </c>
      <c r="E1050" t="s">
        <v>392</v>
      </c>
      <c r="F1050">
        <v>9</v>
      </c>
      <c r="P1050" t="s">
        <v>398</v>
      </c>
      <c r="Q1050">
        <v>40</v>
      </c>
      <c r="R1050" t="s">
        <v>247</v>
      </c>
      <c r="S1050" t="s">
        <v>9</v>
      </c>
      <c r="T1050">
        <v>0.11700000000000001</v>
      </c>
    </row>
    <row r="1051" spans="4:20" ht="15.75" customHeight="1" x14ac:dyDescent="0.2">
      <c r="D1051" t="s">
        <v>285</v>
      </c>
      <c r="E1051" t="s">
        <v>392</v>
      </c>
      <c r="F1051">
        <v>9</v>
      </c>
      <c r="P1051" t="s">
        <v>398</v>
      </c>
      <c r="Q1051">
        <v>40</v>
      </c>
      <c r="R1051" t="s">
        <v>249</v>
      </c>
      <c r="S1051" t="s">
        <v>10</v>
      </c>
      <c r="T1051">
        <v>51</v>
      </c>
    </row>
    <row r="1052" spans="4:20" ht="15.75" customHeight="1" x14ac:dyDescent="0.2">
      <c r="D1052" t="s">
        <v>285</v>
      </c>
      <c r="E1052" t="s">
        <v>392</v>
      </c>
      <c r="F1052">
        <v>9</v>
      </c>
      <c r="P1052" t="s">
        <v>398</v>
      </c>
      <c r="Q1052">
        <v>40</v>
      </c>
      <c r="R1052" t="s">
        <v>251</v>
      </c>
      <c r="S1052" t="s">
        <v>11</v>
      </c>
      <c r="T1052">
        <v>22</v>
      </c>
    </row>
    <row r="1053" spans="4:20" ht="15.75" customHeight="1" x14ac:dyDescent="0.2">
      <c r="D1053" t="s">
        <v>285</v>
      </c>
      <c r="E1053" t="s">
        <v>392</v>
      </c>
      <c r="F1053">
        <v>9</v>
      </c>
      <c r="P1053" t="s">
        <v>398</v>
      </c>
      <c r="Q1053">
        <v>40</v>
      </c>
      <c r="R1053" t="s">
        <v>253</v>
      </c>
      <c r="S1053" t="s">
        <v>12</v>
      </c>
      <c r="T1053">
        <v>227.43100000000001</v>
      </c>
    </row>
    <row r="1054" spans="4:20" ht="15.75" customHeight="1" x14ac:dyDescent="0.2">
      <c r="D1054" t="s">
        <v>285</v>
      </c>
      <c r="E1054" t="s">
        <v>392</v>
      </c>
      <c r="F1054">
        <v>9</v>
      </c>
      <c r="P1054" t="s">
        <v>398</v>
      </c>
      <c r="Q1054">
        <v>40</v>
      </c>
      <c r="R1054" t="s">
        <v>255</v>
      </c>
      <c r="S1054" t="s">
        <v>15</v>
      </c>
      <c r="T1054">
        <v>19</v>
      </c>
    </row>
    <row r="1055" spans="4:20" ht="15.75" customHeight="1" x14ac:dyDescent="0.2">
      <c r="D1055" t="s">
        <v>285</v>
      </c>
      <c r="E1055" t="s">
        <v>392</v>
      </c>
      <c r="F1055">
        <v>9</v>
      </c>
      <c r="P1055" t="s">
        <v>398</v>
      </c>
      <c r="Q1055">
        <v>40</v>
      </c>
      <c r="R1055" t="s">
        <v>293</v>
      </c>
      <c r="S1055" t="s">
        <v>13</v>
      </c>
      <c r="T1055">
        <v>1</v>
      </c>
    </row>
    <row r="1056" spans="4:20" ht="15.75" customHeight="1" x14ac:dyDescent="0.2">
      <c r="D1056" t="s">
        <v>285</v>
      </c>
      <c r="E1056" t="s">
        <v>392</v>
      </c>
      <c r="F1056">
        <v>9</v>
      </c>
      <c r="P1056" t="s">
        <v>398</v>
      </c>
      <c r="Q1056">
        <v>40</v>
      </c>
      <c r="R1056" t="s">
        <v>294</v>
      </c>
      <c r="S1056" t="s">
        <v>14</v>
      </c>
      <c r="T1056">
        <v>0</v>
      </c>
    </row>
    <row r="1057" spans="4:20" ht="15.75" customHeight="1" x14ac:dyDescent="0.2">
      <c r="D1057" t="s">
        <v>285</v>
      </c>
      <c r="E1057" t="s">
        <v>392</v>
      </c>
      <c r="F1057">
        <v>9</v>
      </c>
      <c r="P1057" t="s">
        <v>398</v>
      </c>
      <c r="Q1057">
        <v>40</v>
      </c>
      <c r="R1057" t="s">
        <v>257</v>
      </c>
      <c r="S1057" t="s">
        <v>16</v>
      </c>
      <c r="T1057">
        <v>55.3919</v>
      </c>
    </row>
    <row r="1058" spans="4:20" ht="15.75" customHeight="1" x14ac:dyDescent="0.2">
      <c r="D1058" t="s">
        <v>285</v>
      </c>
      <c r="E1058" t="s">
        <v>392</v>
      </c>
      <c r="F1058">
        <v>9</v>
      </c>
      <c r="P1058" t="s">
        <v>398</v>
      </c>
      <c r="Q1058">
        <v>40</v>
      </c>
      <c r="R1058" t="s">
        <v>295</v>
      </c>
      <c r="S1058" t="s">
        <v>17</v>
      </c>
      <c r="T1058">
        <v>0</v>
      </c>
    </row>
    <row r="1059" spans="4:20" ht="15.75" customHeight="1" x14ac:dyDescent="0.2">
      <c r="D1059" t="s">
        <v>285</v>
      </c>
      <c r="E1059" t="s">
        <v>392</v>
      </c>
      <c r="F1059">
        <v>9</v>
      </c>
      <c r="P1059" t="s">
        <v>398</v>
      </c>
      <c r="Q1059">
        <v>40</v>
      </c>
      <c r="R1059" t="s">
        <v>296</v>
      </c>
      <c r="S1059" t="s">
        <v>1</v>
      </c>
      <c r="T1059">
        <v>5</v>
      </c>
    </row>
    <row r="1060" spans="4:20" ht="15.75" customHeight="1" x14ac:dyDescent="0.2">
      <c r="D1060" t="s">
        <v>285</v>
      </c>
      <c r="E1060" t="s">
        <v>392</v>
      </c>
      <c r="F1060">
        <v>9</v>
      </c>
      <c r="P1060" t="s">
        <v>398</v>
      </c>
      <c r="Q1060">
        <v>40</v>
      </c>
      <c r="R1060" t="s">
        <v>297</v>
      </c>
      <c r="S1060" t="s">
        <v>18</v>
      </c>
      <c r="T1060">
        <v>4</v>
      </c>
    </row>
    <row r="1061" spans="4:20" ht="15.75" customHeight="1" x14ac:dyDescent="0.2">
      <c r="D1061" t="s">
        <v>285</v>
      </c>
      <c r="E1061" t="s">
        <v>392</v>
      </c>
      <c r="F1061">
        <v>9</v>
      </c>
      <c r="P1061" t="s">
        <v>398</v>
      </c>
      <c r="Q1061">
        <v>40</v>
      </c>
      <c r="R1061" t="s">
        <v>298</v>
      </c>
      <c r="S1061" t="s">
        <v>19</v>
      </c>
      <c r="T1061">
        <v>0</v>
      </c>
    </row>
    <row r="1062" spans="4:20" ht="15.75" customHeight="1" x14ac:dyDescent="0.2">
      <c r="D1062" t="s">
        <v>285</v>
      </c>
      <c r="E1062" t="s">
        <v>392</v>
      </c>
      <c r="F1062">
        <v>9</v>
      </c>
      <c r="P1062" t="s">
        <v>398</v>
      </c>
      <c r="Q1062">
        <v>40</v>
      </c>
      <c r="R1062" t="s">
        <v>299</v>
      </c>
      <c r="S1062" t="s">
        <v>20</v>
      </c>
      <c r="T1062">
        <v>2</v>
      </c>
    </row>
    <row r="1063" spans="4:20" ht="15.75" customHeight="1" x14ac:dyDescent="0.2">
      <c r="D1063" t="s">
        <v>285</v>
      </c>
      <c r="E1063" t="s">
        <v>392</v>
      </c>
      <c r="F1063">
        <v>9</v>
      </c>
      <c r="P1063" t="s">
        <v>399</v>
      </c>
      <c r="Q1063">
        <v>41</v>
      </c>
      <c r="R1063" t="s">
        <v>288</v>
      </c>
      <c r="S1063" t="s">
        <v>2</v>
      </c>
      <c r="T1063">
        <v>0</v>
      </c>
    </row>
    <row r="1064" spans="4:20" ht="15.75" customHeight="1" x14ac:dyDescent="0.2">
      <c r="D1064" t="s">
        <v>285</v>
      </c>
      <c r="E1064" t="s">
        <v>392</v>
      </c>
      <c r="F1064">
        <v>9</v>
      </c>
      <c r="P1064" t="s">
        <v>399</v>
      </c>
      <c r="Q1064">
        <v>41</v>
      </c>
      <c r="R1064" t="s">
        <v>289</v>
      </c>
      <c r="S1064" t="s">
        <v>5</v>
      </c>
      <c r="T1064">
        <v>0</v>
      </c>
    </row>
    <row r="1065" spans="4:20" ht="15.75" customHeight="1" x14ac:dyDescent="0.2">
      <c r="D1065" t="s">
        <v>285</v>
      </c>
      <c r="E1065" t="s">
        <v>392</v>
      </c>
      <c r="F1065">
        <v>9</v>
      </c>
      <c r="P1065" t="s">
        <v>399</v>
      </c>
      <c r="Q1065">
        <v>41</v>
      </c>
      <c r="R1065" t="s">
        <v>290</v>
      </c>
      <c r="S1065" t="s">
        <v>3</v>
      </c>
      <c r="T1065">
        <v>0</v>
      </c>
    </row>
    <row r="1066" spans="4:20" ht="15.75" customHeight="1" x14ac:dyDescent="0.2">
      <c r="D1066" t="s">
        <v>285</v>
      </c>
      <c r="E1066" t="s">
        <v>392</v>
      </c>
      <c r="F1066">
        <v>9</v>
      </c>
      <c r="P1066" t="s">
        <v>399</v>
      </c>
      <c r="Q1066">
        <v>41</v>
      </c>
      <c r="R1066" t="s">
        <v>291</v>
      </c>
      <c r="S1066" t="s">
        <v>4</v>
      </c>
      <c r="T1066">
        <v>0</v>
      </c>
    </row>
    <row r="1067" spans="4:20" ht="15.75" customHeight="1" x14ac:dyDescent="0.2">
      <c r="D1067" t="s">
        <v>285</v>
      </c>
      <c r="E1067" t="s">
        <v>392</v>
      </c>
      <c r="F1067">
        <v>9</v>
      </c>
      <c r="P1067" t="s">
        <v>399</v>
      </c>
      <c r="Q1067">
        <v>41</v>
      </c>
      <c r="R1067" t="s">
        <v>292</v>
      </c>
      <c r="S1067" t="s">
        <v>6</v>
      </c>
      <c r="T1067">
        <v>0</v>
      </c>
    </row>
    <row r="1068" spans="4:20" ht="15.75" customHeight="1" x14ac:dyDescent="0.2">
      <c r="D1068" t="s">
        <v>285</v>
      </c>
      <c r="E1068" t="s">
        <v>392</v>
      </c>
      <c r="F1068">
        <v>9</v>
      </c>
      <c r="P1068" t="s">
        <v>399</v>
      </c>
      <c r="Q1068">
        <v>41</v>
      </c>
      <c r="R1068" t="s">
        <v>243</v>
      </c>
      <c r="S1068" t="s">
        <v>7</v>
      </c>
      <c r="T1068">
        <v>1</v>
      </c>
    </row>
    <row r="1069" spans="4:20" ht="15.75" customHeight="1" x14ac:dyDescent="0.2">
      <c r="D1069" t="s">
        <v>285</v>
      </c>
      <c r="E1069" t="s">
        <v>392</v>
      </c>
      <c r="F1069">
        <v>9</v>
      </c>
      <c r="P1069" t="s">
        <v>399</v>
      </c>
      <c r="Q1069">
        <v>41</v>
      </c>
      <c r="R1069" t="s">
        <v>245</v>
      </c>
      <c r="S1069" t="s">
        <v>8</v>
      </c>
      <c r="T1069">
        <v>4.7549000000000001</v>
      </c>
    </row>
    <row r="1070" spans="4:20" ht="15.75" customHeight="1" x14ac:dyDescent="0.2">
      <c r="D1070" t="s">
        <v>285</v>
      </c>
      <c r="E1070" t="s">
        <v>392</v>
      </c>
      <c r="F1070">
        <v>9</v>
      </c>
      <c r="P1070" t="s">
        <v>399</v>
      </c>
      <c r="Q1070">
        <v>41</v>
      </c>
      <c r="R1070" t="s">
        <v>247</v>
      </c>
      <c r="S1070" t="s">
        <v>9</v>
      </c>
      <c r="T1070">
        <v>8.9999999999999998E-4</v>
      </c>
    </row>
    <row r="1071" spans="4:20" ht="15.75" customHeight="1" x14ac:dyDescent="0.2">
      <c r="D1071" t="s">
        <v>285</v>
      </c>
      <c r="E1071" t="s">
        <v>392</v>
      </c>
      <c r="F1071">
        <v>9</v>
      </c>
      <c r="P1071" t="s">
        <v>399</v>
      </c>
      <c r="Q1071">
        <v>41</v>
      </c>
      <c r="R1071" t="s">
        <v>249</v>
      </c>
      <c r="S1071" t="s">
        <v>10</v>
      </c>
      <c r="T1071">
        <v>3</v>
      </c>
    </row>
    <row r="1072" spans="4:20" ht="15.75" customHeight="1" x14ac:dyDescent="0.2">
      <c r="D1072" t="s">
        <v>285</v>
      </c>
      <c r="E1072" t="s">
        <v>392</v>
      </c>
      <c r="F1072">
        <v>9</v>
      </c>
      <c r="P1072" t="s">
        <v>399</v>
      </c>
      <c r="Q1072">
        <v>41</v>
      </c>
      <c r="R1072" t="s">
        <v>251</v>
      </c>
      <c r="S1072" t="s">
        <v>11</v>
      </c>
      <c r="T1072">
        <v>3</v>
      </c>
    </row>
    <row r="1073" spans="4:20" ht="15.75" customHeight="1" x14ac:dyDescent="0.2">
      <c r="D1073" t="s">
        <v>285</v>
      </c>
      <c r="E1073" t="s">
        <v>392</v>
      </c>
      <c r="F1073">
        <v>9</v>
      </c>
      <c r="P1073" t="s">
        <v>399</v>
      </c>
      <c r="Q1073">
        <v>41</v>
      </c>
      <c r="R1073" t="s">
        <v>253</v>
      </c>
      <c r="S1073" t="s">
        <v>12</v>
      </c>
      <c r="T1073">
        <v>4.7549000000000001</v>
      </c>
    </row>
    <row r="1074" spans="4:20" ht="15.75" customHeight="1" x14ac:dyDescent="0.2">
      <c r="D1074" t="s">
        <v>285</v>
      </c>
      <c r="E1074" t="s">
        <v>392</v>
      </c>
      <c r="F1074">
        <v>9</v>
      </c>
      <c r="P1074" t="s">
        <v>399</v>
      </c>
      <c r="Q1074">
        <v>41</v>
      </c>
      <c r="R1074" t="s">
        <v>255</v>
      </c>
      <c r="S1074" t="s">
        <v>15</v>
      </c>
      <c r="T1074">
        <v>5</v>
      </c>
    </row>
    <row r="1075" spans="4:20" ht="15.75" customHeight="1" x14ac:dyDescent="0.2">
      <c r="D1075" t="s">
        <v>285</v>
      </c>
      <c r="E1075" t="s">
        <v>392</v>
      </c>
      <c r="F1075">
        <v>9</v>
      </c>
      <c r="P1075" t="s">
        <v>399</v>
      </c>
      <c r="Q1075">
        <v>41</v>
      </c>
      <c r="R1075" t="s">
        <v>293</v>
      </c>
      <c r="S1075" t="s">
        <v>13</v>
      </c>
      <c r="T1075">
        <v>1</v>
      </c>
    </row>
    <row r="1076" spans="4:20" ht="15.75" customHeight="1" x14ac:dyDescent="0.2">
      <c r="D1076" t="s">
        <v>285</v>
      </c>
      <c r="E1076" t="s">
        <v>392</v>
      </c>
      <c r="F1076">
        <v>9</v>
      </c>
      <c r="P1076" t="s">
        <v>399</v>
      </c>
      <c r="Q1076">
        <v>41</v>
      </c>
      <c r="R1076" t="s">
        <v>294</v>
      </c>
      <c r="S1076" t="s">
        <v>14</v>
      </c>
      <c r="T1076">
        <v>0</v>
      </c>
    </row>
    <row r="1077" spans="4:20" ht="15.75" customHeight="1" x14ac:dyDescent="0.2">
      <c r="D1077" t="s">
        <v>285</v>
      </c>
      <c r="E1077" t="s">
        <v>392</v>
      </c>
      <c r="F1077">
        <v>9</v>
      </c>
      <c r="P1077" t="s">
        <v>399</v>
      </c>
      <c r="Q1077">
        <v>41</v>
      </c>
      <c r="R1077" t="s">
        <v>257</v>
      </c>
      <c r="S1077" t="s">
        <v>16</v>
      </c>
      <c r="T1077">
        <v>80.537099999999995</v>
      </c>
    </row>
    <row r="1078" spans="4:20" ht="15.75" customHeight="1" x14ac:dyDescent="0.2">
      <c r="D1078" t="s">
        <v>285</v>
      </c>
      <c r="E1078" t="s">
        <v>392</v>
      </c>
      <c r="F1078">
        <v>9</v>
      </c>
      <c r="P1078" t="s">
        <v>399</v>
      </c>
      <c r="Q1078">
        <v>41</v>
      </c>
      <c r="R1078" t="s">
        <v>295</v>
      </c>
      <c r="S1078" t="s">
        <v>17</v>
      </c>
      <c r="T1078">
        <v>0</v>
      </c>
    </row>
    <row r="1079" spans="4:20" ht="15.75" customHeight="1" x14ac:dyDescent="0.2">
      <c r="D1079" t="s">
        <v>285</v>
      </c>
      <c r="E1079" t="s">
        <v>392</v>
      </c>
      <c r="F1079">
        <v>9</v>
      </c>
      <c r="P1079" t="s">
        <v>399</v>
      </c>
      <c r="Q1079">
        <v>41</v>
      </c>
      <c r="R1079" t="s">
        <v>296</v>
      </c>
      <c r="S1079" t="s">
        <v>1</v>
      </c>
      <c r="T1079">
        <v>1</v>
      </c>
    </row>
    <row r="1080" spans="4:20" ht="15.75" customHeight="1" x14ac:dyDescent="0.2">
      <c r="D1080" t="s">
        <v>285</v>
      </c>
      <c r="E1080" t="s">
        <v>392</v>
      </c>
      <c r="F1080">
        <v>9</v>
      </c>
      <c r="P1080" t="s">
        <v>399</v>
      </c>
      <c r="Q1080">
        <v>41</v>
      </c>
      <c r="R1080" t="s">
        <v>297</v>
      </c>
      <c r="S1080" t="s">
        <v>18</v>
      </c>
      <c r="T1080">
        <v>1</v>
      </c>
    </row>
    <row r="1081" spans="4:20" ht="15.75" customHeight="1" x14ac:dyDescent="0.2">
      <c r="D1081" t="s">
        <v>285</v>
      </c>
      <c r="E1081" t="s">
        <v>392</v>
      </c>
      <c r="F1081">
        <v>9</v>
      </c>
      <c r="P1081" t="s">
        <v>399</v>
      </c>
      <c r="Q1081">
        <v>41</v>
      </c>
      <c r="R1081" t="s">
        <v>298</v>
      </c>
      <c r="S1081" t="s">
        <v>19</v>
      </c>
      <c r="T1081">
        <v>0</v>
      </c>
    </row>
    <row r="1082" spans="4:20" ht="15.75" customHeight="1" x14ac:dyDescent="0.2">
      <c r="D1082" t="s">
        <v>285</v>
      </c>
      <c r="E1082" t="s">
        <v>392</v>
      </c>
      <c r="F1082">
        <v>9</v>
      </c>
      <c r="P1082" t="s">
        <v>399</v>
      </c>
      <c r="Q1082">
        <v>41</v>
      </c>
      <c r="R1082" t="s">
        <v>299</v>
      </c>
      <c r="S1082" t="s">
        <v>20</v>
      </c>
      <c r="T1082">
        <v>0</v>
      </c>
    </row>
    <row r="1083" spans="4:20" ht="15.75" customHeight="1" x14ac:dyDescent="0.2">
      <c r="D1083" t="s">
        <v>285</v>
      </c>
      <c r="E1083" t="s">
        <v>392</v>
      </c>
      <c r="F1083">
        <v>9</v>
      </c>
      <c r="P1083" t="s">
        <v>400</v>
      </c>
      <c r="Q1083">
        <v>42</v>
      </c>
      <c r="R1083" t="s">
        <v>288</v>
      </c>
      <c r="S1083" t="s">
        <v>2</v>
      </c>
      <c r="T1083">
        <v>0</v>
      </c>
    </row>
    <row r="1084" spans="4:20" ht="15.75" customHeight="1" x14ac:dyDescent="0.2">
      <c r="D1084" t="s">
        <v>285</v>
      </c>
      <c r="E1084" t="s">
        <v>392</v>
      </c>
      <c r="F1084">
        <v>9</v>
      </c>
      <c r="P1084" t="s">
        <v>400</v>
      </c>
      <c r="Q1084">
        <v>42</v>
      </c>
      <c r="R1084" t="s">
        <v>289</v>
      </c>
      <c r="S1084" t="s">
        <v>5</v>
      </c>
      <c r="T1084">
        <v>0</v>
      </c>
    </row>
    <row r="1085" spans="4:20" ht="15.75" customHeight="1" x14ac:dyDescent="0.2">
      <c r="D1085" t="s">
        <v>285</v>
      </c>
      <c r="E1085" t="s">
        <v>392</v>
      </c>
      <c r="F1085">
        <v>9</v>
      </c>
      <c r="P1085" t="s">
        <v>400</v>
      </c>
      <c r="Q1085">
        <v>42</v>
      </c>
      <c r="R1085" t="s">
        <v>290</v>
      </c>
      <c r="S1085" t="s">
        <v>3</v>
      </c>
      <c r="T1085">
        <v>0</v>
      </c>
    </row>
    <row r="1086" spans="4:20" ht="15.75" customHeight="1" x14ac:dyDescent="0.2">
      <c r="D1086" t="s">
        <v>285</v>
      </c>
      <c r="E1086" t="s">
        <v>392</v>
      </c>
      <c r="F1086">
        <v>9</v>
      </c>
      <c r="P1086" t="s">
        <v>400</v>
      </c>
      <c r="Q1086">
        <v>42</v>
      </c>
      <c r="R1086" t="s">
        <v>291</v>
      </c>
      <c r="S1086" t="s">
        <v>4</v>
      </c>
      <c r="T1086">
        <v>0</v>
      </c>
    </row>
    <row r="1087" spans="4:20" ht="15.75" customHeight="1" x14ac:dyDescent="0.2">
      <c r="D1087" t="s">
        <v>285</v>
      </c>
      <c r="E1087" t="s">
        <v>392</v>
      </c>
      <c r="F1087">
        <v>9</v>
      </c>
      <c r="P1087" t="s">
        <v>400</v>
      </c>
      <c r="Q1087">
        <v>42</v>
      </c>
      <c r="R1087" t="s">
        <v>292</v>
      </c>
      <c r="S1087" t="s">
        <v>6</v>
      </c>
      <c r="T1087">
        <v>0</v>
      </c>
    </row>
    <row r="1088" spans="4:20" ht="15.75" customHeight="1" x14ac:dyDescent="0.2">
      <c r="D1088" t="s">
        <v>285</v>
      </c>
      <c r="E1088" t="s">
        <v>392</v>
      </c>
      <c r="F1088">
        <v>9</v>
      </c>
      <c r="P1088" t="s">
        <v>400</v>
      </c>
      <c r="Q1088">
        <v>42</v>
      </c>
      <c r="R1088" t="s">
        <v>243</v>
      </c>
      <c r="S1088" t="s">
        <v>7</v>
      </c>
      <c r="T1088">
        <v>1</v>
      </c>
    </row>
    <row r="1089" spans="4:20" ht="15.75" customHeight="1" x14ac:dyDescent="0.2">
      <c r="D1089" t="s">
        <v>285</v>
      </c>
      <c r="E1089" t="s">
        <v>392</v>
      </c>
      <c r="F1089">
        <v>9</v>
      </c>
      <c r="P1089" t="s">
        <v>400</v>
      </c>
      <c r="Q1089">
        <v>42</v>
      </c>
      <c r="R1089" t="s">
        <v>245</v>
      </c>
      <c r="S1089" t="s">
        <v>8</v>
      </c>
      <c r="T1089">
        <v>4.7549000000000001</v>
      </c>
    </row>
    <row r="1090" spans="4:20" ht="15.75" customHeight="1" x14ac:dyDescent="0.2">
      <c r="D1090" t="s">
        <v>285</v>
      </c>
      <c r="E1090" t="s">
        <v>392</v>
      </c>
      <c r="F1090">
        <v>9</v>
      </c>
      <c r="P1090" t="s">
        <v>400</v>
      </c>
      <c r="Q1090">
        <v>42</v>
      </c>
      <c r="R1090" t="s">
        <v>247</v>
      </c>
      <c r="S1090" t="s">
        <v>9</v>
      </c>
      <c r="T1090">
        <v>8.9999999999999998E-4</v>
      </c>
    </row>
    <row r="1091" spans="4:20" ht="15.75" customHeight="1" x14ac:dyDescent="0.2">
      <c r="D1091" t="s">
        <v>285</v>
      </c>
      <c r="E1091" t="s">
        <v>392</v>
      </c>
      <c r="F1091">
        <v>9</v>
      </c>
      <c r="P1091" t="s">
        <v>400</v>
      </c>
      <c r="Q1091">
        <v>42</v>
      </c>
      <c r="R1091" t="s">
        <v>249</v>
      </c>
      <c r="S1091" t="s">
        <v>10</v>
      </c>
      <c r="T1091">
        <v>3</v>
      </c>
    </row>
    <row r="1092" spans="4:20" ht="15.75" customHeight="1" x14ac:dyDescent="0.2">
      <c r="D1092" t="s">
        <v>285</v>
      </c>
      <c r="E1092" t="s">
        <v>392</v>
      </c>
      <c r="F1092">
        <v>9</v>
      </c>
      <c r="P1092" t="s">
        <v>400</v>
      </c>
      <c r="Q1092">
        <v>42</v>
      </c>
      <c r="R1092" t="s">
        <v>251</v>
      </c>
      <c r="S1092" t="s">
        <v>11</v>
      </c>
      <c r="T1092">
        <v>3</v>
      </c>
    </row>
    <row r="1093" spans="4:20" ht="15.75" customHeight="1" x14ac:dyDescent="0.2">
      <c r="D1093" t="s">
        <v>285</v>
      </c>
      <c r="E1093" t="s">
        <v>392</v>
      </c>
      <c r="F1093">
        <v>9</v>
      </c>
      <c r="P1093" t="s">
        <v>400</v>
      </c>
      <c r="Q1093">
        <v>42</v>
      </c>
      <c r="R1093" t="s">
        <v>253</v>
      </c>
      <c r="S1093" t="s">
        <v>12</v>
      </c>
      <c r="T1093">
        <v>4.7549000000000001</v>
      </c>
    </row>
    <row r="1094" spans="4:20" ht="15.75" customHeight="1" x14ac:dyDescent="0.2">
      <c r="D1094" t="s">
        <v>285</v>
      </c>
      <c r="E1094" t="s">
        <v>392</v>
      </c>
      <c r="F1094">
        <v>9</v>
      </c>
      <c r="P1094" t="s">
        <v>400</v>
      </c>
      <c r="Q1094">
        <v>42</v>
      </c>
      <c r="R1094" t="s">
        <v>255</v>
      </c>
      <c r="S1094" t="s">
        <v>15</v>
      </c>
      <c r="T1094">
        <v>5</v>
      </c>
    </row>
    <row r="1095" spans="4:20" ht="15.75" customHeight="1" x14ac:dyDescent="0.2">
      <c r="D1095" t="s">
        <v>285</v>
      </c>
      <c r="E1095" t="s">
        <v>392</v>
      </c>
      <c r="F1095">
        <v>9</v>
      </c>
      <c r="P1095" t="s">
        <v>400</v>
      </c>
      <c r="Q1095">
        <v>42</v>
      </c>
      <c r="R1095" t="s">
        <v>293</v>
      </c>
      <c r="S1095" t="s">
        <v>13</v>
      </c>
      <c r="T1095">
        <v>1</v>
      </c>
    </row>
    <row r="1096" spans="4:20" ht="15.75" customHeight="1" x14ac:dyDescent="0.2">
      <c r="D1096" t="s">
        <v>285</v>
      </c>
      <c r="E1096" t="s">
        <v>392</v>
      </c>
      <c r="F1096">
        <v>9</v>
      </c>
      <c r="P1096" t="s">
        <v>400</v>
      </c>
      <c r="Q1096">
        <v>42</v>
      </c>
      <c r="R1096" t="s">
        <v>294</v>
      </c>
      <c r="S1096" t="s">
        <v>14</v>
      </c>
      <c r="T1096">
        <v>0</v>
      </c>
    </row>
    <row r="1097" spans="4:20" ht="15.75" customHeight="1" x14ac:dyDescent="0.2">
      <c r="D1097" t="s">
        <v>285</v>
      </c>
      <c r="E1097" t="s">
        <v>392</v>
      </c>
      <c r="F1097">
        <v>9</v>
      </c>
      <c r="P1097" t="s">
        <v>400</v>
      </c>
      <c r="Q1097">
        <v>42</v>
      </c>
      <c r="R1097" t="s">
        <v>257</v>
      </c>
      <c r="S1097" t="s">
        <v>16</v>
      </c>
      <c r="T1097">
        <v>80.537099999999995</v>
      </c>
    </row>
    <row r="1098" spans="4:20" ht="15.75" customHeight="1" x14ac:dyDescent="0.2">
      <c r="D1098" t="s">
        <v>285</v>
      </c>
      <c r="E1098" t="s">
        <v>392</v>
      </c>
      <c r="F1098">
        <v>9</v>
      </c>
      <c r="P1098" t="s">
        <v>400</v>
      </c>
      <c r="Q1098">
        <v>42</v>
      </c>
      <c r="R1098" t="s">
        <v>295</v>
      </c>
      <c r="S1098" t="s">
        <v>17</v>
      </c>
      <c r="T1098">
        <v>0</v>
      </c>
    </row>
    <row r="1099" spans="4:20" ht="15.75" customHeight="1" x14ac:dyDescent="0.2">
      <c r="D1099" t="s">
        <v>285</v>
      </c>
      <c r="E1099" t="s">
        <v>392</v>
      </c>
      <c r="F1099">
        <v>9</v>
      </c>
      <c r="P1099" t="s">
        <v>400</v>
      </c>
      <c r="Q1099">
        <v>42</v>
      </c>
      <c r="R1099" t="s">
        <v>296</v>
      </c>
      <c r="S1099" t="s">
        <v>1</v>
      </c>
      <c r="T1099">
        <v>1</v>
      </c>
    </row>
    <row r="1100" spans="4:20" ht="15.75" customHeight="1" x14ac:dyDescent="0.2">
      <c r="D1100" t="s">
        <v>285</v>
      </c>
      <c r="E1100" t="s">
        <v>392</v>
      </c>
      <c r="F1100">
        <v>9</v>
      </c>
      <c r="P1100" t="s">
        <v>400</v>
      </c>
      <c r="Q1100">
        <v>42</v>
      </c>
      <c r="R1100" t="s">
        <v>297</v>
      </c>
      <c r="S1100" t="s">
        <v>18</v>
      </c>
      <c r="T1100">
        <v>1</v>
      </c>
    </row>
    <row r="1101" spans="4:20" ht="15.75" customHeight="1" x14ac:dyDescent="0.2">
      <c r="D1101" t="s">
        <v>285</v>
      </c>
      <c r="E1101" t="s">
        <v>392</v>
      </c>
      <c r="F1101">
        <v>9</v>
      </c>
      <c r="P1101" t="s">
        <v>400</v>
      </c>
      <c r="Q1101">
        <v>42</v>
      </c>
      <c r="R1101" t="s">
        <v>298</v>
      </c>
      <c r="S1101" t="s">
        <v>19</v>
      </c>
      <c r="T1101">
        <v>0</v>
      </c>
    </row>
    <row r="1102" spans="4:20" ht="15.75" customHeight="1" x14ac:dyDescent="0.2">
      <c r="D1102" t="s">
        <v>285</v>
      </c>
      <c r="E1102" t="s">
        <v>392</v>
      </c>
      <c r="F1102">
        <v>9</v>
      </c>
      <c r="P1102" t="s">
        <v>400</v>
      </c>
      <c r="Q1102">
        <v>42</v>
      </c>
      <c r="R1102" t="s">
        <v>299</v>
      </c>
      <c r="S1102" t="s">
        <v>20</v>
      </c>
      <c r="T1102">
        <v>0</v>
      </c>
    </row>
    <row r="1103" spans="4:20" ht="15.75" customHeight="1" x14ac:dyDescent="0.2">
      <c r="D1103" t="s">
        <v>285</v>
      </c>
      <c r="E1103" t="s">
        <v>392</v>
      </c>
      <c r="F1103">
        <v>9</v>
      </c>
      <c r="P1103" t="s">
        <v>401</v>
      </c>
      <c r="Q1103">
        <v>43</v>
      </c>
      <c r="R1103" t="s">
        <v>288</v>
      </c>
      <c r="S1103" t="s">
        <v>2</v>
      </c>
      <c r="T1103">
        <v>0</v>
      </c>
    </row>
    <row r="1104" spans="4:20" ht="15.75" customHeight="1" x14ac:dyDescent="0.2">
      <c r="D1104" t="s">
        <v>285</v>
      </c>
      <c r="E1104" t="s">
        <v>392</v>
      </c>
      <c r="F1104">
        <v>9</v>
      </c>
      <c r="P1104" t="s">
        <v>401</v>
      </c>
      <c r="Q1104">
        <v>43</v>
      </c>
      <c r="R1104" t="s">
        <v>289</v>
      </c>
      <c r="S1104" t="s">
        <v>5</v>
      </c>
      <c r="T1104">
        <v>0</v>
      </c>
    </row>
    <row r="1105" spans="4:20" ht="15.75" customHeight="1" x14ac:dyDescent="0.2">
      <c r="D1105" t="s">
        <v>285</v>
      </c>
      <c r="E1105" t="s">
        <v>392</v>
      </c>
      <c r="F1105">
        <v>9</v>
      </c>
      <c r="P1105" t="s">
        <v>401</v>
      </c>
      <c r="Q1105">
        <v>43</v>
      </c>
      <c r="R1105" t="s">
        <v>290</v>
      </c>
      <c r="S1105" t="s">
        <v>3</v>
      </c>
      <c r="T1105">
        <v>0</v>
      </c>
    </row>
    <row r="1106" spans="4:20" ht="15.75" customHeight="1" x14ac:dyDescent="0.2">
      <c r="D1106" t="s">
        <v>285</v>
      </c>
      <c r="E1106" t="s">
        <v>392</v>
      </c>
      <c r="F1106">
        <v>9</v>
      </c>
      <c r="P1106" t="s">
        <v>401</v>
      </c>
      <c r="Q1106">
        <v>43</v>
      </c>
      <c r="R1106" t="s">
        <v>291</v>
      </c>
      <c r="S1106" t="s">
        <v>4</v>
      </c>
      <c r="T1106">
        <v>0</v>
      </c>
    </row>
    <row r="1107" spans="4:20" ht="15.75" customHeight="1" x14ac:dyDescent="0.2">
      <c r="D1107" t="s">
        <v>285</v>
      </c>
      <c r="E1107" t="s">
        <v>392</v>
      </c>
      <c r="F1107">
        <v>9</v>
      </c>
      <c r="P1107" t="s">
        <v>401</v>
      </c>
      <c r="Q1107">
        <v>43</v>
      </c>
      <c r="R1107" t="s">
        <v>292</v>
      </c>
      <c r="S1107" t="s">
        <v>6</v>
      </c>
      <c r="T1107">
        <v>0</v>
      </c>
    </row>
    <row r="1108" spans="4:20" ht="15.75" customHeight="1" x14ac:dyDescent="0.2">
      <c r="D1108" t="s">
        <v>285</v>
      </c>
      <c r="E1108" t="s">
        <v>392</v>
      </c>
      <c r="F1108">
        <v>9</v>
      </c>
      <c r="P1108" t="s">
        <v>401</v>
      </c>
      <c r="Q1108">
        <v>43</v>
      </c>
      <c r="R1108" t="s">
        <v>243</v>
      </c>
      <c r="S1108" t="s">
        <v>7</v>
      </c>
      <c r="T1108">
        <v>2</v>
      </c>
    </row>
    <row r="1109" spans="4:20" ht="15.75" customHeight="1" x14ac:dyDescent="0.2">
      <c r="D1109" t="s">
        <v>285</v>
      </c>
      <c r="E1109" t="s">
        <v>392</v>
      </c>
      <c r="F1109">
        <v>9</v>
      </c>
      <c r="P1109" t="s">
        <v>401</v>
      </c>
      <c r="Q1109">
        <v>43</v>
      </c>
      <c r="R1109" t="s">
        <v>245</v>
      </c>
      <c r="S1109" t="s">
        <v>8</v>
      </c>
      <c r="T1109">
        <v>23.2193</v>
      </c>
    </row>
    <row r="1110" spans="4:20" ht="15.75" customHeight="1" x14ac:dyDescent="0.2">
      <c r="D1110" t="s">
        <v>285</v>
      </c>
      <c r="E1110" t="s">
        <v>392</v>
      </c>
      <c r="F1110">
        <v>9</v>
      </c>
      <c r="P1110" t="s">
        <v>401</v>
      </c>
      <c r="Q1110">
        <v>43</v>
      </c>
      <c r="R1110" t="s">
        <v>247</v>
      </c>
      <c r="S1110" t="s">
        <v>9</v>
      </c>
      <c r="T1110">
        <v>2.7000000000000001E-3</v>
      </c>
    </row>
    <row r="1111" spans="4:20" ht="15.75" customHeight="1" x14ac:dyDescent="0.2">
      <c r="D1111" t="s">
        <v>285</v>
      </c>
      <c r="E1111" t="s">
        <v>392</v>
      </c>
      <c r="F1111">
        <v>9</v>
      </c>
      <c r="P1111" t="s">
        <v>401</v>
      </c>
      <c r="Q1111">
        <v>43</v>
      </c>
      <c r="R1111" t="s">
        <v>249</v>
      </c>
      <c r="S1111" t="s">
        <v>10</v>
      </c>
      <c r="T1111">
        <v>5</v>
      </c>
    </row>
    <row r="1112" spans="4:20" ht="15.75" customHeight="1" x14ac:dyDescent="0.2">
      <c r="D1112" t="s">
        <v>285</v>
      </c>
      <c r="E1112" t="s">
        <v>392</v>
      </c>
      <c r="F1112">
        <v>9</v>
      </c>
      <c r="P1112" t="s">
        <v>401</v>
      </c>
      <c r="Q1112">
        <v>43</v>
      </c>
      <c r="R1112" t="s">
        <v>251</v>
      </c>
      <c r="S1112" t="s">
        <v>11</v>
      </c>
      <c r="T1112">
        <v>5</v>
      </c>
    </row>
    <row r="1113" spans="4:20" ht="15.75" customHeight="1" x14ac:dyDescent="0.2">
      <c r="D1113" t="s">
        <v>285</v>
      </c>
      <c r="E1113" t="s">
        <v>392</v>
      </c>
      <c r="F1113">
        <v>9</v>
      </c>
      <c r="P1113" t="s">
        <v>401</v>
      </c>
      <c r="Q1113">
        <v>43</v>
      </c>
      <c r="R1113" t="s">
        <v>253</v>
      </c>
      <c r="S1113" t="s">
        <v>12</v>
      </c>
      <c r="T1113">
        <v>11.6096</v>
      </c>
    </row>
    <row r="1114" spans="4:20" ht="15.75" customHeight="1" x14ac:dyDescent="0.2">
      <c r="D1114" t="s">
        <v>285</v>
      </c>
      <c r="E1114" t="s">
        <v>392</v>
      </c>
      <c r="F1114">
        <v>9</v>
      </c>
      <c r="P1114" t="s">
        <v>401</v>
      </c>
      <c r="Q1114">
        <v>43</v>
      </c>
      <c r="R1114" t="s">
        <v>255</v>
      </c>
      <c r="S1114" t="s">
        <v>15</v>
      </c>
      <c r="T1114">
        <v>5</v>
      </c>
    </row>
    <row r="1115" spans="4:20" ht="15.75" customHeight="1" x14ac:dyDescent="0.2">
      <c r="D1115" t="s">
        <v>285</v>
      </c>
      <c r="E1115" t="s">
        <v>392</v>
      </c>
      <c r="F1115">
        <v>9</v>
      </c>
      <c r="P1115" t="s">
        <v>401</v>
      </c>
      <c r="Q1115">
        <v>43</v>
      </c>
      <c r="R1115" t="s">
        <v>293</v>
      </c>
      <c r="S1115" t="s">
        <v>13</v>
      </c>
      <c r="T1115">
        <v>1</v>
      </c>
    </row>
    <row r="1116" spans="4:20" ht="15.75" customHeight="1" x14ac:dyDescent="0.2">
      <c r="D1116" t="s">
        <v>285</v>
      </c>
      <c r="E1116" t="s">
        <v>392</v>
      </c>
      <c r="F1116">
        <v>9</v>
      </c>
      <c r="P1116" t="s">
        <v>401</v>
      </c>
      <c r="Q1116">
        <v>43</v>
      </c>
      <c r="R1116" t="s">
        <v>294</v>
      </c>
      <c r="S1116" t="s">
        <v>14</v>
      </c>
      <c r="T1116">
        <v>0</v>
      </c>
    </row>
    <row r="1117" spans="4:20" ht="15.75" customHeight="1" x14ac:dyDescent="0.2">
      <c r="D1117" t="s">
        <v>285</v>
      </c>
      <c r="E1117" t="s">
        <v>392</v>
      </c>
      <c r="F1117">
        <v>9</v>
      </c>
      <c r="P1117" t="s">
        <v>401</v>
      </c>
      <c r="Q1117">
        <v>43</v>
      </c>
      <c r="R1117" t="s">
        <v>257</v>
      </c>
      <c r="S1117" t="s">
        <v>16</v>
      </c>
      <c r="T1117">
        <v>77.460800000000006</v>
      </c>
    </row>
    <row r="1118" spans="4:20" ht="15.75" customHeight="1" x14ac:dyDescent="0.2">
      <c r="D1118" t="s">
        <v>285</v>
      </c>
      <c r="E1118" t="s">
        <v>392</v>
      </c>
      <c r="F1118">
        <v>9</v>
      </c>
      <c r="P1118" t="s">
        <v>401</v>
      </c>
      <c r="Q1118">
        <v>43</v>
      </c>
      <c r="R1118" t="s">
        <v>295</v>
      </c>
      <c r="S1118" t="s">
        <v>17</v>
      </c>
      <c r="T1118">
        <v>0</v>
      </c>
    </row>
    <row r="1119" spans="4:20" ht="15.75" customHeight="1" x14ac:dyDescent="0.2">
      <c r="D1119" t="s">
        <v>285</v>
      </c>
      <c r="E1119" t="s">
        <v>392</v>
      </c>
      <c r="F1119">
        <v>9</v>
      </c>
      <c r="P1119" t="s">
        <v>401</v>
      </c>
      <c r="Q1119">
        <v>43</v>
      </c>
      <c r="R1119" t="s">
        <v>296</v>
      </c>
      <c r="S1119" t="s">
        <v>1</v>
      </c>
      <c r="T1119">
        <v>1</v>
      </c>
    </row>
    <row r="1120" spans="4:20" ht="15.75" customHeight="1" x14ac:dyDescent="0.2">
      <c r="D1120" t="s">
        <v>285</v>
      </c>
      <c r="E1120" t="s">
        <v>392</v>
      </c>
      <c r="F1120">
        <v>9</v>
      </c>
      <c r="P1120" t="s">
        <v>401</v>
      </c>
      <c r="Q1120">
        <v>43</v>
      </c>
      <c r="R1120" t="s">
        <v>297</v>
      </c>
      <c r="S1120" t="s">
        <v>18</v>
      </c>
      <c r="T1120">
        <v>1</v>
      </c>
    </row>
    <row r="1121" spans="4:20" ht="15.75" customHeight="1" x14ac:dyDescent="0.2">
      <c r="D1121" t="s">
        <v>285</v>
      </c>
      <c r="E1121" t="s">
        <v>392</v>
      </c>
      <c r="F1121">
        <v>9</v>
      </c>
      <c r="P1121" t="s">
        <v>401</v>
      </c>
      <c r="Q1121">
        <v>43</v>
      </c>
      <c r="R1121" t="s">
        <v>298</v>
      </c>
      <c r="S1121" t="s">
        <v>19</v>
      </c>
      <c r="T1121">
        <v>0</v>
      </c>
    </row>
    <row r="1122" spans="4:20" ht="15.75" customHeight="1" x14ac:dyDescent="0.2">
      <c r="D1122" t="s">
        <v>285</v>
      </c>
      <c r="E1122" t="s">
        <v>392</v>
      </c>
      <c r="F1122">
        <v>9</v>
      </c>
      <c r="P1122" t="s">
        <v>401</v>
      </c>
      <c r="Q1122">
        <v>43</v>
      </c>
      <c r="R1122" t="s">
        <v>299</v>
      </c>
      <c r="S1122" t="s">
        <v>20</v>
      </c>
      <c r="T1122">
        <v>0</v>
      </c>
    </row>
    <row r="1123" spans="4:20" ht="15.75" customHeight="1" x14ac:dyDescent="0.2">
      <c r="D1123" t="s">
        <v>285</v>
      </c>
      <c r="E1123" t="s">
        <v>392</v>
      </c>
      <c r="F1123">
        <v>9</v>
      </c>
      <c r="P1123" t="s">
        <v>402</v>
      </c>
      <c r="Q1123">
        <v>44</v>
      </c>
      <c r="R1123" t="s">
        <v>288</v>
      </c>
      <c r="S1123" t="s">
        <v>2</v>
      </c>
      <c r="T1123">
        <v>0</v>
      </c>
    </row>
    <row r="1124" spans="4:20" ht="15.75" customHeight="1" x14ac:dyDescent="0.2">
      <c r="D1124" t="s">
        <v>285</v>
      </c>
      <c r="E1124" t="s">
        <v>392</v>
      </c>
      <c r="F1124">
        <v>9</v>
      </c>
      <c r="P1124" t="s">
        <v>402</v>
      </c>
      <c r="Q1124">
        <v>44</v>
      </c>
      <c r="R1124" t="s">
        <v>289</v>
      </c>
      <c r="S1124" t="s">
        <v>5</v>
      </c>
      <c r="T1124">
        <v>0</v>
      </c>
    </row>
    <row r="1125" spans="4:20" ht="15.75" customHeight="1" x14ac:dyDescent="0.2">
      <c r="D1125" t="s">
        <v>285</v>
      </c>
      <c r="E1125" t="s">
        <v>392</v>
      </c>
      <c r="F1125">
        <v>9</v>
      </c>
      <c r="P1125" t="s">
        <v>402</v>
      </c>
      <c r="Q1125">
        <v>44</v>
      </c>
      <c r="R1125" t="s">
        <v>290</v>
      </c>
      <c r="S1125" t="s">
        <v>3</v>
      </c>
      <c r="T1125">
        <v>0</v>
      </c>
    </row>
    <row r="1126" spans="4:20" ht="15.75" customHeight="1" x14ac:dyDescent="0.2">
      <c r="D1126" t="s">
        <v>285</v>
      </c>
      <c r="E1126" t="s">
        <v>392</v>
      </c>
      <c r="F1126">
        <v>9</v>
      </c>
      <c r="P1126" t="s">
        <v>402</v>
      </c>
      <c r="Q1126">
        <v>44</v>
      </c>
      <c r="R1126" t="s">
        <v>291</v>
      </c>
      <c r="S1126" t="s">
        <v>4</v>
      </c>
      <c r="T1126">
        <v>0</v>
      </c>
    </row>
    <row r="1127" spans="4:20" ht="15.75" customHeight="1" x14ac:dyDescent="0.2">
      <c r="D1127" t="s">
        <v>285</v>
      </c>
      <c r="E1127" t="s">
        <v>392</v>
      </c>
      <c r="F1127">
        <v>9</v>
      </c>
      <c r="P1127" t="s">
        <v>402</v>
      </c>
      <c r="Q1127">
        <v>44</v>
      </c>
      <c r="R1127" t="s">
        <v>292</v>
      </c>
      <c r="S1127" t="s">
        <v>6</v>
      </c>
      <c r="T1127">
        <v>0</v>
      </c>
    </row>
    <row r="1128" spans="4:20" ht="15.75" customHeight="1" x14ac:dyDescent="0.2">
      <c r="D1128" t="s">
        <v>285</v>
      </c>
      <c r="E1128" t="s">
        <v>392</v>
      </c>
      <c r="F1128">
        <v>9</v>
      </c>
      <c r="P1128" t="s">
        <v>402</v>
      </c>
      <c r="Q1128">
        <v>44</v>
      </c>
      <c r="R1128" t="s">
        <v>243</v>
      </c>
      <c r="S1128" t="s">
        <v>7</v>
      </c>
      <c r="T1128">
        <v>2</v>
      </c>
    </row>
    <row r="1129" spans="4:20" ht="15.75" customHeight="1" x14ac:dyDescent="0.2">
      <c r="D1129" t="s">
        <v>285</v>
      </c>
      <c r="E1129" t="s">
        <v>392</v>
      </c>
      <c r="F1129">
        <v>9</v>
      </c>
      <c r="P1129" t="s">
        <v>402</v>
      </c>
      <c r="Q1129">
        <v>44</v>
      </c>
      <c r="R1129" t="s">
        <v>245</v>
      </c>
      <c r="S1129" t="s">
        <v>8</v>
      </c>
      <c r="T1129">
        <v>23.2193</v>
      </c>
    </row>
    <row r="1130" spans="4:20" ht="15.75" customHeight="1" x14ac:dyDescent="0.2">
      <c r="D1130" t="s">
        <v>285</v>
      </c>
      <c r="E1130" t="s">
        <v>392</v>
      </c>
      <c r="F1130">
        <v>9</v>
      </c>
      <c r="P1130" t="s">
        <v>402</v>
      </c>
      <c r="Q1130">
        <v>44</v>
      </c>
      <c r="R1130" t="s">
        <v>247</v>
      </c>
      <c r="S1130" t="s">
        <v>9</v>
      </c>
      <c r="T1130">
        <v>2.7000000000000001E-3</v>
      </c>
    </row>
    <row r="1131" spans="4:20" ht="15.75" customHeight="1" x14ac:dyDescent="0.2">
      <c r="D1131" t="s">
        <v>285</v>
      </c>
      <c r="E1131" t="s">
        <v>392</v>
      </c>
      <c r="F1131">
        <v>9</v>
      </c>
      <c r="P1131" t="s">
        <v>402</v>
      </c>
      <c r="Q1131">
        <v>44</v>
      </c>
      <c r="R1131" t="s">
        <v>249</v>
      </c>
      <c r="S1131" t="s">
        <v>10</v>
      </c>
      <c r="T1131">
        <v>5</v>
      </c>
    </row>
    <row r="1132" spans="4:20" ht="15.75" customHeight="1" x14ac:dyDescent="0.2">
      <c r="D1132" t="s">
        <v>285</v>
      </c>
      <c r="E1132" t="s">
        <v>392</v>
      </c>
      <c r="F1132">
        <v>9</v>
      </c>
      <c r="P1132" t="s">
        <v>402</v>
      </c>
      <c r="Q1132">
        <v>44</v>
      </c>
      <c r="R1132" t="s">
        <v>251</v>
      </c>
      <c r="S1132" t="s">
        <v>11</v>
      </c>
      <c r="T1132">
        <v>5</v>
      </c>
    </row>
    <row r="1133" spans="4:20" ht="15.75" customHeight="1" x14ac:dyDescent="0.2">
      <c r="D1133" t="s">
        <v>285</v>
      </c>
      <c r="E1133" t="s">
        <v>392</v>
      </c>
      <c r="F1133">
        <v>9</v>
      </c>
      <c r="P1133" t="s">
        <v>402</v>
      </c>
      <c r="Q1133">
        <v>44</v>
      </c>
      <c r="R1133" t="s">
        <v>253</v>
      </c>
      <c r="S1133" t="s">
        <v>12</v>
      </c>
      <c r="T1133">
        <v>11.6096</v>
      </c>
    </row>
    <row r="1134" spans="4:20" ht="15.75" customHeight="1" x14ac:dyDescent="0.2">
      <c r="D1134" t="s">
        <v>285</v>
      </c>
      <c r="E1134" t="s">
        <v>392</v>
      </c>
      <c r="F1134">
        <v>9</v>
      </c>
      <c r="P1134" t="s">
        <v>402</v>
      </c>
      <c r="Q1134">
        <v>44</v>
      </c>
      <c r="R1134" t="s">
        <v>255</v>
      </c>
      <c r="S1134" t="s">
        <v>15</v>
      </c>
      <c r="T1134">
        <v>5</v>
      </c>
    </row>
    <row r="1135" spans="4:20" ht="15.75" customHeight="1" x14ac:dyDescent="0.2">
      <c r="D1135" t="s">
        <v>285</v>
      </c>
      <c r="E1135" t="s">
        <v>392</v>
      </c>
      <c r="F1135">
        <v>9</v>
      </c>
      <c r="P1135" t="s">
        <v>402</v>
      </c>
      <c r="Q1135">
        <v>44</v>
      </c>
      <c r="R1135" t="s">
        <v>293</v>
      </c>
      <c r="S1135" t="s">
        <v>13</v>
      </c>
      <c r="T1135">
        <v>1</v>
      </c>
    </row>
    <row r="1136" spans="4:20" ht="15.75" customHeight="1" x14ac:dyDescent="0.2">
      <c r="D1136" t="s">
        <v>285</v>
      </c>
      <c r="E1136" t="s">
        <v>392</v>
      </c>
      <c r="F1136">
        <v>9</v>
      </c>
      <c r="P1136" t="s">
        <v>402</v>
      </c>
      <c r="Q1136">
        <v>44</v>
      </c>
      <c r="R1136" t="s">
        <v>294</v>
      </c>
      <c r="S1136" t="s">
        <v>14</v>
      </c>
      <c r="T1136">
        <v>0</v>
      </c>
    </row>
    <row r="1137" spans="4:20" ht="15.75" customHeight="1" x14ac:dyDescent="0.2">
      <c r="D1137" t="s">
        <v>285</v>
      </c>
      <c r="E1137" t="s">
        <v>392</v>
      </c>
      <c r="F1137">
        <v>9</v>
      </c>
      <c r="P1137" t="s">
        <v>402</v>
      </c>
      <c r="Q1137">
        <v>44</v>
      </c>
      <c r="R1137" t="s">
        <v>257</v>
      </c>
      <c r="S1137" t="s">
        <v>16</v>
      </c>
      <c r="T1137">
        <v>77.460800000000006</v>
      </c>
    </row>
    <row r="1138" spans="4:20" ht="15.75" customHeight="1" x14ac:dyDescent="0.2">
      <c r="D1138" t="s">
        <v>285</v>
      </c>
      <c r="E1138" t="s">
        <v>392</v>
      </c>
      <c r="F1138">
        <v>9</v>
      </c>
      <c r="P1138" t="s">
        <v>402</v>
      </c>
      <c r="Q1138">
        <v>44</v>
      </c>
      <c r="R1138" t="s">
        <v>295</v>
      </c>
      <c r="S1138" t="s">
        <v>17</v>
      </c>
      <c r="T1138">
        <v>0</v>
      </c>
    </row>
    <row r="1139" spans="4:20" ht="15.75" customHeight="1" x14ac:dyDescent="0.2">
      <c r="D1139" t="s">
        <v>285</v>
      </c>
      <c r="E1139" t="s">
        <v>392</v>
      </c>
      <c r="F1139">
        <v>9</v>
      </c>
      <c r="P1139" t="s">
        <v>402</v>
      </c>
      <c r="Q1139">
        <v>44</v>
      </c>
      <c r="R1139" t="s">
        <v>296</v>
      </c>
      <c r="S1139" t="s">
        <v>1</v>
      </c>
      <c r="T1139">
        <v>1</v>
      </c>
    </row>
    <row r="1140" spans="4:20" ht="15.75" customHeight="1" x14ac:dyDescent="0.2">
      <c r="D1140" t="s">
        <v>285</v>
      </c>
      <c r="E1140" t="s">
        <v>392</v>
      </c>
      <c r="F1140">
        <v>9</v>
      </c>
      <c r="P1140" t="s">
        <v>402</v>
      </c>
      <c r="Q1140">
        <v>44</v>
      </c>
      <c r="R1140" t="s">
        <v>297</v>
      </c>
      <c r="S1140" t="s">
        <v>18</v>
      </c>
      <c r="T1140">
        <v>1</v>
      </c>
    </row>
    <row r="1141" spans="4:20" ht="15.75" customHeight="1" x14ac:dyDescent="0.2">
      <c r="D1141" t="s">
        <v>285</v>
      </c>
      <c r="E1141" t="s">
        <v>392</v>
      </c>
      <c r="F1141">
        <v>9</v>
      </c>
      <c r="P1141" t="s">
        <v>402</v>
      </c>
      <c r="Q1141">
        <v>44</v>
      </c>
      <c r="R1141" t="s">
        <v>298</v>
      </c>
      <c r="S1141" t="s">
        <v>19</v>
      </c>
      <c r="T1141">
        <v>0</v>
      </c>
    </row>
    <row r="1142" spans="4:20" ht="15.75" customHeight="1" x14ac:dyDescent="0.2">
      <c r="D1142" t="s">
        <v>285</v>
      </c>
      <c r="E1142" t="s">
        <v>392</v>
      </c>
      <c r="F1142">
        <v>9</v>
      </c>
      <c r="P1142" t="s">
        <v>402</v>
      </c>
      <c r="Q1142">
        <v>44</v>
      </c>
      <c r="R1142" t="s">
        <v>299</v>
      </c>
      <c r="S1142" t="s">
        <v>20</v>
      </c>
      <c r="T1142">
        <v>0</v>
      </c>
    </row>
    <row r="1143" spans="4:20" ht="15.75" customHeight="1" x14ac:dyDescent="0.2">
      <c r="D1143" t="s">
        <v>285</v>
      </c>
      <c r="E1143" t="s">
        <v>392</v>
      </c>
      <c r="F1143">
        <v>9</v>
      </c>
      <c r="P1143" t="s">
        <v>403</v>
      </c>
      <c r="Q1143">
        <v>45</v>
      </c>
      <c r="R1143" t="s">
        <v>288</v>
      </c>
      <c r="S1143" t="s">
        <v>2</v>
      </c>
      <c r="T1143">
        <v>0</v>
      </c>
    </row>
    <row r="1144" spans="4:20" ht="15.75" customHeight="1" x14ac:dyDescent="0.2">
      <c r="D1144" t="s">
        <v>285</v>
      </c>
      <c r="E1144" t="s">
        <v>392</v>
      </c>
      <c r="F1144">
        <v>9</v>
      </c>
      <c r="P1144" t="s">
        <v>403</v>
      </c>
      <c r="Q1144">
        <v>45</v>
      </c>
      <c r="R1144" t="s">
        <v>289</v>
      </c>
      <c r="S1144" t="s">
        <v>5</v>
      </c>
      <c r="T1144">
        <v>0</v>
      </c>
    </row>
    <row r="1145" spans="4:20" ht="15.75" customHeight="1" x14ac:dyDescent="0.2">
      <c r="D1145" t="s">
        <v>285</v>
      </c>
      <c r="E1145" t="s">
        <v>392</v>
      </c>
      <c r="F1145">
        <v>9</v>
      </c>
      <c r="P1145" t="s">
        <v>403</v>
      </c>
      <c r="Q1145">
        <v>45</v>
      </c>
      <c r="R1145" t="s">
        <v>290</v>
      </c>
      <c r="S1145" t="s">
        <v>3</v>
      </c>
      <c r="T1145">
        <v>0</v>
      </c>
    </row>
    <row r="1146" spans="4:20" ht="15.75" customHeight="1" x14ac:dyDescent="0.2">
      <c r="D1146" t="s">
        <v>285</v>
      </c>
      <c r="E1146" t="s">
        <v>392</v>
      </c>
      <c r="F1146">
        <v>9</v>
      </c>
      <c r="P1146" t="s">
        <v>403</v>
      </c>
      <c r="Q1146">
        <v>45</v>
      </c>
      <c r="R1146" t="s">
        <v>291</v>
      </c>
      <c r="S1146" t="s">
        <v>4</v>
      </c>
      <c r="T1146">
        <v>0</v>
      </c>
    </row>
    <row r="1147" spans="4:20" ht="15.75" customHeight="1" x14ac:dyDescent="0.2">
      <c r="D1147" t="s">
        <v>285</v>
      </c>
      <c r="E1147" t="s">
        <v>392</v>
      </c>
      <c r="F1147">
        <v>9</v>
      </c>
      <c r="P1147" t="s">
        <v>403</v>
      </c>
      <c r="Q1147">
        <v>45</v>
      </c>
      <c r="R1147" t="s">
        <v>292</v>
      </c>
      <c r="S1147" t="s">
        <v>6</v>
      </c>
      <c r="T1147">
        <v>0</v>
      </c>
    </row>
    <row r="1148" spans="4:20" ht="15.75" customHeight="1" x14ac:dyDescent="0.2">
      <c r="D1148" t="s">
        <v>285</v>
      </c>
      <c r="E1148" t="s">
        <v>392</v>
      </c>
      <c r="F1148">
        <v>9</v>
      </c>
      <c r="P1148" t="s">
        <v>403</v>
      </c>
      <c r="Q1148">
        <v>45</v>
      </c>
      <c r="R1148" t="s">
        <v>243</v>
      </c>
      <c r="S1148" t="s">
        <v>7</v>
      </c>
      <c r="T1148">
        <v>1</v>
      </c>
    </row>
    <row r="1149" spans="4:20" ht="15.75" customHeight="1" x14ac:dyDescent="0.2">
      <c r="D1149" t="s">
        <v>285</v>
      </c>
      <c r="E1149" t="s">
        <v>392</v>
      </c>
      <c r="F1149">
        <v>9</v>
      </c>
      <c r="P1149" t="s">
        <v>403</v>
      </c>
      <c r="Q1149">
        <v>45</v>
      </c>
      <c r="R1149" t="s">
        <v>245</v>
      </c>
      <c r="S1149" t="s">
        <v>8</v>
      </c>
      <c r="T1149">
        <v>4.7549000000000001</v>
      </c>
    </row>
    <row r="1150" spans="4:20" ht="15.75" customHeight="1" x14ac:dyDescent="0.2">
      <c r="D1150" t="s">
        <v>285</v>
      </c>
      <c r="E1150" t="s">
        <v>392</v>
      </c>
      <c r="F1150">
        <v>9</v>
      </c>
      <c r="P1150" t="s">
        <v>403</v>
      </c>
      <c r="Q1150">
        <v>45</v>
      </c>
      <c r="R1150" t="s">
        <v>247</v>
      </c>
      <c r="S1150" t="s">
        <v>9</v>
      </c>
      <c r="T1150">
        <v>8.9999999999999998E-4</v>
      </c>
    </row>
    <row r="1151" spans="4:20" ht="15.75" customHeight="1" x14ac:dyDescent="0.2">
      <c r="D1151" t="s">
        <v>285</v>
      </c>
      <c r="E1151" t="s">
        <v>392</v>
      </c>
      <c r="F1151">
        <v>9</v>
      </c>
      <c r="P1151" t="s">
        <v>403</v>
      </c>
      <c r="Q1151">
        <v>45</v>
      </c>
      <c r="R1151" t="s">
        <v>249</v>
      </c>
      <c r="S1151" t="s">
        <v>10</v>
      </c>
      <c r="T1151">
        <v>3</v>
      </c>
    </row>
    <row r="1152" spans="4:20" ht="15.75" customHeight="1" x14ac:dyDescent="0.2">
      <c r="D1152" t="s">
        <v>285</v>
      </c>
      <c r="E1152" t="s">
        <v>392</v>
      </c>
      <c r="F1152">
        <v>9</v>
      </c>
      <c r="P1152" t="s">
        <v>403</v>
      </c>
      <c r="Q1152">
        <v>45</v>
      </c>
      <c r="R1152" t="s">
        <v>251</v>
      </c>
      <c r="S1152" t="s">
        <v>11</v>
      </c>
      <c r="T1152">
        <v>3</v>
      </c>
    </row>
    <row r="1153" spans="4:20" ht="15.75" customHeight="1" x14ac:dyDescent="0.2">
      <c r="D1153" t="s">
        <v>285</v>
      </c>
      <c r="E1153" t="s">
        <v>392</v>
      </c>
      <c r="F1153">
        <v>9</v>
      </c>
      <c r="P1153" t="s">
        <v>403</v>
      </c>
      <c r="Q1153">
        <v>45</v>
      </c>
      <c r="R1153" t="s">
        <v>253</v>
      </c>
      <c r="S1153" t="s">
        <v>12</v>
      </c>
      <c r="T1153">
        <v>4.7549000000000001</v>
      </c>
    </row>
    <row r="1154" spans="4:20" ht="15.75" customHeight="1" x14ac:dyDescent="0.2">
      <c r="D1154" t="s">
        <v>285</v>
      </c>
      <c r="E1154" t="s">
        <v>392</v>
      </c>
      <c r="F1154">
        <v>9</v>
      </c>
      <c r="P1154" t="s">
        <v>403</v>
      </c>
      <c r="Q1154">
        <v>45</v>
      </c>
      <c r="R1154" t="s">
        <v>255</v>
      </c>
      <c r="S1154" t="s">
        <v>15</v>
      </c>
      <c r="T1154">
        <v>5</v>
      </c>
    </row>
    <row r="1155" spans="4:20" ht="15.75" customHeight="1" x14ac:dyDescent="0.2">
      <c r="D1155" t="s">
        <v>285</v>
      </c>
      <c r="E1155" t="s">
        <v>392</v>
      </c>
      <c r="F1155">
        <v>9</v>
      </c>
      <c r="P1155" t="s">
        <v>403</v>
      </c>
      <c r="Q1155">
        <v>45</v>
      </c>
      <c r="R1155" t="s">
        <v>293</v>
      </c>
      <c r="S1155" t="s">
        <v>13</v>
      </c>
      <c r="T1155">
        <v>1</v>
      </c>
    </row>
    <row r="1156" spans="4:20" ht="15.75" customHeight="1" x14ac:dyDescent="0.2">
      <c r="D1156" t="s">
        <v>285</v>
      </c>
      <c r="E1156" t="s">
        <v>392</v>
      </c>
      <c r="F1156">
        <v>9</v>
      </c>
      <c r="P1156" t="s">
        <v>403</v>
      </c>
      <c r="Q1156">
        <v>45</v>
      </c>
      <c r="R1156" t="s">
        <v>294</v>
      </c>
      <c r="S1156" t="s">
        <v>14</v>
      </c>
      <c r="T1156">
        <v>0</v>
      </c>
    </row>
    <row r="1157" spans="4:20" ht="15.75" customHeight="1" x14ac:dyDescent="0.2">
      <c r="D1157" t="s">
        <v>285</v>
      </c>
      <c r="E1157" t="s">
        <v>392</v>
      </c>
      <c r="F1157">
        <v>9</v>
      </c>
      <c r="P1157" t="s">
        <v>403</v>
      </c>
      <c r="Q1157">
        <v>45</v>
      </c>
      <c r="R1157" t="s">
        <v>257</v>
      </c>
      <c r="S1157" t="s">
        <v>16</v>
      </c>
      <c r="T1157">
        <v>80.537099999999995</v>
      </c>
    </row>
    <row r="1158" spans="4:20" ht="15.75" customHeight="1" x14ac:dyDescent="0.2">
      <c r="D1158" t="s">
        <v>285</v>
      </c>
      <c r="E1158" t="s">
        <v>392</v>
      </c>
      <c r="F1158">
        <v>9</v>
      </c>
      <c r="P1158" t="s">
        <v>403</v>
      </c>
      <c r="Q1158">
        <v>45</v>
      </c>
      <c r="R1158" t="s">
        <v>295</v>
      </c>
      <c r="S1158" t="s">
        <v>17</v>
      </c>
      <c r="T1158">
        <v>0</v>
      </c>
    </row>
    <row r="1159" spans="4:20" ht="15.75" customHeight="1" x14ac:dyDescent="0.2">
      <c r="D1159" t="s">
        <v>285</v>
      </c>
      <c r="E1159" t="s">
        <v>392</v>
      </c>
      <c r="F1159">
        <v>9</v>
      </c>
      <c r="P1159" t="s">
        <v>403</v>
      </c>
      <c r="Q1159">
        <v>45</v>
      </c>
      <c r="R1159" t="s">
        <v>296</v>
      </c>
      <c r="S1159" t="s">
        <v>1</v>
      </c>
      <c r="T1159">
        <v>1</v>
      </c>
    </row>
    <row r="1160" spans="4:20" ht="15.75" customHeight="1" x14ac:dyDescent="0.2">
      <c r="D1160" t="s">
        <v>285</v>
      </c>
      <c r="E1160" t="s">
        <v>392</v>
      </c>
      <c r="F1160">
        <v>9</v>
      </c>
      <c r="P1160" t="s">
        <v>403</v>
      </c>
      <c r="Q1160">
        <v>45</v>
      </c>
      <c r="R1160" t="s">
        <v>297</v>
      </c>
      <c r="S1160" t="s">
        <v>18</v>
      </c>
      <c r="T1160">
        <v>1</v>
      </c>
    </row>
    <row r="1161" spans="4:20" ht="15.75" customHeight="1" x14ac:dyDescent="0.2">
      <c r="D1161" t="s">
        <v>285</v>
      </c>
      <c r="E1161" t="s">
        <v>392</v>
      </c>
      <c r="F1161">
        <v>9</v>
      </c>
      <c r="P1161" t="s">
        <v>403</v>
      </c>
      <c r="Q1161">
        <v>45</v>
      </c>
      <c r="R1161" t="s">
        <v>298</v>
      </c>
      <c r="S1161" t="s">
        <v>19</v>
      </c>
      <c r="T1161">
        <v>0</v>
      </c>
    </row>
    <row r="1162" spans="4:20" ht="15.75" customHeight="1" x14ac:dyDescent="0.2">
      <c r="D1162" t="s">
        <v>285</v>
      </c>
      <c r="E1162" t="s">
        <v>392</v>
      </c>
      <c r="F1162">
        <v>9</v>
      </c>
      <c r="P1162" t="s">
        <v>403</v>
      </c>
      <c r="Q1162">
        <v>45</v>
      </c>
      <c r="R1162" t="s">
        <v>299</v>
      </c>
      <c r="S1162" t="s">
        <v>20</v>
      </c>
      <c r="T1162">
        <v>0</v>
      </c>
    </row>
    <row r="1163" spans="4:20" ht="15.75" customHeight="1" x14ac:dyDescent="0.2">
      <c r="D1163" t="s">
        <v>285</v>
      </c>
      <c r="E1163" t="s">
        <v>392</v>
      </c>
      <c r="F1163">
        <v>9</v>
      </c>
      <c r="P1163" t="s">
        <v>404</v>
      </c>
      <c r="Q1163">
        <v>46</v>
      </c>
      <c r="R1163" t="s">
        <v>288</v>
      </c>
      <c r="S1163" t="s">
        <v>2</v>
      </c>
      <c r="T1163">
        <v>0</v>
      </c>
    </row>
    <row r="1164" spans="4:20" ht="15.75" customHeight="1" x14ac:dyDescent="0.2">
      <c r="D1164" t="s">
        <v>285</v>
      </c>
      <c r="E1164" t="s">
        <v>392</v>
      </c>
      <c r="F1164">
        <v>9</v>
      </c>
      <c r="P1164" t="s">
        <v>404</v>
      </c>
      <c r="Q1164">
        <v>46</v>
      </c>
      <c r="R1164" t="s">
        <v>289</v>
      </c>
      <c r="S1164" t="s">
        <v>5</v>
      </c>
      <c r="T1164">
        <v>0</v>
      </c>
    </row>
    <row r="1165" spans="4:20" ht="15.75" customHeight="1" x14ac:dyDescent="0.2">
      <c r="D1165" t="s">
        <v>285</v>
      </c>
      <c r="E1165" t="s">
        <v>392</v>
      </c>
      <c r="F1165">
        <v>9</v>
      </c>
      <c r="P1165" t="s">
        <v>404</v>
      </c>
      <c r="Q1165">
        <v>46</v>
      </c>
      <c r="R1165" t="s">
        <v>290</v>
      </c>
      <c r="S1165" t="s">
        <v>3</v>
      </c>
      <c r="T1165">
        <v>0</v>
      </c>
    </row>
    <row r="1166" spans="4:20" ht="15.75" customHeight="1" x14ac:dyDescent="0.2">
      <c r="D1166" t="s">
        <v>285</v>
      </c>
      <c r="E1166" t="s">
        <v>392</v>
      </c>
      <c r="F1166">
        <v>9</v>
      </c>
      <c r="P1166" t="s">
        <v>404</v>
      </c>
      <c r="Q1166">
        <v>46</v>
      </c>
      <c r="R1166" t="s">
        <v>291</v>
      </c>
      <c r="S1166" t="s">
        <v>4</v>
      </c>
      <c r="T1166">
        <v>0</v>
      </c>
    </row>
    <row r="1167" spans="4:20" ht="15.75" customHeight="1" x14ac:dyDescent="0.2">
      <c r="D1167" t="s">
        <v>285</v>
      </c>
      <c r="E1167" t="s">
        <v>392</v>
      </c>
      <c r="F1167">
        <v>9</v>
      </c>
      <c r="P1167" t="s">
        <v>404</v>
      </c>
      <c r="Q1167">
        <v>46</v>
      </c>
      <c r="R1167" t="s">
        <v>292</v>
      </c>
      <c r="S1167" t="s">
        <v>6</v>
      </c>
      <c r="T1167">
        <v>0</v>
      </c>
    </row>
    <row r="1168" spans="4:20" ht="15.75" customHeight="1" x14ac:dyDescent="0.2">
      <c r="D1168" t="s">
        <v>285</v>
      </c>
      <c r="E1168" t="s">
        <v>392</v>
      </c>
      <c r="F1168">
        <v>9</v>
      </c>
      <c r="P1168" t="s">
        <v>404</v>
      </c>
      <c r="Q1168">
        <v>46</v>
      </c>
      <c r="R1168" t="s">
        <v>243</v>
      </c>
      <c r="S1168" t="s">
        <v>7</v>
      </c>
      <c r="T1168">
        <v>1</v>
      </c>
    </row>
    <row r="1169" spans="4:20" ht="15.75" customHeight="1" x14ac:dyDescent="0.2">
      <c r="D1169" t="s">
        <v>285</v>
      </c>
      <c r="E1169" t="s">
        <v>392</v>
      </c>
      <c r="F1169">
        <v>9</v>
      </c>
      <c r="P1169" t="s">
        <v>404</v>
      </c>
      <c r="Q1169">
        <v>46</v>
      </c>
      <c r="R1169" t="s">
        <v>245</v>
      </c>
      <c r="S1169" t="s">
        <v>8</v>
      </c>
      <c r="T1169">
        <v>4.7549000000000001</v>
      </c>
    </row>
    <row r="1170" spans="4:20" ht="15.75" customHeight="1" x14ac:dyDescent="0.2">
      <c r="D1170" t="s">
        <v>285</v>
      </c>
      <c r="E1170" t="s">
        <v>392</v>
      </c>
      <c r="F1170">
        <v>9</v>
      </c>
      <c r="P1170" t="s">
        <v>404</v>
      </c>
      <c r="Q1170">
        <v>46</v>
      </c>
      <c r="R1170" t="s">
        <v>247</v>
      </c>
      <c r="S1170" t="s">
        <v>9</v>
      </c>
      <c r="T1170">
        <v>8.9999999999999998E-4</v>
      </c>
    </row>
    <row r="1171" spans="4:20" ht="15.75" customHeight="1" x14ac:dyDescent="0.2">
      <c r="D1171" t="s">
        <v>285</v>
      </c>
      <c r="E1171" t="s">
        <v>392</v>
      </c>
      <c r="F1171">
        <v>9</v>
      </c>
      <c r="P1171" t="s">
        <v>404</v>
      </c>
      <c r="Q1171">
        <v>46</v>
      </c>
      <c r="R1171" t="s">
        <v>249</v>
      </c>
      <c r="S1171" t="s">
        <v>10</v>
      </c>
      <c r="T1171">
        <v>3</v>
      </c>
    </row>
    <row r="1172" spans="4:20" ht="15.75" customHeight="1" x14ac:dyDescent="0.2">
      <c r="D1172" t="s">
        <v>285</v>
      </c>
      <c r="E1172" t="s">
        <v>392</v>
      </c>
      <c r="F1172">
        <v>9</v>
      </c>
      <c r="P1172" t="s">
        <v>404</v>
      </c>
      <c r="Q1172">
        <v>46</v>
      </c>
      <c r="R1172" t="s">
        <v>251</v>
      </c>
      <c r="S1172" t="s">
        <v>11</v>
      </c>
      <c r="T1172">
        <v>3</v>
      </c>
    </row>
    <row r="1173" spans="4:20" ht="15.75" customHeight="1" x14ac:dyDescent="0.2">
      <c r="D1173" t="s">
        <v>285</v>
      </c>
      <c r="E1173" t="s">
        <v>392</v>
      </c>
      <c r="F1173">
        <v>9</v>
      </c>
      <c r="P1173" t="s">
        <v>404</v>
      </c>
      <c r="Q1173">
        <v>46</v>
      </c>
      <c r="R1173" t="s">
        <v>253</v>
      </c>
      <c r="S1173" t="s">
        <v>12</v>
      </c>
      <c r="T1173">
        <v>4.7549000000000001</v>
      </c>
    </row>
    <row r="1174" spans="4:20" ht="15.75" customHeight="1" x14ac:dyDescent="0.2">
      <c r="D1174" t="s">
        <v>285</v>
      </c>
      <c r="E1174" t="s">
        <v>392</v>
      </c>
      <c r="F1174">
        <v>9</v>
      </c>
      <c r="P1174" t="s">
        <v>404</v>
      </c>
      <c r="Q1174">
        <v>46</v>
      </c>
      <c r="R1174" t="s">
        <v>255</v>
      </c>
      <c r="S1174" t="s">
        <v>15</v>
      </c>
      <c r="T1174">
        <v>5</v>
      </c>
    </row>
    <row r="1175" spans="4:20" ht="15.75" customHeight="1" x14ac:dyDescent="0.2">
      <c r="D1175" t="s">
        <v>285</v>
      </c>
      <c r="E1175" t="s">
        <v>392</v>
      </c>
      <c r="F1175">
        <v>9</v>
      </c>
      <c r="P1175" t="s">
        <v>404</v>
      </c>
      <c r="Q1175">
        <v>46</v>
      </c>
      <c r="R1175" t="s">
        <v>293</v>
      </c>
      <c r="S1175" t="s">
        <v>13</v>
      </c>
      <c r="T1175">
        <v>1</v>
      </c>
    </row>
    <row r="1176" spans="4:20" ht="15.75" customHeight="1" x14ac:dyDescent="0.2">
      <c r="D1176" t="s">
        <v>285</v>
      </c>
      <c r="E1176" t="s">
        <v>392</v>
      </c>
      <c r="F1176">
        <v>9</v>
      </c>
      <c r="P1176" t="s">
        <v>404</v>
      </c>
      <c r="Q1176">
        <v>46</v>
      </c>
      <c r="R1176" t="s">
        <v>294</v>
      </c>
      <c r="S1176" t="s">
        <v>14</v>
      </c>
      <c r="T1176">
        <v>0</v>
      </c>
    </row>
    <row r="1177" spans="4:20" ht="15.75" customHeight="1" x14ac:dyDescent="0.2">
      <c r="D1177" t="s">
        <v>285</v>
      </c>
      <c r="E1177" t="s">
        <v>392</v>
      </c>
      <c r="F1177">
        <v>9</v>
      </c>
      <c r="P1177" t="s">
        <v>404</v>
      </c>
      <c r="Q1177">
        <v>46</v>
      </c>
      <c r="R1177" t="s">
        <v>257</v>
      </c>
      <c r="S1177" t="s">
        <v>16</v>
      </c>
      <c r="T1177">
        <v>80.537099999999995</v>
      </c>
    </row>
    <row r="1178" spans="4:20" ht="15.75" customHeight="1" x14ac:dyDescent="0.2">
      <c r="D1178" t="s">
        <v>285</v>
      </c>
      <c r="E1178" t="s">
        <v>392</v>
      </c>
      <c r="F1178">
        <v>9</v>
      </c>
      <c r="P1178" t="s">
        <v>404</v>
      </c>
      <c r="Q1178">
        <v>46</v>
      </c>
      <c r="R1178" t="s">
        <v>295</v>
      </c>
      <c r="S1178" t="s">
        <v>17</v>
      </c>
      <c r="T1178">
        <v>0</v>
      </c>
    </row>
    <row r="1179" spans="4:20" ht="15.75" customHeight="1" x14ac:dyDescent="0.2">
      <c r="D1179" t="s">
        <v>285</v>
      </c>
      <c r="E1179" t="s">
        <v>392</v>
      </c>
      <c r="F1179">
        <v>9</v>
      </c>
      <c r="P1179" t="s">
        <v>404</v>
      </c>
      <c r="Q1179">
        <v>46</v>
      </c>
      <c r="R1179" t="s">
        <v>296</v>
      </c>
      <c r="S1179" t="s">
        <v>1</v>
      </c>
      <c r="T1179">
        <v>1</v>
      </c>
    </row>
    <row r="1180" spans="4:20" ht="15.75" customHeight="1" x14ac:dyDescent="0.2">
      <c r="D1180" t="s">
        <v>285</v>
      </c>
      <c r="E1180" t="s">
        <v>392</v>
      </c>
      <c r="F1180">
        <v>9</v>
      </c>
      <c r="P1180" t="s">
        <v>404</v>
      </c>
      <c r="Q1180">
        <v>46</v>
      </c>
      <c r="R1180" t="s">
        <v>297</v>
      </c>
      <c r="S1180" t="s">
        <v>18</v>
      </c>
      <c r="T1180">
        <v>1</v>
      </c>
    </row>
    <row r="1181" spans="4:20" ht="15.75" customHeight="1" x14ac:dyDescent="0.2">
      <c r="D1181" t="s">
        <v>285</v>
      </c>
      <c r="E1181" t="s">
        <v>392</v>
      </c>
      <c r="F1181">
        <v>9</v>
      </c>
      <c r="P1181" t="s">
        <v>404</v>
      </c>
      <c r="Q1181">
        <v>46</v>
      </c>
      <c r="R1181" t="s">
        <v>298</v>
      </c>
      <c r="S1181" t="s">
        <v>19</v>
      </c>
      <c r="T1181">
        <v>0</v>
      </c>
    </row>
    <row r="1182" spans="4:20" ht="15.75" customHeight="1" x14ac:dyDescent="0.2">
      <c r="D1182" t="s">
        <v>285</v>
      </c>
      <c r="E1182" t="s">
        <v>392</v>
      </c>
      <c r="F1182">
        <v>9</v>
      </c>
      <c r="P1182" t="s">
        <v>404</v>
      </c>
      <c r="Q1182">
        <v>46</v>
      </c>
      <c r="R1182" t="s">
        <v>299</v>
      </c>
      <c r="S1182" t="s">
        <v>20</v>
      </c>
      <c r="T1182">
        <v>0</v>
      </c>
    </row>
    <row r="1183" spans="4:20" ht="15.75" customHeight="1" x14ac:dyDescent="0.2">
      <c r="D1183" t="s">
        <v>285</v>
      </c>
      <c r="E1183" t="s">
        <v>392</v>
      </c>
      <c r="F1183">
        <v>9</v>
      </c>
      <c r="P1183" t="s">
        <v>405</v>
      </c>
      <c r="Q1183">
        <v>47</v>
      </c>
      <c r="R1183" t="s">
        <v>288</v>
      </c>
      <c r="S1183" t="s">
        <v>2</v>
      </c>
      <c r="T1183">
        <v>0</v>
      </c>
    </row>
    <row r="1184" spans="4:20" ht="15.75" customHeight="1" x14ac:dyDescent="0.2">
      <c r="D1184" t="s">
        <v>285</v>
      </c>
      <c r="E1184" t="s">
        <v>392</v>
      </c>
      <c r="F1184">
        <v>9</v>
      </c>
      <c r="P1184" t="s">
        <v>405</v>
      </c>
      <c r="Q1184">
        <v>47</v>
      </c>
      <c r="R1184" t="s">
        <v>289</v>
      </c>
      <c r="S1184" t="s">
        <v>5</v>
      </c>
      <c r="T1184">
        <v>0</v>
      </c>
    </row>
    <row r="1185" spans="4:20" ht="15.75" customHeight="1" x14ac:dyDescent="0.2">
      <c r="D1185" t="s">
        <v>285</v>
      </c>
      <c r="E1185" t="s">
        <v>392</v>
      </c>
      <c r="F1185">
        <v>9</v>
      </c>
      <c r="P1185" t="s">
        <v>405</v>
      </c>
      <c r="Q1185">
        <v>47</v>
      </c>
      <c r="R1185" t="s">
        <v>290</v>
      </c>
      <c r="S1185" t="s">
        <v>3</v>
      </c>
      <c r="T1185">
        <v>1</v>
      </c>
    </row>
    <row r="1186" spans="4:20" ht="15.75" customHeight="1" x14ac:dyDescent="0.2">
      <c r="D1186" t="s">
        <v>285</v>
      </c>
      <c r="E1186" t="s">
        <v>392</v>
      </c>
      <c r="F1186">
        <v>9</v>
      </c>
      <c r="P1186" t="s">
        <v>405</v>
      </c>
      <c r="Q1186">
        <v>47</v>
      </c>
      <c r="R1186" t="s">
        <v>291</v>
      </c>
      <c r="S1186" t="s">
        <v>4</v>
      </c>
      <c r="T1186">
        <v>2</v>
      </c>
    </row>
    <row r="1187" spans="4:20" ht="15.75" customHeight="1" x14ac:dyDescent="0.2">
      <c r="D1187" t="s">
        <v>285</v>
      </c>
      <c r="E1187" t="s">
        <v>392</v>
      </c>
      <c r="F1187">
        <v>9</v>
      </c>
      <c r="P1187" t="s">
        <v>405</v>
      </c>
      <c r="Q1187">
        <v>47</v>
      </c>
      <c r="R1187" t="s">
        <v>292</v>
      </c>
      <c r="S1187" t="s">
        <v>6</v>
      </c>
      <c r="T1187">
        <v>0</v>
      </c>
    </row>
    <row r="1188" spans="4:20" ht="15.75" customHeight="1" x14ac:dyDescent="0.2">
      <c r="D1188" t="s">
        <v>285</v>
      </c>
      <c r="E1188" t="s">
        <v>392</v>
      </c>
      <c r="F1188">
        <v>9</v>
      </c>
      <c r="P1188" t="s">
        <v>405</v>
      </c>
      <c r="Q1188">
        <v>47</v>
      </c>
      <c r="R1188" t="s">
        <v>243</v>
      </c>
      <c r="S1188" t="s">
        <v>7</v>
      </c>
      <c r="T1188">
        <v>2.5</v>
      </c>
    </row>
    <row r="1189" spans="4:20" ht="15.75" customHeight="1" x14ac:dyDescent="0.2">
      <c r="D1189" t="s">
        <v>285</v>
      </c>
      <c r="E1189" t="s">
        <v>392</v>
      </c>
      <c r="F1189">
        <v>9</v>
      </c>
      <c r="P1189" t="s">
        <v>405</v>
      </c>
      <c r="Q1189">
        <v>47</v>
      </c>
      <c r="R1189" t="s">
        <v>245</v>
      </c>
      <c r="S1189" t="s">
        <v>8</v>
      </c>
      <c r="T1189">
        <v>49.128700000000002</v>
      </c>
    </row>
    <row r="1190" spans="4:20" ht="15.75" customHeight="1" x14ac:dyDescent="0.2">
      <c r="D1190" t="s">
        <v>285</v>
      </c>
      <c r="E1190" t="s">
        <v>392</v>
      </c>
      <c r="F1190">
        <v>9</v>
      </c>
      <c r="P1190" t="s">
        <v>405</v>
      </c>
      <c r="Q1190">
        <v>47</v>
      </c>
      <c r="R1190" t="s">
        <v>247</v>
      </c>
      <c r="S1190" t="s">
        <v>9</v>
      </c>
      <c r="T1190">
        <v>4.4999999999999997E-3</v>
      </c>
    </row>
    <row r="1191" spans="4:20" ht="15.75" customHeight="1" x14ac:dyDescent="0.2">
      <c r="D1191" t="s">
        <v>285</v>
      </c>
      <c r="E1191" t="s">
        <v>392</v>
      </c>
      <c r="F1191">
        <v>9</v>
      </c>
      <c r="P1191" t="s">
        <v>405</v>
      </c>
      <c r="Q1191">
        <v>47</v>
      </c>
      <c r="R1191" t="s">
        <v>249</v>
      </c>
      <c r="S1191" t="s">
        <v>10</v>
      </c>
      <c r="T1191">
        <v>7</v>
      </c>
    </row>
    <row r="1192" spans="4:20" ht="15.75" customHeight="1" x14ac:dyDescent="0.2">
      <c r="D1192" t="s">
        <v>285</v>
      </c>
      <c r="E1192" t="s">
        <v>392</v>
      </c>
      <c r="F1192">
        <v>9</v>
      </c>
      <c r="P1192" t="s">
        <v>405</v>
      </c>
      <c r="Q1192">
        <v>47</v>
      </c>
      <c r="R1192" t="s">
        <v>251</v>
      </c>
      <c r="S1192" t="s">
        <v>11</v>
      </c>
      <c r="T1192">
        <v>7</v>
      </c>
    </row>
    <row r="1193" spans="4:20" ht="15.75" customHeight="1" x14ac:dyDescent="0.2">
      <c r="D1193" t="s">
        <v>285</v>
      </c>
      <c r="E1193" t="s">
        <v>392</v>
      </c>
      <c r="F1193">
        <v>9</v>
      </c>
      <c r="P1193" t="s">
        <v>405</v>
      </c>
      <c r="Q1193">
        <v>47</v>
      </c>
      <c r="R1193" t="s">
        <v>253</v>
      </c>
      <c r="S1193" t="s">
        <v>12</v>
      </c>
      <c r="T1193">
        <v>19.651499999999999</v>
      </c>
    </row>
    <row r="1194" spans="4:20" ht="15.75" customHeight="1" x14ac:dyDescent="0.2">
      <c r="D1194" t="s">
        <v>285</v>
      </c>
      <c r="E1194" t="s">
        <v>392</v>
      </c>
      <c r="F1194">
        <v>9</v>
      </c>
      <c r="P1194" t="s">
        <v>405</v>
      </c>
      <c r="Q1194">
        <v>47</v>
      </c>
      <c r="R1194" t="s">
        <v>255</v>
      </c>
      <c r="S1194" t="s">
        <v>15</v>
      </c>
      <c r="T1194">
        <v>6</v>
      </c>
    </row>
    <row r="1195" spans="4:20" ht="15.75" customHeight="1" x14ac:dyDescent="0.2">
      <c r="D1195" t="s">
        <v>285</v>
      </c>
      <c r="E1195" t="s">
        <v>392</v>
      </c>
      <c r="F1195">
        <v>9</v>
      </c>
      <c r="P1195" t="s">
        <v>405</v>
      </c>
      <c r="Q1195">
        <v>47</v>
      </c>
      <c r="R1195" t="s">
        <v>293</v>
      </c>
      <c r="S1195" t="s">
        <v>13</v>
      </c>
      <c r="T1195">
        <v>1</v>
      </c>
    </row>
    <row r="1196" spans="4:20" ht="15.75" customHeight="1" x14ac:dyDescent="0.2">
      <c r="D1196" t="s">
        <v>285</v>
      </c>
      <c r="E1196" t="s">
        <v>392</v>
      </c>
      <c r="F1196">
        <v>9</v>
      </c>
      <c r="P1196" t="s">
        <v>405</v>
      </c>
      <c r="Q1196">
        <v>47</v>
      </c>
      <c r="R1196" t="s">
        <v>294</v>
      </c>
      <c r="S1196" t="s">
        <v>14</v>
      </c>
      <c r="T1196">
        <v>0</v>
      </c>
    </row>
    <row r="1197" spans="4:20" ht="15.75" customHeight="1" x14ac:dyDescent="0.2">
      <c r="D1197" t="s">
        <v>285</v>
      </c>
      <c r="E1197" t="s">
        <v>392</v>
      </c>
      <c r="F1197">
        <v>9</v>
      </c>
      <c r="P1197" t="s">
        <v>405</v>
      </c>
      <c r="Q1197">
        <v>47</v>
      </c>
      <c r="R1197" t="s">
        <v>257</v>
      </c>
      <c r="S1197" t="s">
        <v>16</v>
      </c>
      <c r="T1197">
        <v>74.071600000000004</v>
      </c>
    </row>
    <row r="1198" spans="4:20" ht="15.75" customHeight="1" x14ac:dyDescent="0.2">
      <c r="D1198" t="s">
        <v>285</v>
      </c>
      <c r="E1198" t="s">
        <v>392</v>
      </c>
      <c r="F1198">
        <v>9</v>
      </c>
      <c r="P1198" t="s">
        <v>405</v>
      </c>
      <c r="Q1198">
        <v>47</v>
      </c>
      <c r="R1198" t="s">
        <v>295</v>
      </c>
      <c r="S1198" t="s">
        <v>17</v>
      </c>
      <c r="T1198">
        <v>0</v>
      </c>
    </row>
    <row r="1199" spans="4:20" ht="15.75" customHeight="1" x14ac:dyDescent="0.2">
      <c r="D1199" t="s">
        <v>285</v>
      </c>
      <c r="E1199" t="s">
        <v>392</v>
      </c>
      <c r="F1199">
        <v>9</v>
      </c>
      <c r="P1199" t="s">
        <v>405</v>
      </c>
      <c r="Q1199">
        <v>47</v>
      </c>
      <c r="R1199" t="s">
        <v>296</v>
      </c>
      <c r="S1199" t="s">
        <v>1</v>
      </c>
      <c r="T1199">
        <v>1</v>
      </c>
    </row>
    <row r="1200" spans="4:20" ht="15.75" customHeight="1" x14ac:dyDescent="0.2">
      <c r="D1200" t="s">
        <v>285</v>
      </c>
      <c r="E1200" t="s">
        <v>392</v>
      </c>
      <c r="F1200">
        <v>9</v>
      </c>
      <c r="P1200" t="s">
        <v>405</v>
      </c>
      <c r="Q1200">
        <v>47</v>
      </c>
      <c r="R1200" t="s">
        <v>297</v>
      </c>
      <c r="S1200" t="s">
        <v>18</v>
      </c>
      <c r="T1200">
        <v>2</v>
      </c>
    </row>
    <row r="1201" spans="4:20" ht="15.75" customHeight="1" x14ac:dyDescent="0.2">
      <c r="D1201" t="s">
        <v>285</v>
      </c>
      <c r="E1201" t="s">
        <v>392</v>
      </c>
      <c r="F1201">
        <v>9</v>
      </c>
      <c r="P1201" t="s">
        <v>405</v>
      </c>
      <c r="Q1201">
        <v>47</v>
      </c>
      <c r="R1201" t="s">
        <v>298</v>
      </c>
      <c r="S1201" t="s">
        <v>19</v>
      </c>
      <c r="T1201">
        <v>0</v>
      </c>
    </row>
    <row r="1202" spans="4:20" ht="15.75" customHeight="1" x14ac:dyDescent="0.2">
      <c r="D1202" t="s">
        <v>285</v>
      </c>
      <c r="E1202" t="s">
        <v>392</v>
      </c>
      <c r="F1202">
        <v>9</v>
      </c>
      <c r="P1202" t="s">
        <v>405</v>
      </c>
      <c r="Q1202">
        <v>47</v>
      </c>
      <c r="R1202" t="s">
        <v>299</v>
      </c>
      <c r="S1202" t="s">
        <v>20</v>
      </c>
      <c r="T1202">
        <v>0</v>
      </c>
    </row>
    <row r="1203" spans="4:20" ht="15.75" customHeight="1" x14ac:dyDescent="0.2">
      <c r="D1203" t="s">
        <v>285</v>
      </c>
      <c r="E1203" t="s">
        <v>392</v>
      </c>
      <c r="F1203">
        <v>9</v>
      </c>
      <c r="P1203" t="s">
        <v>406</v>
      </c>
      <c r="Q1203">
        <v>48</v>
      </c>
      <c r="R1203" t="s">
        <v>288</v>
      </c>
      <c r="S1203" t="s">
        <v>2</v>
      </c>
      <c r="T1203">
        <v>0</v>
      </c>
    </row>
    <row r="1204" spans="4:20" ht="15.75" customHeight="1" x14ac:dyDescent="0.2">
      <c r="D1204" t="s">
        <v>285</v>
      </c>
      <c r="E1204" t="s">
        <v>392</v>
      </c>
      <c r="F1204">
        <v>9</v>
      </c>
      <c r="P1204" t="s">
        <v>406</v>
      </c>
      <c r="Q1204">
        <v>48</v>
      </c>
      <c r="R1204" t="s">
        <v>289</v>
      </c>
      <c r="S1204" t="s">
        <v>5</v>
      </c>
      <c r="T1204">
        <v>0</v>
      </c>
    </row>
    <row r="1205" spans="4:20" ht="15.75" customHeight="1" x14ac:dyDescent="0.2">
      <c r="D1205" t="s">
        <v>285</v>
      </c>
      <c r="E1205" t="s">
        <v>392</v>
      </c>
      <c r="F1205">
        <v>9</v>
      </c>
      <c r="P1205" t="s">
        <v>406</v>
      </c>
      <c r="Q1205">
        <v>48</v>
      </c>
      <c r="R1205" t="s">
        <v>290</v>
      </c>
      <c r="S1205" t="s">
        <v>3</v>
      </c>
      <c r="T1205">
        <v>0</v>
      </c>
    </row>
    <row r="1206" spans="4:20" ht="15.75" customHeight="1" x14ac:dyDescent="0.2">
      <c r="D1206" t="s">
        <v>285</v>
      </c>
      <c r="E1206" t="s">
        <v>392</v>
      </c>
      <c r="F1206">
        <v>9</v>
      </c>
      <c r="P1206" t="s">
        <v>406</v>
      </c>
      <c r="Q1206">
        <v>48</v>
      </c>
      <c r="R1206" t="s">
        <v>291</v>
      </c>
      <c r="S1206" t="s">
        <v>4</v>
      </c>
      <c r="T1206">
        <v>0</v>
      </c>
    </row>
    <row r="1207" spans="4:20" ht="15.75" customHeight="1" x14ac:dyDescent="0.2">
      <c r="D1207" t="s">
        <v>285</v>
      </c>
      <c r="E1207" t="s">
        <v>392</v>
      </c>
      <c r="F1207">
        <v>9</v>
      </c>
      <c r="P1207" t="s">
        <v>406</v>
      </c>
      <c r="Q1207">
        <v>48</v>
      </c>
      <c r="R1207" t="s">
        <v>292</v>
      </c>
      <c r="S1207" t="s">
        <v>6</v>
      </c>
      <c r="T1207">
        <v>0</v>
      </c>
    </row>
    <row r="1208" spans="4:20" ht="15.75" customHeight="1" x14ac:dyDescent="0.2">
      <c r="D1208" t="s">
        <v>285</v>
      </c>
      <c r="E1208" t="s">
        <v>392</v>
      </c>
      <c r="F1208">
        <v>9</v>
      </c>
      <c r="P1208" t="s">
        <v>406</v>
      </c>
      <c r="Q1208">
        <v>48</v>
      </c>
      <c r="R1208" t="s">
        <v>243</v>
      </c>
      <c r="S1208" t="s">
        <v>7</v>
      </c>
      <c r="T1208">
        <v>2</v>
      </c>
    </row>
    <row r="1209" spans="4:20" ht="15.75" customHeight="1" x14ac:dyDescent="0.2">
      <c r="D1209" t="s">
        <v>285</v>
      </c>
      <c r="E1209" t="s">
        <v>392</v>
      </c>
      <c r="F1209">
        <v>9</v>
      </c>
      <c r="P1209" t="s">
        <v>406</v>
      </c>
      <c r="Q1209">
        <v>48</v>
      </c>
      <c r="R1209" t="s">
        <v>245</v>
      </c>
      <c r="S1209" t="s">
        <v>8</v>
      </c>
      <c r="T1209">
        <v>23.2193</v>
      </c>
    </row>
    <row r="1210" spans="4:20" ht="15.75" customHeight="1" x14ac:dyDescent="0.2">
      <c r="D1210" t="s">
        <v>285</v>
      </c>
      <c r="E1210" t="s">
        <v>392</v>
      </c>
      <c r="F1210">
        <v>9</v>
      </c>
      <c r="P1210" t="s">
        <v>406</v>
      </c>
      <c r="Q1210">
        <v>48</v>
      </c>
      <c r="R1210" t="s">
        <v>247</v>
      </c>
      <c r="S1210" t="s">
        <v>9</v>
      </c>
      <c r="T1210">
        <v>2.7000000000000001E-3</v>
      </c>
    </row>
    <row r="1211" spans="4:20" ht="15.75" customHeight="1" x14ac:dyDescent="0.2">
      <c r="D1211" t="s">
        <v>285</v>
      </c>
      <c r="E1211" t="s">
        <v>392</v>
      </c>
      <c r="F1211">
        <v>9</v>
      </c>
      <c r="P1211" t="s">
        <v>406</v>
      </c>
      <c r="Q1211">
        <v>48</v>
      </c>
      <c r="R1211" t="s">
        <v>249</v>
      </c>
      <c r="S1211" t="s">
        <v>10</v>
      </c>
      <c r="T1211">
        <v>5</v>
      </c>
    </row>
    <row r="1212" spans="4:20" ht="15.75" customHeight="1" x14ac:dyDescent="0.2">
      <c r="D1212" t="s">
        <v>285</v>
      </c>
      <c r="E1212" t="s">
        <v>392</v>
      </c>
      <c r="F1212">
        <v>9</v>
      </c>
      <c r="P1212" t="s">
        <v>406</v>
      </c>
      <c r="Q1212">
        <v>48</v>
      </c>
      <c r="R1212" t="s">
        <v>251</v>
      </c>
      <c r="S1212" t="s">
        <v>11</v>
      </c>
      <c r="T1212">
        <v>5</v>
      </c>
    </row>
    <row r="1213" spans="4:20" ht="15.75" customHeight="1" x14ac:dyDescent="0.2">
      <c r="D1213" t="s">
        <v>285</v>
      </c>
      <c r="E1213" t="s">
        <v>392</v>
      </c>
      <c r="F1213">
        <v>9</v>
      </c>
      <c r="P1213" t="s">
        <v>406</v>
      </c>
      <c r="Q1213">
        <v>48</v>
      </c>
      <c r="R1213" t="s">
        <v>253</v>
      </c>
      <c r="S1213" t="s">
        <v>12</v>
      </c>
      <c r="T1213">
        <v>11.6096</v>
      </c>
    </row>
    <row r="1214" spans="4:20" ht="15.75" customHeight="1" x14ac:dyDescent="0.2">
      <c r="D1214" t="s">
        <v>285</v>
      </c>
      <c r="E1214" t="s">
        <v>392</v>
      </c>
      <c r="F1214">
        <v>9</v>
      </c>
      <c r="P1214" t="s">
        <v>406</v>
      </c>
      <c r="Q1214">
        <v>48</v>
      </c>
      <c r="R1214" t="s">
        <v>255</v>
      </c>
      <c r="S1214" t="s">
        <v>15</v>
      </c>
      <c r="T1214">
        <v>5</v>
      </c>
    </row>
    <row r="1215" spans="4:20" ht="15.75" customHeight="1" x14ac:dyDescent="0.2">
      <c r="D1215" t="s">
        <v>285</v>
      </c>
      <c r="E1215" t="s">
        <v>392</v>
      </c>
      <c r="F1215">
        <v>9</v>
      </c>
      <c r="P1215" t="s">
        <v>406</v>
      </c>
      <c r="Q1215">
        <v>48</v>
      </c>
      <c r="R1215" t="s">
        <v>293</v>
      </c>
      <c r="S1215" t="s">
        <v>13</v>
      </c>
      <c r="T1215">
        <v>1</v>
      </c>
    </row>
    <row r="1216" spans="4:20" ht="15.75" customHeight="1" x14ac:dyDescent="0.2">
      <c r="D1216" t="s">
        <v>285</v>
      </c>
      <c r="E1216" t="s">
        <v>392</v>
      </c>
      <c r="F1216">
        <v>9</v>
      </c>
      <c r="P1216" t="s">
        <v>406</v>
      </c>
      <c r="Q1216">
        <v>48</v>
      </c>
      <c r="R1216" t="s">
        <v>294</v>
      </c>
      <c r="S1216" t="s">
        <v>14</v>
      </c>
      <c r="T1216">
        <v>0</v>
      </c>
    </row>
    <row r="1217" spans="4:20" ht="15.75" customHeight="1" x14ac:dyDescent="0.2">
      <c r="D1217" t="s">
        <v>285</v>
      </c>
      <c r="E1217" t="s">
        <v>392</v>
      </c>
      <c r="F1217">
        <v>9</v>
      </c>
      <c r="P1217" t="s">
        <v>406</v>
      </c>
      <c r="Q1217">
        <v>48</v>
      </c>
      <c r="R1217" t="s">
        <v>257</v>
      </c>
      <c r="S1217" t="s">
        <v>16</v>
      </c>
      <c r="T1217">
        <v>77.460800000000006</v>
      </c>
    </row>
    <row r="1218" spans="4:20" ht="15.75" customHeight="1" x14ac:dyDescent="0.2">
      <c r="D1218" t="s">
        <v>285</v>
      </c>
      <c r="E1218" t="s">
        <v>392</v>
      </c>
      <c r="F1218">
        <v>9</v>
      </c>
      <c r="P1218" t="s">
        <v>406</v>
      </c>
      <c r="Q1218">
        <v>48</v>
      </c>
      <c r="R1218" t="s">
        <v>295</v>
      </c>
      <c r="S1218" t="s">
        <v>17</v>
      </c>
      <c r="T1218">
        <v>0</v>
      </c>
    </row>
    <row r="1219" spans="4:20" ht="15.75" customHeight="1" x14ac:dyDescent="0.2">
      <c r="D1219" t="s">
        <v>285</v>
      </c>
      <c r="E1219" t="s">
        <v>392</v>
      </c>
      <c r="F1219">
        <v>9</v>
      </c>
      <c r="P1219" t="s">
        <v>406</v>
      </c>
      <c r="Q1219">
        <v>48</v>
      </c>
      <c r="R1219" t="s">
        <v>296</v>
      </c>
      <c r="S1219" t="s">
        <v>1</v>
      </c>
      <c r="T1219">
        <v>1</v>
      </c>
    </row>
    <row r="1220" spans="4:20" ht="15.75" customHeight="1" x14ac:dyDescent="0.2">
      <c r="D1220" t="s">
        <v>285</v>
      </c>
      <c r="E1220" t="s">
        <v>392</v>
      </c>
      <c r="F1220">
        <v>9</v>
      </c>
      <c r="P1220" t="s">
        <v>406</v>
      </c>
      <c r="Q1220">
        <v>48</v>
      </c>
      <c r="R1220" t="s">
        <v>297</v>
      </c>
      <c r="S1220" t="s">
        <v>18</v>
      </c>
      <c r="T1220">
        <v>1</v>
      </c>
    </row>
    <row r="1221" spans="4:20" ht="15.75" customHeight="1" x14ac:dyDescent="0.2">
      <c r="D1221" t="s">
        <v>285</v>
      </c>
      <c r="E1221" t="s">
        <v>392</v>
      </c>
      <c r="F1221">
        <v>9</v>
      </c>
      <c r="P1221" t="s">
        <v>406</v>
      </c>
      <c r="Q1221">
        <v>48</v>
      </c>
      <c r="R1221" t="s">
        <v>298</v>
      </c>
      <c r="S1221" t="s">
        <v>19</v>
      </c>
      <c r="T1221">
        <v>0</v>
      </c>
    </row>
    <row r="1222" spans="4:20" ht="15.75" customHeight="1" x14ac:dyDescent="0.2">
      <c r="D1222" t="s">
        <v>285</v>
      </c>
      <c r="E1222" t="s">
        <v>392</v>
      </c>
      <c r="F1222">
        <v>9</v>
      </c>
      <c r="P1222" t="s">
        <v>406</v>
      </c>
      <c r="Q1222">
        <v>48</v>
      </c>
      <c r="R1222" t="s">
        <v>299</v>
      </c>
      <c r="S1222" t="s">
        <v>20</v>
      </c>
      <c r="T1222">
        <v>0</v>
      </c>
    </row>
    <row r="1223" spans="4:20" ht="15.75" customHeight="1" x14ac:dyDescent="0.2">
      <c r="D1223" t="s">
        <v>285</v>
      </c>
      <c r="E1223" t="s">
        <v>392</v>
      </c>
      <c r="F1223">
        <v>9</v>
      </c>
      <c r="P1223" t="s">
        <v>376</v>
      </c>
      <c r="Q1223">
        <v>49</v>
      </c>
      <c r="R1223" t="s">
        <v>288</v>
      </c>
      <c r="S1223" t="s">
        <v>2</v>
      </c>
      <c r="T1223">
        <v>0</v>
      </c>
    </row>
    <row r="1224" spans="4:20" ht="15.75" customHeight="1" x14ac:dyDescent="0.2">
      <c r="D1224" t="s">
        <v>285</v>
      </c>
      <c r="E1224" t="s">
        <v>392</v>
      </c>
      <c r="F1224">
        <v>9</v>
      </c>
      <c r="P1224" t="s">
        <v>376</v>
      </c>
      <c r="Q1224">
        <v>49</v>
      </c>
      <c r="R1224" t="s">
        <v>289</v>
      </c>
      <c r="S1224" t="s">
        <v>5</v>
      </c>
      <c r="T1224">
        <v>0</v>
      </c>
    </row>
    <row r="1225" spans="4:20" ht="15.75" customHeight="1" x14ac:dyDescent="0.2">
      <c r="D1225" t="s">
        <v>285</v>
      </c>
      <c r="E1225" t="s">
        <v>392</v>
      </c>
      <c r="F1225">
        <v>9</v>
      </c>
      <c r="P1225" t="s">
        <v>376</v>
      </c>
      <c r="Q1225">
        <v>49</v>
      </c>
      <c r="R1225" t="s">
        <v>290</v>
      </c>
      <c r="S1225" t="s">
        <v>3</v>
      </c>
      <c r="T1225">
        <v>0</v>
      </c>
    </row>
    <row r="1226" spans="4:20" ht="15.75" customHeight="1" x14ac:dyDescent="0.2">
      <c r="D1226" t="s">
        <v>285</v>
      </c>
      <c r="E1226" t="s">
        <v>392</v>
      </c>
      <c r="F1226">
        <v>9</v>
      </c>
      <c r="P1226" t="s">
        <v>376</v>
      </c>
      <c r="Q1226">
        <v>49</v>
      </c>
      <c r="R1226" t="s">
        <v>291</v>
      </c>
      <c r="S1226" t="s">
        <v>4</v>
      </c>
      <c r="T1226">
        <v>0</v>
      </c>
    </row>
    <row r="1227" spans="4:20" ht="15.75" customHeight="1" x14ac:dyDescent="0.2">
      <c r="D1227" t="s">
        <v>285</v>
      </c>
      <c r="E1227" t="s">
        <v>392</v>
      </c>
      <c r="F1227">
        <v>9</v>
      </c>
      <c r="P1227" t="s">
        <v>376</v>
      </c>
      <c r="Q1227">
        <v>49</v>
      </c>
      <c r="R1227" t="s">
        <v>292</v>
      </c>
      <c r="S1227" t="s">
        <v>6</v>
      </c>
      <c r="T1227">
        <v>0</v>
      </c>
    </row>
    <row r="1228" spans="4:20" ht="15.75" customHeight="1" x14ac:dyDescent="0.2">
      <c r="D1228" t="s">
        <v>285</v>
      </c>
      <c r="E1228" t="s">
        <v>392</v>
      </c>
      <c r="F1228">
        <v>9</v>
      </c>
      <c r="P1228" t="s">
        <v>376</v>
      </c>
      <c r="Q1228">
        <v>49</v>
      </c>
      <c r="R1228" t="s">
        <v>243</v>
      </c>
      <c r="S1228" t="s">
        <v>7</v>
      </c>
      <c r="T1228">
        <v>2</v>
      </c>
    </row>
    <row r="1229" spans="4:20" ht="15.75" customHeight="1" x14ac:dyDescent="0.2">
      <c r="D1229" t="s">
        <v>285</v>
      </c>
      <c r="E1229" t="s">
        <v>392</v>
      </c>
      <c r="F1229">
        <v>9</v>
      </c>
      <c r="P1229" t="s">
        <v>376</v>
      </c>
      <c r="Q1229">
        <v>49</v>
      </c>
      <c r="R1229" t="s">
        <v>245</v>
      </c>
      <c r="S1229" t="s">
        <v>8</v>
      </c>
      <c r="T1229">
        <v>23.2193</v>
      </c>
    </row>
    <row r="1230" spans="4:20" ht="15.75" customHeight="1" x14ac:dyDescent="0.2">
      <c r="D1230" t="s">
        <v>285</v>
      </c>
      <c r="E1230" t="s">
        <v>392</v>
      </c>
      <c r="F1230">
        <v>9</v>
      </c>
      <c r="P1230" t="s">
        <v>376</v>
      </c>
      <c r="Q1230">
        <v>49</v>
      </c>
      <c r="R1230" t="s">
        <v>247</v>
      </c>
      <c r="S1230" t="s">
        <v>9</v>
      </c>
      <c r="T1230">
        <v>2.7000000000000001E-3</v>
      </c>
    </row>
    <row r="1231" spans="4:20" ht="15.75" customHeight="1" x14ac:dyDescent="0.2">
      <c r="D1231" t="s">
        <v>285</v>
      </c>
      <c r="E1231" t="s">
        <v>392</v>
      </c>
      <c r="F1231">
        <v>9</v>
      </c>
      <c r="P1231" t="s">
        <v>376</v>
      </c>
      <c r="Q1231">
        <v>49</v>
      </c>
      <c r="R1231" t="s">
        <v>249</v>
      </c>
      <c r="S1231" t="s">
        <v>10</v>
      </c>
      <c r="T1231">
        <v>5</v>
      </c>
    </row>
    <row r="1232" spans="4:20" ht="15.75" customHeight="1" x14ac:dyDescent="0.2">
      <c r="D1232" t="s">
        <v>285</v>
      </c>
      <c r="E1232" t="s">
        <v>392</v>
      </c>
      <c r="F1232">
        <v>9</v>
      </c>
      <c r="P1232" t="s">
        <v>376</v>
      </c>
      <c r="Q1232">
        <v>49</v>
      </c>
      <c r="R1232" t="s">
        <v>251</v>
      </c>
      <c r="S1232" t="s">
        <v>11</v>
      </c>
      <c r="T1232">
        <v>5</v>
      </c>
    </row>
    <row r="1233" spans="4:20" ht="15.75" customHeight="1" x14ac:dyDescent="0.2">
      <c r="D1233" t="s">
        <v>285</v>
      </c>
      <c r="E1233" t="s">
        <v>392</v>
      </c>
      <c r="F1233">
        <v>9</v>
      </c>
      <c r="P1233" t="s">
        <v>376</v>
      </c>
      <c r="Q1233">
        <v>49</v>
      </c>
      <c r="R1233" t="s">
        <v>253</v>
      </c>
      <c r="S1233" t="s">
        <v>12</v>
      </c>
      <c r="T1233">
        <v>11.6096</v>
      </c>
    </row>
    <row r="1234" spans="4:20" ht="15.75" customHeight="1" x14ac:dyDescent="0.2">
      <c r="D1234" t="s">
        <v>285</v>
      </c>
      <c r="E1234" t="s">
        <v>392</v>
      </c>
      <c r="F1234">
        <v>9</v>
      </c>
      <c r="P1234" t="s">
        <v>376</v>
      </c>
      <c r="Q1234">
        <v>49</v>
      </c>
      <c r="R1234" t="s">
        <v>255</v>
      </c>
      <c r="S1234" t="s">
        <v>15</v>
      </c>
      <c r="T1234">
        <v>5</v>
      </c>
    </row>
    <row r="1235" spans="4:20" ht="15.75" customHeight="1" x14ac:dyDescent="0.2">
      <c r="D1235" t="s">
        <v>285</v>
      </c>
      <c r="E1235" t="s">
        <v>392</v>
      </c>
      <c r="F1235">
        <v>9</v>
      </c>
      <c r="P1235" t="s">
        <v>376</v>
      </c>
      <c r="Q1235">
        <v>49</v>
      </c>
      <c r="R1235" t="s">
        <v>293</v>
      </c>
      <c r="S1235" t="s">
        <v>13</v>
      </c>
      <c r="T1235">
        <v>1</v>
      </c>
    </row>
    <row r="1236" spans="4:20" ht="15.75" customHeight="1" x14ac:dyDescent="0.2">
      <c r="D1236" t="s">
        <v>285</v>
      </c>
      <c r="E1236" t="s">
        <v>392</v>
      </c>
      <c r="F1236">
        <v>9</v>
      </c>
      <c r="P1236" t="s">
        <v>376</v>
      </c>
      <c r="Q1236">
        <v>49</v>
      </c>
      <c r="R1236" t="s">
        <v>294</v>
      </c>
      <c r="S1236" t="s">
        <v>14</v>
      </c>
      <c r="T1236">
        <v>0</v>
      </c>
    </row>
    <row r="1237" spans="4:20" ht="15.75" customHeight="1" x14ac:dyDescent="0.2">
      <c r="D1237" t="s">
        <v>285</v>
      </c>
      <c r="E1237" t="s">
        <v>392</v>
      </c>
      <c r="F1237">
        <v>9</v>
      </c>
      <c r="P1237" t="s">
        <v>376</v>
      </c>
      <c r="Q1237">
        <v>49</v>
      </c>
      <c r="R1237" t="s">
        <v>257</v>
      </c>
      <c r="S1237" t="s">
        <v>16</v>
      </c>
      <c r="T1237">
        <v>77.460800000000006</v>
      </c>
    </row>
    <row r="1238" spans="4:20" ht="15.75" customHeight="1" x14ac:dyDescent="0.2">
      <c r="D1238" t="s">
        <v>285</v>
      </c>
      <c r="E1238" t="s">
        <v>392</v>
      </c>
      <c r="F1238">
        <v>9</v>
      </c>
      <c r="P1238" t="s">
        <v>376</v>
      </c>
      <c r="Q1238">
        <v>49</v>
      </c>
      <c r="R1238" t="s">
        <v>295</v>
      </c>
      <c r="S1238" t="s">
        <v>17</v>
      </c>
      <c r="T1238">
        <v>0</v>
      </c>
    </row>
    <row r="1239" spans="4:20" ht="15.75" customHeight="1" x14ac:dyDescent="0.2">
      <c r="D1239" t="s">
        <v>285</v>
      </c>
      <c r="E1239" t="s">
        <v>392</v>
      </c>
      <c r="F1239">
        <v>9</v>
      </c>
      <c r="P1239" t="s">
        <v>376</v>
      </c>
      <c r="Q1239">
        <v>49</v>
      </c>
      <c r="R1239" t="s">
        <v>296</v>
      </c>
      <c r="S1239" t="s">
        <v>1</v>
      </c>
      <c r="T1239">
        <v>1</v>
      </c>
    </row>
    <row r="1240" spans="4:20" ht="15.75" customHeight="1" x14ac:dyDescent="0.2">
      <c r="D1240" t="s">
        <v>285</v>
      </c>
      <c r="E1240" t="s">
        <v>392</v>
      </c>
      <c r="F1240">
        <v>9</v>
      </c>
      <c r="P1240" t="s">
        <v>376</v>
      </c>
      <c r="Q1240">
        <v>49</v>
      </c>
      <c r="R1240" t="s">
        <v>297</v>
      </c>
      <c r="S1240" t="s">
        <v>18</v>
      </c>
      <c r="T1240">
        <v>1</v>
      </c>
    </row>
    <row r="1241" spans="4:20" ht="15.75" customHeight="1" x14ac:dyDescent="0.2">
      <c r="D1241" t="s">
        <v>285</v>
      </c>
      <c r="E1241" t="s">
        <v>392</v>
      </c>
      <c r="F1241">
        <v>9</v>
      </c>
      <c r="P1241" t="s">
        <v>376</v>
      </c>
      <c r="Q1241">
        <v>49</v>
      </c>
      <c r="R1241" t="s">
        <v>298</v>
      </c>
      <c r="S1241" t="s">
        <v>19</v>
      </c>
      <c r="T1241">
        <v>0</v>
      </c>
    </row>
    <row r="1242" spans="4:20" ht="15.75" customHeight="1" x14ac:dyDescent="0.2">
      <c r="D1242" t="s">
        <v>285</v>
      </c>
      <c r="E1242" t="s">
        <v>392</v>
      </c>
      <c r="F1242">
        <v>9</v>
      </c>
      <c r="P1242" t="s">
        <v>376</v>
      </c>
      <c r="Q1242">
        <v>49</v>
      </c>
      <c r="R1242" t="s">
        <v>299</v>
      </c>
      <c r="S1242" t="s">
        <v>20</v>
      </c>
      <c r="T1242">
        <v>0</v>
      </c>
    </row>
    <row r="1243" spans="4:20" ht="15.75" customHeight="1" x14ac:dyDescent="0.2">
      <c r="D1243" t="s">
        <v>285</v>
      </c>
      <c r="E1243" t="s">
        <v>392</v>
      </c>
      <c r="F1243">
        <v>9</v>
      </c>
      <c r="P1243" t="s">
        <v>407</v>
      </c>
      <c r="Q1243">
        <v>50</v>
      </c>
      <c r="R1243" t="s">
        <v>288</v>
      </c>
      <c r="S1243" t="s">
        <v>2</v>
      </c>
      <c r="T1243">
        <v>2</v>
      </c>
    </row>
    <row r="1244" spans="4:20" ht="15.75" customHeight="1" x14ac:dyDescent="0.2">
      <c r="D1244" t="s">
        <v>285</v>
      </c>
      <c r="E1244" t="s">
        <v>392</v>
      </c>
      <c r="F1244">
        <v>9</v>
      </c>
      <c r="P1244" t="s">
        <v>407</v>
      </c>
      <c r="Q1244">
        <v>50</v>
      </c>
      <c r="R1244" t="s">
        <v>289</v>
      </c>
      <c r="S1244" t="s">
        <v>5</v>
      </c>
      <c r="T1244">
        <v>0</v>
      </c>
    </row>
    <row r="1245" spans="4:20" ht="15.75" customHeight="1" x14ac:dyDescent="0.2">
      <c r="D1245" t="s">
        <v>285</v>
      </c>
      <c r="E1245" t="s">
        <v>392</v>
      </c>
      <c r="F1245">
        <v>9</v>
      </c>
      <c r="P1245" t="s">
        <v>407</v>
      </c>
      <c r="Q1245">
        <v>50</v>
      </c>
      <c r="R1245" t="s">
        <v>290</v>
      </c>
      <c r="S1245" t="s">
        <v>3</v>
      </c>
      <c r="T1245">
        <v>0.71430000000000005</v>
      </c>
    </row>
    <row r="1246" spans="4:20" ht="15.75" customHeight="1" x14ac:dyDescent="0.2">
      <c r="D1246" t="s">
        <v>285</v>
      </c>
      <c r="E1246" t="s">
        <v>392</v>
      </c>
      <c r="F1246">
        <v>9</v>
      </c>
      <c r="P1246" t="s">
        <v>407</v>
      </c>
      <c r="Q1246">
        <v>50</v>
      </c>
      <c r="R1246" t="s">
        <v>291</v>
      </c>
      <c r="S1246" t="s">
        <v>4</v>
      </c>
      <c r="T1246">
        <v>7</v>
      </c>
    </row>
    <row r="1247" spans="4:20" ht="15.75" customHeight="1" x14ac:dyDescent="0.2">
      <c r="D1247" t="s">
        <v>285</v>
      </c>
      <c r="E1247" t="s">
        <v>392</v>
      </c>
      <c r="F1247">
        <v>9</v>
      </c>
      <c r="P1247" t="s">
        <v>407</v>
      </c>
      <c r="Q1247">
        <v>50</v>
      </c>
      <c r="R1247" t="s">
        <v>292</v>
      </c>
      <c r="S1247" t="s">
        <v>6</v>
      </c>
      <c r="T1247">
        <v>1</v>
      </c>
    </row>
    <row r="1248" spans="4:20" ht="15.75" customHeight="1" x14ac:dyDescent="0.2">
      <c r="D1248" t="s">
        <v>285</v>
      </c>
      <c r="E1248" t="s">
        <v>392</v>
      </c>
      <c r="F1248">
        <v>9</v>
      </c>
      <c r="P1248" t="s">
        <v>407</v>
      </c>
      <c r="Q1248">
        <v>50</v>
      </c>
      <c r="R1248" t="s">
        <v>243</v>
      </c>
      <c r="S1248" t="s">
        <v>7</v>
      </c>
      <c r="T1248">
        <v>14.166700000000001</v>
      </c>
    </row>
    <row r="1249" spans="4:20" ht="15.75" customHeight="1" x14ac:dyDescent="0.2">
      <c r="D1249" t="s">
        <v>285</v>
      </c>
      <c r="E1249" t="s">
        <v>392</v>
      </c>
      <c r="F1249">
        <v>9</v>
      </c>
      <c r="P1249" t="s">
        <v>407</v>
      </c>
      <c r="Q1249">
        <v>50</v>
      </c>
      <c r="R1249" t="s">
        <v>245</v>
      </c>
      <c r="S1249" t="s">
        <v>8</v>
      </c>
      <c r="T1249">
        <v>2821.6772999999998</v>
      </c>
    </row>
    <row r="1250" spans="4:20" ht="15.75" customHeight="1" x14ac:dyDescent="0.2">
      <c r="D1250" t="s">
        <v>285</v>
      </c>
      <c r="E1250" t="s">
        <v>392</v>
      </c>
      <c r="F1250">
        <v>9</v>
      </c>
      <c r="P1250" t="s">
        <v>407</v>
      </c>
      <c r="Q1250">
        <v>50</v>
      </c>
      <c r="R1250" t="s">
        <v>247</v>
      </c>
      <c r="S1250" t="s">
        <v>9</v>
      </c>
      <c r="T1250">
        <v>6.6600000000000006E-2</v>
      </c>
    </row>
    <row r="1251" spans="4:20" ht="15.75" customHeight="1" x14ac:dyDescent="0.2">
      <c r="D1251" t="s">
        <v>285</v>
      </c>
      <c r="E1251" t="s">
        <v>392</v>
      </c>
      <c r="F1251">
        <v>9</v>
      </c>
      <c r="P1251" t="s">
        <v>407</v>
      </c>
      <c r="Q1251">
        <v>50</v>
      </c>
      <c r="R1251" t="s">
        <v>249</v>
      </c>
      <c r="S1251" t="s">
        <v>10</v>
      </c>
      <c r="T1251">
        <v>41</v>
      </c>
    </row>
    <row r="1252" spans="4:20" ht="15.75" customHeight="1" x14ac:dyDescent="0.2">
      <c r="D1252" t="s">
        <v>285</v>
      </c>
      <c r="E1252" t="s">
        <v>392</v>
      </c>
      <c r="F1252">
        <v>9</v>
      </c>
      <c r="P1252" t="s">
        <v>407</v>
      </c>
      <c r="Q1252">
        <v>50</v>
      </c>
      <c r="R1252" t="s">
        <v>251</v>
      </c>
      <c r="S1252" t="s">
        <v>11</v>
      </c>
      <c r="T1252">
        <v>29</v>
      </c>
    </row>
    <row r="1253" spans="4:20" ht="15.75" customHeight="1" x14ac:dyDescent="0.2">
      <c r="D1253" t="s">
        <v>285</v>
      </c>
      <c r="E1253" t="s">
        <v>392</v>
      </c>
      <c r="F1253">
        <v>9</v>
      </c>
      <c r="P1253" t="s">
        <v>407</v>
      </c>
      <c r="Q1253">
        <v>50</v>
      </c>
      <c r="R1253" t="s">
        <v>253</v>
      </c>
      <c r="S1253" t="s">
        <v>12</v>
      </c>
      <c r="T1253">
        <v>199.1772</v>
      </c>
    </row>
    <row r="1254" spans="4:20" ht="15.75" customHeight="1" x14ac:dyDescent="0.2">
      <c r="D1254" t="s">
        <v>285</v>
      </c>
      <c r="E1254" t="s">
        <v>392</v>
      </c>
      <c r="F1254">
        <v>9</v>
      </c>
      <c r="P1254" t="s">
        <v>407</v>
      </c>
      <c r="Q1254">
        <v>50</v>
      </c>
      <c r="R1254" t="s">
        <v>255</v>
      </c>
      <c r="S1254" t="s">
        <v>15</v>
      </c>
      <c r="T1254">
        <v>38</v>
      </c>
    </row>
    <row r="1255" spans="4:20" ht="15.75" customHeight="1" x14ac:dyDescent="0.2">
      <c r="D1255" t="s">
        <v>285</v>
      </c>
      <c r="E1255" t="s">
        <v>392</v>
      </c>
      <c r="F1255">
        <v>9</v>
      </c>
      <c r="P1255" t="s">
        <v>407</v>
      </c>
      <c r="Q1255">
        <v>50</v>
      </c>
      <c r="R1255" t="s">
        <v>293</v>
      </c>
      <c r="S1255" t="s">
        <v>13</v>
      </c>
      <c r="T1255">
        <v>0</v>
      </c>
    </row>
    <row r="1256" spans="4:20" ht="15.75" customHeight="1" x14ac:dyDescent="0.2">
      <c r="D1256" t="s">
        <v>285</v>
      </c>
      <c r="E1256" t="s">
        <v>392</v>
      </c>
      <c r="F1256">
        <v>9</v>
      </c>
      <c r="P1256" t="s">
        <v>407</v>
      </c>
      <c r="Q1256">
        <v>50</v>
      </c>
      <c r="R1256" t="s">
        <v>294</v>
      </c>
      <c r="S1256" t="s">
        <v>14</v>
      </c>
      <c r="T1256">
        <v>1</v>
      </c>
    </row>
    <row r="1257" spans="4:20" ht="15.75" customHeight="1" x14ac:dyDescent="0.2">
      <c r="D1257" t="s">
        <v>285</v>
      </c>
      <c r="E1257" t="s">
        <v>392</v>
      </c>
      <c r="F1257">
        <v>9</v>
      </c>
      <c r="P1257" t="s">
        <v>407</v>
      </c>
      <c r="Q1257">
        <v>50</v>
      </c>
      <c r="R1257" t="s">
        <v>257</v>
      </c>
      <c r="S1257" t="s">
        <v>16</v>
      </c>
      <c r="T1257">
        <v>49.2943</v>
      </c>
    </row>
    <row r="1258" spans="4:20" ht="15.75" customHeight="1" x14ac:dyDescent="0.2">
      <c r="D1258" t="s">
        <v>285</v>
      </c>
      <c r="E1258" t="s">
        <v>392</v>
      </c>
      <c r="F1258">
        <v>9</v>
      </c>
      <c r="P1258" t="s">
        <v>407</v>
      </c>
      <c r="Q1258">
        <v>50</v>
      </c>
      <c r="R1258" t="s">
        <v>295</v>
      </c>
      <c r="S1258" t="s">
        <v>17</v>
      </c>
      <c r="T1258">
        <v>1</v>
      </c>
    </row>
    <row r="1259" spans="4:20" ht="15.75" customHeight="1" x14ac:dyDescent="0.2">
      <c r="D1259" t="s">
        <v>285</v>
      </c>
      <c r="E1259" t="s">
        <v>392</v>
      </c>
      <c r="F1259">
        <v>9</v>
      </c>
      <c r="P1259" t="s">
        <v>407</v>
      </c>
      <c r="Q1259">
        <v>50</v>
      </c>
      <c r="R1259" t="s">
        <v>296</v>
      </c>
      <c r="S1259" t="s">
        <v>1</v>
      </c>
      <c r="T1259">
        <v>3</v>
      </c>
    </row>
    <row r="1260" spans="4:20" ht="15.75" customHeight="1" x14ac:dyDescent="0.2">
      <c r="D1260" t="s">
        <v>285</v>
      </c>
      <c r="E1260" t="s">
        <v>392</v>
      </c>
      <c r="F1260">
        <v>9</v>
      </c>
      <c r="P1260" t="s">
        <v>407</v>
      </c>
      <c r="Q1260">
        <v>50</v>
      </c>
      <c r="R1260" t="s">
        <v>297</v>
      </c>
      <c r="S1260" t="s">
        <v>18</v>
      </c>
      <c r="T1260">
        <v>8</v>
      </c>
    </row>
    <row r="1261" spans="4:20" ht="15.75" customHeight="1" x14ac:dyDescent="0.2">
      <c r="D1261" t="s">
        <v>285</v>
      </c>
      <c r="E1261" t="s">
        <v>392</v>
      </c>
      <c r="F1261">
        <v>9</v>
      </c>
      <c r="P1261" t="s">
        <v>407</v>
      </c>
      <c r="Q1261">
        <v>50</v>
      </c>
      <c r="R1261" t="s">
        <v>298</v>
      </c>
      <c r="S1261" t="s">
        <v>19</v>
      </c>
      <c r="T1261">
        <v>1</v>
      </c>
    </row>
    <row r="1262" spans="4:20" ht="15.75" customHeight="1" x14ac:dyDescent="0.2">
      <c r="D1262" t="s">
        <v>285</v>
      </c>
      <c r="E1262" t="s">
        <v>392</v>
      </c>
      <c r="F1262">
        <v>9</v>
      </c>
      <c r="P1262" t="s">
        <v>407</v>
      </c>
      <c r="Q1262">
        <v>50</v>
      </c>
      <c r="R1262" t="s">
        <v>299</v>
      </c>
      <c r="S1262" t="s">
        <v>20</v>
      </c>
      <c r="T1262">
        <v>1</v>
      </c>
    </row>
    <row r="1263" spans="4:20" ht="15.75" customHeight="1" x14ac:dyDescent="0.2">
      <c r="D1263" t="s">
        <v>285</v>
      </c>
      <c r="E1263" t="s">
        <v>392</v>
      </c>
      <c r="F1263">
        <v>9</v>
      </c>
      <c r="P1263" t="s">
        <v>408</v>
      </c>
      <c r="Q1263">
        <v>51</v>
      </c>
      <c r="R1263" t="s">
        <v>288</v>
      </c>
      <c r="S1263" t="s">
        <v>2</v>
      </c>
      <c r="T1263">
        <v>5</v>
      </c>
    </row>
    <row r="1264" spans="4:20" ht="15.75" customHeight="1" x14ac:dyDescent="0.2">
      <c r="D1264" t="s">
        <v>285</v>
      </c>
      <c r="E1264" t="s">
        <v>392</v>
      </c>
      <c r="F1264">
        <v>9</v>
      </c>
      <c r="P1264" t="s">
        <v>408</v>
      </c>
      <c r="Q1264">
        <v>51</v>
      </c>
      <c r="R1264" t="s">
        <v>289</v>
      </c>
      <c r="S1264" t="s">
        <v>5</v>
      </c>
      <c r="T1264">
        <v>1</v>
      </c>
    </row>
    <row r="1265" spans="4:20" ht="15.75" customHeight="1" x14ac:dyDescent="0.2">
      <c r="D1265" t="s">
        <v>285</v>
      </c>
      <c r="E1265" t="s">
        <v>392</v>
      </c>
      <c r="F1265">
        <v>9</v>
      </c>
      <c r="P1265" t="s">
        <v>408</v>
      </c>
      <c r="Q1265">
        <v>51</v>
      </c>
      <c r="R1265" t="s">
        <v>290</v>
      </c>
      <c r="S1265" t="s">
        <v>3</v>
      </c>
      <c r="T1265">
        <v>0.44440000000000002</v>
      </c>
    </row>
    <row r="1266" spans="4:20" ht="15.75" customHeight="1" x14ac:dyDescent="0.2">
      <c r="D1266" t="s">
        <v>285</v>
      </c>
      <c r="E1266" t="s">
        <v>392</v>
      </c>
      <c r="F1266">
        <v>9</v>
      </c>
      <c r="P1266" t="s">
        <v>408</v>
      </c>
      <c r="Q1266">
        <v>51</v>
      </c>
      <c r="R1266" t="s">
        <v>291</v>
      </c>
      <c r="S1266" t="s">
        <v>4</v>
      </c>
      <c r="T1266">
        <v>9</v>
      </c>
    </row>
    <row r="1267" spans="4:20" ht="15.75" customHeight="1" x14ac:dyDescent="0.2">
      <c r="D1267" t="s">
        <v>285</v>
      </c>
      <c r="E1267" t="s">
        <v>392</v>
      </c>
      <c r="F1267">
        <v>9</v>
      </c>
      <c r="P1267" t="s">
        <v>408</v>
      </c>
      <c r="Q1267">
        <v>51</v>
      </c>
      <c r="R1267" t="s">
        <v>292</v>
      </c>
      <c r="S1267" t="s">
        <v>6</v>
      </c>
      <c r="T1267">
        <v>0</v>
      </c>
    </row>
    <row r="1268" spans="4:20" ht="15.75" customHeight="1" x14ac:dyDescent="0.2">
      <c r="D1268" t="s">
        <v>285</v>
      </c>
      <c r="E1268" t="s">
        <v>392</v>
      </c>
      <c r="F1268">
        <v>9</v>
      </c>
      <c r="P1268" t="s">
        <v>408</v>
      </c>
      <c r="Q1268">
        <v>51</v>
      </c>
      <c r="R1268" t="s">
        <v>243</v>
      </c>
      <c r="S1268" t="s">
        <v>7</v>
      </c>
      <c r="T1268">
        <v>17.968800000000002</v>
      </c>
    </row>
    <row r="1269" spans="4:20" ht="15.75" customHeight="1" x14ac:dyDescent="0.2">
      <c r="D1269" t="s">
        <v>285</v>
      </c>
      <c r="E1269" t="s">
        <v>392</v>
      </c>
      <c r="F1269">
        <v>9</v>
      </c>
      <c r="P1269" t="s">
        <v>408</v>
      </c>
      <c r="Q1269">
        <v>51</v>
      </c>
      <c r="R1269" t="s">
        <v>245</v>
      </c>
      <c r="S1269" t="s">
        <v>8</v>
      </c>
      <c r="T1269">
        <v>5318.4359999999997</v>
      </c>
    </row>
    <row r="1270" spans="4:20" ht="15.75" customHeight="1" x14ac:dyDescent="0.2">
      <c r="D1270" t="s">
        <v>285</v>
      </c>
      <c r="E1270" t="s">
        <v>392</v>
      </c>
      <c r="F1270">
        <v>9</v>
      </c>
      <c r="P1270" t="s">
        <v>408</v>
      </c>
      <c r="Q1270">
        <v>51</v>
      </c>
      <c r="R1270" t="s">
        <v>247</v>
      </c>
      <c r="S1270" t="s">
        <v>9</v>
      </c>
      <c r="T1270">
        <v>0.1016</v>
      </c>
    </row>
    <row r="1271" spans="4:20" ht="15.75" customHeight="1" x14ac:dyDescent="0.2">
      <c r="D1271" t="s">
        <v>285</v>
      </c>
      <c r="E1271" t="s">
        <v>392</v>
      </c>
      <c r="F1271">
        <v>9</v>
      </c>
      <c r="P1271" t="s">
        <v>408</v>
      </c>
      <c r="Q1271">
        <v>51</v>
      </c>
      <c r="R1271" t="s">
        <v>249</v>
      </c>
      <c r="S1271" t="s">
        <v>10</v>
      </c>
      <c r="T1271">
        <v>56</v>
      </c>
    </row>
    <row r="1272" spans="4:20" ht="15.75" customHeight="1" x14ac:dyDescent="0.2">
      <c r="D1272" t="s">
        <v>285</v>
      </c>
      <c r="E1272" t="s">
        <v>392</v>
      </c>
      <c r="F1272">
        <v>9</v>
      </c>
      <c r="P1272" t="s">
        <v>408</v>
      </c>
      <c r="Q1272">
        <v>51</v>
      </c>
      <c r="R1272" t="s">
        <v>251</v>
      </c>
      <c r="S1272" t="s">
        <v>11</v>
      </c>
      <c r="T1272">
        <v>39</v>
      </c>
    </row>
    <row r="1273" spans="4:20" ht="15.75" customHeight="1" x14ac:dyDescent="0.2">
      <c r="D1273" t="s">
        <v>285</v>
      </c>
      <c r="E1273" t="s">
        <v>392</v>
      </c>
      <c r="F1273">
        <v>9</v>
      </c>
      <c r="P1273" t="s">
        <v>408</v>
      </c>
      <c r="Q1273">
        <v>51</v>
      </c>
      <c r="R1273" t="s">
        <v>253</v>
      </c>
      <c r="S1273" t="s">
        <v>12</v>
      </c>
      <c r="T1273">
        <v>295.98250000000002</v>
      </c>
    </row>
    <row r="1274" spans="4:20" ht="15.75" customHeight="1" x14ac:dyDescent="0.2">
      <c r="D1274" t="s">
        <v>285</v>
      </c>
      <c r="E1274" t="s">
        <v>392</v>
      </c>
      <c r="F1274">
        <v>9</v>
      </c>
      <c r="P1274" t="s">
        <v>408</v>
      </c>
      <c r="Q1274">
        <v>51</v>
      </c>
      <c r="R1274" t="s">
        <v>255</v>
      </c>
      <c r="S1274" t="s">
        <v>15</v>
      </c>
      <c r="T1274">
        <v>28</v>
      </c>
    </row>
    <row r="1275" spans="4:20" ht="15.75" customHeight="1" x14ac:dyDescent="0.2">
      <c r="D1275" t="s">
        <v>285</v>
      </c>
      <c r="E1275" t="s">
        <v>392</v>
      </c>
      <c r="F1275">
        <v>9</v>
      </c>
      <c r="P1275" t="s">
        <v>408</v>
      </c>
      <c r="Q1275">
        <v>51</v>
      </c>
      <c r="R1275" t="s">
        <v>293</v>
      </c>
      <c r="S1275" t="s">
        <v>13</v>
      </c>
      <c r="T1275">
        <v>0</v>
      </c>
    </row>
    <row r="1276" spans="4:20" ht="15.75" customHeight="1" x14ac:dyDescent="0.2">
      <c r="D1276" t="s">
        <v>285</v>
      </c>
      <c r="E1276" t="s">
        <v>392</v>
      </c>
      <c r="F1276">
        <v>9</v>
      </c>
      <c r="P1276" t="s">
        <v>408</v>
      </c>
      <c r="Q1276">
        <v>51</v>
      </c>
      <c r="R1276" t="s">
        <v>294</v>
      </c>
      <c r="S1276" t="s">
        <v>14</v>
      </c>
      <c r="T1276">
        <v>1</v>
      </c>
    </row>
    <row r="1277" spans="4:20" ht="15.75" customHeight="1" x14ac:dyDescent="0.2">
      <c r="D1277" t="s">
        <v>285</v>
      </c>
      <c r="E1277" t="s">
        <v>392</v>
      </c>
      <c r="F1277">
        <v>9</v>
      </c>
      <c r="P1277" t="s">
        <v>408</v>
      </c>
      <c r="Q1277">
        <v>51</v>
      </c>
      <c r="R1277" t="s">
        <v>257</v>
      </c>
      <c r="S1277" t="s">
        <v>16</v>
      </c>
      <c r="T1277">
        <v>50.896999999999998</v>
      </c>
    </row>
    <row r="1278" spans="4:20" ht="15.75" customHeight="1" x14ac:dyDescent="0.2">
      <c r="D1278" t="s">
        <v>285</v>
      </c>
      <c r="E1278" t="s">
        <v>392</v>
      </c>
      <c r="F1278">
        <v>9</v>
      </c>
      <c r="P1278" t="s">
        <v>408</v>
      </c>
      <c r="Q1278">
        <v>51</v>
      </c>
      <c r="R1278" t="s">
        <v>295</v>
      </c>
      <c r="S1278" t="s">
        <v>17</v>
      </c>
      <c r="T1278">
        <v>2</v>
      </c>
    </row>
    <row r="1279" spans="4:20" ht="15.75" customHeight="1" x14ac:dyDescent="0.2">
      <c r="D1279" t="s">
        <v>285</v>
      </c>
      <c r="E1279" t="s">
        <v>392</v>
      </c>
      <c r="F1279">
        <v>9</v>
      </c>
      <c r="P1279" t="s">
        <v>408</v>
      </c>
      <c r="Q1279">
        <v>51</v>
      </c>
      <c r="R1279" t="s">
        <v>296</v>
      </c>
      <c r="S1279" t="s">
        <v>1</v>
      </c>
      <c r="T1279">
        <v>6</v>
      </c>
    </row>
    <row r="1280" spans="4:20" ht="15.75" customHeight="1" x14ac:dyDescent="0.2">
      <c r="D1280" t="s">
        <v>285</v>
      </c>
      <c r="E1280" t="s">
        <v>392</v>
      </c>
      <c r="F1280">
        <v>9</v>
      </c>
      <c r="P1280" t="s">
        <v>408</v>
      </c>
      <c r="Q1280">
        <v>51</v>
      </c>
      <c r="R1280" t="s">
        <v>297</v>
      </c>
      <c r="S1280" t="s">
        <v>18</v>
      </c>
      <c r="T1280">
        <v>9</v>
      </c>
    </row>
    <row r="1281" spans="4:20" ht="15.75" customHeight="1" x14ac:dyDescent="0.2">
      <c r="D1281" t="s">
        <v>285</v>
      </c>
      <c r="E1281" t="s">
        <v>392</v>
      </c>
      <c r="F1281">
        <v>9</v>
      </c>
      <c r="P1281" t="s">
        <v>408</v>
      </c>
      <c r="Q1281">
        <v>51</v>
      </c>
      <c r="R1281" t="s">
        <v>298</v>
      </c>
      <c r="S1281" t="s">
        <v>19</v>
      </c>
      <c r="T1281">
        <v>1</v>
      </c>
    </row>
    <row r="1282" spans="4:20" ht="15.75" customHeight="1" x14ac:dyDescent="0.2">
      <c r="D1282" t="s">
        <v>285</v>
      </c>
      <c r="E1282" t="s">
        <v>392</v>
      </c>
      <c r="F1282">
        <v>9</v>
      </c>
      <c r="P1282" t="s">
        <v>408</v>
      </c>
      <c r="Q1282">
        <v>51</v>
      </c>
      <c r="R1282" t="s">
        <v>299</v>
      </c>
      <c r="S1282" t="s">
        <v>20</v>
      </c>
      <c r="T1282">
        <v>1</v>
      </c>
    </row>
    <row r="1283" spans="4:20" ht="15.75" customHeight="1" x14ac:dyDescent="0.2">
      <c r="D1283" t="s">
        <v>285</v>
      </c>
      <c r="E1283" t="s">
        <v>392</v>
      </c>
      <c r="F1283">
        <v>9</v>
      </c>
      <c r="P1283" t="s">
        <v>409</v>
      </c>
      <c r="Q1283">
        <v>52</v>
      </c>
      <c r="R1283" t="s">
        <v>288</v>
      </c>
      <c r="S1283" t="s">
        <v>2</v>
      </c>
      <c r="T1283">
        <v>0</v>
      </c>
    </row>
    <row r="1284" spans="4:20" ht="15.75" customHeight="1" x14ac:dyDescent="0.2">
      <c r="D1284" t="s">
        <v>285</v>
      </c>
      <c r="E1284" t="s">
        <v>392</v>
      </c>
      <c r="F1284">
        <v>9</v>
      </c>
      <c r="P1284" t="s">
        <v>409</v>
      </c>
      <c r="Q1284">
        <v>52</v>
      </c>
      <c r="R1284" t="s">
        <v>289</v>
      </c>
      <c r="S1284" t="s">
        <v>5</v>
      </c>
      <c r="T1284">
        <v>0</v>
      </c>
    </row>
    <row r="1285" spans="4:20" ht="15.75" customHeight="1" x14ac:dyDescent="0.2">
      <c r="D1285" t="s">
        <v>285</v>
      </c>
      <c r="E1285" t="s">
        <v>392</v>
      </c>
      <c r="F1285">
        <v>9</v>
      </c>
      <c r="P1285" t="s">
        <v>409</v>
      </c>
      <c r="Q1285">
        <v>52</v>
      </c>
      <c r="R1285" t="s">
        <v>290</v>
      </c>
      <c r="S1285" t="s">
        <v>3</v>
      </c>
      <c r="T1285">
        <v>0.66669999999999996</v>
      </c>
    </row>
    <row r="1286" spans="4:20" ht="15.75" customHeight="1" x14ac:dyDescent="0.2">
      <c r="D1286" t="s">
        <v>285</v>
      </c>
      <c r="E1286" t="s">
        <v>392</v>
      </c>
      <c r="F1286">
        <v>9</v>
      </c>
      <c r="P1286" t="s">
        <v>409</v>
      </c>
      <c r="Q1286">
        <v>52</v>
      </c>
      <c r="R1286" t="s">
        <v>291</v>
      </c>
      <c r="S1286" t="s">
        <v>4</v>
      </c>
      <c r="T1286">
        <v>3</v>
      </c>
    </row>
    <row r="1287" spans="4:20" ht="15.75" customHeight="1" x14ac:dyDescent="0.2">
      <c r="D1287" t="s">
        <v>285</v>
      </c>
      <c r="E1287" t="s">
        <v>392</v>
      </c>
      <c r="F1287">
        <v>9</v>
      </c>
      <c r="P1287" t="s">
        <v>409</v>
      </c>
      <c r="Q1287">
        <v>52</v>
      </c>
      <c r="R1287" t="s">
        <v>292</v>
      </c>
      <c r="S1287" t="s">
        <v>6</v>
      </c>
      <c r="T1287">
        <v>1</v>
      </c>
    </row>
    <row r="1288" spans="4:20" ht="15.75" customHeight="1" x14ac:dyDescent="0.2">
      <c r="D1288" t="s">
        <v>285</v>
      </c>
      <c r="E1288" t="s">
        <v>392</v>
      </c>
      <c r="F1288">
        <v>9</v>
      </c>
      <c r="P1288" t="s">
        <v>409</v>
      </c>
      <c r="Q1288">
        <v>52</v>
      </c>
      <c r="R1288" t="s">
        <v>243</v>
      </c>
      <c r="S1288" t="s">
        <v>7</v>
      </c>
      <c r="T1288">
        <v>5.8333000000000004</v>
      </c>
    </row>
    <row r="1289" spans="4:20" ht="15.75" customHeight="1" x14ac:dyDescent="0.2">
      <c r="D1289" t="s">
        <v>285</v>
      </c>
      <c r="E1289" t="s">
        <v>392</v>
      </c>
      <c r="F1289">
        <v>9</v>
      </c>
      <c r="P1289" t="s">
        <v>409</v>
      </c>
      <c r="Q1289">
        <v>52</v>
      </c>
      <c r="R1289" t="s">
        <v>245</v>
      </c>
      <c r="S1289" t="s">
        <v>8</v>
      </c>
      <c r="T1289">
        <v>245</v>
      </c>
    </row>
    <row r="1290" spans="4:20" ht="15.75" customHeight="1" x14ac:dyDescent="0.2">
      <c r="D1290" t="s">
        <v>285</v>
      </c>
      <c r="E1290" t="s">
        <v>392</v>
      </c>
      <c r="F1290">
        <v>9</v>
      </c>
      <c r="P1290" t="s">
        <v>409</v>
      </c>
      <c r="Q1290">
        <v>52</v>
      </c>
      <c r="R1290" t="s">
        <v>247</v>
      </c>
      <c r="S1290" t="s">
        <v>9</v>
      </c>
      <c r="T1290">
        <v>1.3100000000000001E-2</v>
      </c>
    </row>
    <row r="1291" spans="4:20" ht="15.75" customHeight="1" x14ac:dyDescent="0.2">
      <c r="D1291" t="s">
        <v>285</v>
      </c>
      <c r="E1291" t="s">
        <v>392</v>
      </c>
      <c r="F1291">
        <v>9</v>
      </c>
      <c r="P1291" t="s">
        <v>409</v>
      </c>
      <c r="Q1291">
        <v>52</v>
      </c>
      <c r="R1291" t="s">
        <v>249</v>
      </c>
      <c r="S1291" t="s">
        <v>10</v>
      </c>
      <c r="T1291">
        <v>14</v>
      </c>
    </row>
    <row r="1292" spans="4:20" ht="15.75" customHeight="1" x14ac:dyDescent="0.2">
      <c r="D1292" t="s">
        <v>285</v>
      </c>
      <c r="E1292" t="s">
        <v>392</v>
      </c>
      <c r="F1292">
        <v>9</v>
      </c>
      <c r="P1292" t="s">
        <v>409</v>
      </c>
      <c r="Q1292">
        <v>52</v>
      </c>
      <c r="R1292" t="s">
        <v>251</v>
      </c>
      <c r="S1292" t="s">
        <v>11</v>
      </c>
      <c r="T1292">
        <v>8</v>
      </c>
    </row>
    <row r="1293" spans="4:20" ht="15.75" customHeight="1" x14ac:dyDescent="0.2">
      <c r="D1293" t="s">
        <v>285</v>
      </c>
      <c r="E1293" t="s">
        <v>392</v>
      </c>
      <c r="F1293">
        <v>9</v>
      </c>
      <c r="P1293" t="s">
        <v>409</v>
      </c>
      <c r="Q1293">
        <v>52</v>
      </c>
      <c r="R1293" t="s">
        <v>253</v>
      </c>
      <c r="S1293" t="s">
        <v>12</v>
      </c>
      <c r="T1293">
        <v>42</v>
      </c>
    </row>
    <row r="1294" spans="4:20" ht="15.75" customHeight="1" x14ac:dyDescent="0.2">
      <c r="D1294" t="s">
        <v>285</v>
      </c>
      <c r="E1294" t="s">
        <v>392</v>
      </c>
      <c r="F1294">
        <v>9</v>
      </c>
      <c r="P1294" t="s">
        <v>409</v>
      </c>
      <c r="Q1294">
        <v>52</v>
      </c>
      <c r="R1294" t="s">
        <v>255</v>
      </c>
      <c r="S1294" t="s">
        <v>15</v>
      </c>
      <c r="T1294">
        <v>7</v>
      </c>
    </row>
    <row r="1295" spans="4:20" ht="15.75" customHeight="1" x14ac:dyDescent="0.2">
      <c r="D1295" t="s">
        <v>285</v>
      </c>
      <c r="E1295" t="s">
        <v>392</v>
      </c>
      <c r="F1295">
        <v>9</v>
      </c>
      <c r="P1295" t="s">
        <v>409</v>
      </c>
      <c r="Q1295">
        <v>52</v>
      </c>
      <c r="R1295" t="s">
        <v>293</v>
      </c>
      <c r="S1295" t="s">
        <v>13</v>
      </c>
      <c r="T1295">
        <v>0</v>
      </c>
    </row>
    <row r="1296" spans="4:20" ht="15.75" customHeight="1" x14ac:dyDescent="0.2">
      <c r="D1296" t="s">
        <v>285</v>
      </c>
      <c r="E1296" t="s">
        <v>392</v>
      </c>
      <c r="F1296">
        <v>9</v>
      </c>
      <c r="P1296" t="s">
        <v>409</v>
      </c>
      <c r="Q1296">
        <v>52</v>
      </c>
      <c r="R1296" t="s">
        <v>294</v>
      </c>
      <c r="S1296" t="s">
        <v>14</v>
      </c>
      <c r="T1296">
        <v>0</v>
      </c>
    </row>
    <row r="1297" spans="4:20" ht="15.75" customHeight="1" x14ac:dyDescent="0.2">
      <c r="D1297" t="s">
        <v>285</v>
      </c>
      <c r="E1297" t="s">
        <v>392</v>
      </c>
      <c r="F1297">
        <v>9</v>
      </c>
      <c r="P1297" t="s">
        <v>409</v>
      </c>
      <c r="Q1297">
        <v>52</v>
      </c>
      <c r="R1297" t="s">
        <v>257</v>
      </c>
      <c r="S1297" t="s">
        <v>16</v>
      </c>
      <c r="T1297">
        <v>70.198999999999998</v>
      </c>
    </row>
    <row r="1298" spans="4:20" ht="15.75" customHeight="1" x14ac:dyDescent="0.2">
      <c r="D1298" t="s">
        <v>285</v>
      </c>
      <c r="E1298" t="s">
        <v>392</v>
      </c>
      <c r="F1298">
        <v>9</v>
      </c>
      <c r="P1298" t="s">
        <v>409</v>
      </c>
      <c r="Q1298">
        <v>52</v>
      </c>
      <c r="R1298" t="s">
        <v>295</v>
      </c>
      <c r="S1298" t="s">
        <v>17</v>
      </c>
      <c r="T1298">
        <v>0</v>
      </c>
    </row>
    <row r="1299" spans="4:20" ht="15.75" customHeight="1" x14ac:dyDescent="0.2">
      <c r="D1299" t="s">
        <v>285</v>
      </c>
      <c r="E1299" t="s">
        <v>392</v>
      </c>
      <c r="F1299">
        <v>9</v>
      </c>
      <c r="P1299" t="s">
        <v>409</v>
      </c>
      <c r="Q1299">
        <v>52</v>
      </c>
      <c r="R1299" t="s">
        <v>296</v>
      </c>
      <c r="S1299" t="s">
        <v>1</v>
      </c>
      <c r="T1299">
        <v>1</v>
      </c>
    </row>
    <row r="1300" spans="4:20" ht="15.75" customHeight="1" x14ac:dyDescent="0.2">
      <c r="D1300" t="s">
        <v>285</v>
      </c>
      <c r="E1300" t="s">
        <v>392</v>
      </c>
      <c r="F1300">
        <v>9</v>
      </c>
      <c r="P1300" t="s">
        <v>409</v>
      </c>
      <c r="Q1300">
        <v>52</v>
      </c>
      <c r="R1300" t="s">
        <v>297</v>
      </c>
      <c r="S1300" t="s">
        <v>18</v>
      </c>
      <c r="T1300">
        <v>1</v>
      </c>
    </row>
    <row r="1301" spans="4:20" ht="15.75" customHeight="1" x14ac:dyDescent="0.2">
      <c r="D1301" t="s">
        <v>285</v>
      </c>
      <c r="E1301" t="s">
        <v>392</v>
      </c>
      <c r="F1301">
        <v>9</v>
      </c>
      <c r="P1301" t="s">
        <v>409</v>
      </c>
      <c r="Q1301">
        <v>52</v>
      </c>
      <c r="R1301" t="s">
        <v>298</v>
      </c>
      <c r="S1301" t="s">
        <v>19</v>
      </c>
      <c r="T1301">
        <v>0</v>
      </c>
    </row>
    <row r="1302" spans="4:20" ht="15.75" customHeight="1" x14ac:dyDescent="0.2">
      <c r="D1302" t="s">
        <v>285</v>
      </c>
      <c r="E1302" t="s">
        <v>392</v>
      </c>
      <c r="F1302">
        <v>9</v>
      </c>
      <c r="P1302" t="s">
        <v>409</v>
      </c>
      <c r="Q1302">
        <v>52</v>
      </c>
      <c r="R1302" t="s">
        <v>299</v>
      </c>
      <c r="S1302" t="s">
        <v>20</v>
      </c>
      <c r="T1302">
        <v>0</v>
      </c>
    </row>
    <row r="1303" spans="4:20" ht="15.75" customHeight="1" x14ac:dyDescent="0.2">
      <c r="D1303" t="s">
        <v>285</v>
      </c>
      <c r="E1303" t="s">
        <v>392</v>
      </c>
      <c r="F1303">
        <v>9</v>
      </c>
      <c r="P1303" t="s">
        <v>410</v>
      </c>
      <c r="Q1303">
        <v>53</v>
      </c>
      <c r="R1303" t="s">
        <v>288</v>
      </c>
      <c r="S1303" t="s">
        <v>2</v>
      </c>
      <c r="T1303">
        <v>0</v>
      </c>
    </row>
    <row r="1304" spans="4:20" ht="15.75" customHeight="1" x14ac:dyDescent="0.2">
      <c r="D1304" t="s">
        <v>285</v>
      </c>
      <c r="E1304" t="s">
        <v>392</v>
      </c>
      <c r="F1304">
        <v>9</v>
      </c>
      <c r="P1304" t="s">
        <v>410</v>
      </c>
      <c r="Q1304">
        <v>53</v>
      </c>
      <c r="R1304" t="s">
        <v>289</v>
      </c>
      <c r="S1304" t="s">
        <v>5</v>
      </c>
      <c r="T1304">
        <v>0</v>
      </c>
    </row>
    <row r="1305" spans="4:20" ht="15.75" customHeight="1" x14ac:dyDescent="0.2">
      <c r="D1305" t="s">
        <v>285</v>
      </c>
      <c r="E1305" t="s">
        <v>392</v>
      </c>
      <c r="F1305">
        <v>9</v>
      </c>
      <c r="P1305" t="s">
        <v>410</v>
      </c>
      <c r="Q1305">
        <v>53</v>
      </c>
      <c r="R1305" t="s">
        <v>290</v>
      </c>
      <c r="S1305" t="s">
        <v>3</v>
      </c>
      <c r="T1305">
        <v>0.33329999999999999</v>
      </c>
    </row>
    <row r="1306" spans="4:20" ht="15.75" customHeight="1" x14ac:dyDescent="0.2">
      <c r="D1306" t="s">
        <v>285</v>
      </c>
      <c r="E1306" t="s">
        <v>392</v>
      </c>
      <c r="F1306">
        <v>9</v>
      </c>
      <c r="P1306" t="s">
        <v>410</v>
      </c>
      <c r="Q1306">
        <v>53</v>
      </c>
      <c r="R1306" t="s">
        <v>291</v>
      </c>
      <c r="S1306" t="s">
        <v>4</v>
      </c>
      <c r="T1306">
        <v>1</v>
      </c>
    </row>
    <row r="1307" spans="4:20" ht="15.75" customHeight="1" x14ac:dyDescent="0.2">
      <c r="D1307" t="s">
        <v>285</v>
      </c>
      <c r="E1307" t="s">
        <v>392</v>
      </c>
      <c r="F1307">
        <v>9</v>
      </c>
      <c r="P1307" t="s">
        <v>410</v>
      </c>
      <c r="Q1307">
        <v>53</v>
      </c>
      <c r="R1307" t="s">
        <v>292</v>
      </c>
      <c r="S1307" t="s">
        <v>6</v>
      </c>
      <c r="T1307">
        <v>1</v>
      </c>
    </row>
    <row r="1308" spans="4:20" ht="15.75" customHeight="1" x14ac:dyDescent="0.2">
      <c r="D1308" t="s">
        <v>285</v>
      </c>
      <c r="E1308" t="s">
        <v>392</v>
      </c>
      <c r="F1308">
        <v>9</v>
      </c>
      <c r="P1308" t="s">
        <v>410</v>
      </c>
      <c r="Q1308">
        <v>53</v>
      </c>
      <c r="R1308" t="s">
        <v>243</v>
      </c>
      <c r="S1308" t="s">
        <v>7</v>
      </c>
      <c r="T1308">
        <v>4.5</v>
      </c>
    </row>
    <row r="1309" spans="4:20" ht="15.75" customHeight="1" x14ac:dyDescent="0.2">
      <c r="D1309" t="s">
        <v>285</v>
      </c>
      <c r="E1309" t="s">
        <v>392</v>
      </c>
      <c r="F1309">
        <v>9</v>
      </c>
      <c r="P1309" t="s">
        <v>410</v>
      </c>
      <c r="Q1309">
        <v>53</v>
      </c>
      <c r="R1309" t="s">
        <v>245</v>
      </c>
      <c r="S1309" t="s">
        <v>8</v>
      </c>
      <c r="T1309">
        <v>325.52879999999999</v>
      </c>
    </row>
    <row r="1310" spans="4:20" ht="15.75" customHeight="1" x14ac:dyDescent="0.2">
      <c r="D1310" t="s">
        <v>285</v>
      </c>
      <c r="E1310" t="s">
        <v>392</v>
      </c>
      <c r="F1310">
        <v>9</v>
      </c>
      <c r="P1310" t="s">
        <v>410</v>
      </c>
      <c r="Q1310">
        <v>53</v>
      </c>
      <c r="R1310" t="s">
        <v>247</v>
      </c>
      <c r="S1310" t="s">
        <v>9</v>
      </c>
      <c r="T1310">
        <v>1.5800000000000002E-2</v>
      </c>
    </row>
    <row r="1311" spans="4:20" ht="15.75" customHeight="1" x14ac:dyDescent="0.2">
      <c r="D1311" t="s">
        <v>285</v>
      </c>
      <c r="E1311" t="s">
        <v>392</v>
      </c>
      <c r="F1311">
        <v>9</v>
      </c>
      <c r="P1311" t="s">
        <v>410</v>
      </c>
      <c r="Q1311">
        <v>53</v>
      </c>
      <c r="R1311" t="s">
        <v>249</v>
      </c>
      <c r="S1311" t="s">
        <v>10</v>
      </c>
      <c r="T1311">
        <v>19</v>
      </c>
    </row>
    <row r="1312" spans="4:20" ht="15.75" customHeight="1" x14ac:dyDescent="0.2">
      <c r="D1312" t="s">
        <v>285</v>
      </c>
      <c r="E1312" t="s">
        <v>392</v>
      </c>
      <c r="F1312">
        <v>9</v>
      </c>
      <c r="P1312" t="s">
        <v>410</v>
      </c>
      <c r="Q1312">
        <v>53</v>
      </c>
      <c r="R1312" t="s">
        <v>251</v>
      </c>
      <c r="S1312" t="s">
        <v>11</v>
      </c>
      <c r="T1312">
        <v>14</v>
      </c>
    </row>
    <row r="1313" spans="4:20" ht="15.75" customHeight="1" x14ac:dyDescent="0.2">
      <c r="D1313" t="s">
        <v>285</v>
      </c>
      <c r="E1313" t="s">
        <v>392</v>
      </c>
      <c r="F1313">
        <v>9</v>
      </c>
      <c r="P1313" t="s">
        <v>410</v>
      </c>
      <c r="Q1313">
        <v>53</v>
      </c>
      <c r="R1313" t="s">
        <v>253</v>
      </c>
      <c r="S1313" t="s">
        <v>12</v>
      </c>
      <c r="T1313">
        <v>72.339699999999993</v>
      </c>
    </row>
    <row r="1314" spans="4:20" ht="15.75" customHeight="1" x14ac:dyDescent="0.2">
      <c r="D1314" t="s">
        <v>285</v>
      </c>
      <c r="E1314" t="s">
        <v>392</v>
      </c>
      <c r="F1314">
        <v>9</v>
      </c>
      <c r="P1314" t="s">
        <v>410</v>
      </c>
      <c r="Q1314">
        <v>53</v>
      </c>
      <c r="R1314" t="s">
        <v>255</v>
      </c>
      <c r="S1314" t="s">
        <v>15</v>
      </c>
      <c r="T1314">
        <v>7</v>
      </c>
    </row>
    <row r="1315" spans="4:20" ht="15.75" customHeight="1" x14ac:dyDescent="0.2">
      <c r="D1315" t="s">
        <v>285</v>
      </c>
      <c r="E1315" t="s">
        <v>392</v>
      </c>
      <c r="F1315">
        <v>9</v>
      </c>
      <c r="P1315" t="s">
        <v>410</v>
      </c>
      <c r="Q1315">
        <v>53</v>
      </c>
      <c r="R1315" t="s">
        <v>293</v>
      </c>
      <c r="S1315" t="s">
        <v>13</v>
      </c>
      <c r="T1315">
        <v>0.66669999999999996</v>
      </c>
    </row>
    <row r="1316" spans="4:20" ht="15.75" customHeight="1" x14ac:dyDescent="0.2">
      <c r="D1316" t="s">
        <v>285</v>
      </c>
      <c r="E1316" t="s">
        <v>392</v>
      </c>
      <c r="F1316">
        <v>9</v>
      </c>
      <c r="P1316" t="s">
        <v>410</v>
      </c>
      <c r="Q1316">
        <v>53</v>
      </c>
      <c r="R1316" t="s">
        <v>294</v>
      </c>
      <c r="S1316" t="s">
        <v>14</v>
      </c>
      <c r="T1316">
        <v>0</v>
      </c>
    </row>
    <row r="1317" spans="4:20" ht="15.75" customHeight="1" x14ac:dyDescent="0.2">
      <c r="D1317" t="s">
        <v>285</v>
      </c>
      <c r="E1317" t="s">
        <v>392</v>
      </c>
      <c r="F1317">
        <v>9</v>
      </c>
      <c r="P1317" t="s">
        <v>410</v>
      </c>
      <c r="Q1317">
        <v>53</v>
      </c>
      <c r="R1317" t="s">
        <v>257</v>
      </c>
      <c r="S1317" t="s">
        <v>16</v>
      </c>
      <c r="T1317">
        <v>68.56</v>
      </c>
    </row>
    <row r="1318" spans="4:20" ht="15.75" customHeight="1" x14ac:dyDescent="0.2">
      <c r="D1318" t="s">
        <v>285</v>
      </c>
      <c r="E1318" t="s">
        <v>392</v>
      </c>
      <c r="F1318">
        <v>9</v>
      </c>
      <c r="P1318" t="s">
        <v>410</v>
      </c>
      <c r="Q1318">
        <v>53</v>
      </c>
      <c r="R1318" t="s">
        <v>295</v>
      </c>
      <c r="S1318" t="s">
        <v>17</v>
      </c>
      <c r="T1318">
        <v>0</v>
      </c>
    </row>
    <row r="1319" spans="4:20" ht="15.75" customHeight="1" x14ac:dyDescent="0.2">
      <c r="D1319" t="s">
        <v>285</v>
      </c>
      <c r="E1319" t="s">
        <v>392</v>
      </c>
      <c r="F1319">
        <v>9</v>
      </c>
      <c r="P1319" t="s">
        <v>410</v>
      </c>
      <c r="Q1319">
        <v>53</v>
      </c>
      <c r="R1319" t="s">
        <v>296</v>
      </c>
      <c r="S1319" t="s">
        <v>1</v>
      </c>
      <c r="T1319">
        <v>1</v>
      </c>
    </row>
    <row r="1320" spans="4:20" ht="15.75" customHeight="1" x14ac:dyDescent="0.2">
      <c r="D1320" t="s">
        <v>285</v>
      </c>
      <c r="E1320" t="s">
        <v>392</v>
      </c>
      <c r="F1320">
        <v>9</v>
      </c>
      <c r="P1320" t="s">
        <v>410</v>
      </c>
      <c r="Q1320">
        <v>53</v>
      </c>
      <c r="R1320" t="s">
        <v>297</v>
      </c>
      <c r="S1320" t="s">
        <v>18</v>
      </c>
      <c r="T1320">
        <v>5</v>
      </c>
    </row>
    <row r="1321" spans="4:20" ht="15.75" customHeight="1" x14ac:dyDescent="0.2">
      <c r="D1321" t="s">
        <v>285</v>
      </c>
      <c r="E1321" t="s">
        <v>392</v>
      </c>
      <c r="F1321">
        <v>9</v>
      </c>
      <c r="P1321" t="s">
        <v>410</v>
      </c>
      <c r="Q1321">
        <v>53</v>
      </c>
      <c r="R1321" t="s">
        <v>298</v>
      </c>
      <c r="S1321" t="s">
        <v>19</v>
      </c>
      <c r="T1321">
        <v>0</v>
      </c>
    </row>
    <row r="1322" spans="4:20" ht="15.75" customHeight="1" x14ac:dyDescent="0.2">
      <c r="D1322" t="s">
        <v>285</v>
      </c>
      <c r="E1322" t="s">
        <v>392</v>
      </c>
      <c r="F1322">
        <v>9</v>
      </c>
      <c r="P1322" t="s">
        <v>410</v>
      </c>
      <c r="Q1322">
        <v>53</v>
      </c>
      <c r="R1322" t="s">
        <v>299</v>
      </c>
      <c r="S1322" t="s">
        <v>20</v>
      </c>
      <c r="T1322">
        <v>2</v>
      </c>
    </row>
    <row r="1323" spans="4:20" ht="15.75" customHeight="1" x14ac:dyDescent="0.2">
      <c r="D1323" t="s">
        <v>285</v>
      </c>
      <c r="E1323" t="s">
        <v>392</v>
      </c>
      <c r="F1323">
        <v>9</v>
      </c>
      <c r="P1323" t="s">
        <v>411</v>
      </c>
      <c r="Q1323">
        <v>54</v>
      </c>
      <c r="R1323" t="s">
        <v>288</v>
      </c>
      <c r="S1323" t="s">
        <v>2</v>
      </c>
      <c r="T1323">
        <v>19</v>
      </c>
    </row>
    <row r="1324" spans="4:20" ht="15.75" customHeight="1" x14ac:dyDescent="0.2">
      <c r="D1324" t="s">
        <v>285</v>
      </c>
      <c r="E1324" t="s">
        <v>392</v>
      </c>
      <c r="F1324">
        <v>9</v>
      </c>
      <c r="P1324" t="s">
        <v>411</v>
      </c>
      <c r="Q1324">
        <v>54</v>
      </c>
      <c r="R1324" t="s">
        <v>289</v>
      </c>
      <c r="S1324" t="s">
        <v>5</v>
      </c>
      <c r="T1324">
        <v>3</v>
      </c>
    </row>
    <row r="1325" spans="4:20" ht="15.75" customHeight="1" x14ac:dyDescent="0.2">
      <c r="D1325" t="s">
        <v>285</v>
      </c>
      <c r="E1325" t="s">
        <v>392</v>
      </c>
      <c r="F1325">
        <v>9</v>
      </c>
      <c r="P1325" t="s">
        <v>411</v>
      </c>
      <c r="Q1325">
        <v>54</v>
      </c>
      <c r="R1325" t="s">
        <v>290</v>
      </c>
      <c r="S1325" t="s">
        <v>3</v>
      </c>
      <c r="T1325">
        <v>0.5</v>
      </c>
    </row>
    <row r="1326" spans="4:20" ht="15.75" customHeight="1" x14ac:dyDescent="0.2">
      <c r="D1326" t="s">
        <v>285</v>
      </c>
      <c r="E1326" t="s">
        <v>392</v>
      </c>
      <c r="F1326">
        <v>9</v>
      </c>
      <c r="P1326" t="s">
        <v>411</v>
      </c>
      <c r="Q1326">
        <v>54</v>
      </c>
      <c r="R1326" t="s">
        <v>291</v>
      </c>
      <c r="S1326" t="s">
        <v>4</v>
      </c>
      <c r="T1326">
        <v>12</v>
      </c>
    </row>
    <row r="1327" spans="4:20" ht="15.75" customHeight="1" x14ac:dyDescent="0.2">
      <c r="D1327" t="s">
        <v>285</v>
      </c>
      <c r="E1327" t="s">
        <v>392</v>
      </c>
      <c r="F1327">
        <v>9</v>
      </c>
      <c r="P1327" t="s">
        <v>411</v>
      </c>
      <c r="Q1327">
        <v>54</v>
      </c>
      <c r="R1327" t="s">
        <v>292</v>
      </c>
      <c r="S1327" t="s">
        <v>6</v>
      </c>
      <c r="T1327">
        <v>1</v>
      </c>
    </row>
    <row r="1328" spans="4:20" ht="15.75" customHeight="1" x14ac:dyDescent="0.2">
      <c r="D1328" t="s">
        <v>285</v>
      </c>
      <c r="E1328" t="s">
        <v>392</v>
      </c>
      <c r="F1328">
        <v>9</v>
      </c>
      <c r="P1328" t="s">
        <v>411</v>
      </c>
      <c r="Q1328">
        <v>54</v>
      </c>
      <c r="R1328" t="s">
        <v>243</v>
      </c>
      <c r="S1328" t="s">
        <v>7</v>
      </c>
      <c r="T1328">
        <v>45.268300000000004</v>
      </c>
    </row>
    <row r="1329" spans="4:20" ht="15.75" customHeight="1" x14ac:dyDescent="0.2">
      <c r="D1329" t="s">
        <v>285</v>
      </c>
      <c r="E1329" t="s">
        <v>392</v>
      </c>
      <c r="F1329">
        <v>9</v>
      </c>
      <c r="P1329" t="s">
        <v>411</v>
      </c>
      <c r="Q1329">
        <v>54</v>
      </c>
      <c r="R1329" t="s">
        <v>245</v>
      </c>
      <c r="S1329" t="s">
        <v>8</v>
      </c>
      <c r="T1329">
        <v>61319.141199999998</v>
      </c>
    </row>
    <row r="1330" spans="4:20" ht="15.75" customHeight="1" x14ac:dyDescent="0.2">
      <c r="D1330" t="s">
        <v>285</v>
      </c>
      <c r="E1330" t="s">
        <v>392</v>
      </c>
      <c r="F1330">
        <v>9</v>
      </c>
      <c r="P1330" t="s">
        <v>411</v>
      </c>
      <c r="Q1330">
        <v>54</v>
      </c>
      <c r="R1330" t="s">
        <v>247</v>
      </c>
      <c r="S1330" t="s">
        <v>9</v>
      </c>
      <c r="T1330">
        <v>0.51829999999999998</v>
      </c>
    </row>
    <row r="1331" spans="4:20" ht="15.75" customHeight="1" x14ac:dyDescent="0.2">
      <c r="D1331" t="s">
        <v>285</v>
      </c>
      <c r="E1331" t="s">
        <v>392</v>
      </c>
      <c r="F1331">
        <v>9</v>
      </c>
      <c r="P1331" t="s">
        <v>411</v>
      </c>
      <c r="Q1331">
        <v>54</v>
      </c>
      <c r="R1331" t="s">
        <v>249</v>
      </c>
      <c r="S1331" t="s">
        <v>10</v>
      </c>
      <c r="T1331">
        <v>221</v>
      </c>
    </row>
    <row r="1332" spans="4:20" ht="15.75" customHeight="1" x14ac:dyDescent="0.2">
      <c r="D1332" t="s">
        <v>285</v>
      </c>
      <c r="E1332" t="s">
        <v>392</v>
      </c>
      <c r="F1332">
        <v>9</v>
      </c>
      <c r="P1332" t="s">
        <v>411</v>
      </c>
      <c r="Q1332">
        <v>54</v>
      </c>
      <c r="R1332" t="s">
        <v>251</v>
      </c>
      <c r="S1332" t="s">
        <v>11</v>
      </c>
      <c r="T1332">
        <v>70</v>
      </c>
    </row>
    <row r="1333" spans="4:20" ht="15.75" customHeight="1" x14ac:dyDescent="0.2">
      <c r="D1333" t="s">
        <v>285</v>
      </c>
      <c r="E1333" t="s">
        <v>392</v>
      </c>
      <c r="F1333">
        <v>9</v>
      </c>
      <c r="P1333" t="s">
        <v>411</v>
      </c>
      <c r="Q1333">
        <v>54</v>
      </c>
      <c r="R1333" t="s">
        <v>253</v>
      </c>
      <c r="S1333" t="s">
        <v>12</v>
      </c>
      <c r="T1333">
        <v>1354.5715</v>
      </c>
    </row>
    <row r="1334" spans="4:20" ht="15.75" customHeight="1" x14ac:dyDescent="0.2">
      <c r="D1334" t="s">
        <v>285</v>
      </c>
      <c r="E1334" t="s">
        <v>392</v>
      </c>
      <c r="F1334">
        <v>9</v>
      </c>
      <c r="P1334" t="s">
        <v>411</v>
      </c>
      <c r="Q1334">
        <v>54</v>
      </c>
      <c r="R1334" t="s">
        <v>255</v>
      </c>
      <c r="S1334" t="s">
        <v>15</v>
      </c>
      <c r="T1334">
        <v>70</v>
      </c>
    </row>
    <row r="1335" spans="4:20" ht="15.75" customHeight="1" x14ac:dyDescent="0.2">
      <c r="D1335" t="s">
        <v>285</v>
      </c>
      <c r="E1335" t="s">
        <v>392</v>
      </c>
      <c r="F1335">
        <v>9</v>
      </c>
      <c r="P1335" t="s">
        <v>411</v>
      </c>
      <c r="Q1335">
        <v>54</v>
      </c>
      <c r="R1335" t="s">
        <v>293</v>
      </c>
      <c r="S1335" t="s">
        <v>13</v>
      </c>
      <c r="T1335">
        <v>0.85709999999999997</v>
      </c>
    </row>
    <row r="1336" spans="4:20" ht="15.75" customHeight="1" x14ac:dyDescent="0.2">
      <c r="D1336" t="s">
        <v>285</v>
      </c>
      <c r="E1336" t="s">
        <v>392</v>
      </c>
      <c r="F1336">
        <v>9</v>
      </c>
      <c r="P1336" t="s">
        <v>411</v>
      </c>
      <c r="Q1336">
        <v>54</v>
      </c>
      <c r="R1336" t="s">
        <v>294</v>
      </c>
      <c r="S1336" t="s">
        <v>14</v>
      </c>
      <c r="T1336">
        <v>2</v>
      </c>
    </row>
    <row r="1337" spans="4:20" ht="15.75" customHeight="1" x14ac:dyDescent="0.2">
      <c r="D1337" t="s">
        <v>285</v>
      </c>
      <c r="E1337" t="s">
        <v>392</v>
      </c>
      <c r="F1337">
        <v>9</v>
      </c>
      <c r="P1337" t="s">
        <v>411</v>
      </c>
      <c r="Q1337">
        <v>54</v>
      </c>
      <c r="R1337" t="s">
        <v>257</v>
      </c>
      <c r="S1337" t="s">
        <v>16</v>
      </c>
      <c r="T1337">
        <v>37.420499999999997</v>
      </c>
    </row>
    <row r="1338" spans="4:20" ht="15.75" customHeight="1" x14ac:dyDescent="0.2">
      <c r="D1338" t="s">
        <v>285</v>
      </c>
      <c r="E1338" t="s">
        <v>392</v>
      </c>
      <c r="F1338">
        <v>9</v>
      </c>
      <c r="P1338" t="s">
        <v>411</v>
      </c>
      <c r="Q1338">
        <v>54</v>
      </c>
      <c r="R1338" t="s">
        <v>295</v>
      </c>
      <c r="S1338" t="s">
        <v>17</v>
      </c>
      <c r="T1338">
        <v>2</v>
      </c>
    </row>
    <row r="1339" spans="4:20" ht="15.75" customHeight="1" x14ac:dyDescent="0.2">
      <c r="D1339" t="s">
        <v>285</v>
      </c>
      <c r="E1339" t="s">
        <v>392</v>
      </c>
      <c r="F1339">
        <v>9</v>
      </c>
      <c r="P1339" t="s">
        <v>411</v>
      </c>
      <c r="Q1339">
        <v>54</v>
      </c>
      <c r="R1339" t="s">
        <v>296</v>
      </c>
      <c r="S1339" t="s">
        <v>1</v>
      </c>
      <c r="T1339">
        <v>20</v>
      </c>
    </row>
    <row r="1340" spans="4:20" ht="15.75" customHeight="1" x14ac:dyDescent="0.2">
      <c r="D1340" t="s">
        <v>285</v>
      </c>
      <c r="E1340" t="s">
        <v>392</v>
      </c>
      <c r="F1340">
        <v>9</v>
      </c>
      <c r="P1340" t="s">
        <v>411</v>
      </c>
      <c r="Q1340">
        <v>54</v>
      </c>
      <c r="R1340" t="s">
        <v>297</v>
      </c>
      <c r="S1340" t="s">
        <v>18</v>
      </c>
      <c r="T1340">
        <v>28</v>
      </c>
    </row>
    <row r="1341" spans="4:20" ht="15.75" customHeight="1" x14ac:dyDescent="0.2">
      <c r="D1341" t="s">
        <v>285</v>
      </c>
      <c r="E1341" t="s">
        <v>392</v>
      </c>
      <c r="F1341">
        <v>9</v>
      </c>
      <c r="P1341" t="s">
        <v>411</v>
      </c>
      <c r="Q1341">
        <v>54</v>
      </c>
      <c r="R1341" t="s">
        <v>298</v>
      </c>
      <c r="S1341" t="s">
        <v>19</v>
      </c>
      <c r="T1341">
        <v>12</v>
      </c>
    </row>
    <row r="1342" spans="4:20" ht="15.75" customHeight="1" x14ac:dyDescent="0.2">
      <c r="D1342" t="s">
        <v>285</v>
      </c>
      <c r="E1342" t="s">
        <v>392</v>
      </c>
      <c r="F1342">
        <v>9</v>
      </c>
      <c r="P1342" t="s">
        <v>411</v>
      </c>
      <c r="Q1342">
        <v>54</v>
      </c>
      <c r="R1342" t="s">
        <v>299</v>
      </c>
      <c r="S1342" t="s">
        <v>20</v>
      </c>
      <c r="T1342">
        <v>4</v>
      </c>
    </row>
    <row r="1343" spans="4:20" ht="15.75" customHeight="1" x14ac:dyDescent="0.2">
      <c r="D1343" t="s">
        <v>285</v>
      </c>
      <c r="E1343" t="s">
        <v>392</v>
      </c>
      <c r="F1343">
        <v>9</v>
      </c>
      <c r="P1343" t="s">
        <v>412</v>
      </c>
      <c r="Q1343">
        <v>55</v>
      </c>
      <c r="R1343" t="s">
        <v>288</v>
      </c>
      <c r="S1343" t="s">
        <v>2</v>
      </c>
      <c r="T1343">
        <v>2</v>
      </c>
    </row>
    <row r="1344" spans="4:20" ht="15.75" customHeight="1" x14ac:dyDescent="0.2">
      <c r="D1344" t="s">
        <v>285</v>
      </c>
      <c r="E1344" t="s">
        <v>392</v>
      </c>
      <c r="F1344">
        <v>9</v>
      </c>
      <c r="P1344" t="s">
        <v>412</v>
      </c>
      <c r="Q1344">
        <v>55</v>
      </c>
      <c r="R1344" t="s">
        <v>289</v>
      </c>
      <c r="S1344" t="s">
        <v>5</v>
      </c>
      <c r="T1344">
        <v>0</v>
      </c>
    </row>
    <row r="1345" spans="4:20" ht="15.75" customHeight="1" x14ac:dyDescent="0.2">
      <c r="D1345" t="s">
        <v>285</v>
      </c>
      <c r="E1345" t="s">
        <v>392</v>
      </c>
      <c r="F1345">
        <v>9</v>
      </c>
      <c r="P1345" t="s">
        <v>412</v>
      </c>
      <c r="Q1345">
        <v>55</v>
      </c>
      <c r="R1345" t="s">
        <v>290</v>
      </c>
      <c r="S1345" t="s">
        <v>3</v>
      </c>
      <c r="T1345">
        <v>0.5</v>
      </c>
    </row>
    <row r="1346" spans="4:20" ht="15.75" customHeight="1" x14ac:dyDescent="0.2">
      <c r="D1346" t="s">
        <v>285</v>
      </c>
      <c r="E1346" t="s">
        <v>392</v>
      </c>
      <c r="F1346">
        <v>9</v>
      </c>
      <c r="P1346" t="s">
        <v>412</v>
      </c>
      <c r="Q1346">
        <v>55</v>
      </c>
      <c r="R1346" t="s">
        <v>291</v>
      </c>
      <c r="S1346" t="s">
        <v>4</v>
      </c>
      <c r="T1346">
        <v>5</v>
      </c>
    </row>
    <row r="1347" spans="4:20" ht="15.75" customHeight="1" x14ac:dyDescent="0.2">
      <c r="D1347" t="s">
        <v>285</v>
      </c>
      <c r="E1347" t="s">
        <v>392</v>
      </c>
      <c r="F1347">
        <v>9</v>
      </c>
      <c r="P1347" t="s">
        <v>412</v>
      </c>
      <c r="Q1347">
        <v>55</v>
      </c>
      <c r="R1347" t="s">
        <v>292</v>
      </c>
      <c r="S1347" t="s">
        <v>6</v>
      </c>
      <c r="T1347">
        <v>0</v>
      </c>
    </row>
    <row r="1348" spans="4:20" ht="15.75" customHeight="1" x14ac:dyDescent="0.2">
      <c r="D1348" t="s">
        <v>285</v>
      </c>
      <c r="E1348" t="s">
        <v>392</v>
      </c>
      <c r="F1348">
        <v>9</v>
      </c>
      <c r="P1348" t="s">
        <v>412</v>
      </c>
      <c r="Q1348">
        <v>55</v>
      </c>
      <c r="R1348" t="s">
        <v>243</v>
      </c>
      <c r="S1348" t="s">
        <v>7</v>
      </c>
      <c r="T1348">
        <v>10.833299999999999</v>
      </c>
    </row>
    <row r="1349" spans="4:20" ht="15.75" customHeight="1" x14ac:dyDescent="0.2">
      <c r="D1349" t="s">
        <v>285</v>
      </c>
      <c r="E1349" t="s">
        <v>392</v>
      </c>
      <c r="F1349">
        <v>9</v>
      </c>
      <c r="P1349" t="s">
        <v>412</v>
      </c>
      <c r="Q1349">
        <v>55</v>
      </c>
      <c r="R1349" t="s">
        <v>245</v>
      </c>
      <c r="S1349" t="s">
        <v>8</v>
      </c>
      <c r="T1349">
        <v>2515.4220999999998</v>
      </c>
    </row>
    <row r="1350" spans="4:20" ht="15.75" customHeight="1" x14ac:dyDescent="0.2">
      <c r="D1350" t="s">
        <v>285</v>
      </c>
      <c r="E1350" t="s">
        <v>392</v>
      </c>
      <c r="F1350">
        <v>9</v>
      </c>
      <c r="P1350" t="s">
        <v>412</v>
      </c>
      <c r="Q1350">
        <v>55</v>
      </c>
      <c r="R1350" t="s">
        <v>247</v>
      </c>
      <c r="S1350" t="s">
        <v>9</v>
      </c>
      <c r="T1350">
        <v>6.1699999999999998E-2</v>
      </c>
    </row>
    <row r="1351" spans="4:20" ht="15.75" customHeight="1" x14ac:dyDescent="0.2">
      <c r="D1351" t="s">
        <v>285</v>
      </c>
      <c r="E1351" t="s">
        <v>392</v>
      </c>
      <c r="F1351">
        <v>9</v>
      </c>
      <c r="P1351" t="s">
        <v>412</v>
      </c>
      <c r="Q1351">
        <v>55</v>
      </c>
      <c r="R1351" t="s">
        <v>249</v>
      </c>
      <c r="S1351" t="s">
        <v>10</v>
      </c>
      <c r="T1351">
        <v>50</v>
      </c>
    </row>
    <row r="1352" spans="4:20" ht="15.75" customHeight="1" x14ac:dyDescent="0.2">
      <c r="D1352" t="s">
        <v>285</v>
      </c>
      <c r="E1352" t="s">
        <v>392</v>
      </c>
      <c r="F1352">
        <v>9</v>
      </c>
      <c r="P1352" t="s">
        <v>412</v>
      </c>
      <c r="Q1352">
        <v>55</v>
      </c>
      <c r="R1352" t="s">
        <v>251</v>
      </c>
      <c r="S1352" t="s">
        <v>11</v>
      </c>
      <c r="T1352">
        <v>25</v>
      </c>
    </row>
    <row r="1353" spans="4:20" ht="15.75" customHeight="1" x14ac:dyDescent="0.2">
      <c r="D1353" t="s">
        <v>285</v>
      </c>
      <c r="E1353" t="s">
        <v>392</v>
      </c>
      <c r="F1353">
        <v>9</v>
      </c>
      <c r="P1353" t="s">
        <v>412</v>
      </c>
      <c r="Q1353">
        <v>55</v>
      </c>
      <c r="R1353" t="s">
        <v>253</v>
      </c>
      <c r="S1353" t="s">
        <v>12</v>
      </c>
      <c r="T1353">
        <v>232.19280000000001</v>
      </c>
    </row>
    <row r="1354" spans="4:20" ht="15.75" customHeight="1" x14ac:dyDescent="0.2">
      <c r="D1354" t="s">
        <v>285</v>
      </c>
      <c r="E1354" t="s">
        <v>392</v>
      </c>
      <c r="F1354">
        <v>9</v>
      </c>
      <c r="P1354" t="s">
        <v>412</v>
      </c>
      <c r="Q1354">
        <v>55</v>
      </c>
      <c r="R1354" t="s">
        <v>255</v>
      </c>
      <c r="S1354" t="s">
        <v>15</v>
      </c>
      <c r="T1354">
        <v>11</v>
      </c>
    </row>
    <row r="1355" spans="4:20" ht="15.75" customHeight="1" x14ac:dyDescent="0.2">
      <c r="D1355" t="s">
        <v>285</v>
      </c>
      <c r="E1355" t="s">
        <v>392</v>
      </c>
      <c r="F1355">
        <v>9</v>
      </c>
      <c r="P1355" t="s">
        <v>412</v>
      </c>
      <c r="Q1355">
        <v>55</v>
      </c>
      <c r="R1355" t="s">
        <v>293</v>
      </c>
      <c r="S1355" t="s">
        <v>13</v>
      </c>
      <c r="T1355">
        <v>1</v>
      </c>
    </row>
    <row r="1356" spans="4:20" ht="15.75" customHeight="1" x14ac:dyDescent="0.2">
      <c r="D1356" t="s">
        <v>285</v>
      </c>
      <c r="E1356" t="s">
        <v>392</v>
      </c>
      <c r="F1356">
        <v>9</v>
      </c>
      <c r="P1356" t="s">
        <v>412</v>
      </c>
      <c r="Q1356">
        <v>55</v>
      </c>
      <c r="R1356" t="s">
        <v>294</v>
      </c>
      <c r="S1356" t="s">
        <v>14</v>
      </c>
      <c r="T1356">
        <v>0</v>
      </c>
    </row>
    <row r="1357" spans="4:20" ht="15.75" customHeight="1" x14ac:dyDescent="0.2">
      <c r="D1357" t="s">
        <v>285</v>
      </c>
      <c r="E1357" t="s">
        <v>392</v>
      </c>
      <c r="F1357">
        <v>9</v>
      </c>
      <c r="P1357" t="s">
        <v>412</v>
      </c>
      <c r="Q1357">
        <v>55</v>
      </c>
      <c r="R1357" t="s">
        <v>257</v>
      </c>
      <c r="S1357" t="s">
        <v>16</v>
      </c>
      <c r="T1357">
        <v>60.572200000000002</v>
      </c>
    </row>
    <row r="1358" spans="4:20" ht="15.75" customHeight="1" x14ac:dyDescent="0.2">
      <c r="D1358" t="s">
        <v>285</v>
      </c>
      <c r="E1358" t="s">
        <v>392</v>
      </c>
      <c r="F1358">
        <v>9</v>
      </c>
      <c r="P1358" t="s">
        <v>412</v>
      </c>
      <c r="Q1358">
        <v>55</v>
      </c>
      <c r="R1358" t="s">
        <v>295</v>
      </c>
      <c r="S1358" t="s">
        <v>17</v>
      </c>
      <c r="T1358">
        <v>0</v>
      </c>
    </row>
    <row r="1359" spans="4:20" ht="15.75" customHeight="1" x14ac:dyDescent="0.2">
      <c r="D1359" t="s">
        <v>285</v>
      </c>
      <c r="E1359" t="s">
        <v>392</v>
      </c>
      <c r="F1359">
        <v>9</v>
      </c>
      <c r="P1359" t="s">
        <v>412</v>
      </c>
      <c r="Q1359">
        <v>55</v>
      </c>
      <c r="R1359" t="s">
        <v>296</v>
      </c>
      <c r="S1359" t="s">
        <v>1</v>
      </c>
      <c r="T1359">
        <v>3</v>
      </c>
    </row>
    <row r="1360" spans="4:20" ht="15.75" customHeight="1" x14ac:dyDescent="0.2">
      <c r="D1360" t="s">
        <v>285</v>
      </c>
      <c r="E1360" t="s">
        <v>392</v>
      </c>
      <c r="F1360">
        <v>9</v>
      </c>
      <c r="P1360" t="s">
        <v>412</v>
      </c>
      <c r="Q1360">
        <v>55</v>
      </c>
      <c r="R1360" t="s">
        <v>297</v>
      </c>
      <c r="S1360" t="s">
        <v>18</v>
      </c>
      <c r="T1360">
        <v>9</v>
      </c>
    </row>
    <row r="1361" spans="4:20" ht="15.75" customHeight="1" x14ac:dyDescent="0.2">
      <c r="D1361" t="s">
        <v>285</v>
      </c>
      <c r="E1361" t="s">
        <v>392</v>
      </c>
      <c r="F1361">
        <v>9</v>
      </c>
      <c r="P1361" t="s">
        <v>412</v>
      </c>
      <c r="Q1361">
        <v>55</v>
      </c>
      <c r="R1361" t="s">
        <v>298</v>
      </c>
      <c r="S1361" t="s">
        <v>19</v>
      </c>
      <c r="T1361">
        <v>0</v>
      </c>
    </row>
    <row r="1362" spans="4:20" ht="15.75" customHeight="1" x14ac:dyDescent="0.2">
      <c r="D1362" t="s">
        <v>285</v>
      </c>
      <c r="E1362" t="s">
        <v>392</v>
      </c>
      <c r="F1362">
        <v>9</v>
      </c>
      <c r="P1362" t="s">
        <v>412</v>
      </c>
      <c r="Q1362">
        <v>55</v>
      </c>
      <c r="R1362" t="s">
        <v>299</v>
      </c>
      <c r="S1362" t="s">
        <v>20</v>
      </c>
      <c r="T1362">
        <v>1</v>
      </c>
    </row>
    <row r="1363" spans="4:20" ht="15.75" customHeight="1" x14ac:dyDescent="0.2">
      <c r="D1363" t="s">
        <v>285</v>
      </c>
      <c r="E1363" t="s">
        <v>392</v>
      </c>
      <c r="F1363">
        <v>9</v>
      </c>
      <c r="P1363" t="s">
        <v>413</v>
      </c>
      <c r="Q1363">
        <v>56</v>
      </c>
      <c r="R1363" t="s">
        <v>288</v>
      </c>
      <c r="S1363" t="s">
        <v>2</v>
      </c>
      <c r="T1363">
        <v>0</v>
      </c>
    </row>
    <row r="1364" spans="4:20" ht="15.75" customHeight="1" x14ac:dyDescent="0.2">
      <c r="D1364" t="s">
        <v>285</v>
      </c>
      <c r="E1364" t="s">
        <v>392</v>
      </c>
      <c r="F1364">
        <v>9</v>
      </c>
      <c r="P1364" t="s">
        <v>413</v>
      </c>
      <c r="Q1364">
        <v>56</v>
      </c>
      <c r="R1364" t="s">
        <v>289</v>
      </c>
      <c r="S1364" t="s">
        <v>5</v>
      </c>
      <c r="T1364">
        <v>0</v>
      </c>
    </row>
    <row r="1365" spans="4:20" ht="15.75" customHeight="1" x14ac:dyDescent="0.2">
      <c r="D1365" t="s">
        <v>285</v>
      </c>
      <c r="E1365" t="s">
        <v>392</v>
      </c>
      <c r="F1365">
        <v>9</v>
      </c>
      <c r="P1365" t="s">
        <v>413</v>
      </c>
      <c r="Q1365">
        <v>56</v>
      </c>
      <c r="R1365" t="s">
        <v>290</v>
      </c>
      <c r="S1365" t="s">
        <v>3</v>
      </c>
      <c r="T1365">
        <v>0.33329999999999999</v>
      </c>
    </row>
    <row r="1366" spans="4:20" ht="15.75" customHeight="1" x14ac:dyDescent="0.2">
      <c r="D1366" t="s">
        <v>285</v>
      </c>
      <c r="E1366" t="s">
        <v>392</v>
      </c>
      <c r="F1366">
        <v>9</v>
      </c>
      <c r="P1366" t="s">
        <v>413</v>
      </c>
      <c r="Q1366">
        <v>56</v>
      </c>
      <c r="R1366" t="s">
        <v>291</v>
      </c>
      <c r="S1366" t="s">
        <v>4</v>
      </c>
      <c r="T1366">
        <v>1</v>
      </c>
    </row>
    <row r="1367" spans="4:20" ht="15.75" customHeight="1" x14ac:dyDescent="0.2">
      <c r="D1367" t="s">
        <v>285</v>
      </c>
      <c r="E1367" t="s">
        <v>392</v>
      </c>
      <c r="F1367">
        <v>9</v>
      </c>
      <c r="P1367" t="s">
        <v>413</v>
      </c>
      <c r="Q1367">
        <v>56</v>
      </c>
      <c r="R1367" t="s">
        <v>292</v>
      </c>
      <c r="S1367" t="s">
        <v>6</v>
      </c>
      <c r="T1367">
        <v>1</v>
      </c>
    </row>
    <row r="1368" spans="4:20" ht="15.75" customHeight="1" x14ac:dyDescent="0.2">
      <c r="D1368" t="s">
        <v>285</v>
      </c>
      <c r="E1368" t="s">
        <v>392</v>
      </c>
      <c r="F1368">
        <v>9</v>
      </c>
      <c r="P1368" t="s">
        <v>413</v>
      </c>
      <c r="Q1368">
        <v>56</v>
      </c>
      <c r="R1368" t="s">
        <v>243</v>
      </c>
      <c r="S1368" t="s">
        <v>7</v>
      </c>
      <c r="T1368">
        <v>4.5</v>
      </c>
    </row>
    <row r="1369" spans="4:20" ht="15.75" customHeight="1" x14ac:dyDescent="0.2">
      <c r="D1369" t="s">
        <v>285</v>
      </c>
      <c r="E1369" t="s">
        <v>392</v>
      </c>
      <c r="F1369">
        <v>9</v>
      </c>
      <c r="P1369" t="s">
        <v>413</v>
      </c>
      <c r="Q1369">
        <v>56</v>
      </c>
      <c r="R1369" t="s">
        <v>245</v>
      </c>
      <c r="S1369" t="s">
        <v>8</v>
      </c>
      <c r="T1369">
        <v>325.52879999999999</v>
      </c>
    </row>
    <row r="1370" spans="4:20" ht="15.75" customHeight="1" x14ac:dyDescent="0.2">
      <c r="D1370" t="s">
        <v>285</v>
      </c>
      <c r="E1370" t="s">
        <v>392</v>
      </c>
      <c r="F1370">
        <v>9</v>
      </c>
      <c r="P1370" t="s">
        <v>413</v>
      </c>
      <c r="Q1370">
        <v>56</v>
      </c>
      <c r="R1370" t="s">
        <v>247</v>
      </c>
      <c r="S1370" t="s">
        <v>9</v>
      </c>
      <c r="T1370">
        <v>1.5800000000000002E-2</v>
      </c>
    </row>
    <row r="1371" spans="4:20" ht="15.75" customHeight="1" x14ac:dyDescent="0.2">
      <c r="D1371" t="s">
        <v>285</v>
      </c>
      <c r="E1371" t="s">
        <v>392</v>
      </c>
      <c r="F1371">
        <v>9</v>
      </c>
      <c r="P1371" t="s">
        <v>413</v>
      </c>
      <c r="Q1371">
        <v>56</v>
      </c>
      <c r="R1371" t="s">
        <v>249</v>
      </c>
      <c r="S1371" t="s">
        <v>10</v>
      </c>
      <c r="T1371">
        <v>19</v>
      </c>
    </row>
    <row r="1372" spans="4:20" ht="15.75" customHeight="1" x14ac:dyDescent="0.2">
      <c r="D1372" t="s">
        <v>285</v>
      </c>
      <c r="E1372" t="s">
        <v>392</v>
      </c>
      <c r="F1372">
        <v>9</v>
      </c>
      <c r="P1372" t="s">
        <v>413</v>
      </c>
      <c r="Q1372">
        <v>56</v>
      </c>
      <c r="R1372" t="s">
        <v>251</v>
      </c>
      <c r="S1372" t="s">
        <v>11</v>
      </c>
      <c r="T1372">
        <v>14</v>
      </c>
    </row>
    <row r="1373" spans="4:20" ht="15.75" customHeight="1" x14ac:dyDescent="0.2">
      <c r="D1373" t="s">
        <v>285</v>
      </c>
      <c r="E1373" t="s">
        <v>392</v>
      </c>
      <c r="F1373">
        <v>9</v>
      </c>
      <c r="P1373" t="s">
        <v>413</v>
      </c>
      <c r="Q1373">
        <v>56</v>
      </c>
      <c r="R1373" t="s">
        <v>253</v>
      </c>
      <c r="S1373" t="s">
        <v>12</v>
      </c>
      <c r="T1373">
        <v>72.339699999999993</v>
      </c>
    </row>
    <row r="1374" spans="4:20" ht="15.75" customHeight="1" x14ac:dyDescent="0.2">
      <c r="D1374" t="s">
        <v>285</v>
      </c>
      <c r="E1374" t="s">
        <v>392</v>
      </c>
      <c r="F1374">
        <v>9</v>
      </c>
      <c r="P1374" t="s">
        <v>413</v>
      </c>
      <c r="Q1374">
        <v>56</v>
      </c>
      <c r="R1374" t="s">
        <v>255</v>
      </c>
      <c r="S1374" t="s">
        <v>15</v>
      </c>
      <c r="T1374">
        <v>7</v>
      </c>
    </row>
    <row r="1375" spans="4:20" ht="15.75" customHeight="1" x14ac:dyDescent="0.2">
      <c r="D1375" t="s">
        <v>285</v>
      </c>
      <c r="E1375" t="s">
        <v>392</v>
      </c>
      <c r="F1375">
        <v>9</v>
      </c>
      <c r="P1375" t="s">
        <v>413</v>
      </c>
      <c r="Q1375">
        <v>56</v>
      </c>
      <c r="R1375" t="s">
        <v>293</v>
      </c>
      <c r="S1375" t="s">
        <v>13</v>
      </c>
      <c r="T1375">
        <v>0.66669999999999996</v>
      </c>
    </row>
    <row r="1376" spans="4:20" ht="15.75" customHeight="1" x14ac:dyDescent="0.2">
      <c r="D1376" t="s">
        <v>285</v>
      </c>
      <c r="E1376" t="s">
        <v>392</v>
      </c>
      <c r="F1376">
        <v>9</v>
      </c>
      <c r="P1376" t="s">
        <v>413</v>
      </c>
      <c r="Q1376">
        <v>56</v>
      </c>
      <c r="R1376" t="s">
        <v>294</v>
      </c>
      <c r="S1376" t="s">
        <v>14</v>
      </c>
      <c r="T1376">
        <v>0</v>
      </c>
    </row>
    <row r="1377" spans="4:20" ht="15.75" customHeight="1" x14ac:dyDescent="0.2">
      <c r="D1377" t="s">
        <v>285</v>
      </c>
      <c r="E1377" t="s">
        <v>392</v>
      </c>
      <c r="F1377">
        <v>9</v>
      </c>
      <c r="P1377" t="s">
        <v>413</v>
      </c>
      <c r="Q1377">
        <v>56</v>
      </c>
      <c r="R1377" t="s">
        <v>257</v>
      </c>
      <c r="S1377" t="s">
        <v>16</v>
      </c>
      <c r="T1377">
        <v>68.56</v>
      </c>
    </row>
    <row r="1378" spans="4:20" ht="15.75" customHeight="1" x14ac:dyDescent="0.2">
      <c r="D1378" t="s">
        <v>285</v>
      </c>
      <c r="E1378" t="s">
        <v>392</v>
      </c>
      <c r="F1378">
        <v>9</v>
      </c>
      <c r="P1378" t="s">
        <v>413</v>
      </c>
      <c r="Q1378">
        <v>56</v>
      </c>
      <c r="R1378" t="s">
        <v>295</v>
      </c>
      <c r="S1378" t="s">
        <v>17</v>
      </c>
      <c r="T1378">
        <v>0</v>
      </c>
    </row>
    <row r="1379" spans="4:20" ht="15.75" customHeight="1" x14ac:dyDescent="0.2">
      <c r="D1379" t="s">
        <v>285</v>
      </c>
      <c r="E1379" t="s">
        <v>392</v>
      </c>
      <c r="F1379">
        <v>9</v>
      </c>
      <c r="P1379" t="s">
        <v>413</v>
      </c>
      <c r="Q1379">
        <v>56</v>
      </c>
      <c r="R1379" t="s">
        <v>296</v>
      </c>
      <c r="S1379" t="s">
        <v>1</v>
      </c>
      <c r="T1379">
        <v>1</v>
      </c>
    </row>
    <row r="1380" spans="4:20" ht="15.75" customHeight="1" x14ac:dyDescent="0.2">
      <c r="D1380" t="s">
        <v>285</v>
      </c>
      <c r="E1380" t="s">
        <v>392</v>
      </c>
      <c r="F1380">
        <v>9</v>
      </c>
      <c r="P1380" t="s">
        <v>413</v>
      </c>
      <c r="Q1380">
        <v>56</v>
      </c>
      <c r="R1380" t="s">
        <v>297</v>
      </c>
      <c r="S1380" t="s">
        <v>18</v>
      </c>
      <c r="T1380">
        <v>5</v>
      </c>
    </row>
    <row r="1381" spans="4:20" ht="15.75" customHeight="1" x14ac:dyDescent="0.2">
      <c r="D1381" t="s">
        <v>285</v>
      </c>
      <c r="E1381" t="s">
        <v>392</v>
      </c>
      <c r="F1381">
        <v>9</v>
      </c>
      <c r="P1381" t="s">
        <v>413</v>
      </c>
      <c r="Q1381">
        <v>56</v>
      </c>
      <c r="R1381" t="s">
        <v>298</v>
      </c>
      <c r="S1381" t="s">
        <v>19</v>
      </c>
      <c r="T1381">
        <v>0</v>
      </c>
    </row>
    <row r="1382" spans="4:20" ht="15.75" customHeight="1" x14ac:dyDescent="0.2">
      <c r="D1382" t="s">
        <v>285</v>
      </c>
      <c r="E1382" t="s">
        <v>392</v>
      </c>
      <c r="F1382">
        <v>9</v>
      </c>
      <c r="P1382" t="s">
        <v>413</v>
      </c>
      <c r="Q1382">
        <v>56</v>
      </c>
      <c r="R1382" t="s">
        <v>299</v>
      </c>
      <c r="S1382" t="s">
        <v>20</v>
      </c>
      <c r="T1382">
        <v>2</v>
      </c>
    </row>
    <row r="1383" spans="4:20" ht="15.75" customHeight="1" x14ac:dyDescent="0.2">
      <c r="D1383" t="s">
        <v>285</v>
      </c>
      <c r="E1383" t="s">
        <v>392</v>
      </c>
      <c r="F1383">
        <v>9</v>
      </c>
      <c r="P1383" t="s">
        <v>414</v>
      </c>
      <c r="Q1383">
        <v>57</v>
      </c>
      <c r="R1383" t="s">
        <v>288</v>
      </c>
      <c r="S1383" t="s">
        <v>2</v>
      </c>
      <c r="T1383">
        <v>10</v>
      </c>
    </row>
    <row r="1384" spans="4:20" ht="15.75" customHeight="1" x14ac:dyDescent="0.2">
      <c r="D1384" t="s">
        <v>285</v>
      </c>
      <c r="E1384" t="s">
        <v>392</v>
      </c>
      <c r="F1384">
        <v>9</v>
      </c>
      <c r="P1384" t="s">
        <v>414</v>
      </c>
      <c r="Q1384">
        <v>57</v>
      </c>
      <c r="R1384" t="s">
        <v>289</v>
      </c>
      <c r="S1384" t="s">
        <v>5</v>
      </c>
      <c r="T1384">
        <v>2</v>
      </c>
    </row>
    <row r="1385" spans="4:20" ht="15.75" customHeight="1" x14ac:dyDescent="0.2">
      <c r="D1385" t="s">
        <v>285</v>
      </c>
      <c r="E1385" t="s">
        <v>392</v>
      </c>
      <c r="F1385">
        <v>9</v>
      </c>
      <c r="P1385" t="s">
        <v>414</v>
      </c>
      <c r="Q1385">
        <v>57</v>
      </c>
      <c r="R1385" t="s">
        <v>290</v>
      </c>
      <c r="S1385" t="s">
        <v>3</v>
      </c>
      <c r="T1385">
        <v>0.5625</v>
      </c>
    </row>
    <row r="1386" spans="4:20" ht="15.75" customHeight="1" x14ac:dyDescent="0.2">
      <c r="D1386" t="s">
        <v>285</v>
      </c>
      <c r="E1386" t="s">
        <v>392</v>
      </c>
      <c r="F1386">
        <v>9</v>
      </c>
      <c r="P1386" t="s">
        <v>414</v>
      </c>
      <c r="Q1386">
        <v>57</v>
      </c>
      <c r="R1386" t="s">
        <v>291</v>
      </c>
      <c r="S1386" t="s">
        <v>4</v>
      </c>
      <c r="T1386">
        <v>14</v>
      </c>
    </row>
    <row r="1387" spans="4:20" ht="15.75" customHeight="1" x14ac:dyDescent="0.2">
      <c r="D1387" t="s">
        <v>285</v>
      </c>
      <c r="E1387" t="s">
        <v>392</v>
      </c>
      <c r="F1387">
        <v>9</v>
      </c>
      <c r="P1387" t="s">
        <v>414</v>
      </c>
      <c r="Q1387">
        <v>57</v>
      </c>
      <c r="R1387" t="s">
        <v>292</v>
      </c>
      <c r="S1387" t="s">
        <v>6</v>
      </c>
      <c r="T1387">
        <v>1</v>
      </c>
    </row>
    <row r="1388" spans="4:20" ht="15.75" customHeight="1" x14ac:dyDescent="0.2">
      <c r="D1388" t="s">
        <v>285</v>
      </c>
      <c r="E1388" t="s">
        <v>392</v>
      </c>
      <c r="F1388">
        <v>9</v>
      </c>
      <c r="P1388" t="s">
        <v>414</v>
      </c>
      <c r="Q1388">
        <v>57</v>
      </c>
      <c r="R1388" t="s">
        <v>243</v>
      </c>
      <c r="S1388" t="s">
        <v>7</v>
      </c>
      <c r="T1388">
        <v>43.421100000000003</v>
      </c>
    </row>
    <row r="1389" spans="4:20" ht="15.75" customHeight="1" x14ac:dyDescent="0.2">
      <c r="D1389" t="s">
        <v>285</v>
      </c>
      <c r="E1389" t="s">
        <v>392</v>
      </c>
      <c r="F1389">
        <v>9</v>
      </c>
      <c r="P1389" t="s">
        <v>414</v>
      </c>
      <c r="Q1389">
        <v>57</v>
      </c>
      <c r="R1389" t="s">
        <v>245</v>
      </c>
      <c r="S1389" t="s">
        <v>8</v>
      </c>
      <c r="T1389">
        <v>29011.7968</v>
      </c>
    </row>
    <row r="1390" spans="4:20" ht="15.75" customHeight="1" x14ac:dyDescent="0.2">
      <c r="D1390" t="s">
        <v>285</v>
      </c>
      <c r="E1390" t="s">
        <v>392</v>
      </c>
      <c r="F1390">
        <v>9</v>
      </c>
      <c r="P1390" t="s">
        <v>414</v>
      </c>
      <c r="Q1390">
        <v>57</v>
      </c>
      <c r="R1390" t="s">
        <v>247</v>
      </c>
      <c r="S1390" t="s">
        <v>9</v>
      </c>
      <c r="T1390">
        <v>0.31469999999999998</v>
      </c>
    </row>
    <row r="1391" spans="4:20" ht="15.75" customHeight="1" x14ac:dyDescent="0.2">
      <c r="D1391" t="s">
        <v>285</v>
      </c>
      <c r="E1391" t="s">
        <v>392</v>
      </c>
      <c r="F1391">
        <v>9</v>
      </c>
      <c r="P1391" t="s">
        <v>414</v>
      </c>
      <c r="Q1391">
        <v>57</v>
      </c>
      <c r="R1391" t="s">
        <v>249</v>
      </c>
      <c r="S1391" t="s">
        <v>10</v>
      </c>
      <c r="T1391">
        <v>119</v>
      </c>
    </row>
    <row r="1392" spans="4:20" ht="15.75" customHeight="1" x14ac:dyDescent="0.2">
      <c r="D1392" t="s">
        <v>285</v>
      </c>
      <c r="E1392" t="s">
        <v>392</v>
      </c>
      <c r="F1392">
        <v>9</v>
      </c>
      <c r="P1392" t="s">
        <v>414</v>
      </c>
      <c r="Q1392">
        <v>57</v>
      </c>
      <c r="R1392" t="s">
        <v>251</v>
      </c>
      <c r="S1392" t="s">
        <v>11</v>
      </c>
      <c r="T1392">
        <v>49</v>
      </c>
    </row>
    <row r="1393" spans="4:20" ht="15.75" customHeight="1" x14ac:dyDescent="0.2">
      <c r="D1393" t="s">
        <v>285</v>
      </c>
      <c r="E1393" t="s">
        <v>392</v>
      </c>
      <c r="F1393">
        <v>9</v>
      </c>
      <c r="P1393" t="s">
        <v>414</v>
      </c>
      <c r="Q1393">
        <v>57</v>
      </c>
      <c r="R1393" t="s">
        <v>253</v>
      </c>
      <c r="S1393" t="s">
        <v>12</v>
      </c>
      <c r="T1393">
        <v>668.15049999999997</v>
      </c>
    </row>
    <row r="1394" spans="4:20" ht="15.75" customHeight="1" x14ac:dyDescent="0.2">
      <c r="D1394" t="s">
        <v>285</v>
      </c>
      <c r="E1394" t="s">
        <v>392</v>
      </c>
      <c r="F1394">
        <v>9</v>
      </c>
      <c r="P1394" t="s">
        <v>414</v>
      </c>
      <c r="Q1394">
        <v>57</v>
      </c>
      <c r="R1394" t="s">
        <v>255</v>
      </c>
      <c r="S1394" t="s">
        <v>15</v>
      </c>
      <c r="T1394">
        <v>46</v>
      </c>
    </row>
    <row r="1395" spans="4:20" ht="15.75" customHeight="1" x14ac:dyDescent="0.2">
      <c r="D1395" t="s">
        <v>285</v>
      </c>
      <c r="E1395" t="s">
        <v>392</v>
      </c>
      <c r="F1395">
        <v>9</v>
      </c>
      <c r="P1395" t="s">
        <v>414</v>
      </c>
      <c r="Q1395">
        <v>57</v>
      </c>
      <c r="R1395" t="s">
        <v>293</v>
      </c>
      <c r="S1395" t="s">
        <v>13</v>
      </c>
      <c r="T1395">
        <v>0.8</v>
      </c>
    </row>
    <row r="1396" spans="4:20" ht="15.75" customHeight="1" x14ac:dyDescent="0.2">
      <c r="D1396" t="s">
        <v>285</v>
      </c>
      <c r="E1396" t="s">
        <v>392</v>
      </c>
      <c r="F1396">
        <v>9</v>
      </c>
      <c r="P1396" t="s">
        <v>414</v>
      </c>
      <c r="Q1396">
        <v>57</v>
      </c>
      <c r="R1396" t="s">
        <v>294</v>
      </c>
      <c r="S1396" t="s">
        <v>14</v>
      </c>
      <c r="T1396">
        <v>2</v>
      </c>
    </row>
    <row r="1397" spans="4:20" ht="15.75" customHeight="1" x14ac:dyDescent="0.2">
      <c r="D1397" t="s">
        <v>285</v>
      </c>
      <c r="E1397" t="s">
        <v>392</v>
      </c>
      <c r="F1397">
        <v>9</v>
      </c>
      <c r="P1397" t="s">
        <v>414</v>
      </c>
      <c r="Q1397">
        <v>57</v>
      </c>
      <c r="R1397" t="s">
        <v>257</v>
      </c>
      <c r="S1397" t="s">
        <v>16</v>
      </c>
      <c r="T1397">
        <v>43.639800000000001</v>
      </c>
    </row>
    <row r="1398" spans="4:20" ht="15.75" customHeight="1" x14ac:dyDescent="0.2">
      <c r="D1398" t="s">
        <v>285</v>
      </c>
      <c r="E1398" t="s">
        <v>392</v>
      </c>
      <c r="F1398">
        <v>9</v>
      </c>
      <c r="P1398" t="s">
        <v>414</v>
      </c>
      <c r="Q1398">
        <v>57</v>
      </c>
      <c r="R1398" t="s">
        <v>295</v>
      </c>
      <c r="S1398" t="s">
        <v>17</v>
      </c>
      <c r="T1398">
        <v>2</v>
      </c>
    </row>
    <row r="1399" spans="4:20" ht="15.75" customHeight="1" x14ac:dyDescent="0.2">
      <c r="D1399" t="s">
        <v>285</v>
      </c>
      <c r="E1399" t="s">
        <v>392</v>
      </c>
      <c r="F1399">
        <v>9</v>
      </c>
      <c r="P1399" t="s">
        <v>414</v>
      </c>
      <c r="Q1399">
        <v>57</v>
      </c>
      <c r="R1399" t="s">
        <v>296</v>
      </c>
      <c r="S1399" t="s">
        <v>1</v>
      </c>
      <c r="T1399">
        <v>10</v>
      </c>
    </row>
    <row r="1400" spans="4:20" ht="15.75" customHeight="1" x14ac:dyDescent="0.2">
      <c r="D1400" t="s">
        <v>285</v>
      </c>
      <c r="E1400" t="s">
        <v>392</v>
      </c>
      <c r="F1400">
        <v>9</v>
      </c>
      <c r="P1400" t="s">
        <v>414</v>
      </c>
      <c r="Q1400">
        <v>57</v>
      </c>
      <c r="R1400" t="s">
        <v>297</v>
      </c>
      <c r="S1400" t="s">
        <v>18</v>
      </c>
      <c r="T1400">
        <v>15</v>
      </c>
    </row>
    <row r="1401" spans="4:20" ht="15.75" customHeight="1" x14ac:dyDescent="0.2">
      <c r="D1401" t="s">
        <v>285</v>
      </c>
      <c r="E1401" t="s">
        <v>392</v>
      </c>
      <c r="F1401">
        <v>9</v>
      </c>
      <c r="P1401" t="s">
        <v>414</v>
      </c>
      <c r="Q1401">
        <v>57</v>
      </c>
      <c r="R1401" t="s">
        <v>298</v>
      </c>
      <c r="S1401" t="s">
        <v>19</v>
      </c>
      <c r="T1401">
        <v>6</v>
      </c>
    </row>
    <row r="1402" spans="4:20" ht="15.75" customHeight="1" x14ac:dyDescent="0.2">
      <c r="D1402" t="s">
        <v>285</v>
      </c>
      <c r="E1402" t="s">
        <v>392</v>
      </c>
      <c r="F1402">
        <v>9</v>
      </c>
      <c r="P1402" t="s">
        <v>414</v>
      </c>
      <c r="Q1402">
        <v>57</v>
      </c>
      <c r="R1402" t="s">
        <v>299</v>
      </c>
      <c r="S1402" t="s">
        <v>20</v>
      </c>
      <c r="T1402">
        <v>0</v>
      </c>
    </row>
    <row r="1403" spans="4:20" ht="15.75" customHeight="1" x14ac:dyDescent="0.2">
      <c r="D1403" t="s">
        <v>285</v>
      </c>
      <c r="E1403" t="s">
        <v>392</v>
      </c>
      <c r="F1403">
        <v>9</v>
      </c>
      <c r="P1403" t="s">
        <v>415</v>
      </c>
      <c r="Q1403">
        <v>58</v>
      </c>
      <c r="R1403" t="s">
        <v>288</v>
      </c>
      <c r="S1403" t="s">
        <v>2</v>
      </c>
      <c r="T1403">
        <v>10</v>
      </c>
    </row>
    <row r="1404" spans="4:20" ht="15.75" customHeight="1" x14ac:dyDescent="0.2">
      <c r="D1404" t="s">
        <v>285</v>
      </c>
      <c r="E1404" t="s">
        <v>392</v>
      </c>
      <c r="F1404">
        <v>9</v>
      </c>
      <c r="P1404" t="s">
        <v>415</v>
      </c>
      <c r="Q1404">
        <v>58</v>
      </c>
      <c r="R1404" t="s">
        <v>289</v>
      </c>
      <c r="S1404" t="s">
        <v>5</v>
      </c>
      <c r="T1404">
        <v>2</v>
      </c>
    </row>
    <row r="1405" spans="4:20" ht="15.75" customHeight="1" x14ac:dyDescent="0.2">
      <c r="D1405" t="s">
        <v>285</v>
      </c>
      <c r="E1405" t="s">
        <v>392</v>
      </c>
      <c r="F1405">
        <v>9</v>
      </c>
      <c r="P1405" t="s">
        <v>415</v>
      </c>
      <c r="Q1405">
        <v>58</v>
      </c>
      <c r="R1405" t="s">
        <v>290</v>
      </c>
      <c r="S1405" t="s">
        <v>3</v>
      </c>
      <c r="T1405">
        <v>0.5625</v>
      </c>
    </row>
    <row r="1406" spans="4:20" ht="15.75" customHeight="1" x14ac:dyDescent="0.2">
      <c r="D1406" t="s">
        <v>285</v>
      </c>
      <c r="E1406" t="s">
        <v>392</v>
      </c>
      <c r="F1406">
        <v>9</v>
      </c>
      <c r="P1406" t="s">
        <v>415</v>
      </c>
      <c r="Q1406">
        <v>58</v>
      </c>
      <c r="R1406" t="s">
        <v>291</v>
      </c>
      <c r="S1406" t="s">
        <v>4</v>
      </c>
      <c r="T1406">
        <v>14</v>
      </c>
    </row>
    <row r="1407" spans="4:20" ht="15.75" customHeight="1" x14ac:dyDescent="0.2">
      <c r="D1407" t="s">
        <v>285</v>
      </c>
      <c r="E1407" t="s">
        <v>392</v>
      </c>
      <c r="F1407">
        <v>9</v>
      </c>
      <c r="P1407" t="s">
        <v>415</v>
      </c>
      <c r="Q1407">
        <v>58</v>
      </c>
      <c r="R1407" t="s">
        <v>292</v>
      </c>
      <c r="S1407" t="s">
        <v>6</v>
      </c>
      <c r="T1407">
        <v>1</v>
      </c>
    </row>
    <row r="1408" spans="4:20" ht="15.75" customHeight="1" x14ac:dyDescent="0.2">
      <c r="D1408" t="s">
        <v>285</v>
      </c>
      <c r="E1408" t="s">
        <v>392</v>
      </c>
      <c r="F1408">
        <v>9</v>
      </c>
      <c r="P1408" t="s">
        <v>415</v>
      </c>
      <c r="Q1408">
        <v>58</v>
      </c>
      <c r="R1408" t="s">
        <v>243</v>
      </c>
      <c r="S1408" t="s">
        <v>7</v>
      </c>
      <c r="T1408">
        <v>43.421100000000003</v>
      </c>
    </row>
    <row r="1409" spans="4:20" ht="15.75" customHeight="1" x14ac:dyDescent="0.2">
      <c r="D1409" t="s">
        <v>285</v>
      </c>
      <c r="E1409" t="s">
        <v>392</v>
      </c>
      <c r="F1409">
        <v>9</v>
      </c>
      <c r="P1409" t="s">
        <v>415</v>
      </c>
      <c r="Q1409">
        <v>58</v>
      </c>
      <c r="R1409" t="s">
        <v>245</v>
      </c>
      <c r="S1409" t="s">
        <v>8</v>
      </c>
      <c r="T1409">
        <v>29011.7968</v>
      </c>
    </row>
    <row r="1410" spans="4:20" ht="15.75" customHeight="1" x14ac:dyDescent="0.2">
      <c r="D1410" t="s">
        <v>285</v>
      </c>
      <c r="E1410" t="s">
        <v>392</v>
      </c>
      <c r="F1410">
        <v>9</v>
      </c>
      <c r="P1410" t="s">
        <v>415</v>
      </c>
      <c r="Q1410">
        <v>58</v>
      </c>
      <c r="R1410" t="s">
        <v>247</v>
      </c>
      <c r="S1410" t="s">
        <v>9</v>
      </c>
      <c r="T1410">
        <v>0.31469999999999998</v>
      </c>
    </row>
    <row r="1411" spans="4:20" ht="15.75" customHeight="1" x14ac:dyDescent="0.2">
      <c r="D1411" t="s">
        <v>285</v>
      </c>
      <c r="E1411" t="s">
        <v>392</v>
      </c>
      <c r="F1411">
        <v>9</v>
      </c>
      <c r="P1411" t="s">
        <v>415</v>
      </c>
      <c r="Q1411">
        <v>58</v>
      </c>
      <c r="R1411" t="s">
        <v>249</v>
      </c>
      <c r="S1411" t="s">
        <v>10</v>
      </c>
      <c r="T1411">
        <v>119</v>
      </c>
    </row>
    <row r="1412" spans="4:20" ht="15.75" customHeight="1" x14ac:dyDescent="0.2">
      <c r="D1412" t="s">
        <v>285</v>
      </c>
      <c r="E1412" t="s">
        <v>392</v>
      </c>
      <c r="F1412">
        <v>9</v>
      </c>
      <c r="P1412" t="s">
        <v>415</v>
      </c>
      <c r="Q1412">
        <v>58</v>
      </c>
      <c r="R1412" t="s">
        <v>251</v>
      </c>
      <c r="S1412" t="s">
        <v>11</v>
      </c>
      <c r="T1412">
        <v>49</v>
      </c>
    </row>
    <row r="1413" spans="4:20" ht="15.75" customHeight="1" x14ac:dyDescent="0.2">
      <c r="D1413" t="s">
        <v>285</v>
      </c>
      <c r="E1413" t="s">
        <v>392</v>
      </c>
      <c r="F1413">
        <v>9</v>
      </c>
      <c r="P1413" t="s">
        <v>415</v>
      </c>
      <c r="Q1413">
        <v>58</v>
      </c>
      <c r="R1413" t="s">
        <v>253</v>
      </c>
      <c r="S1413" t="s">
        <v>12</v>
      </c>
      <c r="T1413">
        <v>668.15049999999997</v>
      </c>
    </row>
    <row r="1414" spans="4:20" ht="15.75" customHeight="1" x14ac:dyDescent="0.2">
      <c r="D1414" t="s">
        <v>285</v>
      </c>
      <c r="E1414" t="s">
        <v>392</v>
      </c>
      <c r="F1414">
        <v>9</v>
      </c>
      <c r="P1414" t="s">
        <v>415</v>
      </c>
      <c r="Q1414">
        <v>58</v>
      </c>
      <c r="R1414" t="s">
        <v>255</v>
      </c>
      <c r="S1414" t="s">
        <v>15</v>
      </c>
      <c r="T1414">
        <v>42</v>
      </c>
    </row>
    <row r="1415" spans="4:20" ht="15.75" customHeight="1" x14ac:dyDescent="0.2">
      <c r="D1415" t="s">
        <v>285</v>
      </c>
      <c r="E1415" t="s">
        <v>392</v>
      </c>
      <c r="F1415">
        <v>9</v>
      </c>
      <c r="P1415" t="s">
        <v>415</v>
      </c>
      <c r="Q1415">
        <v>58</v>
      </c>
      <c r="R1415" t="s">
        <v>293</v>
      </c>
      <c r="S1415" t="s">
        <v>13</v>
      </c>
      <c r="T1415">
        <v>0.8</v>
      </c>
    </row>
    <row r="1416" spans="4:20" ht="15.75" customHeight="1" x14ac:dyDescent="0.2">
      <c r="D1416" t="s">
        <v>285</v>
      </c>
      <c r="E1416" t="s">
        <v>392</v>
      </c>
      <c r="F1416">
        <v>9</v>
      </c>
      <c r="P1416" t="s">
        <v>415</v>
      </c>
      <c r="Q1416">
        <v>58</v>
      </c>
      <c r="R1416" t="s">
        <v>294</v>
      </c>
      <c r="S1416" t="s">
        <v>14</v>
      </c>
      <c r="T1416">
        <v>2</v>
      </c>
    </row>
    <row r="1417" spans="4:20" ht="15.75" customHeight="1" x14ac:dyDescent="0.2">
      <c r="D1417" t="s">
        <v>285</v>
      </c>
      <c r="E1417" t="s">
        <v>392</v>
      </c>
      <c r="F1417">
        <v>9</v>
      </c>
      <c r="P1417" t="s">
        <v>415</v>
      </c>
      <c r="Q1417">
        <v>58</v>
      </c>
      <c r="R1417" t="s">
        <v>257</v>
      </c>
      <c r="S1417" t="s">
        <v>16</v>
      </c>
      <c r="T1417">
        <v>44.5017</v>
      </c>
    </row>
    <row r="1418" spans="4:20" ht="15.75" customHeight="1" x14ac:dyDescent="0.2">
      <c r="D1418" t="s">
        <v>285</v>
      </c>
      <c r="E1418" t="s">
        <v>392</v>
      </c>
      <c r="F1418">
        <v>9</v>
      </c>
      <c r="P1418" t="s">
        <v>415</v>
      </c>
      <c r="Q1418">
        <v>58</v>
      </c>
      <c r="R1418" t="s">
        <v>295</v>
      </c>
      <c r="S1418" t="s">
        <v>17</v>
      </c>
      <c r="T1418">
        <v>2</v>
      </c>
    </row>
    <row r="1419" spans="4:20" ht="15.75" customHeight="1" x14ac:dyDescent="0.2">
      <c r="D1419" t="s">
        <v>285</v>
      </c>
      <c r="E1419" t="s">
        <v>392</v>
      </c>
      <c r="F1419">
        <v>9</v>
      </c>
      <c r="P1419" t="s">
        <v>415</v>
      </c>
      <c r="Q1419">
        <v>58</v>
      </c>
      <c r="R1419" t="s">
        <v>296</v>
      </c>
      <c r="S1419" t="s">
        <v>1</v>
      </c>
      <c r="T1419">
        <v>10</v>
      </c>
    </row>
    <row r="1420" spans="4:20" ht="15.75" customHeight="1" x14ac:dyDescent="0.2">
      <c r="D1420" t="s">
        <v>285</v>
      </c>
      <c r="E1420" t="s">
        <v>392</v>
      </c>
      <c r="F1420">
        <v>9</v>
      </c>
      <c r="P1420" t="s">
        <v>415</v>
      </c>
      <c r="Q1420">
        <v>58</v>
      </c>
      <c r="R1420" t="s">
        <v>297</v>
      </c>
      <c r="S1420" t="s">
        <v>18</v>
      </c>
      <c r="T1420">
        <v>15</v>
      </c>
    </row>
    <row r="1421" spans="4:20" ht="15.75" customHeight="1" x14ac:dyDescent="0.2">
      <c r="D1421" t="s">
        <v>285</v>
      </c>
      <c r="E1421" t="s">
        <v>392</v>
      </c>
      <c r="F1421">
        <v>9</v>
      </c>
      <c r="P1421" t="s">
        <v>415</v>
      </c>
      <c r="Q1421">
        <v>58</v>
      </c>
      <c r="R1421" t="s">
        <v>298</v>
      </c>
      <c r="S1421" t="s">
        <v>19</v>
      </c>
      <c r="T1421">
        <v>6</v>
      </c>
    </row>
    <row r="1422" spans="4:20" ht="15.75" customHeight="1" x14ac:dyDescent="0.2">
      <c r="D1422" t="s">
        <v>285</v>
      </c>
      <c r="E1422" t="s">
        <v>392</v>
      </c>
      <c r="F1422">
        <v>9</v>
      </c>
      <c r="P1422" t="s">
        <v>415</v>
      </c>
      <c r="Q1422">
        <v>58</v>
      </c>
      <c r="R1422" t="s">
        <v>299</v>
      </c>
      <c r="S1422" t="s">
        <v>20</v>
      </c>
      <c r="T1422">
        <v>0</v>
      </c>
    </row>
    <row r="1423" spans="4:20" ht="15.75" customHeight="1" x14ac:dyDescent="0.2">
      <c r="D1423" t="s">
        <v>285</v>
      </c>
      <c r="E1423" t="s">
        <v>392</v>
      </c>
      <c r="F1423">
        <v>9</v>
      </c>
      <c r="P1423" t="s">
        <v>416</v>
      </c>
      <c r="Q1423">
        <v>59</v>
      </c>
      <c r="R1423" t="s">
        <v>288</v>
      </c>
      <c r="S1423" t="s">
        <v>2</v>
      </c>
      <c r="T1423">
        <v>13</v>
      </c>
    </row>
    <row r="1424" spans="4:20" ht="15.75" customHeight="1" x14ac:dyDescent="0.2">
      <c r="D1424" t="s">
        <v>285</v>
      </c>
      <c r="E1424" t="s">
        <v>392</v>
      </c>
      <c r="F1424">
        <v>9</v>
      </c>
      <c r="P1424" t="s">
        <v>416</v>
      </c>
      <c r="Q1424">
        <v>59</v>
      </c>
      <c r="R1424" t="s">
        <v>289</v>
      </c>
      <c r="S1424" t="s">
        <v>5</v>
      </c>
      <c r="T1424">
        <v>2</v>
      </c>
    </row>
    <row r="1425" spans="4:20" ht="15.75" customHeight="1" x14ac:dyDescent="0.2">
      <c r="D1425" t="s">
        <v>285</v>
      </c>
      <c r="E1425" t="s">
        <v>392</v>
      </c>
      <c r="F1425">
        <v>9</v>
      </c>
      <c r="P1425" t="s">
        <v>416</v>
      </c>
      <c r="Q1425">
        <v>59</v>
      </c>
      <c r="R1425" t="s">
        <v>290</v>
      </c>
      <c r="S1425" t="s">
        <v>3</v>
      </c>
      <c r="T1425">
        <v>0.1905</v>
      </c>
    </row>
    <row r="1426" spans="4:20" ht="15.75" customHeight="1" x14ac:dyDescent="0.2">
      <c r="D1426" t="s">
        <v>285</v>
      </c>
      <c r="E1426" t="s">
        <v>392</v>
      </c>
      <c r="F1426">
        <v>9</v>
      </c>
      <c r="P1426" t="s">
        <v>416</v>
      </c>
      <c r="Q1426">
        <v>59</v>
      </c>
      <c r="R1426" t="s">
        <v>291</v>
      </c>
      <c r="S1426" t="s">
        <v>4</v>
      </c>
      <c r="T1426">
        <v>18</v>
      </c>
    </row>
    <row r="1427" spans="4:20" ht="15.75" customHeight="1" x14ac:dyDescent="0.2">
      <c r="D1427" t="s">
        <v>285</v>
      </c>
      <c r="E1427" t="s">
        <v>392</v>
      </c>
      <c r="F1427">
        <v>9</v>
      </c>
      <c r="P1427" t="s">
        <v>416</v>
      </c>
      <c r="Q1427">
        <v>59</v>
      </c>
      <c r="R1427" t="s">
        <v>292</v>
      </c>
      <c r="S1427" t="s">
        <v>6</v>
      </c>
      <c r="T1427">
        <v>0</v>
      </c>
    </row>
    <row r="1428" spans="4:20" ht="15.75" customHeight="1" x14ac:dyDescent="0.2">
      <c r="D1428" t="s">
        <v>285</v>
      </c>
      <c r="E1428" t="s">
        <v>392</v>
      </c>
      <c r="F1428">
        <v>9</v>
      </c>
      <c r="P1428" t="s">
        <v>416</v>
      </c>
      <c r="Q1428">
        <v>59</v>
      </c>
      <c r="R1428" t="s">
        <v>243</v>
      </c>
      <c r="S1428" t="s">
        <v>7</v>
      </c>
      <c r="T1428">
        <v>45.9</v>
      </c>
    </row>
    <row r="1429" spans="4:20" ht="15.75" customHeight="1" x14ac:dyDescent="0.2">
      <c r="D1429" t="s">
        <v>285</v>
      </c>
      <c r="E1429" t="s">
        <v>392</v>
      </c>
      <c r="F1429">
        <v>9</v>
      </c>
      <c r="P1429" t="s">
        <v>416</v>
      </c>
      <c r="Q1429">
        <v>59</v>
      </c>
      <c r="R1429" t="s">
        <v>245</v>
      </c>
      <c r="S1429" t="s">
        <v>8</v>
      </c>
      <c r="T1429">
        <v>31453.795699999999</v>
      </c>
    </row>
    <row r="1430" spans="4:20" ht="15.75" customHeight="1" x14ac:dyDescent="0.2">
      <c r="D1430" t="s">
        <v>285</v>
      </c>
      <c r="E1430" t="s">
        <v>392</v>
      </c>
      <c r="F1430">
        <v>9</v>
      </c>
      <c r="P1430" t="s">
        <v>416</v>
      </c>
      <c r="Q1430">
        <v>59</v>
      </c>
      <c r="R1430" t="s">
        <v>247</v>
      </c>
      <c r="S1430" t="s">
        <v>9</v>
      </c>
      <c r="T1430">
        <v>0.33210000000000001</v>
      </c>
    </row>
    <row r="1431" spans="4:20" ht="15.75" customHeight="1" x14ac:dyDescent="0.2">
      <c r="D1431" t="s">
        <v>285</v>
      </c>
      <c r="E1431" t="s">
        <v>392</v>
      </c>
      <c r="F1431">
        <v>9</v>
      </c>
      <c r="P1431" t="s">
        <v>416</v>
      </c>
      <c r="Q1431">
        <v>59</v>
      </c>
      <c r="R1431" t="s">
        <v>249</v>
      </c>
      <c r="S1431" t="s">
        <v>10</v>
      </c>
      <c r="T1431">
        <v>118</v>
      </c>
    </row>
    <row r="1432" spans="4:20" ht="15.75" customHeight="1" x14ac:dyDescent="0.2">
      <c r="D1432" t="s">
        <v>285</v>
      </c>
      <c r="E1432" t="s">
        <v>392</v>
      </c>
      <c r="F1432">
        <v>9</v>
      </c>
      <c r="P1432" t="s">
        <v>416</v>
      </c>
      <c r="Q1432">
        <v>59</v>
      </c>
      <c r="R1432" t="s">
        <v>251</v>
      </c>
      <c r="S1432" t="s">
        <v>11</v>
      </c>
      <c r="T1432">
        <v>56</v>
      </c>
    </row>
    <row r="1433" spans="4:20" ht="15.75" customHeight="1" x14ac:dyDescent="0.2">
      <c r="D1433" t="s">
        <v>285</v>
      </c>
      <c r="E1433" t="s">
        <v>392</v>
      </c>
      <c r="F1433">
        <v>9</v>
      </c>
      <c r="P1433" t="s">
        <v>416</v>
      </c>
      <c r="Q1433">
        <v>59</v>
      </c>
      <c r="R1433" t="s">
        <v>253</v>
      </c>
      <c r="S1433" t="s">
        <v>12</v>
      </c>
      <c r="T1433">
        <v>685.26790000000005</v>
      </c>
    </row>
    <row r="1434" spans="4:20" ht="15.75" customHeight="1" x14ac:dyDescent="0.2">
      <c r="D1434" t="s">
        <v>285</v>
      </c>
      <c r="E1434" t="s">
        <v>392</v>
      </c>
      <c r="F1434">
        <v>9</v>
      </c>
      <c r="P1434" t="s">
        <v>416</v>
      </c>
      <c r="Q1434">
        <v>59</v>
      </c>
      <c r="R1434" t="s">
        <v>255</v>
      </c>
      <c r="S1434" t="s">
        <v>15</v>
      </c>
      <c r="T1434">
        <v>50</v>
      </c>
    </row>
    <row r="1435" spans="4:20" ht="15.75" customHeight="1" x14ac:dyDescent="0.2">
      <c r="D1435" t="s">
        <v>285</v>
      </c>
      <c r="E1435" t="s">
        <v>392</v>
      </c>
      <c r="F1435">
        <v>9</v>
      </c>
      <c r="P1435" t="s">
        <v>416</v>
      </c>
      <c r="Q1435">
        <v>59</v>
      </c>
      <c r="R1435" t="s">
        <v>293</v>
      </c>
      <c r="S1435" t="s">
        <v>13</v>
      </c>
      <c r="T1435">
        <v>1</v>
      </c>
    </row>
    <row r="1436" spans="4:20" ht="15.75" customHeight="1" x14ac:dyDescent="0.2">
      <c r="D1436" t="s">
        <v>285</v>
      </c>
      <c r="E1436" t="s">
        <v>392</v>
      </c>
      <c r="F1436">
        <v>9</v>
      </c>
      <c r="P1436" t="s">
        <v>416</v>
      </c>
      <c r="Q1436">
        <v>59</v>
      </c>
      <c r="R1436" t="s">
        <v>294</v>
      </c>
      <c r="S1436" t="s">
        <v>14</v>
      </c>
      <c r="T1436">
        <v>1</v>
      </c>
    </row>
    <row r="1437" spans="4:20" ht="15.75" customHeight="1" x14ac:dyDescent="0.2">
      <c r="D1437" t="s">
        <v>285</v>
      </c>
      <c r="E1437" t="s">
        <v>392</v>
      </c>
      <c r="F1437">
        <v>9</v>
      </c>
      <c r="P1437" t="s">
        <v>416</v>
      </c>
      <c r="Q1437">
        <v>59</v>
      </c>
      <c r="R1437" t="s">
        <v>257</v>
      </c>
      <c r="S1437" t="s">
        <v>16</v>
      </c>
      <c r="T1437">
        <v>42.749000000000002</v>
      </c>
    </row>
    <row r="1438" spans="4:20" ht="15.75" customHeight="1" x14ac:dyDescent="0.2">
      <c r="D1438" t="s">
        <v>285</v>
      </c>
      <c r="E1438" t="s">
        <v>392</v>
      </c>
      <c r="F1438">
        <v>9</v>
      </c>
      <c r="P1438" t="s">
        <v>416</v>
      </c>
      <c r="Q1438">
        <v>59</v>
      </c>
      <c r="R1438" t="s">
        <v>295</v>
      </c>
      <c r="S1438" t="s">
        <v>17</v>
      </c>
      <c r="T1438">
        <v>4</v>
      </c>
    </row>
    <row r="1439" spans="4:20" ht="15.75" customHeight="1" x14ac:dyDescent="0.2">
      <c r="D1439" t="s">
        <v>285</v>
      </c>
      <c r="E1439" t="s">
        <v>392</v>
      </c>
      <c r="F1439">
        <v>9</v>
      </c>
      <c r="P1439" t="s">
        <v>416</v>
      </c>
      <c r="Q1439">
        <v>59</v>
      </c>
      <c r="R1439" t="s">
        <v>296</v>
      </c>
      <c r="S1439" t="s">
        <v>1</v>
      </c>
      <c r="T1439">
        <v>12</v>
      </c>
    </row>
    <row r="1440" spans="4:20" ht="15.75" customHeight="1" x14ac:dyDescent="0.2">
      <c r="D1440" t="s">
        <v>285</v>
      </c>
      <c r="E1440" t="s">
        <v>392</v>
      </c>
      <c r="F1440">
        <v>9</v>
      </c>
      <c r="P1440" t="s">
        <v>416</v>
      </c>
      <c r="Q1440">
        <v>59</v>
      </c>
      <c r="R1440" t="s">
        <v>297</v>
      </c>
      <c r="S1440" t="s">
        <v>18</v>
      </c>
      <c r="T1440">
        <v>8</v>
      </c>
    </row>
    <row r="1441" spans="4:20" ht="15.75" customHeight="1" x14ac:dyDescent="0.2">
      <c r="D1441" t="s">
        <v>285</v>
      </c>
      <c r="E1441" t="s">
        <v>392</v>
      </c>
      <c r="F1441">
        <v>9</v>
      </c>
      <c r="P1441" t="s">
        <v>416</v>
      </c>
      <c r="Q1441">
        <v>59</v>
      </c>
      <c r="R1441" t="s">
        <v>298</v>
      </c>
      <c r="S1441" t="s">
        <v>19</v>
      </c>
      <c r="T1441">
        <v>2</v>
      </c>
    </row>
    <row r="1442" spans="4:20" ht="15.75" customHeight="1" x14ac:dyDescent="0.2">
      <c r="D1442" t="s">
        <v>285</v>
      </c>
      <c r="E1442" t="s">
        <v>392</v>
      </c>
      <c r="F1442">
        <v>9</v>
      </c>
      <c r="P1442" t="s">
        <v>416</v>
      </c>
      <c r="Q1442">
        <v>59</v>
      </c>
      <c r="R1442" t="s">
        <v>299</v>
      </c>
      <c r="S1442" t="s">
        <v>20</v>
      </c>
      <c r="T1442">
        <v>1</v>
      </c>
    </row>
    <row r="1443" spans="4:20" ht="15.75" customHeight="1" x14ac:dyDescent="0.2">
      <c r="D1443" t="s">
        <v>285</v>
      </c>
      <c r="E1443" t="s">
        <v>392</v>
      </c>
      <c r="F1443">
        <v>9</v>
      </c>
      <c r="P1443" t="s">
        <v>417</v>
      </c>
      <c r="Q1443">
        <v>60</v>
      </c>
      <c r="R1443" t="s">
        <v>288</v>
      </c>
      <c r="S1443" t="s">
        <v>2</v>
      </c>
      <c r="T1443">
        <v>13</v>
      </c>
    </row>
    <row r="1444" spans="4:20" ht="15.75" customHeight="1" x14ac:dyDescent="0.2">
      <c r="D1444" t="s">
        <v>285</v>
      </c>
      <c r="E1444" t="s">
        <v>392</v>
      </c>
      <c r="F1444">
        <v>9</v>
      </c>
      <c r="P1444" t="s">
        <v>417</v>
      </c>
      <c r="Q1444">
        <v>60</v>
      </c>
      <c r="R1444" t="s">
        <v>289</v>
      </c>
      <c r="S1444" t="s">
        <v>5</v>
      </c>
      <c r="T1444">
        <v>2</v>
      </c>
    </row>
    <row r="1445" spans="4:20" ht="15.75" customHeight="1" x14ac:dyDescent="0.2">
      <c r="D1445" t="s">
        <v>285</v>
      </c>
      <c r="E1445" t="s">
        <v>392</v>
      </c>
      <c r="F1445">
        <v>9</v>
      </c>
      <c r="P1445" t="s">
        <v>417</v>
      </c>
      <c r="Q1445">
        <v>60</v>
      </c>
      <c r="R1445" t="s">
        <v>290</v>
      </c>
      <c r="S1445" t="s">
        <v>3</v>
      </c>
      <c r="T1445">
        <v>0.1905</v>
      </c>
    </row>
    <row r="1446" spans="4:20" ht="15.75" customHeight="1" x14ac:dyDescent="0.2">
      <c r="D1446" t="s">
        <v>285</v>
      </c>
      <c r="E1446" t="s">
        <v>392</v>
      </c>
      <c r="F1446">
        <v>9</v>
      </c>
      <c r="P1446" t="s">
        <v>417</v>
      </c>
      <c r="Q1446">
        <v>60</v>
      </c>
      <c r="R1446" t="s">
        <v>291</v>
      </c>
      <c r="S1446" t="s">
        <v>4</v>
      </c>
      <c r="T1446">
        <v>18</v>
      </c>
    </row>
    <row r="1447" spans="4:20" ht="15.75" customHeight="1" x14ac:dyDescent="0.2">
      <c r="D1447" t="s">
        <v>285</v>
      </c>
      <c r="E1447" t="s">
        <v>392</v>
      </c>
      <c r="F1447">
        <v>9</v>
      </c>
      <c r="P1447" t="s">
        <v>417</v>
      </c>
      <c r="Q1447">
        <v>60</v>
      </c>
      <c r="R1447" t="s">
        <v>292</v>
      </c>
      <c r="S1447" t="s">
        <v>6</v>
      </c>
      <c r="T1447">
        <v>0</v>
      </c>
    </row>
    <row r="1448" spans="4:20" ht="15.75" customHeight="1" x14ac:dyDescent="0.2">
      <c r="D1448" t="s">
        <v>285</v>
      </c>
      <c r="E1448" t="s">
        <v>392</v>
      </c>
      <c r="F1448">
        <v>9</v>
      </c>
      <c r="P1448" t="s">
        <v>417</v>
      </c>
      <c r="Q1448">
        <v>60</v>
      </c>
      <c r="R1448" t="s">
        <v>243</v>
      </c>
      <c r="S1448" t="s">
        <v>7</v>
      </c>
      <c r="T1448">
        <v>45.9</v>
      </c>
    </row>
    <row r="1449" spans="4:20" ht="15.75" customHeight="1" x14ac:dyDescent="0.2">
      <c r="D1449" t="s">
        <v>285</v>
      </c>
      <c r="E1449" t="s">
        <v>392</v>
      </c>
      <c r="F1449">
        <v>9</v>
      </c>
      <c r="P1449" t="s">
        <v>417</v>
      </c>
      <c r="Q1449">
        <v>60</v>
      </c>
      <c r="R1449" t="s">
        <v>245</v>
      </c>
      <c r="S1449" t="s">
        <v>8</v>
      </c>
      <c r="T1449">
        <v>31453.795699999999</v>
      </c>
    </row>
    <row r="1450" spans="4:20" ht="15.75" customHeight="1" x14ac:dyDescent="0.2">
      <c r="D1450" t="s">
        <v>285</v>
      </c>
      <c r="E1450" t="s">
        <v>392</v>
      </c>
      <c r="F1450">
        <v>9</v>
      </c>
      <c r="P1450" t="s">
        <v>417</v>
      </c>
      <c r="Q1450">
        <v>60</v>
      </c>
      <c r="R1450" t="s">
        <v>247</v>
      </c>
      <c r="S1450" t="s">
        <v>9</v>
      </c>
      <c r="T1450">
        <v>0.33210000000000001</v>
      </c>
    </row>
    <row r="1451" spans="4:20" ht="15.75" customHeight="1" x14ac:dyDescent="0.2">
      <c r="D1451" t="s">
        <v>285</v>
      </c>
      <c r="E1451" t="s">
        <v>392</v>
      </c>
      <c r="F1451">
        <v>9</v>
      </c>
      <c r="P1451" t="s">
        <v>417</v>
      </c>
      <c r="Q1451">
        <v>60</v>
      </c>
      <c r="R1451" t="s">
        <v>249</v>
      </c>
      <c r="S1451" t="s">
        <v>10</v>
      </c>
      <c r="T1451">
        <v>118</v>
      </c>
    </row>
    <row r="1452" spans="4:20" ht="15.75" customHeight="1" x14ac:dyDescent="0.2">
      <c r="D1452" t="s">
        <v>285</v>
      </c>
      <c r="E1452" t="s">
        <v>392</v>
      </c>
      <c r="F1452">
        <v>9</v>
      </c>
      <c r="P1452" t="s">
        <v>417</v>
      </c>
      <c r="Q1452">
        <v>60</v>
      </c>
      <c r="R1452" t="s">
        <v>251</v>
      </c>
      <c r="S1452" t="s">
        <v>11</v>
      </c>
      <c r="T1452">
        <v>56</v>
      </c>
    </row>
    <row r="1453" spans="4:20" ht="15.75" customHeight="1" x14ac:dyDescent="0.2">
      <c r="D1453" t="s">
        <v>285</v>
      </c>
      <c r="E1453" t="s">
        <v>392</v>
      </c>
      <c r="F1453">
        <v>9</v>
      </c>
      <c r="P1453" t="s">
        <v>417</v>
      </c>
      <c r="Q1453">
        <v>60</v>
      </c>
      <c r="R1453" t="s">
        <v>253</v>
      </c>
      <c r="S1453" t="s">
        <v>12</v>
      </c>
      <c r="T1453">
        <v>685.26790000000005</v>
      </c>
    </row>
    <row r="1454" spans="4:20" ht="15.75" customHeight="1" x14ac:dyDescent="0.2">
      <c r="D1454" t="s">
        <v>285</v>
      </c>
      <c r="E1454" t="s">
        <v>392</v>
      </c>
      <c r="F1454">
        <v>9</v>
      </c>
      <c r="P1454" t="s">
        <v>417</v>
      </c>
      <c r="Q1454">
        <v>60</v>
      </c>
      <c r="R1454" t="s">
        <v>255</v>
      </c>
      <c r="S1454" t="s">
        <v>15</v>
      </c>
      <c r="T1454">
        <v>52</v>
      </c>
    </row>
    <row r="1455" spans="4:20" ht="15.75" customHeight="1" x14ac:dyDescent="0.2">
      <c r="D1455" t="s">
        <v>285</v>
      </c>
      <c r="E1455" t="s">
        <v>392</v>
      </c>
      <c r="F1455">
        <v>9</v>
      </c>
      <c r="P1455" t="s">
        <v>417</v>
      </c>
      <c r="Q1455">
        <v>60</v>
      </c>
      <c r="R1455" t="s">
        <v>293</v>
      </c>
      <c r="S1455" t="s">
        <v>13</v>
      </c>
      <c r="T1455">
        <v>1</v>
      </c>
    </row>
    <row r="1456" spans="4:20" ht="15.75" customHeight="1" x14ac:dyDescent="0.2">
      <c r="D1456" t="s">
        <v>285</v>
      </c>
      <c r="E1456" t="s">
        <v>392</v>
      </c>
      <c r="F1456">
        <v>9</v>
      </c>
      <c r="P1456" t="s">
        <v>417</v>
      </c>
      <c r="Q1456">
        <v>60</v>
      </c>
      <c r="R1456" t="s">
        <v>294</v>
      </c>
      <c r="S1456" t="s">
        <v>14</v>
      </c>
      <c r="T1456">
        <v>1</v>
      </c>
    </row>
    <row r="1457" spans="4:20" ht="15.75" customHeight="1" x14ac:dyDescent="0.2">
      <c r="D1457" t="s">
        <v>285</v>
      </c>
      <c r="E1457" t="s">
        <v>392</v>
      </c>
      <c r="F1457">
        <v>9</v>
      </c>
      <c r="P1457" t="s">
        <v>417</v>
      </c>
      <c r="Q1457">
        <v>60</v>
      </c>
      <c r="R1457" t="s">
        <v>257</v>
      </c>
      <c r="S1457" t="s">
        <v>16</v>
      </c>
      <c r="T1457">
        <v>42.377400000000002</v>
      </c>
    </row>
    <row r="1458" spans="4:20" ht="15.75" customHeight="1" x14ac:dyDescent="0.2">
      <c r="D1458" t="s">
        <v>285</v>
      </c>
      <c r="E1458" t="s">
        <v>392</v>
      </c>
      <c r="F1458">
        <v>9</v>
      </c>
      <c r="P1458" t="s">
        <v>417</v>
      </c>
      <c r="Q1458">
        <v>60</v>
      </c>
      <c r="R1458" t="s">
        <v>295</v>
      </c>
      <c r="S1458" t="s">
        <v>17</v>
      </c>
      <c r="T1458">
        <v>4</v>
      </c>
    </row>
    <row r="1459" spans="4:20" ht="15.75" customHeight="1" x14ac:dyDescent="0.2">
      <c r="D1459" t="s">
        <v>285</v>
      </c>
      <c r="E1459" t="s">
        <v>392</v>
      </c>
      <c r="F1459">
        <v>9</v>
      </c>
      <c r="P1459" t="s">
        <v>417</v>
      </c>
      <c r="Q1459">
        <v>60</v>
      </c>
      <c r="R1459" t="s">
        <v>296</v>
      </c>
      <c r="S1459" t="s">
        <v>1</v>
      </c>
      <c r="T1459">
        <v>12</v>
      </c>
    </row>
    <row r="1460" spans="4:20" ht="15.75" customHeight="1" x14ac:dyDescent="0.2">
      <c r="D1460" t="s">
        <v>285</v>
      </c>
      <c r="E1460" t="s">
        <v>392</v>
      </c>
      <c r="F1460">
        <v>9</v>
      </c>
      <c r="P1460" t="s">
        <v>417</v>
      </c>
      <c r="Q1460">
        <v>60</v>
      </c>
      <c r="R1460" t="s">
        <v>297</v>
      </c>
      <c r="S1460" t="s">
        <v>18</v>
      </c>
      <c r="T1460">
        <v>8</v>
      </c>
    </row>
    <row r="1461" spans="4:20" ht="15.75" customHeight="1" x14ac:dyDescent="0.2">
      <c r="D1461" t="s">
        <v>285</v>
      </c>
      <c r="E1461" t="s">
        <v>392</v>
      </c>
      <c r="F1461">
        <v>9</v>
      </c>
      <c r="P1461" t="s">
        <v>417</v>
      </c>
      <c r="Q1461">
        <v>60</v>
      </c>
      <c r="R1461" t="s">
        <v>298</v>
      </c>
      <c r="S1461" t="s">
        <v>19</v>
      </c>
      <c r="T1461">
        <v>2</v>
      </c>
    </row>
    <row r="1462" spans="4:20" ht="15.75" customHeight="1" x14ac:dyDescent="0.2">
      <c r="D1462" t="s">
        <v>285</v>
      </c>
      <c r="E1462" t="s">
        <v>392</v>
      </c>
      <c r="F1462">
        <v>9</v>
      </c>
      <c r="P1462" t="s">
        <v>417</v>
      </c>
      <c r="Q1462">
        <v>60</v>
      </c>
      <c r="R1462" t="s">
        <v>299</v>
      </c>
      <c r="S1462" t="s">
        <v>20</v>
      </c>
      <c r="T1462">
        <v>1</v>
      </c>
    </row>
    <row r="1463" spans="4:20" ht="15.75" customHeight="1" x14ac:dyDescent="0.2">
      <c r="D1463" t="s">
        <v>285</v>
      </c>
      <c r="E1463" t="s">
        <v>392</v>
      </c>
      <c r="F1463">
        <v>9</v>
      </c>
      <c r="P1463" t="s">
        <v>418</v>
      </c>
      <c r="Q1463">
        <v>61</v>
      </c>
      <c r="R1463" t="s">
        <v>288</v>
      </c>
      <c r="S1463" t="s">
        <v>2</v>
      </c>
      <c r="T1463">
        <v>2</v>
      </c>
    </row>
    <row r="1464" spans="4:20" ht="15.75" customHeight="1" x14ac:dyDescent="0.2">
      <c r="D1464" t="s">
        <v>285</v>
      </c>
      <c r="E1464" t="s">
        <v>392</v>
      </c>
      <c r="F1464">
        <v>9</v>
      </c>
      <c r="P1464" t="s">
        <v>418</v>
      </c>
      <c r="Q1464">
        <v>61</v>
      </c>
      <c r="R1464" t="s">
        <v>289</v>
      </c>
      <c r="S1464" t="s">
        <v>5</v>
      </c>
      <c r="T1464">
        <v>1</v>
      </c>
    </row>
    <row r="1465" spans="4:20" ht="15.75" customHeight="1" x14ac:dyDescent="0.2">
      <c r="D1465" t="s">
        <v>285</v>
      </c>
      <c r="E1465" t="s">
        <v>392</v>
      </c>
      <c r="F1465">
        <v>9</v>
      </c>
      <c r="P1465" t="s">
        <v>418</v>
      </c>
      <c r="Q1465">
        <v>61</v>
      </c>
      <c r="R1465" t="s">
        <v>290</v>
      </c>
      <c r="S1465" t="s">
        <v>3</v>
      </c>
      <c r="T1465">
        <v>1</v>
      </c>
    </row>
    <row r="1466" spans="4:20" ht="15.75" customHeight="1" x14ac:dyDescent="0.2">
      <c r="D1466" t="s">
        <v>285</v>
      </c>
      <c r="E1466" t="s">
        <v>392</v>
      </c>
      <c r="F1466">
        <v>9</v>
      </c>
      <c r="P1466" t="s">
        <v>418</v>
      </c>
      <c r="Q1466">
        <v>61</v>
      </c>
      <c r="R1466" t="s">
        <v>291</v>
      </c>
      <c r="S1466" t="s">
        <v>4</v>
      </c>
      <c r="T1466">
        <v>2</v>
      </c>
    </row>
    <row r="1467" spans="4:20" ht="15.75" customHeight="1" x14ac:dyDescent="0.2">
      <c r="D1467" t="s">
        <v>285</v>
      </c>
      <c r="E1467" t="s">
        <v>392</v>
      </c>
      <c r="F1467">
        <v>9</v>
      </c>
      <c r="P1467" t="s">
        <v>418</v>
      </c>
      <c r="Q1467">
        <v>61</v>
      </c>
      <c r="R1467" t="s">
        <v>292</v>
      </c>
      <c r="S1467" t="s">
        <v>6</v>
      </c>
      <c r="T1467">
        <v>0</v>
      </c>
    </row>
    <row r="1468" spans="4:20" ht="15.75" customHeight="1" x14ac:dyDescent="0.2">
      <c r="D1468" t="s">
        <v>285</v>
      </c>
      <c r="E1468" t="s">
        <v>392</v>
      </c>
      <c r="F1468">
        <v>9</v>
      </c>
      <c r="P1468" t="s">
        <v>418</v>
      </c>
      <c r="Q1468">
        <v>61</v>
      </c>
      <c r="R1468" t="s">
        <v>243</v>
      </c>
      <c r="S1468" t="s">
        <v>7</v>
      </c>
      <c r="T1468">
        <v>5.25</v>
      </c>
    </row>
    <row r="1469" spans="4:20" ht="15.75" customHeight="1" x14ac:dyDescent="0.2">
      <c r="D1469" t="s">
        <v>285</v>
      </c>
      <c r="E1469" t="s">
        <v>392</v>
      </c>
      <c r="F1469">
        <v>9</v>
      </c>
      <c r="P1469" t="s">
        <v>418</v>
      </c>
      <c r="Q1469">
        <v>61</v>
      </c>
      <c r="R1469" t="s">
        <v>245</v>
      </c>
      <c r="S1469" t="s">
        <v>8</v>
      </c>
      <c r="T1469">
        <v>348.69</v>
      </c>
    </row>
    <row r="1470" spans="4:20" ht="15.75" customHeight="1" x14ac:dyDescent="0.2">
      <c r="D1470" t="s">
        <v>285</v>
      </c>
      <c r="E1470" t="s">
        <v>392</v>
      </c>
      <c r="F1470">
        <v>9</v>
      </c>
      <c r="P1470" t="s">
        <v>418</v>
      </c>
      <c r="Q1470">
        <v>61</v>
      </c>
      <c r="R1470" t="s">
        <v>247</v>
      </c>
      <c r="S1470" t="s">
        <v>9</v>
      </c>
      <c r="T1470">
        <v>1.6500000000000001E-2</v>
      </c>
    </row>
    <row r="1471" spans="4:20" ht="15.75" customHeight="1" x14ac:dyDescent="0.2">
      <c r="D1471" t="s">
        <v>285</v>
      </c>
      <c r="E1471" t="s">
        <v>392</v>
      </c>
      <c r="F1471">
        <v>9</v>
      </c>
      <c r="P1471" t="s">
        <v>418</v>
      </c>
      <c r="Q1471">
        <v>61</v>
      </c>
      <c r="R1471" t="s">
        <v>249</v>
      </c>
      <c r="S1471" t="s">
        <v>10</v>
      </c>
      <c r="T1471">
        <v>17</v>
      </c>
    </row>
    <row r="1472" spans="4:20" ht="15.75" customHeight="1" x14ac:dyDescent="0.2">
      <c r="D1472" t="s">
        <v>285</v>
      </c>
      <c r="E1472" t="s">
        <v>392</v>
      </c>
      <c r="F1472">
        <v>9</v>
      </c>
      <c r="P1472" t="s">
        <v>418</v>
      </c>
      <c r="Q1472">
        <v>61</v>
      </c>
      <c r="R1472" t="s">
        <v>251</v>
      </c>
      <c r="S1472" t="s">
        <v>11</v>
      </c>
      <c r="T1472">
        <v>15</v>
      </c>
    </row>
    <row r="1473" spans="4:20" ht="15.75" customHeight="1" x14ac:dyDescent="0.2">
      <c r="D1473" t="s">
        <v>285</v>
      </c>
      <c r="E1473" t="s">
        <v>392</v>
      </c>
      <c r="F1473">
        <v>9</v>
      </c>
      <c r="P1473" t="s">
        <v>418</v>
      </c>
      <c r="Q1473">
        <v>61</v>
      </c>
      <c r="R1473" t="s">
        <v>253</v>
      </c>
      <c r="S1473" t="s">
        <v>12</v>
      </c>
      <c r="T1473">
        <v>66.417100000000005</v>
      </c>
    </row>
    <row r="1474" spans="4:20" ht="15.75" customHeight="1" x14ac:dyDescent="0.2">
      <c r="D1474" t="s">
        <v>285</v>
      </c>
      <c r="E1474" t="s">
        <v>392</v>
      </c>
      <c r="F1474">
        <v>9</v>
      </c>
      <c r="P1474" t="s">
        <v>418</v>
      </c>
      <c r="Q1474">
        <v>61</v>
      </c>
      <c r="R1474" t="s">
        <v>255</v>
      </c>
      <c r="S1474" t="s">
        <v>15</v>
      </c>
      <c r="T1474">
        <v>8</v>
      </c>
    </row>
    <row r="1475" spans="4:20" ht="15.75" customHeight="1" x14ac:dyDescent="0.2">
      <c r="D1475" t="s">
        <v>285</v>
      </c>
      <c r="E1475" t="s">
        <v>392</v>
      </c>
      <c r="F1475">
        <v>9</v>
      </c>
      <c r="P1475" t="s">
        <v>418</v>
      </c>
      <c r="Q1475">
        <v>61</v>
      </c>
      <c r="R1475" t="s">
        <v>293</v>
      </c>
      <c r="S1475" t="s">
        <v>13</v>
      </c>
      <c r="T1475">
        <v>1</v>
      </c>
    </row>
    <row r="1476" spans="4:20" ht="15.75" customHeight="1" x14ac:dyDescent="0.2">
      <c r="D1476" t="s">
        <v>285</v>
      </c>
      <c r="E1476" t="s">
        <v>392</v>
      </c>
      <c r="F1476">
        <v>9</v>
      </c>
      <c r="P1476" t="s">
        <v>418</v>
      </c>
      <c r="Q1476">
        <v>61</v>
      </c>
      <c r="R1476" t="s">
        <v>294</v>
      </c>
      <c r="S1476" t="s">
        <v>14</v>
      </c>
      <c r="T1476">
        <v>1</v>
      </c>
    </row>
    <row r="1477" spans="4:20" ht="15.75" customHeight="1" x14ac:dyDescent="0.2">
      <c r="D1477" t="s">
        <v>285</v>
      </c>
      <c r="E1477" t="s">
        <v>392</v>
      </c>
      <c r="F1477">
        <v>9</v>
      </c>
      <c r="P1477" t="s">
        <v>418</v>
      </c>
      <c r="Q1477">
        <v>61</v>
      </c>
      <c r="R1477" t="s">
        <v>257</v>
      </c>
      <c r="S1477" t="s">
        <v>16</v>
      </c>
      <c r="T1477">
        <v>67.411799999999999</v>
      </c>
    </row>
    <row r="1478" spans="4:20" ht="15.75" customHeight="1" x14ac:dyDescent="0.2">
      <c r="D1478" t="s">
        <v>285</v>
      </c>
      <c r="E1478" t="s">
        <v>392</v>
      </c>
      <c r="F1478">
        <v>9</v>
      </c>
      <c r="P1478" t="s">
        <v>418</v>
      </c>
      <c r="Q1478">
        <v>61</v>
      </c>
      <c r="R1478" t="s">
        <v>295</v>
      </c>
      <c r="S1478" t="s">
        <v>17</v>
      </c>
      <c r="T1478">
        <v>0</v>
      </c>
    </row>
    <row r="1479" spans="4:20" ht="15.75" customHeight="1" x14ac:dyDescent="0.2">
      <c r="D1479" t="s">
        <v>285</v>
      </c>
      <c r="E1479" t="s">
        <v>392</v>
      </c>
      <c r="F1479">
        <v>9</v>
      </c>
      <c r="P1479" t="s">
        <v>418</v>
      </c>
      <c r="Q1479">
        <v>61</v>
      </c>
      <c r="R1479" t="s">
        <v>296</v>
      </c>
      <c r="S1479" t="s">
        <v>1</v>
      </c>
      <c r="T1479">
        <v>3</v>
      </c>
    </row>
    <row r="1480" spans="4:20" ht="15.75" customHeight="1" x14ac:dyDescent="0.2">
      <c r="D1480" t="s">
        <v>285</v>
      </c>
      <c r="E1480" t="s">
        <v>392</v>
      </c>
      <c r="F1480">
        <v>9</v>
      </c>
      <c r="P1480" t="s">
        <v>418</v>
      </c>
      <c r="Q1480">
        <v>61</v>
      </c>
      <c r="R1480" t="s">
        <v>297</v>
      </c>
      <c r="S1480" t="s">
        <v>18</v>
      </c>
      <c r="T1480">
        <v>3</v>
      </c>
    </row>
    <row r="1481" spans="4:20" ht="15.75" customHeight="1" x14ac:dyDescent="0.2">
      <c r="D1481" t="s">
        <v>285</v>
      </c>
      <c r="E1481" t="s">
        <v>392</v>
      </c>
      <c r="F1481">
        <v>9</v>
      </c>
      <c r="P1481" t="s">
        <v>418</v>
      </c>
      <c r="Q1481">
        <v>61</v>
      </c>
      <c r="R1481" t="s">
        <v>298</v>
      </c>
      <c r="S1481" t="s">
        <v>19</v>
      </c>
      <c r="T1481">
        <v>1</v>
      </c>
    </row>
    <row r="1482" spans="4:20" ht="15.75" customHeight="1" x14ac:dyDescent="0.2">
      <c r="D1482" t="s">
        <v>285</v>
      </c>
      <c r="E1482" t="s">
        <v>392</v>
      </c>
      <c r="F1482">
        <v>9</v>
      </c>
      <c r="P1482" t="s">
        <v>418</v>
      </c>
      <c r="Q1482">
        <v>61</v>
      </c>
      <c r="R1482" t="s">
        <v>299</v>
      </c>
      <c r="S1482" t="s">
        <v>20</v>
      </c>
      <c r="T1482">
        <v>1</v>
      </c>
    </row>
    <row r="1483" spans="4:20" ht="15.75" customHeight="1" x14ac:dyDescent="0.2">
      <c r="D1483" t="s">
        <v>285</v>
      </c>
      <c r="E1483" t="s">
        <v>392</v>
      </c>
      <c r="F1483">
        <v>9</v>
      </c>
      <c r="P1483" t="s">
        <v>419</v>
      </c>
      <c r="Q1483">
        <v>62</v>
      </c>
      <c r="R1483" t="s">
        <v>288</v>
      </c>
      <c r="S1483" t="s">
        <v>2</v>
      </c>
      <c r="T1483">
        <v>2</v>
      </c>
    </row>
    <row r="1484" spans="4:20" ht="15.75" customHeight="1" x14ac:dyDescent="0.2">
      <c r="D1484" t="s">
        <v>285</v>
      </c>
      <c r="E1484" t="s">
        <v>392</v>
      </c>
      <c r="F1484">
        <v>9</v>
      </c>
      <c r="P1484" t="s">
        <v>419</v>
      </c>
      <c r="Q1484">
        <v>62</v>
      </c>
      <c r="R1484" t="s">
        <v>289</v>
      </c>
      <c r="S1484" t="s">
        <v>5</v>
      </c>
      <c r="T1484">
        <v>1</v>
      </c>
    </row>
    <row r="1485" spans="4:20" ht="15.75" customHeight="1" x14ac:dyDescent="0.2">
      <c r="D1485" t="s">
        <v>285</v>
      </c>
      <c r="E1485" t="s">
        <v>392</v>
      </c>
      <c r="F1485">
        <v>9</v>
      </c>
      <c r="P1485" t="s">
        <v>419</v>
      </c>
      <c r="Q1485">
        <v>62</v>
      </c>
      <c r="R1485" t="s">
        <v>290</v>
      </c>
      <c r="S1485" t="s">
        <v>3</v>
      </c>
      <c r="T1485">
        <v>1</v>
      </c>
    </row>
    <row r="1486" spans="4:20" ht="15.75" customHeight="1" x14ac:dyDescent="0.2">
      <c r="D1486" t="s">
        <v>285</v>
      </c>
      <c r="E1486" t="s">
        <v>392</v>
      </c>
      <c r="F1486">
        <v>9</v>
      </c>
      <c r="P1486" t="s">
        <v>419</v>
      </c>
      <c r="Q1486">
        <v>62</v>
      </c>
      <c r="R1486" t="s">
        <v>291</v>
      </c>
      <c r="S1486" t="s">
        <v>4</v>
      </c>
      <c r="T1486">
        <v>2</v>
      </c>
    </row>
    <row r="1487" spans="4:20" ht="15.75" customHeight="1" x14ac:dyDescent="0.2">
      <c r="D1487" t="s">
        <v>285</v>
      </c>
      <c r="E1487" t="s">
        <v>392</v>
      </c>
      <c r="F1487">
        <v>9</v>
      </c>
      <c r="P1487" t="s">
        <v>419</v>
      </c>
      <c r="Q1487">
        <v>62</v>
      </c>
      <c r="R1487" t="s">
        <v>292</v>
      </c>
      <c r="S1487" t="s">
        <v>6</v>
      </c>
      <c r="T1487">
        <v>0</v>
      </c>
    </row>
    <row r="1488" spans="4:20" ht="15.75" customHeight="1" x14ac:dyDescent="0.2">
      <c r="D1488" t="s">
        <v>285</v>
      </c>
      <c r="E1488" t="s">
        <v>392</v>
      </c>
      <c r="F1488">
        <v>9</v>
      </c>
      <c r="P1488" t="s">
        <v>419</v>
      </c>
      <c r="Q1488">
        <v>62</v>
      </c>
      <c r="R1488" t="s">
        <v>243</v>
      </c>
      <c r="S1488" t="s">
        <v>7</v>
      </c>
      <c r="T1488">
        <v>5.25</v>
      </c>
    </row>
    <row r="1489" spans="4:23" ht="15.75" customHeight="1" x14ac:dyDescent="0.2">
      <c r="D1489" t="s">
        <v>285</v>
      </c>
      <c r="E1489" t="s">
        <v>392</v>
      </c>
      <c r="F1489">
        <v>9</v>
      </c>
      <c r="P1489" t="s">
        <v>419</v>
      </c>
      <c r="Q1489">
        <v>62</v>
      </c>
      <c r="R1489" t="s">
        <v>245</v>
      </c>
      <c r="S1489" t="s">
        <v>8</v>
      </c>
      <c r="T1489">
        <v>348.69</v>
      </c>
    </row>
    <row r="1490" spans="4:23" ht="15.75" customHeight="1" x14ac:dyDescent="0.2">
      <c r="D1490" t="s">
        <v>285</v>
      </c>
      <c r="E1490" t="s">
        <v>392</v>
      </c>
      <c r="F1490">
        <v>9</v>
      </c>
      <c r="P1490" t="s">
        <v>419</v>
      </c>
      <c r="Q1490">
        <v>62</v>
      </c>
      <c r="R1490" t="s">
        <v>247</v>
      </c>
      <c r="S1490" t="s">
        <v>9</v>
      </c>
      <c r="T1490">
        <v>1.6500000000000001E-2</v>
      </c>
    </row>
    <row r="1491" spans="4:23" ht="15.75" customHeight="1" x14ac:dyDescent="0.2">
      <c r="D1491" t="s">
        <v>285</v>
      </c>
      <c r="E1491" t="s">
        <v>392</v>
      </c>
      <c r="F1491">
        <v>9</v>
      </c>
      <c r="P1491" t="s">
        <v>419</v>
      </c>
      <c r="Q1491">
        <v>62</v>
      </c>
      <c r="R1491" t="s">
        <v>249</v>
      </c>
      <c r="S1491" t="s">
        <v>10</v>
      </c>
      <c r="T1491">
        <v>17</v>
      </c>
    </row>
    <row r="1492" spans="4:23" ht="15.75" customHeight="1" x14ac:dyDescent="0.2">
      <c r="D1492" t="s">
        <v>285</v>
      </c>
      <c r="E1492" t="s">
        <v>392</v>
      </c>
      <c r="F1492">
        <v>9</v>
      </c>
      <c r="P1492" t="s">
        <v>419</v>
      </c>
      <c r="Q1492">
        <v>62</v>
      </c>
      <c r="R1492" t="s">
        <v>251</v>
      </c>
      <c r="S1492" t="s">
        <v>11</v>
      </c>
      <c r="T1492">
        <v>15</v>
      </c>
    </row>
    <row r="1493" spans="4:23" ht="15.75" customHeight="1" x14ac:dyDescent="0.2">
      <c r="D1493" t="s">
        <v>285</v>
      </c>
      <c r="E1493" t="s">
        <v>392</v>
      </c>
      <c r="F1493">
        <v>9</v>
      </c>
      <c r="P1493" t="s">
        <v>419</v>
      </c>
      <c r="Q1493">
        <v>62</v>
      </c>
      <c r="R1493" t="s">
        <v>253</v>
      </c>
      <c r="S1493" t="s">
        <v>12</v>
      </c>
      <c r="T1493">
        <v>66.417100000000005</v>
      </c>
    </row>
    <row r="1494" spans="4:23" ht="15.75" customHeight="1" x14ac:dyDescent="0.2">
      <c r="D1494" t="s">
        <v>285</v>
      </c>
      <c r="E1494" t="s">
        <v>392</v>
      </c>
      <c r="F1494">
        <v>9</v>
      </c>
      <c r="P1494" t="s">
        <v>419</v>
      </c>
      <c r="Q1494">
        <v>62</v>
      </c>
      <c r="R1494" t="s">
        <v>255</v>
      </c>
      <c r="S1494" t="s">
        <v>15</v>
      </c>
      <c r="T1494">
        <v>14</v>
      </c>
    </row>
    <row r="1495" spans="4:23" ht="15.75" customHeight="1" x14ac:dyDescent="0.2">
      <c r="D1495" t="s">
        <v>285</v>
      </c>
      <c r="E1495" t="s">
        <v>392</v>
      </c>
      <c r="F1495">
        <v>9</v>
      </c>
      <c r="P1495" t="s">
        <v>419</v>
      </c>
      <c r="Q1495">
        <v>62</v>
      </c>
      <c r="R1495" t="s">
        <v>293</v>
      </c>
      <c r="S1495" t="s">
        <v>13</v>
      </c>
      <c r="T1495">
        <v>1</v>
      </c>
    </row>
    <row r="1496" spans="4:23" ht="15.75" customHeight="1" x14ac:dyDescent="0.2">
      <c r="D1496" t="s">
        <v>285</v>
      </c>
      <c r="E1496" t="s">
        <v>392</v>
      </c>
      <c r="F1496">
        <v>9</v>
      </c>
      <c r="P1496" t="s">
        <v>419</v>
      </c>
      <c r="Q1496">
        <v>62</v>
      </c>
      <c r="R1496" t="s">
        <v>294</v>
      </c>
      <c r="S1496" t="s">
        <v>14</v>
      </c>
      <c r="T1496">
        <v>1</v>
      </c>
    </row>
    <row r="1497" spans="4:23" ht="15.75" customHeight="1" x14ac:dyDescent="0.2">
      <c r="D1497" t="s">
        <v>285</v>
      </c>
      <c r="E1497" t="s">
        <v>392</v>
      </c>
      <c r="F1497">
        <v>9</v>
      </c>
      <c r="P1497" t="s">
        <v>419</v>
      </c>
      <c r="Q1497">
        <v>62</v>
      </c>
      <c r="R1497" t="s">
        <v>257</v>
      </c>
      <c r="S1497" t="s">
        <v>16</v>
      </c>
      <c r="T1497">
        <v>62.110199999999999</v>
      </c>
    </row>
    <row r="1498" spans="4:23" ht="15.75" customHeight="1" x14ac:dyDescent="0.2">
      <c r="D1498" t="s">
        <v>285</v>
      </c>
      <c r="E1498" t="s">
        <v>392</v>
      </c>
      <c r="F1498">
        <v>9</v>
      </c>
      <c r="P1498" t="s">
        <v>419</v>
      </c>
      <c r="Q1498">
        <v>62</v>
      </c>
      <c r="R1498" t="s">
        <v>295</v>
      </c>
      <c r="S1498" t="s">
        <v>17</v>
      </c>
      <c r="T1498">
        <v>0</v>
      </c>
    </row>
    <row r="1499" spans="4:23" ht="15.75" customHeight="1" x14ac:dyDescent="0.2">
      <c r="D1499" t="s">
        <v>285</v>
      </c>
      <c r="E1499" t="s">
        <v>392</v>
      </c>
      <c r="F1499">
        <v>9</v>
      </c>
      <c r="P1499" t="s">
        <v>419</v>
      </c>
      <c r="Q1499">
        <v>62</v>
      </c>
      <c r="R1499" t="s">
        <v>296</v>
      </c>
      <c r="S1499" t="s">
        <v>1</v>
      </c>
      <c r="T1499">
        <v>3</v>
      </c>
    </row>
    <row r="1500" spans="4:23" ht="15.75" customHeight="1" x14ac:dyDescent="0.2">
      <c r="D1500" t="s">
        <v>285</v>
      </c>
      <c r="E1500" t="s">
        <v>392</v>
      </c>
      <c r="F1500">
        <v>9</v>
      </c>
      <c r="P1500" t="s">
        <v>419</v>
      </c>
      <c r="Q1500">
        <v>62</v>
      </c>
      <c r="R1500" t="s">
        <v>297</v>
      </c>
      <c r="S1500" t="s">
        <v>18</v>
      </c>
      <c r="T1500">
        <v>3</v>
      </c>
    </row>
    <row r="1501" spans="4:23" ht="15.75" customHeight="1" x14ac:dyDescent="0.2">
      <c r="D1501" t="s">
        <v>285</v>
      </c>
      <c r="E1501" t="s">
        <v>392</v>
      </c>
      <c r="F1501">
        <v>9</v>
      </c>
      <c r="P1501" t="s">
        <v>419</v>
      </c>
      <c r="Q1501">
        <v>62</v>
      </c>
      <c r="R1501" t="s">
        <v>298</v>
      </c>
      <c r="S1501" t="s">
        <v>19</v>
      </c>
      <c r="T1501">
        <v>1</v>
      </c>
    </row>
    <row r="1502" spans="4:23" ht="15.75" customHeight="1" x14ac:dyDescent="0.2">
      <c r="D1502" t="s">
        <v>285</v>
      </c>
      <c r="E1502" t="s">
        <v>392</v>
      </c>
      <c r="F1502">
        <v>9</v>
      </c>
      <c r="P1502" t="s">
        <v>419</v>
      </c>
      <c r="Q1502">
        <v>62</v>
      </c>
      <c r="R1502" t="s">
        <v>299</v>
      </c>
      <c r="S1502" t="s">
        <v>20</v>
      </c>
      <c r="T1502">
        <v>1</v>
      </c>
    </row>
    <row r="1503" spans="4:23" ht="15.75" customHeight="1" x14ac:dyDescent="0.2">
      <c r="D1503" t="s">
        <v>285</v>
      </c>
      <c r="E1503" t="s">
        <v>392</v>
      </c>
      <c r="F1503">
        <v>9</v>
      </c>
      <c r="U1503" t="s">
        <v>300</v>
      </c>
      <c r="V1503" t="s">
        <v>301</v>
      </c>
      <c r="W1503">
        <v>8</v>
      </c>
    </row>
    <row r="1504" spans="4:23" ht="15.75" customHeight="1" x14ac:dyDescent="0.2">
      <c r="D1504" t="s">
        <v>285</v>
      </c>
      <c r="E1504" t="s">
        <v>392</v>
      </c>
      <c r="F1504">
        <v>9</v>
      </c>
      <c r="U1504" t="s">
        <v>288</v>
      </c>
      <c r="V1504" t="s">
        <v>302</v>
      </c>
      <c r="W1504">
        <v>109</v>
      </c>
    </row>
    <row r="1505" spans="4:23" ht="15.75" customHeight="1" x14ac:dyDescent="0.2">
      <c r="D1505" t="s">
        <v>285</v>
      </c>
      <c r="E1505" t="s">
        <v>392</v>
      </c>
      <c r="F1505">
        <v>9</v>
      </c>
      <c r="U1505" t="s">
        <v>303</v>
      </c>
      <c r="V1505" t="s">
        <v>304</v>
      </c>
      <c r="W1505">
        <v>33</v>
      </c>
    </row>
    <row r="1506" spans="4:23" ht="15.75" customHeight="1" x14ac:dyDescent="0.2">
      <c r="D1506" t="s">
        <v>285</v>
      </c>
      <c r="E1506" t="s">
        <v>392</v>
      </c>
      <c r="F1506">
        <v>9</v>
      </c>
      <c r="U1506" t="s">
        <v>305</v>
      </c>
      <c r="V1506" t="s">
        <v>306</v>
      </c>
      <c r="W1506">
        <v>3</v>
      </c>
    </row>
    <row r="1507" spans="4:23" ht="15.75" customHeight="1" x14ac:dyDescent="0.2">
      <c r="D1507" t="s">
        <v>285</v>
      </c>
      <c r="E1507" t="s">
        <v>392</v>
      </c>
      <c r="F1507">
        <v>9</v>
      </c>
      <c r="U1507" t="s">
        <v>307</v>
      </c>
      <c r="V1507" t="s">
        <v>308</v>
      </c>
      <c r="W1507">
        <v>1</v>
      </c>
    </row>
    <row r="1508" spans="4:23" ht="15.75" customHeight="1" x14ac:dyDescent="0.2">
      <c r="D1508" t="s">
        <v>285</v>
      </c>
      <c r="E1508" t="s">
        <v>392</v>
      </c>
      <c r="F1508">
        <v>9</v>
      </c>
      <c r="U1508" t="s">
        <v>243</v>
      </c>
      <c r="V1508" t="s">
        <v>309</v>
      </c>
      <c r="W1508">
        <v>257.62889999999999</v>
      </c>
    </row>
    <row r="1509" spans="4:23" ht="15.75" customHeight="1" x14ac:dyDescent="0.2">
      <c r="D1509" t="s">
        <v>285</v>
      </c>
      <c r="E1509" t="s">
        <v>392</v>
      </c>
      <c r="F1509">
        <v>9</v>
      </c>
      <c r="U1509" t="s">
        <v>245</v>
      </c>
      <c r="V1509" t="s">
        <v>310</v>
      </c>
      <c r="W1509">
        <v>2789075.1924999999</v>
      </c>
    </row>
    <row r="1510" spans="4:23" ht="15.75" customHeight="1" x14ac:dyDescent="0.2">
      <c r="D1510" t="s">
        <v>285</v>
      </c>
      <c r="E1510" t="s">
        <v>392</v>
      </c>
      <c r="F1510">
        <v>9</v>
      </c>
      <c r="U1510" t="s">
        <v>247</v>
      </c>
      <c r="V1510" t="s">
        <v>311</v>
      </c>
      <c r="W1510">
        <v>6.6047000000000002</v>
      </c>
    </row>
    <row r="1511" spans="4:23" ht="15.75" customHeight="1" x14ac:dyDescent="0.2">
      <c r="D1511" t="s">
        <v>285</v>
      </c>
      <c r="E1511" t="s">
        <v>392</v>
      </c>
      <c r="F1511">
        <v>9</v>
      </c>
      <c r="U1511" t="s">
        <v>249</v>
      </c>
      <c r="V1511" t="s">
        <v>312</v>
      </c>
      <c r="W1511">
        <v>1381</v>
      </c>
    </row>
    <row r="1512" spans="4:23" ht="15.75" customHeight="1" x14ac:dyDescent="0.2">
      <c r="D1512" t="s">
        <v>285</v>
      </c>
      <c r="E1512" t="s">
        <v>392</v>
      </c>
      <c r="F1512">
        <v>9</v>
      </c>
      <c r="U1512" t="s">
        <v>251</v>
      </c>
      <c r="V1512" t="s">
        <v>313</v>
      </c>
      <c r="W1512">
        <v>229</v>
      </c>
    </row>
    <row r="1513" spans="4:23" ht="15.75" customHeight="1" x14ac:dyDescent="0.2">
      <c r="D1513" t="s">
        <v>285</v>
      </c>
      <c r="E1513" t="s">
        <v>392</v>
      </c>
      <c r="F1513">
        <v>9</v>
      </c>
      <c r="U1513" t="s">
        <v>253</v>
      </c>
      <c r="V1513" t="s">
        <v>314</v>
      </c>
      <c r="W1513">
        <v>10825.940399999999</v>
      </c>
    </row>
    <row r="1514" spans="4:23" ht="15.75" customHeight="1" x14ac:dyDescent="0.2">
      <c r="D1514" t="s">
        <v>285</v>
      </c>
      <c r="E1514" t="s">
        <v>392</v>
      </c>
      <c r="F1514">
        <v>9</v>
      </c>
      <c r="U1514" t="s">
        <v>315</v>
      </c>
      <c r="V1514" t="s">
        <v>316</v>
      </c>
      <c r="W1514">
        <v>1</v>
      </c>
    </row>
    <row r="1515" spans="4:23" ht="15.75" customHeight="1" x14ac:dyDescent="0.2">
      <c r="D1515" t="s">
        <v>285</v>
      </c>
      <c r="E1515" t="s">
        <v>392</v>
      </c>
      <c r="F1515">
        <v>9</v>
      </c>
      <c r="U1515" t="s">
        <v>317</v>
      </c>
      <c r="V1515" t="s">
        <v>318</v>
      </c>
      <c r="W1515">
        <v>587</v>
      </c>
    </row>
    <row r="1516" spans="4:23" ht="15.75" customHeight="1" x14ac:dyDescent="0.2">
      <c r="D1516" t="s">
        <v>285</v>
      </c>
      <c r="E1516" t="s">
        <v>392</v>
      </c>
      <c r="F1516">
        <v>9</v>
      </c>
      <c r="U1516" t="s">
        <v>257</v>
      </c>
      <c r="V1516" t="s">
        <v>319</v>
      </c>
      <c r="W1516">
        <v>10.7012</v>
      </c>
    </row>
    <row r="1517" spans="4:23" ht="15.75" customHeight="1" x14ac:dyDescent="0.2">
      <c r="D1517" t="s">
        <v>285</v>
      </c>
      <c r="E1517" t="s">
        <v>392</v>
      </c>
      <c r="F1517">
        <v>9</v>
      </c>
      <c r="U1517" t="s">
        <v>320</v>
      </c>
      <c r="V1517" t="s">
        <v>321</v>
      </c>
      <c r="W1517">
        <v>241</v>
      </c>
    </row>
    <row r="1518" spans="4:23" ht="15.75" customHeight="1" x14ac:dyDescent="0.2">
      <c r="D1518" t="s">
        <v>285</v>
      </c>
      <c r="E1518" t="s">
        <v>392</v>
      </c>
      <c r="F1518">
        <v>9</v>
      </c>
      <c r="U1518" t="s">
        <v>263</v>
      </c>
      <c r="V1518" t="s">
        <v>322</v>
      </c>
      <c r="W1518">
        <v>395</v>
      </c>
    </row>
    <row r="1519" spans="4:23" ht="15.75" customHeight="1" x14ac:dyDescent="0.2">
      <c r="D1519" t="s">
        <v>285</v>
      </c>
      <c r="E1519" t="s">
        <v>392</v>
      </c>
      <c r="F1519">
        <v>9</v>
      </c>
      <c r="U1519" t="s">
        <v>323</v>
      </c>
      <c r="V1519" t="s">
        <v>324</v>
      </c>
      <c r="W1519">
        <v>4</v>
      </c>
    </row>
    <row r="1520" spans="4:23" ht="15.75" customHeight="1" x14ac:dyDescent="0.2">
      <c r="D1520" t="s">
        <v>285</v>
      </c>
      <c r="E1520" t="s">
        <v>392</v>
      </c>
      <c r="F1520">
        <v>9</v>
      </c>
      <c r="U1520" t="s">
        <v>325</v>
      </c>
      <c r="V1520" t="s">
        <v>326</v>
      </c>
      <c r="W1520">
        <v>27</v>
      </c>
    </row>
    <row r="1521" spans="4:23" ht="15.75" customHeight="1" x14ac:dyDescent="0.2">
      <c r="D1521" t="s">
        <v>285</v>
      </c>
      <c r="E1521" t="s">
        <v>392</v>
      </c>
      <c r="F1521">
        <v>9</v>
      </c>
      <c r="U1521" t="s">
        <v>327</v>
      </c>
      <c r="V1521" t="s">
        <v>328</v>
      </c>
      <c r="W1521">
        <v>16</v>
      </c>
    </row>
    <row r="1522" spans="4:23" ht="15.75" customHeight="1" x14ac:dyDescent="0.2">
      <c r="D1522" t="s">
        <v>285</v>
      </c>
      <c r="E1522" t="s">
        <v>392</v>
      </c>
      <c r="F1522">
        <v>9</v>
      </c>
      <c r="U1522" t="s">
        <v>329</v>
      </c>
      <c r="V1522" t="s">
        <v>330</v>
      </c>
      <c r="W1522">
        <v>62</v>
      </c>
    </row>
    <row r="1523" spans="4:23" ht="15.75" customHeight="1" x14ac:dyDescent="0.2">
      <c r="D1523" t="s">
        <v>285</v>
      </c>
      <c r="E1523" t="s">
        <v>392</v>
      </c>
      <c r="F1523">
        <v>9</v>
      </c>
      <c r="U1523" t="s">
        <v>331</v>
      </c>
      <c r="V1523" t="s">
        <v>332</v>
      </c>
      <c r="W1523">
        <v>0</v>
      </c>
    </row>
    <row r="1524" spans="4:23" ht="15.75" customHeight="1" x14ac:dyDescent="0.2">
      <c r="D1524" t="s">
        <v>285</v>
      </c>
      <c r="E1524" t="s">
        <v>392</v>
      </c>
      <c r="F1524">
        <v>9</v>
      </c>
      <c r="U1524" t="s">
        <v>333</v>
      </c>
      <c r="V1524" t="s">
        <v>334</v>
      </c>
      <c r="W1524">
        <v>28</v>
      </c>
    </row>
    <row r="1525" spans="4:23" ht="15.75" customHeight="1" x14ac:dyDescent="0.2">
      <c r="D1525" t="s">
        <v>285</v>
      </c>
      <c r="E1525" t="s">
        <v>392</v>
      </c>
      <c r="F1525">
        <v>9</v>
      </c>
      <c r="U1525" t="s">
        <v>335</v>
      </c>
      <c r="V1525" t="s">
        <v>336</v>
      </c>
      <c r="W1525">
        <v>57</v>
      </c>
    </row>
    <row r="1526" spans="4:23" ht="15.75" customHeight="1" x14ac:dyDescent="0.2">
      <c r="D1526" t="s">
        <v>285</v>
      </c>
      <c r="E1526" t="s">
        <v>392</v>
      </c>
      <c r="F1526">
        <v>9</v>
      </c>
      <c r="U1526" t="s">
        <v>337</v>
      </c>
      <c r="V1526" t="s">
        <v>338</v>
      </c>
      <c r="W1526">
        <v>0</v>
      </c>
    </row>
    <row r="1527" spans="4:23" ht="15.75" customHeight="1" x14ac:dyDescent="0.2">
      <c r="D1527" t="s">
        <v>285</v>
      </c>
      <c r="E1527" t="s">
        <v>392</v>
      </c>
      <c r="F1527">
        <v>9</v>
      </c>
      <c r="U1527" t="s">
        <v>339</v>
      </c>
      <c r="V1527" t="s">
        <v>340</v>
      </c>
      <c r="W1527">
        <v>0</v>
      </c>
    </row>
    <row r="1528" spans="4:23" ht="15.75" customHeight="1" x14ac:dyDescent="0.2">
      <c r="D1528" t="s">
        <v>285</v>
      </c>
      <c r="E1528" t="s">
        <v>392</v>
      </c>
      <c r="F1528">
        <v>9</v>
      </c>
      <c r="U1528" t="s">
        <v>341</v>
      </c>
      <c r="V1528" t="s">
        <v>342</v>
      </c>
      <c r="W1528">
        <v>101</v>
      </c>
    </row>
    <row r="1529" spans="4:23" ht="15.75" customHeight="1" x14ac:dyDescent="0.2">
      <c r="D1529" t="s">
        <v>285</v>
      </c>
      <c r="E1529" t="s">
        <v>392</v>
      </c>
      <c r="F1529">
        <v>9</v>
      </c>
      <c r="U1529" t="s">
        <v>343</v>
      </c>
      <c r="V1529" t="s">
        <v>344</v>
      </c>
      <c r="W1529">
        <v>0.21340000000000001</v>
      </c>
    </row>
    <row r="1530" spans="4:23" ht="15.75" customHeight="1" x14ac:dyDescent="0.2">
      <c r="D1530" t="s">
        <v>285</v>
      </c>
      <c r="E1530" t="s">
        <v>392</v>
      </c>
      <c r="F1530">
        <v>9</v>
      </c>
      <c r="U1530" t="s">
        <v>345</v>
      </c>
      <c r="V1530" t="s">
        <v>346</v>
      </c>
      <c r="W1530">
        <v>0.70369999999999999</v>
      </c>
    </row>
    <row r="1531" spans="4:23" ht="15.75" customHeight="1" x14ac:dyDescent="0.2">
      <c r="D1531" t="s">
        <v>285</v>
      </c>
      <c r="E1531" t="s">
        <v>392</v>
      </c>
      <c r="F1531">
        <v>9</v>
      </c>
      <c r="U1531" t="s">
        <v>347</v>
      </c>
      <c r="V1531" t="s">
        <v>348</v>
      </c>
      <c r="W1531">
        <v>130</v>
      </c>
    </row>
    <row r="1532" spans="4:23" ht="15.75" customHeight="1" x14ac:dyDescent="0.2">
      <c r="D1532" t="s">
        <v>285</v>
      </c>
      <c r="E1532" t="s">
        <v>420</v>
      </c>
      <c r="F1532">
        <v>10</v>
      </c>
      <c r="P1532" t="s">
        <v>421</v>
      </c>
      <c r="Q1532">
        <v>63</v>
      </c>
      <c r="R1532" t="s">
        <v>288</v>
      </c>
      <c r="S1532" t="s">
        <v>2</v>
      </c>
      <c r="T1532">
        <v>0</v>
      </c>
    </row>
    <row r="1533" spans="4:23" ht="15.75" customHeight="1" x14ac:dyDescent="0.2">
      <c r="D1533" t="s">
        <v>285</v>
      </c>
      <c r="E1533" t="s">
        <v>420</v>
      </c>
      <c r="F1533">
        <v>10</v>
      </c>
      <c r="P1533" t="s">
        <v>421</v>
      </c>
      <c r="Q1533">
        <v>63</v>
      </c>
      <c r="R1533" t="s">
        <v>289</v>
      </c>
      <c r="S1533" t="s">
        <v>5</v>
      </c>
      <c r="T1533">
        <v>0</v>
      </c>
    </row>
    <row r="1534" spans="4:23" ht="15.75" customHeight="1" x14ac:dyDescent="0.2">
      <c r="D1534" t="s">
        <v>285</v>
      </c>
      <c r="E1534" t="s">
        <v>420</v>
      </c>
      <c r="F1534">
        <v>10</v>
      </c>
      <c r="P1534" t="s">
        <v>421</v>
      </c>
      <c r="Q1534">
        <v>63</v>
      </c>
      <c r="R1534" t="s">
        <v>290</v>
      </c>
      <c r="S1534" t="s">
        <v>3</v>
      </c>
      <c r="T1534">
        <v>0</v>
      </c>
    </row>
    <row r="1535" spans="4:23" ht="15.75" customHeight="1" x14ac:dyDescent="0.2">
      <c r="D1535" t="s">
        <v>285</v>
      </c>
      <c r="E1535" t="s">
        <v>420</v>
      </c>
      <c r="F1535">
        <v>10</v>
      </c>
      <c r="P1535" t="s">
        <v>421</v>
      </c>
      <c r="Q1535">
        <v>63</v>
      </c>
      <c r="R1535" t="s">
        <v>291</v>
      </c>
      <c r="S1535" t="s">
        <v>4</v>
      </c>
      <c r="T1535">
        <v>0</v>
      </c>
    </row>
    <row r="1536" spans="4:23" ht="15.75" customHeight="1" x14ac:dyDescent="0.2">
      <c r="D1536" t="s">
        <v>285</v>
      </c>
      <c r="E1536" t="s">
        <v>420</v>
      </c>
      <c r="F1536">
        <v>10</v>
      </c>
      <c r="P1536" t="s">
        <v>421</v>
      </c>
      <c r="Q1536">
        <v>63</v>
      </c>
      <c r="R1536" t="s">
        <v>292</v>
      </c>
      <c r="S1536" t="s">
        <v>6</v>
      </c>
      <c r="T1536">
        <v>0</v>
      </c>
    </row>
    <row r="1537" spans="4:20" ht="15.75" customHeight="1" x14ac:dyDescent="0.2">
      <c r="D1537" t="s">
        <v>285</v>
      </c>
      <c r="E1537" t="s">
        <v>420</v>
      </c>
      <c r="F1537">
        <v>10</v>
      </c>
      <c r="P1537" t="s">
        <v>421</v>
      </c>
      <c r="Q1537">
        <v>63</v>
      </c>
      <c r="R1537" t="s">
        <v>243</v>
      </c>
      <c r="S1537" t="s">
        <v>7</v>
      </c>
      <c r="T1537">
        <v>0</v>
      </c>
    </row>
    <row r="1538" spans="4:20" ht="15.75" customHeight="1" x14ac:dyDescent="0.2">
      <c r="D1538" t="s">
        <v>285</v>
      </c>
      <c r="E1538" t="s">
        <v>420</v>
      </c>
      <c r="F1538">
        <v>10</v>
      </c>
      <c r="P1538" t="s">
        <v>421</v>
      </c>
      <c r="Q1538">
        <v>63</v>
      </c>
      <c r="R1538" t="s">
        <v>245</v>
      </c>
      <c r="S1538" t="s">
        <v>8</v>
      </c>
      <c r="T1538">
        <v>0</v>
      </c>
    </row>
    <row r="1539" spans="4:20" ht="15.75" customHeight="1" x14ac:dyDescent="0.2">
      <c r="D1539" t="s">
        <v>285</v>
      </c>
      <c r="E1539" t="s">
        <v>420</v>
      </c>
      <c r="F1539">
        <v>10</v>
      </c>
      <c r="P1539" t="s">
        <v>421</v>
      </c>
      <c r="Q1539">
        <v>63</v>
      </c>
      <c r="R1539" t="s">
        <v>247</v>
      </c>
      <c r="S1539" t="s">
        <v>9</v>
      </c>
      <c r="T1539">
        <v>0</v>
      </c>
    </row>
    <row r="1540" spans="4:20" ht="15.75" customHeight="1" x14ac:dyDescent="0.2">
      <c r="D1540" t="s">
        <v>285</v>
      </c>
      <c r="E1540" t="s">
        <v>420</v>
      </c>
      <c r="F1540">
        <v>10</v>
      </c>
      <c r="P1540" t="s">
        <v>421</v>
      </c>
      <c r="Q1540">
        <v>63</v>
      </c>
      <c r="R1540" t="s">
        <v>249</v>
      </c>
      <c r="S1540" t="s">
        <v>10</v>
      </c>
      <c r="T1540">
        <v>1</v>
      </c>
    </row>
    <row r="1541" spans="4:20" ht="15.75" customHeight="1" x14ac:dyDescent="0.2">
      <c r="D1541" t="s">
        <v>285</v>
      </c>
      <c r="E1541" t="s">
        <v>420</v>
      </c>
      <c r="F1541">
        <v>10</v>
      </c>
      <c r="P1541" t="s">
        <v>421</v>
      </c>
      <c r="Q1541">
        <v>63</v>
      </c>
      <c r="R1541" t="s">
        <v>251</v>
      </c>
      <c r="S1541" t="s">
        <v>11</v>
      </c>
      <c r="T1541">
        <v>1</v>
      </c>
    </row>
    <row r="1542" spans="4:20" ht="15.75" customHeight="1" x14ac:dyDescent="0.2">
      <c r="D1542" t="s">
        <v>285</v>
      </c>
      <c r="E1542" t="s">
        <v>420</v>
      </c>
      <c r="F1542">
        <v>10</v>
      </c>
      <c r="P1542" t="s">
        <v>421</v>
      </c>
      <c r="Q1542">
        <v>63</v>
      </c>
      <c r="R1542" t="s">
        <v>253</v>
      </c>
      <c r="S1542" t="s">
        <v>12</v>
      </c>
      <c r="T1542">
        <v>0</v>
      </c>
    </row>
    <row r="1543" spans="4:20" ht="15.75" customHeight="1" x14ac:dyDescent="0.2">
      <c r="D1543" t="s">
        <v>285</v>
      </c>
      <c r="E1543" t="s">
        <v>420</v>
      </c>
      <c r="F1543">
        <v>10</v>
      </c>
      <c r="P1543" t="s">
        <v>421</v>
      </c>
      <c r="Q1543">
        <v>63</v>
      </c>
      <c r="R1543" t="s">
        <v>255</v>
      </c>
      <c r="S1543" t="s">
        <v>15</v>
      </c>
      <c r="T1543">
        <v>3</v>
      </c>
    </row>
    <row r="1544" spans="4:20" ht="15.75" customHeight="1" x14ac:dyDescent="0.2">
      <c r="D1544" t="s">
        <v>285</v>
      </c>
      <c r="E1544" t="s">
        <v>420</v>
      </c>
      <c r="F1544">
        <v>10</v>
      </c>
      <c r="P1544" t="s">
        <v>421</v>
      </c>
      <c r="Q1544">
        <v>63</v>
      </c>
      <c r="R1544" t="s">
        <v>293</v>
      </c>
      <c r="S1544" t="s">
        <v>13</v>
      </c>
      <c r="T1544">
        <v>0</v>
      </c>
    </row>
    <row r="1545" spans="4:20" ht="15.75" customHeight="1" x14ac:dyDescent="0.2">
      <c r="D1545" t="s">
        <v>285</v>
      </c>
      <c r="E1545" t="s">
        <v>420</v>
      </c>
      <c r="F1545">
        <v>10</v>
      </c>
      <c r="P1545" t="s">
        <v>421</v>
      </c>
      <c r="Q1545">
        <v>63</v>
      </c>
      <c r="R1545" t="s">
        <v>294</v>
      </c>
      <c r="S1545" t="s">
        <v>14</v>
      </c>
      <c r="T1545">
        <v>0</v>
      </c>
    </row>
    <row r="1546" spans="4:20" ht="15.75" customHeight="1" x14ac:dyDescent="0.2">
      <c r="D1546" t="s">
        <v>285</v>
      </c>
      <c r="E1546" t="s">
        <v>420</v>
      </c>
      <c r="F1546">
        <v>10</v>
      </c>
      <c r="P1546" t="s">
        <v>421</v>
      </c>
      <c r="Q1546">
        <v>63</v>
      </c>
      <c r="R1546" t="s">
        <v>257</v>
      </c>
      <c r="S1546" t="s">
        <v>16</v>
      </c>
      <c r="T1546" t="s">
        <v>367</v>
      </c>
    </row>
    <row r="1547" spans="4:20" ht="15.75" customHeight="1" x14ac:dyDescent="0.2">
      <c r="D1547" t="s">
        <v>285</v>
      </c>
      <c r="E1547" t="s">
        <v>420</v>
      </c>
      <c r="F1547">
        <v>10</v>
      </c>
      <c r="P1547" t="s">
        <v>421</v>
      </c>
      <c r="Q1547">
        <v>63</v>
      </c>
      <c r="R1547" t="s">
        <v>295</v>
      </c>
      <c r="S1547" t="s">
        <v>17</v>
      </c>
      <c r="T1547">
        <v>0</v>
      </c>
    </row>
    <row r="1548" spans="4:20" ht="15.75" customHeight="1" x14ac:dyDescent="0.2">
      <c r="D1548" t="s">
        <v>285</v>
      </c>
      <c r="E1548" t="s">
        <v>420</v>
      </c>
      <c r="F1548">
        <v>10</v>
      </c>
      <c r="P1548" t="s">
        <v>421</v>
      </c>
      <c r="Q1548">
        <v>63</v>
      </c>
      <c r="R1548" t="s">
        <v>296</v>
      </c>
      <c r="S1548" t="s">
        <v>1</v>
      </c>
      <c r="T1548">
        <v>1</v>
      </c>
    </row>
    <row r="1549" spans="4:20" ht="15.75" customHeight="1" x14ac:dyDescent="0.2">
      <c r="D1549" t="s">
        <v>285</v>
      </c>
      <c r="E1549" t="s">
        <v>420</v>
      </c>
      <c r="F1549">
        <v>10</v>
      </c>
      <c r="P1549" t="s">
        <v>421</v>
      </c>
      <c r="Q1549">
        <v>63</v>
      </c>
      <c r="R1549" t="s">
        <v>297</v>
      </c>
      <c r="S1549" t="s">
        <v>18</v>
      </c>
      <c r="T1549">
        <v>0</v>
      </c>
    </row>
    <row r="1550" spans="4:20" ht="15.75" customHeight="1" x14ac:dyDescent="0.2">
      <c r="D1550" t="s">
        <v>285</v>
      </c>
      <c r="E1550" t="s">
        <v>420</v>
      </c>
      <c r="F1550">
        <v>10</v>
      </c>
      <c r="P1550" t="s">
        <v>421</v>
      </c>
      <c r="Q1550">
        <v>63</v>
      </c>
      <c r="R1550" t="s">
        <v>298</v>
      </c>
      <c r="S1550" t="s">
        <v>19</v>
      </c>
      <c r="T1550">
        <v>0</v>
      </c>
    </row>
    <row r="1551" spans="4:20" ht="15.75" customHeight="1" x14ac:dyDescent="0.2">
      <c r="D1551" t="s">
        <v>285</v>
      </c>
      <c r="E1551" t="s">
        <v>420</v>
      </c>
      <c r="F1551">
        <v>10</v>
      </c>
      <c r="P1551" t="s">
        <v>421</v>
      </c>
      <c r="Q1551">
        <v>63</v>
      </c>
      <c r="R1551" t="s">
        <v>299</v>
      </c>
      <c r="S1551" t="s">
        <v>20</v>
      </c>
      <c r="T1551">
        <v>0</v>
      </c>
    </row>
    <row r="1552" spans="4:20" ht="15.75" customHeight="1" x14ac:dyDescent="0.2">
      <c r="D1552" t="s">
        <v>285</v>
      </c>
      <c r="E1552" t="s">
        <v>420</v>
      </c>
      <c r="F1552">
        <v>10</v>
      </c>
      <c r="P1552" t="s">
        <v>422</v>
      </c>
      <c r="Q1552">
        <v>64</v>
      </c>
      <c r="R1552" t="s">
        <v>288</v>
      </c>
      <c r="S1552" t="s">
        <v>2</v>
      </c>
      <c r="T1552">
        <v>0</v>
      </c>
    </row>
    <row r="1553" spans="4:20" ht="15.75" customHeight="1" x14ac:dyDescent="0.2">
      <c r="D1553" t="s">
        <v>285</v>
      </c>
      <c r="E1553" t="s">
        <v>420</v>
      </c>
      <c r="F1553">
        <v>10</v>
      </c>
      <c r="P1553" t="s">
        <v>422</v>
      </c>
      <c r="Q1553">
        <v>64</v>
      </c>
      <c r="R1553" t="s">
        <v>289</v>
      </c>
      <c r="S1553" t="s">
        <v>5</v>
      </c>
      <c r="T1553">
        <v>0</v>
      </c>
    </row>
    <row r="1554" spans="4:20" ht="15.75" customHeight="1" x14ac:dyDescent="0.2">
      <c r="D1554" t="s">
        <v>285</v>
      </c>
      <c r="E1554" t="s">
        <v>420</v>
      </c>
      <c r="F1554">
        <v>10</v>
      </c>
      <c r="P1554" t="s">
        <v>422</v>
      </c>
      <c r="Q1554">
        <v>64</v>
      </c>
      <c r="R1554" t="s">
        <v>290</v>
      </c>
      <c r="S1554" t="s">
        <v>3</v>
      </c>
      <c r="T1554">
        <v>1</v>
      </c>
    </row>
    <row r="1555" spans="4:20" ht="15.75" customHeight="1" x14ac:dyDescent="0.2">
      <c r="D1555" t="s">
        <v>285</v>
      </c>
      <c r="E1555" t="s">
        <v>420</v>
      </c>
      <c r="F1555">
        <v>10</v>
      </c>
      <c r="P1555" t="s">
        <v>422</v>
      </c>
      <c r="Q1555">
        <v>64</v>
      </c>
      <c r="R1555" t="s">
        <v>291</v>
      </c>
      <c r="S1555" t="s">
        <v>4</v>
      </c>
      <c r="T1555">
        <v>1</v>
      </c>
    </row>
    <row r="1556" spans="4:20" ht="15.75" customHeight="1" x14ac:dyDescent="0.2">
      <c r="D1556" t="s">
        <v>285</v>
      </c>
      <c r="E1556" t="s">
        <v>420</v>
      </c>
      <c r="F1556">
        <v>10</v>
      </c>
      <c r="P1556" t="s">
        <v>422</v>
      </c>
      <c r="Q1556">
        <v>64</v>
      </c>
      <c r="R1556" t="s">
        <v>292</v>
      </c>
      <c r="S1556" t="s">
        <v>6</v>
      </c>
      <c r="T1556">
        <v>0</v>
      </c>
    </row>
    <row r="1557" spans="4:20" ht="15.75" customHeight="1" x14ac:dyDescent="0.2">
      <c r="D1557" t="s">
        <v>285</v>
      </c>
      <c r="E1557" t="s">
        <v>420</v>
      </c>
      <c r="F1557">
        <v>10</v>
      </c>
      <c r="P1557" t="s">
        <v>422</v>
      </c>
      <c r="Q1557">
        <v>64</v>
      </c>
      <c r="R1557" t="s">
        <v>243</v>
      </c>
      <c r="S1557" t="s">
        <v>7</v>
      </c>
      <c r="T1557">
        <v>2.5</v>
      </c>
    </row>
    <row r="1558" spans="4:20" ht="15.75" customHeight="1" x14ac:dyDescent="0.2">
      <c r="D1558" t="s">
        <v>285</v>
      </c>
      <c r="E1558" t="s">
        <v>420</v>
      </c>
      <c r="F1558">
        <v>10</v>
      </c>
      <c r="P1558" t="s">
        <v>422</v>
      </c>
      <c r="Q1558">
        <v>64</v>
      </c>
      <c r="R1558" t="s">
        <v>245</v>
      </c>
      <c r="S1558" t="s">
        <v>8</v>
      </c>
      <c r="T1558">
        <v>134.43610000000001</v>
      </c>
    </row>
    <row r="1559" spans="4:20" ht="15.75" customHeight="1" x14ac:dyDescent="0.2">
      <c r="D1559" t="s">
        <v>285</v>
      </c>
      <c r="E1559" t="s">
        <v>420</v>
      </c>
      <c r="F1559">
        <v>10</v>
      </c>
      <c r="P1559" t="s">
        <v>422</v>
      </c>
      <c r="Q1559">
        <v>64</v>
      </c>
      <c r="R1559" t="s">
        <v>247</v>
      </c>
      <c r="S1559" t="s">
        <v>9</v>
      </c>
      <c r="T1559">
        <v>8.6999999999999994E-3</v>
      </c>
    </row>
    <row r="1560" spans="4:20" ht="15.75" customHeight="1" x14ac:dyDescent="0.2">
      <c r="D1560" t="s">
        <v>285</v>
      </c>
      <c r="E1560" t="s">
        <v>420</v>
      </c>
      <c r="F1560">
        <v>10</v>
      </c>
      <c r="P1560" t="s">
        <v>422</v>
      </c>
      <c r="Q1560">
        <v>64</v>
      </c>
      <c r="R1560" t="s">
        <v>249</v>
      </c>
      <c r="S1560" t="s">
        <v>10</v>
      </c>
      <c r="T1560">
        <v>15</v>
      </c>
    </row>
    <row r="1561" spans="4:20" ht="15.75" customHeight="1" x14ac:dyDescent="0.2">
      <c r="D1561" t="s">
        <v>285</v>
      </c>
      <c r="E1561" t="s">
        <v>420</v>
      </c>
      <c r="F1561">
        <v>10</v>
      </c>
      <c r="P1561" t="s">
        <v>422</v>
      </c>
      <c r="Q1561">
        <v>64</v>
      </c>
      <c r="R1561" t="s">
        <v>251</v>
      </c>
      <c r="S1561" t="s">
        <v>11</v>
      </c>
      <c r="T1561">
        <v>12</v>
      </c>
    </row>
    <row r="1562" spans="4:20" ht="15.75" customHeight="1" x14ac:dyDescent="0.2">
      <c r="D1562" t="s">
        <v>285</v>
      </c>
      <c r="E1562" t="s">
        <v>420</v>
      </c>
      <c r="F1562">
        <v>10</v>
      </c>
      <c r="P1562" t="s">
        <v>422</v>
      </c>
      <c r="Q1562">
        <v>64</v>
      </c>
      <c r="R1562" t="s">
        <v>253</v>
      </c>
      <c r="S1562" t="s">
        <v>12</v>
      </c>
      <c r="T1562">
        <v>53.7744</v>
      </c>
    </row>
    <row r="1563" spans="4:20" ht="15.75" customHeight="1" x14ac:dyDescent="0.2">
      <c r="D1563" t="s">
        <v>285</v>
      </c>
      <c r="E1563" t="s">
        <v>420</v>
      </c>
      <c r="F1563">
        <v>10</v>
      </c>
      <c r="P1563" t="s">
        <v>422</v>
      </c>
      <c r="Q1563">
        <v>64</v>
      </c>
      <c r="R1563" t="s">
        <v>255</v>
      </c>
      <c r="S1563" t="s">
        <v>15</v>
      </c>
      <c r="T1563">
        <v>13</v>
      </c>
    </row>
    <row r="1564" spans="4:20" ht="15.75" customHeight="1" x14ac:dyDescent="0.2">
      <c r="D1564" t="s">
        <v>285</v>
      </c>
      <c r="E1564" t="s">
        <v>420</v>
      </c>
      <c r="F1564">
        <v>10</v>
      </c>
      <c r="P1564" t="s">
        <v>422</v>
      </c>
      <c r="Q1564">
        <v>64</v>
      </c>
      <c r="R1564" t="s">
        <v>293</v>
      </c>
      <c r="S1564" t="s">
        <v>13</v>
      </c>
      <c r="T1564">
        <v>1</v>
      </c>
    </row>
    <row r="1565" spans="4:20" ht="15.75" customHeight="1" x14ac:dyDescent="0.2">
      <c r="D1565" t="s">
        <v>285</v>
      </c>
      <c r="E1565" t="s">
        <v>420</v>
      </c>
      <c r="F1565">
        <v>10</v>
      </c>
      <c r="P1565" t="s">
        <v>422</v>
      </c>
      <c r="Q1565">
        <v>64</v>
      </c>
      <c r="R1565" t="s">
        <v>294</v>
      </c>
      <c r="S1565" t="s">
        <v>14</v>
      </c>
      <c r="T1565">
        <v>0</v>
      </c>
    </row>
    <row r="1566" spans="4:20" ht="15.75" customHeight="1" x14ac:dyDescent="0.2">
      <c r="D1566" t="s">
        <v>285</v>
      </c>
      <c r="E1566" t="s">
        <v>420</v>
      </c>
      <c r="F1566">
        <v>10</v>
      </c>
      <c r="P1566" t="s">
        <v>422</v>
      </c>
      <c r="Q1566">
        <v>64</v>
      </c>
      <c r="R1566" t="s">
        <v>257</v>
      </c>
      <c r="S1566" t="s">
        <v>16</v>
      </c>
      <c r="T1566">
        <v>63.627099999999999</v>
      </c>
    </row>
    <row r="1567" spans="4:20" ht="15.75" customHeight="1" x14ac:dyDescent="0.2">
      <c r="D1567" t="s">
        <v>285</v>
      </c>
      <c r="E1567" t="s">
        <v>420</v>
      </c>
      <c r="F1567">
        <v>10</v>
      </c>
      <c r="P1567" t="s">
        <v>422</v>
      </c>
      <c r="Q1567">
        <v>64</v>
      </c>
      <c r="R1567" t="s">
        <v>295</v>
      </c>
      <c r="S1567" t="s">
        <v>17</v>
      </c>
      <c r="T1567">
        <v>0</v>
      </c>
    </row>
    <row r="1568" spans="4:20" ht="15.75" customHeight="1" x14ac:dyDescent="0.2">
      <c r="D1568" t="s">
        <v>285</v>
      </c>
      <c r="E1568" t="s">
        <v>420</v>
      </c>
      <c r="F1568">
        <v>10</v>
      </c>
      <c r="P1568" t="s">
        <v>422</v>
      </c>
      <c r="Q1568">
        <v>64</v>
      </c>
      <c r="R1568" t="s">
        <v>296</v>
      </c>
      <c r="S1568" t="s">
        <v>1</v>
      </c>
      <c r="T1568">
        <v>1</v>
      </c>
    </row>
    <row r="1569" spans="4:20" ht="15.75" customHeight="1" x14ac:dyDescent="0.2">
      <c r="D1569" t="s">
        <v>285</v>
      </c>
      <c r="E1569" t="s">
        <v>420</v>
      </c>
      <c r="F1569">
        <v>10</v>
      </c>
      <c r="P1569" t="s">
        <v>422</v>
      </c>
      <c r="Q1569">
        <v>64</v>
      </c>
      <c r="R1569" t="s">
        <v>297</v>
      </c>
      <c r="S1569" t="s">
        <v>18</v>
      </c>
      <c r="T1569">
        <v>7</v>
      </c>
    </row>
    <row r="1570" spans="4:20" ht="15.75" customHeight="1" x14ac:dyDescent="0.2">
      <c r="D1570" t="s">
        <v>285</v>
      </c>
      <c r="E1570" t="s">
        <v>420</v>
      </c>
      <c r="F1570">
        <v>10</v>
      </c>
      <c r="P1570" t="s">
        <v>422</v>
      </c>
      <c r="Q1570">
        <v>64</v>
      </c>
      <c r="R1570" t="s">
        <v>298</v>
      </c>
      <c r="S1570" t="s">
        <v>19</v>
      </c>
      <c r="T1570">
        <v>0</v>
      </c>
    </row>
    <row r="1571" spans="4:20" ht="15.75" customHeight="1" x14ac:dyDescent="0.2">
      <c r="D1571" t="s">
        <v>285</v>
      </c>
      <c r="E1571" t="s">
        <v>420</v>
      </c>
      <c r="F1571">
        <v>10</v>
      </c>
      <c r="P1571" t="s">
        <v>422</v>
      </c>
      <c r="Q1571">
        <v>64</v>
      </c>
      <c r="R1571" t="s">
        <v>299</v>
      </c>
      <c r="S1571" t="s">
        <v>20</v>
      </c>
      <c r="T1571">
        <v>3</v>
      </c>
    </row>
    <row r="1572" spans="4:20" ht="15.75" customHeight="1" x14ac:dyDescent="0.2">
      <c r="D1572" t="s">
        <v>285</v>
      </c>
      <c r="E1572" t="s">
        <v>420</v>
      </c>
      <c r="F1572">
        <v>10</v>
      </c>
      <c r="P1572" t="s">
        <v>423</v>
      </c>
      <c r="Q1572">
        <v>65</v>
      </c>
      <c r="R1572" t="s">
        <v>288</v>
      </c>
      <c r="S1572" t="s">
        <v>2</v>
      </c>
      <c r="T1572">
        <v>0</v>
      </c>
    </row>
    <row r="1573" spans="4:20" ht="15.75" customHeight="1" x14ac:dyDescent="0.2">
      <c r="D1573" t="s">
        <v>285</v>
      </c>
      <c r="E1573" t="s">
        <v>420</v>
      </c>
      <c r="F1573">
        <v>10</v>
      </c>
      <c r="P1573" t="s">
        <v>423</v>
      </c>
      <c r="Q1573">
        <v>65</v>
      </c>
      <c r="R1573" t="s">
        <v>289</v>
      </c>
      <c r="S1573" t="s">
        <v>5</v>
      </c>
      <c r="T1573">
        <v>0</v>
      </c>
    </row>
    <row r="1574" spans="4:20" ht="15.75" customHeight="1" x14ac:dyDescent="0.2">
      <c r="D1574" t="s">
        <v>285</v>
      </c>
      <c r="E1574" t="s">
        <v>420</v>
      </c>
      <c r="F1574">
        <v>10</v>
      </c>
      <c r="P1574" t="s">
        <v>423</v>
      </c>
      <c r="Q1574">
        <v>65</v>
      </c>
      <c r="R1574" t="s">
        <v>290</v>
      </c>
      <c r="S1574" t="s">
        <v>3</v>
      </c>
      <c r="T1574">
        <v>0</v>
      </c>
    </row>
    <row r="1575" spans="4:20" ht="15.75" customHeight="1" x14ac:dyDescent="0.2">
      <c r="D1575" t="s">
        <v>285</v>
      </c>
      <c r="E1575" t="s">
        <v>420</v>
      </c>
      <c r="F1575">
        <v>10</v>
      </c>
      <c r="P1575" t="s">
        <v>423</v>
      </c>
      <c r="Q1575">
        <v>65</v>
      </c>
      <c r="R1575" t="s">
        <v>291</v>
      </c>
      <c r="S1575" t="s">
        <v>4</v>
      </c>
      <c r="T1575">
        <v>0</v>
      </c>
    </row>
    <row r="1576" spans="4:20" ht="15.75" customHeight="1" x14ac:dyDescent="0.2">
      <c r="D1576" t="s">
        <v>285</v>
      </c>
      <c r="E1576" t="s">
        <v>420</v>
      </c>
      <c r="F1576">
        <v>10</v>
      </c>
      <c r="P1576" t="s">
        <v>423</v>
      </c>
      <c r="Q1576">
        <v>65</v>
      </c>
      <c r="R1576" t="s">
        <v>292</v>
      </c>
      <c r="S1576" t="s">
        <v>6</v>
      </c>
      <c r="T1576">
        <v>0</v>
      </c>
    </row>
    <row r="1577" spans="4:20" ht="15.75" customHeight="1" x14ac:dyDescent="0.2">
      <c r="D1577" t="s">
        <v>285</v>
      </c>
      <c r="E1577" t="s">
        <v>420</v>
      </c>
      <c r="F1577">
        <v>10</v>
      </c>
      <c r="P1577" t="s">
        <v>423</v>
      </c>
      <c r="Q1577">
        <v>65</v>
      </c>
      <c r="R1577" t="s">
        <v>243</v>
      </c>
      <c r="S1577" t="s">
        <v>7</v>
      </c>
      <c r="T1577">
        <v>1</v>
      </c>
    </row>
    <row r="1578" spans="4:20" ht="15.75" customHeight="1" x14ac:dyDescent="0.2">
      <c r="D1578" t="s">
        <v>285</v>
      </c>
      <c r="E1578" t="s">
        <v>420</v>
      </c>
      <c r="F1578">
        <v>10</v>
      </c>
      <c r="P1578" t="s">
        <v>423</v>
      </c>
      <c r="Q1578">
        <v>65</v>
      </c>
      <c r="R1578" t="s">
        <v>245</v>
      </c>
      <c r="S1578" t="s">
        <v>8</v>
      </c>
      <c r="T1578">
        <v>4.7549000000000001</v>
      </c>
    </row>
    <row r="1579" spans="4:20" ht="15.75" customHeight="1" x14ac:dyDescent="0.2">
      <c r="D1579" t="s">
        <v>285</v>
      </c>
      <c r="E1579" t="s">
        <v>420</v>
      </c>
      <c r="F1579">
        <v>10</v>
      </c>
      <c r="P1579" t="s">
        <v>423</v>
      </c>
      <c r="Q1579">
        <v>65</v>
      </c>
      <c r="R1579" t="s">
        <v>247</v>
      </c>
      <c r="S1579" t="s">
        <v>9</v>
      </c>
      <c r="T1579">
        <v>8.9999999999999998E-4</v>
      </c>
    </row>
    <row r="1580" spans="4:20" ht="15.75" customHeight="1" x14ac:dyDescent="0.2">
      <c r="D1580" t="s">
        <v>285</v>
      </c>
      <c r="E1580" t="s">
        <v>420</v>
      </c>
      <c r="F1580">
        <v>10</v>
      </c>
      <c r="P1580" t="s">
        <v>423</v>
      </c>
      <c r="Q1580">
        <v>65</v>
      </c>
      <c r="R1580" t="s">
        <v>249</v>
      </c>
      <c r="S1580" t="s">
        <v>10</v>
      </c>
      <c r="T1580">
        <v>3</v>
      </c>
    </row>
    <row r="1581" spans="4:20" ht="15.75" customHeight="1" x14ac:dyDescent="0.2">
      <c r="D1581" t="s">
        <v>285</v>
      </c>
      <c r="E1581" t="s">
        <v>420</v>
      </c>
      <c r="F1581">
        <v>10</v>
      </c>
      <c r="P1581" t="s">
        <v>423</v>
      </c>
      <c r="Q1581">
        <v>65</v>
      </c>
      <c r="R1581" t="s">
        <v>251</v>
      </c>
      <c r="S1581" t="s">
        <v>11</v>
      </c>
      <c r="T1581">
        <v>3</v>
      </c>
    </row>
    <row r="1582" spans="4:20" ht="15.75" customHeight="1" x14ac:dyDescent="0.2">
      <c r="D1582" t="s">
        <v>285</v>
      </c>
      <c r="E1582" t="s">
        <v>420</v>
      </c>
      <c r="F1582">
        <v>10</v>
      </c>
      <c r="P1582" t="s">
        <v>423</v>
      </c>
      <c r="Q1582">
        <v>65</v>
      </c>
      <c r="R1582" t="s">
        <v>253</v>
      </c>
      <c r="S1582" t="s">
        <v>12</v>
      </c>
      <c r="T1582">
        <v>4.7549000000000001</v>
      </c>
    </row>
    <row r="1583" spans="4:20" ht="15.75" customHeight="1" x14ac:dyDescent="0.2">
      <c r="D1583" t="s">
        <v>285</v>
      </c>
      <c r="E1583" t="s">
        <v>420</v>
      </c>
      <c r="F1583">
        <v>10</v>
      </c>
      <c r="P1583" t="s">
        <v>423</v>
      </c>
      <c r="Q1583">
        <v>65</v>
      </c>
      <c r="R1583" t="s">
        <v>255</v>
      </c>
      <c r="S1583" t="s">
        <v>15</v>
      </c>
      <c r="T1583">
        <v>1</v>
      </c>
    </row>
    <row r="1584" spans="4:20" ht="15.75" customHeight="1" x14ac:dyDescent="0.2">
      <c r="D1584" t="s">
        <v>285</v>
      </c>
      <c r="E1584" t="s">
        <v>420</v>
      </c>
      <c r="F1584">
        <v>10</v>
      </c>
      <c r="P1584" t="s">
        <v>423</v>
      </c>
      <c r="Q1584">
        <v>65</v>
      </c>
      <c r="R1584" t="s">
        <v>293</v>
      </c>
      <c r="S1584" t="s">
        <v>13</v>
      </c>
      <c r="T1584">
        <v>1</v>
      </c>
    </row>
    <row r="1585" spans="4:20" ht="15.75" customHeight="1" x14ac:dyDescent="0.2">
      <c r="D1585" t="s">
        <v>285</v>
      </c>
      <c r="E1585" t="s">
        <v>420</v>
      </c>
      <c r="F1585">
        <v>10</v>
      </c>
      <c r="P1585" t="s">
        <v>423</v>
      </c>
      <c r="Q1585">
        <v>65</v>
      </c>
      <c r="R1585" t="s">
        <v>294</v>
      </c>
      <c r="S1585" t="s">
        <v>14</v>
      </c>
      <c r="T1585">
        <v>0</v>
      </c>
    </row>
    <row r="1586" spans="4:20" ht="15.75" customHeight="1" x14ac:dyDescent="0.2">
      <c r="D1586" t="s">
        <v>285</v>
      </c>
      <c r="E1586" t="s">
        <v>420</v>
      </c>
      <c r="F1586">
        <v>10</v>
      </c>
      <c r="P1586" t="s">
        <v>423</v>
      </c>
      <c r="Q1586">
        <v>65</v>
      </c>
      <c r="R1586" t="s">
        <v>257</v>
      </c>
      <c r="S1586" t="s">
        <v>16</v>
      </c>
      <c r="T1586">
        <v>95.784400000000005</v>
      </c>
    </row>
    <row r="1587" spans="4:20" ht="15.75" customHeight="1" x14ac:dyDescent="0.2">
      <c r="D1587" t="s">
        <v>285</v>
      </c>
      <c r="E1587" t="s">
        <v>420</v>
      </c>
      <c r="F1587">
        <v>10</v>
      </c>
      <c r="P1587" t="s">
        <v>423</v>
      </c>
      <c r="Q1587">
        <v>65</v>
      </c>
      <c r="R1587" t="s">
        <v>295</v>
      </c>
      <c r="S1587" t="s">
        <v>17</v>
      </c>
      <c r="T1587">
        <v>0</v>
      </c>
    </row>
    <row r="1588" spans="4:20" ht="15.75" customHeight="1" x14ac:dyDescent="0.2">
      <c r="D1588" t="s">
        <v>285</v>
      </c>
      <c r="E1588" t="s">
        <v>420</v>
      </c>
      <c r="F1588">
        <v>10</v>
      </c>
      <c r="P1588" t="s">
        <v>423</v>
      </c>
      <c r="Q1588">
        <v>65</v>
      </c>
      <c r="R1588" t="s">
        <v>296</v>
      </c>
      <c r="S1588" t="s">
        <v>1</v>
      </c>
      <c r="T1588">
        <v>1</v>
      </c>
    </row>
    <row r="1589" spans="4:20" ht="15.75" customHeight="1" x14ac:dyDescent="0.2">
      <c r="D1589" t="s">
        <v>285</v>
      </c>
      <c r="E1589" t="s">
        <v>420</v>
      </c>
      <c r="F1589">
        <v>10</v>
      </c>
      <c r="P1589" t="s">
        <v>423</v>
      </c>
      <c r="Q1589">
        <v>65</v>
      </c>
      <c r="R1589" t="s">
        <v>297</v>
      </c>
      <c r="S1589" t="s">
        <v>18</v>
      </c>
      <c r="T1589">
        <v>1</v>
      </c>
    </row>
    <row r="1590" spans="4:20" ht="15.75" customHeight="1" x14ac:dyDescent="0.2">
      <c r="D1590" t="s">
        <v>285</v>
      </c>
      <c r="E1590" t="s">
        <v>420</v>
      </c>
      <c r="F1590">
        <v>10</v>
      </c>
      <c r="P1590" t="s">
        <v>423</v>
      </c>
      <c r="Q1590">
        <v>65</v>
      </c>
      <c r="R1590" t="s">
        <v>298</v>
      </c>
      <c r="S1590" t="s">
        <v>19</v>
      </c>
      <c r="T1590">
        <v>0</v>
      </c>
    </row>
    <row r="1591" spans="4:20" ht="15.75" customHeight="1" x14ac:dyDescent="0.2">
      <c r="D1591" t="s">
        <v>285</v>
      </c>
      <c r="E1591" t="s">
        <v>420</v>
      </c>
      <c r="F1591">
        <v>10</v>
      </c>
      <c r="P1591" t="s">
        <v>423</v>
      </c>
      <c r="Q1591">
        <v>65</v>
      </c>
      <c r="R1591" t="s">
        <v>299</v>
      </c>
      <c r="S1591" t="s">
        <v>20</v>
      </c>
      <c r="T1591">
        <v>0</v>
      </c>
    </row>
    <row r="1592" spans="4:20" ht="15.75" customHeight="1" x14ac:dyDescent="0.2">
      <c r="D1592" t="s">
        <v>285</v>
      </c>
      <c r="E1592" t="s">
        <v>420</v>
      </c>
      <c r="F1592">
        <v>10</v>
      </c>
      <c r="P1592" t="s">
        <v>424</v>
      </c>
      <c r="Q1592">
        <v>66</v>
      </c>
      <c r="R1592" t="s">
        <v>288</v>
      </c>
      <c r="S1592" t="s">
        <v>2</v>
      </c>
      <c r="T1592">
        <v>0</v>
      </c>
    </row>
    <row r="1593" spans="4:20" ht="15.75" customHeight="1" x14ac:dyDescent="0.2">
      <c r="D1593" t="s">
        <v>285</v>
      </c>
      <c r="E1593" t="s">
        <v>420</v>
      </c>
      <c r="F1593">
        <v>10</v>
      </c>
      <c r="P1593" t="s">
        <v>424</v>
      </c>
      <c r="Q1593">
        <v>66</v>
      </c>
      <c r="R1593" t="s">
        <v>289</v>
      </c>
      <c r="S1593" t="s">
        <v>5</v>
      </c>
      <c r="T1593">
        <v>0</v>
      </c>
    </row>
    <row r="1594" spans="4:20" ht="15.75" customHeight="1" x14ac:dyDescent="0.2">
      <c r="D1594" t="s">
        <v>285</v>
      </c>
      <c r="E1594" t="s">
        <v>420</v>
      </c>
      <c r="F1594">
        <v>10</v>
      </c>
      <c r="P1594" t="s">
        <v>424</v>
      </c>
      <c r="Q1594">
        <v>66</v>
      </c>
      <c r="R1594" t="s">
        <v>290</v>
      </c>
      <c r="S1594" t="s">
        <v>3</v>
      </c>
      <c r="T1594">
        <v>0</v>
      </c>
    </row>
    <row r="1595" spans="4:20" ht="15.75" customHeight="1" x14ac:dyDescent="0.2">
      <c r="D1595" t="s">
        <v>285</v>
      </c>
      <c r="E1595" t="s">
        <v>420</v>
      </c>
      <c r="F1595">
        <v>10</v>
      </c>
      <c r="P1595" t="s">
        <v>424</v>
      </c>
      <c r="Q1595">
        <v>66</v>
      </c>
      <c r="R1595" t="s">
        <v>291</v>
      </c>
      <c r="S1595" t="s">
        <v>4</v>
      </c>
      <c r="T1595">
        <v>0</v>
      </c>
    </row>
    <row r="1596" spans="4:20" ht="15.75" customHeight="1" x14ac:dyDescent="0.2">
      <c r="D1596" t="s">
        <v>285</v>
      </c>
      <c r="E1596" t="s">
        <v>420</v>
      </c>
      <c r="F1596">
        <v>10</v>
      </c>
      <c r="P1596" t="s">
        <v>424</v>
      </c>
      <c r="Q1596">
        <v>66</v>
      </c>
      <c r="R1596" t="s">
        <v>292</v>
      </c>
      <c r="S1596" t="s">
        <v>6</v>
      </c>
      <c r="T1596">
        <v>0</v>
      </c>
    </row>
    <row r="1597" spans="4:20" ht="15.75" customHeight="1" x14ac:dyDescent="0.2">
      <c r="D1597" t="s">
        <v>285</v>
      </c>
      <c r="E1597" t="s">
        <v>420</v>
      </c>
      <c r="F1597">
        <v>10</v>
      </c>
      <c r="P1597" t="s">
        <v>424</v>
      </c>
      <c r="Q1597">
        <v>66</v>
      </c>
      <c r="R1597" t="s">
        <v>243</v>
      </c>
      <c r="S1597" t="s">
        <v>7</v>
      </c>
      <c r="T1597">
        <v>1</v>
      </c>
    </row>
    <row r="1598" spans="4:20" ht="15.75" customHeight="1" x14ac:dyDescent="0.2">
      <c r="D1598" t="s">
        <v>285</v>
      </c>
      <c r="E1598" t="s">
        <v>420</v>
      </c>
      <c r="F1598">
        <v>10</v>
      </c>
      <c r="P1598" t="s">
        <v>424</v>
      </c>
      <c r="Q1598">
        <v>66</v>
      </c>
      <c r="R1598" t="s">
        <v>245</v>
      </c>
      <c r="S1598" t="s">
        <v>8</v>
      </c>
      <c r="T1598">
        <v>4.7549000000000001</v>
      </c>
    </row>
    <row r="1599" spans="4:20" ht="15.75" customHeight="1" x14ac:dyDescent="0.2">
      <c r="D1599" t="s">
        <v>285</v>
      </c>
      <c r="E1599" t="s">
        <v>420</v>
      </c>
      <c r="F1599">
        <v>10</v>
      </c>
      <c r="P1599" t="s">
        <v>424</v>
      </c>
      <c r="Q1599">
        <v>66</v>
      </c>
      <c r="R1599" t="s">
        <v>247</v>
      </c>
      <c r="S1599" t="s">
        <v>9</v>
      </c>
      <c r="T1599">
        <v>8.9999999999999998E-4</v>
      </c>
    </row>
    <row r="1600" spans="4:20" ht="15.75" customHeight="1" x14ac:dyDescent="0.2">
      <c r="D1600" t="s">
        <v>285</v>
      </c>
      <c r="E1600" t="s">
        <v>420</v>
      </c>
      <c r="F1600">
        <v>10</v>
      </c>
      <c r="P1600" t="s">
        <v>424</v>
      </c>
      <c r="Q1600">
        <v>66</v>
      </c>
      <c r="R1600" t="s">
        <v>249</v>
      </c>
      <c r="S1600" t="s">
        <v>10</v>
      </c>
      <c r="T1600">
        <v>3</v>
      </c>
    </row>
    <row r="1601" spans="4:20" ht="15.75" customHeight="1" x14ac:dyDescent="0.2">
      <c r="D1601" t="s">
        <v>285</v>
      </c>
      <c r="E1601" t="s">
        <v>420</v>
      </c>
      <c r="F1601">
        <v>10</v>
      </c>
      <c r="P1601" t="s">
        <v>424</v>
      </c>
      <c r="Q1601">
        <v>66</v>
      </c>
      <c r="R1601" t="s">
        <v>251</v>
      </c>
      <c r="S1601" t="s">
        <v>11</v>
      </c>
      <c r="T1601">
        <v>3</v>
      </c>
    </row>
    <row r="1602" spans="4:20" ht="15.75" customHeight="1" x14ac:dyDescent="0.2">
      <c r="D1602" t="s">
        <v>285</v>
      </c>
      <c r="E1602" t="s">
        <v>420</v>
      </c>
      <c r="F1602">
        <v>10</v>
      </c>
      <c r="P1602" t="s">
        <v>424</v>
      </c>
      <c r="Q1602">
        <v>66</v>
      </c>
      <c r="R1602" t="s">
        <v>253</v>
      </c>
      <c r="S1602" t="s">
        <v>12</v>
      </c>
      <c r="T1602">
        <v>4.7549000000000001</v>
      </c>
    </row>
    <row r="1603" spans="4:20" ht="15.75" customHeight="1" x14ac:dyDescent="0.2">
      <c r="D1603" t="s">
        <v>285</v>
      </c>
      <c r="E1603" t="s">
        <v>420</v>
      </c>
      <c r="F1603">
        <v>10</v>
      </c>
      <c r="P1603" t="s">
        <v>424</v>
      </c>
      <c r="Q1603">
        <v>66</v>
      </c>
      <c r="R1603" t="s">
        <v>255</v>
      </c>
      <c r="S1603" t="s">
        <v>15</v>
      </c>
      <c r="T1603">
        <v>1</v>
      </c>
    </row>
    <row r="1604" spans="4:20" ht="15.75" customHeight="1" x14ac:dyDescent="0.2">
      <c r="D1604" t="s">
        <v>285</v>
      </c>
      <c r="E1604" t="s">
        <v>420</v>
      </c>
      <c r="F1604">
        <v>10</v>
      </c>
      <c r="P1604" t="s">
        <v>424</v>
      </c>
      <c r="Q1604">
        <v>66</v>
      </c>
      <c r="R1604" t="s">
        <v>293</v>
      </c>
      <c r="S1604" t="s">
        <v>13</v>
      </c>
      <c r="T1604">
        <v>1</v>
      </c>
    </row>
    <row r="1605" spans="4:20" ht="15.75" customHeight="1" x14ac:dyDescent="0.2">
      <c r="D1605" t="s">
        <v>285</v>
      </c>
      <c r="E1605" t="s">
        <v>420</v>
      </c>
      <c r="F1605">
        <v>10</v>
      </c>
      <c r="P1605" t="s">
        <v>424</v>
      </c>
      <c r="Q1605">
        <v>66</v>
      </c>
      <c r="R1605" t="s">
        <v>294</v>
      </c>
      <c r="S1605" t="s">
        <v>14</v>
      </c>
      <c r="T1605">
        <v>0</v>
      </c>
    </row>
    <row r="1606" spans="4:20" ht="15.75" customHeight="1" x14ac:dyDescent="0.2">
      <c r="D1606" t="s">
        <v>285</v>
      </c>
      <c r="E1606" t="s">
        <v>420</v>
      </c>
      <c r="F1606">
        <v>10</v>
      </c>
      <c r="P1606" t="s">
        <v>424</v>
      </c>
      <c r="Q1606">
        <v>66</v>
      </c>
      <c r="R1606" t="s">
        <v>257</v>
      </c>
      <c r="S1606" t="s">
        <v>16</v>
      </c>
      <c r="T1606">
        <v>95.784400000000005</v>
      </c>
    </row>
    <row r="1607" spans="4:20" ht="15.75" customHeight="1" x14ac:dyDescent="0.2">
      <c r="D1607" t="s">
        <v>285</v>
      </c>
      <c r="E1607" t="s">
        <v>420</v>
      </c>
      <c r="F1607">
        <v>10</v>
      </c>
      <c r="P1607" t="s">
        <v>424</v>
      </c>
      <c r="Q1607">
        <v>66</v>
      </c>
      <c r="R1607" t="s">
        <v>295</v>
      </c>
      <c r="S1607" t="s">
        <v>17</v>
      </c>
      <c r="T1607">
        <v>0</v>
      </c>
    </row>
    <row r="1608" spans="4:20" ht="15.75" customHeight="1" x14ac:dyDescent="0.2">
      <c r="D1608" t="s">
        <v>285</v>
      </c>
      <c r="E1608" t="s">
        <v>420</v>
      </c>
      <c r="F1608">
        <v>10</v>
      </c>
      <c r="P1608" t="s">
        <v>424</v>
      </c>
      <c r="Q1608">
        <v>66</v>
      </c>
      <c r="R1608" t="s">
        <v>296</v>
      </c>
      <c r="S1608" t="s">
        <v>1</v>
      </c>
      <c r="T1608">
        <v>1</v>
      </c>
    </row>
    <row r="1609" spans="4:20" ht="15.75" customHeight="1" x14ac:dyDescent="0.2">
      <c r="D1609" t="s">
        <v>285</v>
      </c>
      <c r="E1609" t="s">
        <v>420</v>
      </c>
      <c r="F1609">
        <v>10</v>
      </c>
      <c r="P1609" t="s">
        <v>424</v>
      </c>
      <c r="Q1609">
        <v>66</v>
      </c>
      <c r="R1609" t="s">
        <v>297</v>
      </c>
      <c r="S1609" t="s">
        <v>18</v>
      </c>
      <c r="T1609">
        <v>1</v>
      </c>
    </row>
    <row r="1610" spans="4:20" ht="15.75" customHeight="1" x14ac:dyDescent="0.2">
      <c r="D1610" t="s">
        <v>285</v>
      </c>
      <c r="E1610" t="s">
        <v>420</v>
      </c>
      <c r="F1610">
        <v>10</v>
      </c>
      <c r="P1610" t="s">
        <v>424</v>
      </c>
      <c r="Q1610">
        <v>66</v>
      </c>
      <c r="R1610" t="s">
        <v>298</v>
      </c>
      <c r="S1610" t="s">
        <v>19</v>
      </c>
      <c r="T1610">
        <v>0</v>
      </c>
    </row>
    <row r="1611" spans="4:20" ht="15.75" customHeight="1" x14ac:dyDescent="0.2">
      <c r="D1611" t="s">
        <v>285</v>
      </c>
      <c r="E1611" t="s">
        <v>420</v>
      </c>
      <c r="F1611">
        <v>10</v>
      </c>
      <c r="P1611" t="s">
        <v>424</v>
      </c>
      <c r="Q1611">
        <v>66</v>
      </c>
      <c r="R1611" t="s">
        <v>299</v>
      </c>
      <c r="S1611" t="s">
        <v>20</v>
      </c>
      <c r="T1611">
        <v>0</v>
      </c>
    </row>
    <row r="1612" spans="4:20" ht="15.75" customHeight="1" x14ac:dyDescent="0.2">
      <c r="D1612" t="s">
        <v>285</v>
      </c>
      <c r="E1612" t="s">
        <v>420</v>
      </c>
      <c r="F1612">
        <v>10</v>
      </c>
      <c r="P1612" t="s">
        <v>425</v>
      </c>
      <c r="Q1612">
        <v>67</v>
      </c>
      <c r="R1612" t="s">
        <v>288</v>
      </c>
      <c r="S1612" t="s">
        <v>2</v>
      </c>
      <c r="T1612">
        <v>0</v>
      </c>
    </row>
    <row r="1613" spans="4:20" ht="15.75" customHeight="1" x14ac:dyDescent="0.2">
      <c r="D1613" t="s">
        <v>285</v>
      </c>
      <c r="E1613" t="s">
        <v>420</v>
      </c>
      <c r="F1613">
        <v>10</v>
      </c>
      <c r="P1613" t="s">
        <v>425</v>
      </c>
      <c r="Q1613">
        <v>67</v>
      </c>
      <c r="R1613" t="s">
        <v>289</v>
      </c>
      <c r="S1613" t="s">
        <v>5</v>
      </c>
      <c r="T1613">
        <v>0</v>
      </c>
    </row>
    <row r="1614" spans="4:20" ht="15.75" customHeight="1" x14ac:dyDescent="0.2">
      <c r="D1614" t="s">
        <v>285</v>
      </c>
      <c r="E1614" t="s">
        <v>420</v>
      </c>
      <c r="F1614">
        <v>10</v>
      </c>
      <c r="P1614" t="s">
        <v>425</v>
      </c>
      <c r="Q1614">
        <v>67</v>
      </c>
      <c r="R1614" t="s">
        <v>290</v>
      </c>
      <c r="S1614" t="s">
        <v>3</v>
      </c>
      <c r="T1614">
        <v>0</v>
      </c>
    </row>
    <row r="1615" spans="4:20" ht="15.75" customHeight="1" x14ac:dyDescent="0.2">
      <c r="D1615" t="s">
        <v>285</v>
      </c>
      <c r="E1615" t="s">
        <v>420</v>
      </c>
      <c r="F1615">
        <v>10</v>
      </c>
      <c r="P1615" t="s">
        <v>425</v>
      </c>
      <c r="Q1615">
        <v>67</v>
      </c>
      <c r="R1615" t="s">
        <v>291</v>
      </c>
      <c r="S1615" t="s">
        <v>4</v>
      </c>
      <c r="T1615">
        <v>0</v>
      </c>
    </row>
    <row r="1616" spans="4:20" ht="15.75" customHeight="1" x14ac:dyDescent="0.2">
      <c r="D1616" t="s">
        <v>285</v>
      </c>
      <c r="E1616" t="s">
        <v>420</v>
      </c>
      <c r="F1616">
        <v>10</v>
      </c>
      <c r="P1616" t="s">
        <v>425</v>
      </c>
      <c r="Q1616">
        <v>67</v>
      </c>
      <c r="R1616" t="s">
        <v>292</v>
      </c>
      <c r="S1616" t="s">
        <v>6</v>
      </c>
      <c r="T1616">
        <v>0</v>
      </c>
    </row>
    <row r="1617" spans="4:20" ht="15.75" customHeight="1" x14ac:dyDescent="0.2">
      <c r="D1617" t="s">
        <v>285</v>
      </c>
      <c r="E1617" t="s">
        <v>420</v>
      </c>
      <c r="F1617">
        <v>10</v>
      </c>
      <c r="P1617" t="s">
        <v>425</v>
      </c>
      <c r="Q1617">
        <v>67</v>
      </c>
      <c r="R1617" t="s">
        <v>243</v>
      </c>
      <c r="S1617" t="s">
        <v>7</v>
      </c>
      <c r="T1617">
        <v>1.5</v>
      </c>
    </row>
    <row r="1618" spans="4:20" ht="15.75" customHeight="1" x14ac:dyDescent="0.2">
      <c r="D1618" t="s">
        <v>285</v>
      </c>
      <c r="E1618" t="s">
        <v>420</v>
      </c>
      <c r="F1618">
        <v>10</v>
      </c>
      <c r="P1618" t="s">
        <v>425</v>
      </c>
      <c r="Q1618">
        <v>67</v>
      </c>
      <c r="R1618" t="s">
        <v>245</v>
      </c>
      <c r="S1618" t="s">
        <v>8</v>
      </c>
      <c r="T1618">
        <v>12</v>
      </c>
    </row>
    <row r="1619" spans="4:20" ht="15.75" customHeight="1" x14ac:dyDescent="0.2">
      <c r="D1619" t="s">
        <v>285</v>
      </c>
      <c r="E1619" t="s">
        <v>420</v>
      </c>
      <c r="F1619">
        <v>10</v>
      </c>
      <c r="P1619" t="s">
        <v>425</v>
      </c>
      <c r="Q1619">
        <v>67</v>
      </c>
      <c r="R1619" t="s">
        <v>247</v>
      </c>
      <c r="S1619" t="s">
        <v>9</v>
      </c>
      <c r="T1619">
        <v>1.6999999999999999E-3</v>
      </c>
    </row>
    <row r="1620" spans="4:20" ht="15.75" customHeight="1" x14ac:dyDescent="0.2">
      <c r="D1620" t="s">
        <v>285</v>
      </c>
      <c r="E1620" t="s">
        <v>420</v>
      </c>
      <c r="F1620">
        <v>10</v>
      </c>
      <c r="P1620" t="s">
        <v>425</v>
      </c>
      <c r="Q1620">
        <v>67</v>
      </c>
      <c r="R1620" t="s">
        <v>249</v>
      </c>
      <c r="S1620" t="s">
        <v>10</v>
      </c>
      <c r="T1620">
        <v>4</v>
      </c>
    </row>
    <row r="1621" spans="4:20" ht="15.75" customHeight="1" x14ac:dyDescent="0.2">
      <c r="D1621" t="s">
        <v>285</v>
      </c>
      <c r="E1621" t="s">
        <v>420</v>
      </c>
      <c r="F1621">
        <v>10</v>
      </c>
      <c r="P1621" t="s">
        <v>425</v>
      </c>
      <c r="Q1621">
        <v>67</v>
      </c>
      <c r="R1621" t="s">
        <v>251</v>
      </c>
      <c r="S1621" t="s">
        <v>11</v>
      </c>
      <c r="T1621">
        <v>4</v>
      </c>
    </row>
    <row r="1622" spans="4:20" ht="15.75" customHeight="1" x14ac:dyDescent="0.2">
      <c r="D1622" t="s">
        <v>285</v>
      </c>
      <c r="E1622" t="s">
        <v>420</v>
      </c>
      <c r="F1622">
        <v>10</v>
      </c>
      <c r="P1622" t="s">
        <v>425</v>
      </c>
      <c r="Q1622">
        <v>67</v>
      </c>
      <c r="R1622" t="s">
        <v>253</v>
      </c>
      <c r="S1622" t="s">
        <v>12</v>
      </c>
      <c r="T1622">
        <v>8</v>
      </c>
    </row>
    <row r="1623" spans="4:20" ht="15.75" customHeight="1" x14ac:dyDescent="0.2">
      <c r="D1623" t="s">
        <v>285</v>
      </c>
      <c r="E1623" t="s">
        <v>420</v>
      </c>
      <c r="F1623">
        <v>10</v>
      </c>
      <c r="P1623" t="s">
        <v>425</v>
      </c>
      <c r="Q1623">
        <v>67</v>
      </c>
      <c r="R1623" t="s">
        <v>255</v>
      </c>
      <c r="S1623" t="s">
        <v>15</v>
      </c>
      <c r="T1623">
        <v>1</v>
      </c>
    </row>
    <row r="1624" spans="4:20" ht="15.75" customHeight="1" x14ac:dyDescent="0.2">
      <c r="D1624" t="s">
        <v>285</v>
      </c>
      <c r="E1624" t="s">
        <v>420</v>
      </c>
      <c r="F1624">
        <v>10</v>
      </c>
      <c r="P1624" t="s">
        <v>425</v>
      </c>
      <c r="Q1624">
        <v>67</v>
      </c>
      <c r="R1624" t="s">
        <v>293</v>
      </c>
      <c r="S1624" t="s">
        <v>13</v>
      </c>
      <c r="T1624">
        <v>1</v>
      </c>
    </row>
    <row r="1625" spans="4:20" ht="15.75" customHeight="1" x14ac:dyDescent="0.2">
      <c r="D1625" t="s">
        <v>285</v>
      </c>
      <c r="E1625" t="s">
        <v>420</v>
      </c>
      <c r="F1625">
        <v>10</v>
      </c>
      <c r="P1625" t="s">
        <v>425</v>
      </c>
      <c r="Q1625">
        <v>67</v>
      </c>
      <c r="R1625" t="s">
        <v>294</v>
      </c>
      <c r="S1625" t="s">
        <v>14</v>
      </c>
      <c r="T1625">
        <v>0</v>
      </c>
    </row>
    <row r="1626" spans="4:20" ht="15.75" customHeight="1" x14ac:dyDescent="0.2">
      <c r="D1626" t="s">
        <v>285</v>
      </c>
      <c r="E1626" t="s">
        <v>420</v>
      </c>
      <c r="F1626">
        <v>10</v>
      </c>
      <c r="P1626" t="s">
        <v>425</v>
      </c>
      <c r="Q1626">
        <v>67</v>
      </c>
      <c r="R1626" t="s">
        <v>257</v>
      </c>
      <c r="S1626" t="s">
        <v>16</v>
      </c>
      <c r="T1626">
        <v>93.676599999999993</v>
      </c>
    </row>
    <row r="1627" spans="4:20" ht="15.75" customHeight="1" x14ac:dyDescent="0.2">
      <c r="D1627" t="s">
        <v>285</v>
      </c>
      <c r="E1627" t="s">
        <v>420</v>
      </c>
      <c r="F1627">
        <v>10</v>
      </c>
      <c r="P1627" t="s">
        <v>425</v>
      </c>
      <c r="Q1627">
        <v>67</v>
      </c>
      <c r="R1627" t="s">
        <v>295</v>
      </c>
      <c r="S1627" t="s">
        <v>17</v>
      </c>
      <c r="T1627">
        <v>0</v>
      </c>
    </row>
    <row r="1628" spans="4:20" ht="15.75" customHeight="1" x14ac:dyDescent="0.2">
      <c r="D1628" t="s">
        <v>285</v>
      </c>
      <c r="E1628" t="s">
        <v>420</v>
      </c>
      <c r="F1628">
        <v>10</v>
      </c>
      <c r="P1628" t="s">
        <v>425</v>
      </c>
      <c r="Q1628">
        <v>67</v>
      </c>
      <c r="R1628" t="s">
        <v>296</v>
      </c>
      <c r="S1628" t="s">
        <v>1</v>
      </c>
      <c r="T1628">
        <v>1</v>
      </c>
    </row>
    <row r="1629" spans="4:20" ht="15.75" customHeight="1" x14ac:dyDescent="0.2">
      <c r="D1629" t="s">
        <v>285</v>
      </c>
      <c r="E1629" t="s">
        <v>420</v>
      </c>
      <c r="F1629">
        <v>10</v>
      </c>
      <c r="P1629" t="s">
        <v>425</v>
      </c>
      <c r="Q1629">
        <v>67</v>
      </c>
      <c r="R1629" t="s">
        <v>297</v>
      </c>
      <c r="S1629" t="s">
        <v>18</v>
      </c>
      <c r="T1629">
        <v>1</v>
      </c>
    </row>
    <row r="1630" spans="4:20" ht="15.75" customHeight="1" x14ac:dyDescent="0.2">
      <c r="D1630" t="s">
        <v>285</v>
      </c>
      <c r="E1630" t="s">
        <v>420</v>
      </c>
      <c r="F1630">
        <v>10</v>
      </c>
      <c r="P1630" t="s">
        <v>425</v>
      </c>
      <c r="Q1630">
        <v>67</v>
      </c>
      <c r="R1630" t="s">
        <v>298</v>
      </c>
      <c r="S1630" t="s">
        <v>19</v>
      </c>
      <c r="T1630">
        <v>0</v>
      </c>
    </row>
    <row r="1631" spans="4:20" ht="15.75" customHeight="1" x14ac:dyDescent="0.2">
      <c r="D1631" t="s">
        <v>285</v>
      </c>
      <c r="E1631" t="s">
        <v>420</v>
      </c>
      <c r="F1631">
        <v>10</v>
      </c>
      <c r="P1631" t="s">
        <v>425</v>
      </c>
      <c r="Q1631">
        <v>67</v>
      </c>
      <c r="R1631" t="s">
        <v>299</v>
      </c>
      <c r="S1631" t="s">
        <v>20</v>
      </c>
      <c r="T1631">
        <v>0</v>
      </c>
    </row>
    <row r="1632" spans="4:20" ht="15.75" customHeight="1" x14ac:dyDescent="0.2">
      <c r="D1632" t="s">
        <v>285</v>
      </c>
      <c r="E1632" t="s">
        <v>420</v>
      </c>
      <c r="F1632">
        <v>10</v>
      </c>
      <c r="P1632" t="s">
        <v>426</v>
      </c>
      <c r="Q1632">
        <v>68</v>
      </c>
      <c r="R1632" t="s">
        <v>288</v>
      </c>
      <c r="S1632" t="s">
        <v>2</v>
      </c>
      <c r="T1632">
        <v>0</v>
      </c>
    </row>
    <row r="1633" spans="4:20" ht="15.75" customHeight="1" x14ac:dyDescent="0.2">
      <c r="D1633" t="s">
        <v>285</v>
      </c>
      <c r="E1633" t="s">
        <v>420</v>
      </c>
      <c r="F1633">
        <v>10</v>
      </c>
      <c r="P1633" t="s">
        <v>426</v>
      </c>
      <c r="Q1633">
        <v>68</v>
      </c>
      <c r="R1633" t="s">
        <v>289</v>
      </c>
      <c r="S1633" t="s">
        <v>5</v>
      </c>
      <c r="T1633">
        <v>0</v>
      </c>
    </row>
    <row r="1634" spans="4:20" ht="15.75" customHeight="1" x14ac:dyDescent="0.2">
      <c r="D1634" t="s">
        <v>285</v>
      </c>
      <c r="E1634" t="s">
        <v>420</v>
      </c>
      <c r="F1634">
        <v>10</v>
      </c>
      <c r="P1634" t="s">
        <v>426</v>
      </c>
      <c r="Q1634">
        <v>68</v>
      </c>
      <c r="R1634" t="s">
        <v>290</v>
      </c>
      <c r="S1634" t="s">
        <v>3</v>
      </c>
      <c r="T1634">
        <v>0</v>
      </c>
    </row>
    <row r="1635" spans="4:20" ht="15.75" customHeight="1" x14ac:dyDescent="0.2">
      <c r="D1635" t="s">
        <v>285</v>
      </c>
      <c r="E1635" t="s">
        <v>420</v>
      </c>
      <c r="F1635">
        <v>10</v>
      </c>
      <c r="P1635" t="s">
        <v>426</v>
      </c>
      <c r="Q1635">
        <v>68</v>
      </c>
      <c r="R1635" t="s">
        <v>291</v>
      </c>
      <c r="S1635" t="s">
        <v>4</v>
      </c>
      <c r="T1635">
        <v>0</v>
      </c>
    </row>
    <row r="1636" spans="4:20" ht="15.75" customHeight="1" x14ac:dyDescent="0.2">
      <c r="D1636" t="s">
        <v>285</v>
      </c>
      <c r="E1636" t="s">
        <v>420</v>
      </c>
      <c r="F1636">
        <v>10</v>
      </c>
      <c r="P1636" t="s">
        <v>426</v>
      </c>
      <c r="Q1636">
        <v>68</v>
      </c>
      <c r="R1636" t="s">
        <v>292</v>
      </c>
      <c r="S1636" t="s">
        <v>6</v>
      </c>
      <c r="T1636">
        <v>0</v>
      </c>
    </row>
    <row r="1637" spans="4:20" ht="15.75" customHeight="1" x14ac:dyDescent="0.2">
      <c r="D1637" t="s">
        <v>285</v>
      </c>
      <c r="E1637" t="s">
        <v>420</v>
      </c>
      <c r="F1637">
        <v>10</v>
      </c>
      <c r="P1637" t="s">
        <v>426</v>
      </c>
      <c r="Q1637">
        <v>68</v>
      </c>
      <c r="R1637" t="s">
        <v>243</v>
      </c>
      <c r="S1637" t="s">
        <v>7</v>
      </c>
      <c r="T1637">
        <v>1.5</v>
      </c>
    </row>
    <row r="1638" spans="4:20" ht="15.75" customHeight="1" x14ac:dyDescent="0.2">
      <c r="D1638" t="s">
        <v>285</v>
      </c>
      <c r="E1638" t="s">
        <v>420</v>
      </c>
      <c r="F1638">
        <v>10</v>
      </c>
      <c r="P1638" t="s">
        <v>426</v>
      </c>
      <c r="Q1638">
        <v>68</v>
      </c>
      <c r="R1638" t="s">
        <v>245</v>
      </c>
      <c r="S1638" t="s">
        <v>8</v>
      </c>
      <c r="T1638">
        <v>12</v>
      </c>
    </row>
    <row r="1639" spans="4:20" ht="15.75" customHeight="1" x14ac:dyDescent="0.2">
      <c r="D1639" t="s">
        <v>285</v>
      </c>
      <c r="E1639" t="s">
        <v>420</v>
      </c>
      <c r="F1639">
        <v>10</v>
      </c>
      <c r="P1639" t="s">
        <v>426</v>
      </c>
      <c r="Q1639">
        <v>68</v>
      </c>
      <c r="R1639" t="s">
        <v>247</v>
      </c>
      <c r="S1639" t="s">
        <v>9</v>
      </c>
      <c r="T1639">
        <v>1.6999999999999999E-3</v>
      </c>
    </row>
    <row r="1640" spans="4:20" ht="15.75" customHeight="1" x14ac:dyDescent="0.2">
      <c r="D1640" t="s">
        <v>285</v>
      </c>
      <c r="E1640" t="s">
        <v>420</v>
      </c>
      <c r="F1640">
        <v>10</v>
      </c>
      <c r="P1640" t="s">
        <v>426</v>
      </c>
      <c r="Q1640">
        <v>68</v>
      </c>
      <c r="R1640" t="s">
        <v>249</v>
      </c>
      <c r="S1640" t="s">
        <v>10</v>
      </c>
      <c r="T1640">
        <v>4</v>
      </c>
    </row>
    <row r="1641" spans="4:20" ht="15.75" customHeight="1" x14ac:dyDescent="0.2">
      <c r="D1641" t="s">
        <v>285</v>
      </c>
      <c r="E1641" t="s">
        <v>420</v>
      </c>
      <c r="F1641">
        <v>10</v>
      </c>
      <c r="P1641" t="s">
        <v>426</v>
      </c>
      <c r="Q1641">
        <v>68</v>
      </c>
      <c r="R1641" t="s">
        <v>251</v>
      </c>
      <c r="S1641" t="s">
        <v>11</v>
      </c>
      <c r="T1641">
        <v>4</v>
      </c>
    </row>
    <row r="1642" spans="4:20" ht="15.75" customHeight="1" x14ac:dyDescent="0.2">
      <c r="D1642" t="s">
        <v>285</v>
      </c>
      <c r="E1642" t="s">
        <v>420</v>
      </c>
      <c r="F1642">
        <v>10</v>
      </c>
      <c r="P1642" t="s">
        <v>426</v>
      </c>
      <c r="Q1642">
        <v>68</v>
      </c>
      <c r="R1642" t="s">
        <v>253</v>
      </c>
      <c r="S1642" t="s">
        <v>12</v>
      </c>
      <c r="T1642">
        <v>8</v>
      </c>
    </row>
    <row r="1643" spans="4:20" ht="15.75" customHeight="1" x14ac:dyDescent="0.2">
      <c r="D1643" t="s">
        <v>285</v>
      </c>
      <c r="E1643" t="s">
        <v>420</v>
      </c>
      <c r="F1643">
        <v>10</v>
      </c>
      <c r="P1643" t="s">
        <v>426</v>
      </c>
      <c r="Q1643">
        <v>68</v>
      </c>
      <c r="R1643" t="s">
        <v>255</v>
      </c>
      <c r="S1643" t="s">
        <v>15</v>
      </c>
      <c r="T1643">
        <v>1</v>
      </c>
    </row>
    <row r="1644" spans="4:20" ht="15.75" customHeight="1" x14ac:dyDescent="0.2">
      <c r="D1644" t="s">
        <v>285</v>
      </c>
      <c r="E1644" t="s">
        <v>420</v>
      </c>
      <c r="F1644">
        <v>10</v>
      </c>
      <c r="P1644" t="s">
        <v>426</v>
      </c>
      <c r="Q1644">
        <v>68</v>
      </c>
      <c r="R1644" t="s">
        <v>293</v>
      </c>
      <c r="S1644" t="s">
        <v>13</v>
      </c>
      <c r="T1644">
        <v>1</v>
      </c>
    </row>
    <row r="1645" spans="4:20" ht="15.75" customHeight="1" x14ac:dyDescent="0.2">
      <c r="D1645" t="s">
        <v>285</v>
      </c>
      <c r="E1645" t="s">
        <v>420</v>
      </c>
      <c r="F1645">
        <v>10</v>
      </c>
      <c r="P1645" t="s">
        <v>426</v>
      </c>
      <c r="Q1645">
        <v>68</v>
      </c>
      <c r="R1645" t="s">
        <v>294</v>
      </c>
      <c r="S1645" t="s">
        <v>14</v>
      </c>
      <c r="T1645">
        <v>0</v>
      </c>
    </row>
    <row r="1646" spans="4:20" ht="15.75" customHeight="1" x14ac:dyDescent="0.2">
      <c r="D1646" t="s">
        <v>285</v>
      </c>
      <c r="E1646" t="s">
        <v>420</v>
      </c>
      <c r="F1646">
        <v>10</v>
      </c>
      <c r="P1646" t="s">
        <v>426</v>
      </c>
      <c r="Q1646">
        <v>68</v>
      </c>
      <c r="R1646" t="s">
        <v>257</v>
      </c>
      <c r="S1646" t="s">
        <v>16</v>
      </c>
      <c r="T1646">
        <v>93.676599999999993</v>
      </c>
    </row>
    <row r="1647" spans="4:20" ht="15.75" customHeight="1" x14ac:dyDescent="0.2">
      <c r="D1647" t="s">
        <v>285</v>
      </c>
      <c r="E1647" t="s">
        <v>420</v>
      </c>
      <c r="F1647">
        <v>10</v>
      </c>
      <c r="P1647" t="s">
        <v>426</v>
      </c>
      <c r="Q1647">
        <v>68</v>
      </c>
      <c r="R1647" t="s">
        <v>295</v>
      </c>
      <c r="S1647" t="s">
        <v>17</v>
      </c>
      <c r="T1647">
        <v>0</v>
      </c>
    </row>
    <row r="1648" spans="4:20" ht="15.75" customHeight="1" x14ac:dyDescent="0.2">
      <c r="D1648" t="s">
        <v>285</v>
      </c>
      <c r="E1648" t="s">
        <v>420</v>
      </c>
      <c r="F1648">
        <v>10</v>
      </c>
      <c r="P1648" t="s">
        <v>426</v>
      </c>
      <c r="Q1648">
        <v>68</v>
      </c>
      <c r="R1648" t="s">
        <v>296</v>
      </c>
      <c r="S1648" t="s">
        <v>1</v>
      </c>
      <c r="T1648">
        <v>1</v>
      </c>
    </row>
    <row r="1649" spans="4:20" ht="15.75" customHeight="1" x14ac:dyDescent="0.2">
      <c r="D1649" t="s">
        <v>285</v>
      </c>
      <c r="E1649" t="s">
        <v>420</v>
      </c>
      <c r="F1649">
        <v>10</v>
      </c>
      <c r="P1649" t="s">
        <v>426</v>
      </c>
      <c r="Q1649">
        <v>68</v>
      </c>
      <c r="R1649" t="s">
        <v>297</v>
      </c>
      <c r="S1649" t="s">
        <v>18</v>
      </c>
      <c r="T1649">
        <v>1</v>
      </c>
    </row>
    <row r="1650" spans="4:20" ht="15.75" customHeight="1" x14ac:dyDescent="0.2">
      <c r="D1650" t="s">
        <v>285</v>
      </c>
      <c r="E1650" t="s">
        <v>420</v>
      </c>
      <c r="F1650">
        <v>10</v>
      </c>
      <c r="P1650" t="s">
        <v>426</v>
      </c>
      <c r="Q1650">
        <v>68</v>
      </c>
      <c r="R1650" t="s">
        <v>298</v>
      </c>
      <c r="S1650" t="s">
        <v>19</v>
      </c>
      <c r="T1650">
        <v>0</v>
      </c>
    </row>
    <row r="1651" spans="4:20" ht="15.75" customHeight="1" x14ac:dyDescent="0.2">
      <c r="D1651" t="s">
        <v>285</v>
      </c>
      <c r="E1651" t="s">
        <v>420</v>
      </c>
      <c r="F1651">
        <v>10</v>
      </c>
      <c r="P1651" t="s">
        <v>426</v>
      </c>
      <c r="Q1651">
        <v>68</v>
      </c>
      <c r="R1651" t="s">
        <v>299</v>
      </c>
      <c r="S1651" t="s">
        <v>20</v>
      </c>
      <c r="T1651">
        <v>0</v>
      </c>
    </row>
    <row r="1652" spans="4:20" ht="15.75" customHeight="1" x14ac:dyDescent="0.2">
      <c r="D1652" t="s">
        <v>285</v>
      </c>
      <c r="E1652" t="s">
        <v>420</v>
      </c>
      <c r="F1652">
        <v>10</v>
      </c>
      <c r="P1652" t="s">
        <v>427</v>
      </c>
      <c r="Q1652">
        <v>69</v>
      </c>
      <c r="R1652" t="s">
        <v>288</v>
      </c>
      <c r="S1652" t="s">
        <v>2</v>
      </c>
      <c r="T1652">
        <v>0</v>
      </c>
    </row>
    <row r="1653" spans="4:20" ht="15.75" customHeight="1" x14ac:dyDescent="0.2">
      <c r="D1653" t="s">
        <v>285</v>
      </c>
      <c r="E1653" t="s">
        <v>420</v>
      </c>
      <c r="F1653">
        <v>10</v>
      </c>
      <c r="P1653" t="s">
        <v>427</v>
      </c>
      <c r="Q1653">
        <v>69</v>
      </c>
      <c r="R1653" t="s">
        <v>289</v>
      </c>
      <c r="S1653" t="s">
        <v>5</v>
      </c>
      <c r="T1653">
        <v>0</v>
      </c>
    </row>
    <row r="1654" spans="4:20" ht="15.75" customHeight="1" x14ac:dyDescent="0.2">
      <c r="D1654" t="s">
        <v>285</v>
      </c>
      <c r="E1654" t="s">
        <v>420</v>
      </c>
      <c r="F1654">
        <v>10</v>
      </c>
      <c r="P1654" t="s">
        <v>427</v>
      </c>
      <c r="Q1654">
        <v>69</v>
      </c>
      <c r="R1654" t="s">
        <v>290</v>
      </c>
      <c r="S1654" t="s">
        <v>3</v>
      </c>
      <c r="T1654">
        <v>0</v>
      </c>
    </row>
    <row r="1655" spans="4:20" ht="15.75" customHeight="1" x14ac:dyDescent="0.2">
      <c r="D1655" t="s">
        <v>285</v>
      </c>
      <c r="E1655" t="s">
        <v>420</v>
      </c>
      <c r="F1655">
        <v>10</v>
      </c>
      <c r="P1655" t="s">
        <v>427</v>
      </c>
      <c r="Q1655">
        <v>69</v>
      </c>
      <c r="R1655" t="s">
        <v>291</v>
      </c>
      <c r="S1655" t="s">
        <v>4</v>
      </c>
      <c r="T1655">
        <v>0</v>
      </c>
    </row>
    <row r="1656" spans="4:20" ht="15.75" customHeight="1" x14ac:dyDescent="0.2">
      <c r="D1656" t="s">
        <v>285</v>
      </c>
      <c r="E1656" t="s">
        <v>420</v>
      </c>
      <c r="F1656">
        <v>10</v>
      </c>
      <c r="P1656" t="s">
        <v>427</v>
      </c>
      <c r="Q1656">
        <v>69</v>
      </c>
      <c r="R1656" t="s">
        <v>292</v>
      </c>
      <c r="S1656" t="s">
        <v>6</v>
      </c>
      <c r="T1656">
        <v>0</v>
      </c>
    </row>
    <row r="1657" spans="4:20" ht="15.75" customHeight="1" x14ac:dyDescent="0.2">
      <c r="D1657" t="s">
        <v>285</v>
      </c>
      <c r="E1657" t="s">
        <v>420</v>
      </c>
      <c r="F1657">
        <v>10</v>
      </c>
      <c r="P1657" t="s">
        <v>427</v>
      </c>
      <c r="Q1657">
        <v>69</v>
      </c>
      <c r="R1657" t="s">
        <v>243</v>
      </c>
      <c r="S1657" t="s">
        <v>7</v>
      </c>
      <c r="T1657">
        <v>1.5</v>
      </c>
    </row>
    <row r="1658" spans="4:20" ht="15.75" customHeight="1" x14ac:dyDescent="0.2">
      <c r="D1658" t="s">
        <v>285</v>
      </c>
      <c r="E1658" t="s">
        <v>420</v>
      </c>
      <c r="F1658">
        <v>10</v>
      </c>
      <c r="P1658" t="s">
        <v>427</v>
      </c>
      <c r="Q1658">
        <v>69</v>
      </c>
      <c r="R1658" t="s">
        <v>245</v>
      </c>
      <c r="S1658" t="s">
        <v>8</v>
      </c>
      <c r="T1658">
        <v>17.4145</v>
      </c>
    </row>
    <row r="1659" spans="4:20" ht="15.75" customHeight="1" x14ac:dyDescent="0.2">
      <c r="D1659" t="s">
        <v>285</v>
      </c>
      <c r="E1659" t="s">
        <v>420</v>
      </c>
      <c r="F1659">
        <v>10</v>
      </c>
      <c r="P1659" t="s">
        <v>427</v>
      </c>
      <c r="Q1659">
        <v>69</v>
      </c>
      <c r="R1659" t="s">
        <v>247</v>
      </c>
      <c r="S1659" t="s">
        <v>9</v>
      </c>
      <c r="T1659">
        <v>2.2000000000000001E-3</v>
      </c>
    </row>
    <row r="1660" spans="4:20" ht="15.75" customHeight="1" x14ac:dyDescent="0.2">
      <c r="D1660" t="s">
        <v>285</v>
      </c>
      <c r="E1660" t="s">
        <v>420</v>
      </c>
      <c r="F1660">
        <v>10</v>
      </c>
      <c r="P1660" t="s">
        <v>427</v>
      </c>
      <c r="Q1660">
        <v>69</v>
      </c>
      <c r="R1660" t="s">
        <v>249</v>
      </c>
      <c r="S1660" t="s">
        <v>10</v>
      </c>
      <c r="T1660">
        <v>5</v>
      </c>
    </row>
    <row r="1661" spans="4:20" ht="15.75" customHeight="1" x14ac:dyDescent="0.2">
      <c r="D1661" t="s">
        <v>285</v>
      </c>
      <c r="E1661" t="s">
        <v>420</v>
      </c>
      <c r="F1661">
        <v>10</v>
      </c>
      <c r="P1661" t="s">
        <v>427</v>
      </c>
      <c r="Q1661">
        <v>69</v>
      </c>
      <c r="R1661" t="s">
        <v>251</v>
      </c>
      <c r="S1661" t="s">
        <v>11</v>
      </c>
      <c r="T1661">
        <v>5</v>
      </c>
    </row>
    <row r="1662" spans="4:20" ht="15.75" customHeight="1" x14ac:dyDescent="0.2">
      <c r="D1662" t="s">
        <v>285</v>
      </c>
      <c r="E1662" t="s">
        <v>420</v>
      </c>
      <c r="F1662">
        <v>10</v>
      </c>
      <c r="P1662" t="s">
        <v>427</v>
      </c>
      <c r="Q1662">
        <v>69</v>
      </c>
      <c r="R1662" t="s">
        <v>253</v>
      </c>
      <c r="S1662" t="s">
        <v>12</v>
      </c>
      <c r="T1662">
        <v>11.6096</v>
      </c>
    </row>
    <row r="1663" spans="4:20" ht="15.75" customHeight="1" x14ac:dyDescent="0.2">
      <c r="D1663" t="s">
        <v>285</v>
      </c>
      <c r="E1663" t="s">
        <v>420</v>
      </c>
      <c r="F1663">
        <v>10</v>
      </c>
      <c r="P1663" t="s">
        <v>427</v>
      </c>
      <c r="Q1663">
        <v>69</v>
      </c>
      <c r="R1663" t="s">
        <v>255</v>
      </c>
      <c r="S1663" t="s">
        <v>15</v>
      </c>
      <c r="T1663">
        <v>1</v>
      </c>
    </row>
    <row r="1664" spans="4:20" ht="15.75" customHeight="1" x14ac:dyDescent="0.2">
      <c r="D1664" t="s">
        <v>285</v>
      </c>
      <c r="E1664" t="s">
        <v>420</v>
      </c>
      <c r="F1664">
        <v>10</v>
      </c>
      <c r="P1664" t="s">
        <v>427</v>
      </c>
      <c r="Q1664">
        <v>69</v>
      </c>
      <c r="R1664" t="s">
        <v>293</v>
      </c>
      <c r="S1664" t="s">
        <v>13</v>
      </c>
      <c r="T1664">
        <v>1</v>
      </c>
    </row>
    <row r="1665" spans="4:20" ht="15.75" customHeight="1" x14ac:dyDescent="0.2">
      <c r="D1665" t="s">
        <v>285</v>
      </c>
      <c r="E1665" t="s">
        <v>420</v>
      </c>
      <c r="F1665">
        <v>10</v>
      </c>
      <c r="P1665" t="s">
        <v>427</v>
      </c>
      <c r="Q1665">
        <v>69</v>
      </c>
      <c r="R1665" t="s">
        <v>294</v>
      </c>
      <c r="S1665" t="s">
        <v>14</v>
      </c>
      <c r="T1665">
        <v>0</v>
      </c>
    </row>
    <row r="1666" spans="4:20" ht="15.75" customHeight="1" x14ac:dyDescent="0.2">
      <c r="D1666" t="s">
        <v>285</v>
      </c>
      <c r="E1666" t="s">
        <v>420</v>
      </c>
      <c r="F1666">
        <v>10</v>
      </c>
      <c r="P1666" t="s">
        <v>427</v>
      </c>
      <c r="Q1666">
        <v>69</v>
      </c>
      <c r="R1666" t="s">
        <v>257</v>
      </c>
      <c r="S1666" t="s">
        <v>16</v>
      </c>
      <c r="T1666">
        <v>92.708200000000005</v>
      </c>
    </row>
    <row r="1667" spans="4:20" ht="15.75" customHeight="1" x14ac:dyDescent="0.2">
      <c r="D1667" t="s">
        <v>285</v>
      </c>
      <c r="E1667" t="s">
        <v>420</v>
      </c>
      <c r="F1667">
        <v>10</v>
      </c>
      <c r="P1667" t="s">
        <v>427</v>
      </c>
      <c r="Q1667">
        <v>69</v>
      </c>
      <c r="R1667" t="s">
        <v>295</v>
      </c>
      <c r="S1667" t="s">
        <v>17</v>
      </c>
      <c r="T1667">
        <v>0</v>
      </c>
    </row>
    <row r="1668" spans="4:20" ht="15.75" customHeight="1" x14ac:dyDescent="0.2">
      <c r="D1668" t="s">
        <v>285</v>
      </c>
      <c r="E1668" t="s">
        <v>420</v>
      </c>
      <c r="F1668">
        <v>10</v>
      </c>
      <c r="P1668" t="s">
        <v>427</v>
      </c>
      <c r="Q1668">
        <v>69</v>
      </c>
      <c r="R1668" t="s">
        <v>296</v>
      </c>
      <c r="S1668" t="s">
        <v>1</v>
      </c>
      <c r="T1668">
        <v>1</v>
      </c>
    </row>
    <row r="1669" spans="4:20" ht="15.75" customHeight="1" x14ac:dyDescent="0.2">
      <c r="D1669" t="s">
        <v>285</v>
      </c>
      <c r="E1669" t="s">
        <v>420</v>
      </c>
      <c r="F1669">
        <v>10</v>
      </c>
      <c r="P1669" t="s">
        <v>427</v>
      </c>
      <c r="Q1669">
        <v>69</v>
      </c>
      <c r="R1669" t="s">
        <v>297</v>
      </c>
      <c r="S1669" t="s">
        <v>18</v>
      </c>
      <c r="T1669">
        <v>2</v>
      </c>
    </row>
    <row r="1670" spans="4:20" ht="15.75" customHeight="1" x14ac:dyDescent="0.2">
      <c r="D1670" t="s">
        <v>285</v>
      </c>
      <c r="E1670" t="s">
        <v>420</v>
      </c>
      <c r="F1670">
        <v>10</v>
      </c>
      <c r="P1670" t="s">
        <v>427</v>
      </c>
      <c r="Q1670">
        <v>69</v>
      </c>
      <c r="R1670" t="s">
        <v>298</v>
      </c>
      <c r="S1670" t="s">
        <v>19</v>
      </c>
      <c r="T1670">
        <v>0</v>
      </c>
    </row>
    <row r="1671" spans="4:20" ht="15.75" customHeight="1" x14ac:dyDescent="0.2">
      <c r="D1671" t="s">
        <v>285</v>
      </c>
      <c r="E1671" t="s">
        <v>420</v>
      </c>
      <c r="F1671">
        <v>10</v>
      </c>
      <c r="P1671" t="s">
        <v>427</v>
      </c>
      <c r="Q1671">
        <v>69</v>
      </c>
      <c r="R1671" t="s">
        <v>299</v>
      </c>
      <c r="S1671" t="s">
        <v>20</v>
      </c>
      <c r="T1671">
        <v>1</v>
      </c>
    </row>
    <row r="1672" spans="4:20" ht="15.75" customHeight="1" x14ac:dyDescent="0.2">
      <c r="D1672" t="s">
        <v>285</v>
      </c>
      <c r="E1672" t="s">
        <v>420</v>
      </c>
      <c r="F1672">
        <v>10</v>
      </c>
      <c r="P1672" t="s">
        <v>428</v>
      </c>
      <c r="Q1672">
        <v>70</v>
      </c>
      <c r="R1672" t="s">
        <v>288</v>
      </c>
      <c r="S1672" t="s">
        <v>2</v>
      </c>
      <c r="T1672">
        <v>0</v>
      </c>
    </row>
    <row r="1673" spans="4:20" ht="15.75" customHeight="1" x14ac:dyDescent="0.2">
      <c r="D1673" t="s">
        <v>285</v>
      </c>
      <c r="E1673" t="s">
        <v>420</v>
      </c>
      <c r="F1673">
        <v>10</v>
      </c>
      <c r="P1673" t="s">
        <v>428</v>
      </c>
      <c r="Q1673">
        <v>70</v>
      </c>
      <c r="R1673" t="s">
        <v>289</v>
      </c>
      <c r="S1673" t="s">
        <v>5</v>
      </c>
      <c r="T1673">
        <v>0</v>
      </c>
    </row>
    <row r="1674" spans="4:20" ht="15.75" customHeight="1" x14ac:dyDescent="0.2">
      <c r="D1674" t="s">
        <v>285</v>
      </c>
      <c r="E1674" t="s">
        <v>420</v>
      </c>
      <c r="F1674">
        <v>10</v>
      </c>
      <c r="P1674" t="s">
        <v>428</v>
      </c>
      <c r="Q1674">
        <v>70</v>
      </c>
      <c r="R1674" t="s">
        <v>290</v>
      </c>
      <c r="S1674" t="s">
        <v>3</v>
      </c>
      <c r="T1674">
        <v>0</v>
      </c>
    </row>
    <row r="1675" spans="4:20" ht="15.75" customHeight="1" x14ac:dyDescent="0.2">
      <c r="D1675" t="s">
        <v>285</v>
      </c>
      <c r="E1675" t="s">
        <v>420</v>
      </c>
      <c r="F1675">
        <v>10</v>
      </c>
      <c r="P1675" t="s">
        <v>428</v>
      </c>
      <c r="Q1675">
        <v>70</v>
      </c>
      <c r="R1675" t="s">
        <v>291</v>
      </c>
      <c r="S1675" t="s">
        <v>4</v>
      </c>
      <c r="T1675">
        <v>0</v>
      </c>
    </row>
    <row r="1676" spans="4:20" ht="15.75" customHeight="1" x14ac:dyDescent="0.2">
      <c r="D1676" t="s">
        <v>285</v>
      </c>
      <c r="E1676" t="s">
        <v>420</v>
      </c>
      <c r="F1676">
        <v>10</v>
      </c>
      <c r="P1676" t="s">
        <v>428</v>
      </c>
      <c r="Q1676">
        <v>70</v>
      </c>
      <c r="R1676" t="s">
        <v>292</v>
      </c>
      <c r="S1676" t="s">
        <v>6</v>
      </c>
      <c r="T1676">
        <v>0</v>
      </c>
    </row>
    <row r="1677" spans="4:20" ht="15.75" customHeight="1" x14ac:dyDescent="0.2">
      <c r="D1677" t="s">
        <v>285</v>
      </c>
      <c r="E1677" t="s">
        <v>420</v>
      </c>
      <c r="F1677">
        <v>10</v>
      </c>
      <c r="P1677" t="s">
        <v>428</v>
      </c>
      <c r="Q1677">
        <v>70</v>
      </c>
      <c r="R1677" t="s">
        <v>243</v>
      </c>
      <c r="S1677" t="s">
        <v>7</v>
      </c>
      <c r="T1677">
        <v>1.5</v>
      </c>
    </row>
    <row r="1678" spans="4:20" ht="15.75" customHeight="1" x14ac:dyDescent="0.2">
      <c r="D1678" t="s">
        <v>285</v>
      </c>
      <c r="E1678" t="s">
        <v>420</v>
      </c>
      <c r="F1678">
        <v>10</v>
      </c>
      <c r="P1678" t="s">
        <v>428</v>
      </c>
      <c r="Q1678">
        <v>70</v>
      </c>
      <c r="R1678" t="s">
        <v>245</v>
      </c>
      <c r="S1678" t="s">
        <v>8</v>
      </c>
      <c r="T1678">
        <v>17.4145</v>
      </c>
    </row>
    <row r="1679" spans="4:20" ht="15.75" customHeight="1" x14ac:dyDescent="0.2">
      <c r="D1679" t="s">
        <v>285</v>
      </c>
      <c r="E1679" t="s">
        <v>420</v>
      </c>
      <c r="F1679">
        <v>10</v>
      </c>
      <c r="P1679" t="s">
        <v>428</v>
      </c>
      <c r="Q1679">
        <v>70</v>
      </c>
      <c r="R1679" t="s">
        <v>247</v>
      </c>
      <c r="S1679" t="s">
        <v>9</v>
      </c>
      <c r="T1679">
        <v>2.2000000000000001E-3</v>
      </c>
    </row>
    <row r="1680" spans="4:20" ht="15.75" customHeight="1" x14ac:dyDescent="0.2">
      <c r="D1680" t="s">
        <v>285</v>
      </c>
      <c r="E1680" t="s">
        <v>420</v>
      </c>
      <c r="F1680">
        <v>10</v>
      </c>
      <c r="P1680" t="s">
        <v>428</v>
      </c>
      <c r="Q1680">
        <v>70</v>
      </c>
      <c r="R1680" t="s">
        <v>249</v>
      </c>
      <c r="S1680" t="s">
        <v>10</v>
      </c>
      <c r="T1680">
        <v>5</v>
      </c>
    </row>
    <row r="1681" spans="4:20" ht="15.75" customHeight="1" x14ac:dyDescent="0.2">
      <c r="D1681" t="s">
        <v>285</v>
      </c>
      <c r="E1681" t="s">
        <v>420</v>
      </c>
      <c r="F1681">
        <v>10</v>
      </c>
      <c r="P1681" t="s">
        <v>428</v>
      </c>
      <c r="Q1681">
        <v>70</v>
      </c>
      <c r="R1681" t="s">
        <v>251</v>
      </c>
      <c r="S1681" t="s">
        <v>11</v>
      </c>
      <c r="T1681">
        <v>5</v>
      </c>
    </row>
    <row r="1682" spans="4:20" ht="15.75" customHeight="1" x14ac:dyDescent="0.2">
      <c r="D1682" t="s">
        <v>285</v>
      </c>
      <c r="E1682" t="s">
        <v>420</v>
      </c>
      <c r="F1682">
        <v>10</v>
      </c>
      <c r="P1682" t="s">
        <v>428</v>
      </c>
      <c r="Q1682">
        <v>70</v>
      </c>
      <c r="R1682" t="s">
        <v>253</v>
      </c>
      <c r="S1682" t="s">
        <v>12</v>
      </c>
      <c r="T1682">
        <v>11.6096</v>
      </c>
    </row>
    <row r="1683" spans="4:20" ht="15.75" customHeight="1" x14ac:dyDescent="0.2">
      <c r="D1683" t="s">
        <v>285</v>
      </c>
      <c r="E1683" t="s">
        <v>420</v>
      </c>
      <c r="F1683">
        <v>10</v>
      </c>
      <c r="P1683" t="s">
        <v>428</v>
      </c>
      <c r="Q1683">
        <v>70</v>
      </c>
      <c r="R1683" t="s">
        <v>255</v>
      </c>
      <c r="S1683" t="s">
        <v>15</v>
      </c>
      <c r="T1683">
        <v>1</v>
      </c>
    </row>
    <row r="1684" spans="4:20" ht="15.75" customHeight="1" x14ac:dyDescent="0.2">
      <c r="D1684" t="s">
        <v>285</v>
      </c>
      <c r="E1684" t="s">
        <v>420</v>
      </c>
      <c r="F1684">
        <v>10</v>
      </c>
      <c r="P1684" t="s">
        <v>428</v>
      </c>
      <c r="Q1684">
        <v>70</v>
      </c>
      <c r="R1684" t="s">
        <v>293</v>
      </c>
      <c r="S1684" t="s">
        <v>13</v>
      </c>
      <c r="T1684">
        <v>1</v>
      </c>
    </row>
    <row r="1685" spans="4:20" ht="15.75" customHeight="1" x14ac:dyDescent="0.2">
      <c r="D1685" t="s">
        <v>285</v>
      </c>
      <c r="E1685" t="s">
        <v>420</v>
      </c>
      <c r="F1685">
        <v>10</v>
      </c>
      <c r="P1685" t="s">
        <v>428</v>
      </c>
      <c r="Q1685">
        <v>70</v>
      </c>
      <c r="R1685" t="s">
        <v>294</v>
      </c>
      <c r="S1685" t="s">
        <v>14</v>
      </c>
      <c r="T1685">
        <v>0</v>
      </c>
    </row>
    <row r="1686" spans="4:20" ht="15.75" customHeight="1" x14ac:dyDescent="0.2">
      <c r="D1686" t="s">
        <v>285</v>
      </c>
      <c r="E1686" t="s">
        <v>420</v>
      </c>
      <c r="F1686">
        <v>10</v>
      </c>
      <c r="P1686" t="s">
        <v>428</v>
      </c>
      <c r="Q1686">
        <v>70</v>
      </c>
      <c r="R1686" t="s">
        <v>257</v>
      </c>
      <c r="S1686" t="s">
        <v>16</v>
      </c>
      <c r="T1686">
        <v>92.708200000000005</v>
      </c>
    </row>
    <row r="1687" spans="4:20" ht="15.75" customHeight="1" x14ac:dyDescent="0.2">
      <c r="D1687" t="s">
        <v>285</v>
      </c>
      <c r="E1687" t="s">
        <v>420</v>
      </c>
      <c r="F1687">
        <v>10</v>
      </c>
      <c r="P1687" t="s">
        <v>428</v>
      </c>
      <c r="Q1687">
        <v>70</v>
      </c>
      <c r="R1687" t="s">
        <v>295</v>
      </c>
      <c r="S1687" t="s">
        <v>17</v>
      </c>
      <c r="T1687">
        <v>0</v>
      </c>
    </row>
    <row r="1688" spans="4:20" ht="15.75" customHeight="1" x14ac:dyDescent="0.2">
      <c r="D1688" t="s">
        <v>285</v>
      </c>
      <c r="E1688" t="s">
        <v>420</v>
      </c>
      <c r="F1688">
        <v>10</v>
      </c>
      <c r="P1688" t="s">
        <v>428</v>
      </c>
      <c r="Q1688">
        <v>70</v>
      </c>
      <c r="R1688" t="s">
        <v>296</v>
      </c>
      <c r="S1688" t="s">
        <v>1</v>
      </c>
      <c r="T1688">
        <v>1</v>
      </c>
    </row>
    <row r="1689" spans="4:20" ht="15.75" customHeight="1" x14ac:dyDescent="0.2">
      <c r="D1689" t="s">
        <v>285</v>
      </c>
      <c r="E1689" t="s">
        <v>420</v>
      </c>
      <c r="F1689">
        <v>10</v>
      </c>
      <c r="P1689" t="s">
        <v>428</v>
      </c>
      <c r="Q1689">
        <v>70</v>
      </c>
      <c r="R1689" t="s">
        <v>297</v>
      </c>
      <c r="S1689" t="s">
        <v>18</v>
      </c>
      <c r="T1689">
        <v>2</v>
      </c>
    </row>
    <row r="1690" spans="4:20" ht="15.75" customHeight="1" x14ac:dyDescent="0.2">
      <c r="D1690" t="s">
        <v>285</v>
      </c>
      <c r="E1690" t="s">
        <v>420</v>
      </c>
      <c r="F1690">
        <v>10</v>
      </c>
      <c r="P1690" t="s">
        <v>428</v>
      </c>
      <c r="Q1690">
        <v>70</v>
      </c>
      <c r="R1690" t="s">
        <v>298</v>
      </c>
      <c r="S1690" t="s">
        <v>19</v>
      </c>
      <c r="T1690">
        <v>0</v>
      </c>
    </row>
    <row r="1691" spans="4:20" ht="15.75" customHeight="1" x14ac:dyDescent="0.2">
      <c r="D1691" t="s">
        <v>285</v>
      </c>
      <c r="E1691" t="s">
        <v>420</v>
      </c>
      <c r="F1691">
        <v>10</v>
      </c>
      <c r="P1691" t="s">
        <v>428</v>
      </c>
      <c r="Q1691">
        <v>70</v>
      </c>
      <c r="R1691" t="s">
        <v>299</v>
      </c>
      <c r="S1691" t="s">
        <v>20</v>
      </c>
      <c r="T1691">
        <v>1</v>
      </c>
    </row>
    <row r="1692" spans="4:20" ht="15.75" customHeight="1" x14ac:dyDescent="0.2">
      <c r="D1692" t="s">
        <v>285</v>
      </c>
      <c r="E1692" t="s">
        <v>420</v>
      </c>
      <c r="F1692">
        <v>10</v>
      </c>
      <c r="P1692" t="s">
        <v>429</v>
      </c>
      <c r="Q1692">
        <v>71</v>
      </c>
      <c r="R1692" t="s">
        <v>288</v>
      </c>
      <c r="S1692" t="s">
        <v>2</v>
      </c>
      <c r="T1692">
        <v>0</v>
      </c>
    </row>
    <row r="1693" spans="4:20" ht="15.75" customHeight="1" x14ac:dyDescent="0.2">
      <c r="D1693" t="s">
        <v>285</v>
      </c>
      <c r="E1693" t="s">
        <v>420</v>
      </c>
      <c r="F1693">
        <v>10</v>
      </c>
      <c r="P1693" t="s">
        <v>429</v>
      </c>
      <c r="Q1693">
        <v>71</v>
      </c>
      <c r="R1693" t="s">
        <v>289</v>
      </c>
      <c r="S1693" t="s">
        <v>5</v>
      </c>
      <c r="T1693">
        <v>0</v>
      </c>
    </row>
    <row r="1694" spans="4:20" ht="15.75" customHeight="1" x14ac:dyDescent="0.2">
      <c r="D1694" t="s">
        <v>285</v>
      </c>
      <c r="E1694" t="s">
        <v>420</v>
      </c>
      <c r="F1694">
        <v>10</v>
      </c>
      <c r="P1694" t="s">
        <v>429</v>
      </c>
      <c r="Q1694">
        <v>71</v>
      </c>
      <c r="R1694" t="s">
        <v>290</v>
      </c>
      <c r="S1694" t="s">
        <v>3</v>
      </c>
      <c r="T1694">
        <v>0</v>
      </c>
    </row>
    <row r="1695" spans="4:20" ht="15.75" customHeight="1" x14ac:dyDescent="0.2">
      <c r="D1695" t="s">
        <v>285</v>
      </c>
      <c r="E1695" t="s">
        <v>420</v>
      </c>
      <c r="F1695">
        <v>10</v>
      </c>
      <c r="P1695" t="s">
        <v>429</v>
      </c>
      <c r="Q1695">
        <v>71</v>
      </c>
      <c r="R1695" t="s">
        <v>291</v>
      </c>
      <c r="S1695" t="s">
        <v>4</v>
      </c>
      <c r="T1695">
        <v>0</v>
      </c>
    </row>
    <row r="1696" spans="4:20" ht="15.75" customHeight="1" x14ac:dyDescent="0.2">
      <c r="D1696" t="s">
        <v>285</v>
      </c>
      <c r="E1696" t="s">
        <v>420</v>
      </c>
      <c r="F1696">
        <v>10</v>
      </c>
      <c r="P1696" t="s">
        <v>429</v>
      </c>
      <c r="Q1696">
        <v>71</v>
      </c>
      <c r="R1696" t="s">
        <v>292</v>
      </c>
      <c r="S1696" t="s">
        <v>6</v>
      </c>
      <c r="T1696">
        <v>0</v>
      </c>
    </row>
    <row r="1697" spans="4:20" ht="15.75" customHeight="1" x14ac:dyDescent="0.2">
      <c r="D1697" t="s">
        <v>285</v>
      </c>
      <c r="E1697" t="s">
        <v>420</v>
      </c>
      <c r="F1697">
        <v>10</v>
      </c>
      <c r="P1697" t="s">
        <v>429</v>
      </c>
      <c r="Q1697">
        <v>71</v>
      </c>
      <c r="R1697" t="s">
        <v>243</v>
      </c>
      <c r="S1697" t="s">
        <v>7</v>
      </c>
      <c r="T1697">
        <v>2</v>
      </c>
    </row>
    <row r="1698" spans="4:20" ht="15.75" customHeight="1" x14ac:dyDescent="0.2">
      <c r="D1698" t="s">
        <v>285</v>
      </c>
      <c r="E1698" t="s">
        <v>420</v>
      </c>
      <c r="F1698">
        <v>10</v>
      </c>
      <c r="P1698" t="s">
        <v>429</v>
      </c>
      <c r="Q1698">
        <v>71</v>
      </c>
      <c r="R1698" t="s">
        <v>245</v>
      </c>
      <c r="S1698" t="s">
        <v>8</v>
      </c>
      <c r="T1698">
        <v>31.019600000000001</v>
      </c>
    </row>
    <row r="1699" spans="4:20" ht="15.75" customHeight="1" x14ac:dyDescent="0.2">
      <c r="D1699" t="s">
        <v>285</v>
      </c>
      <c r="E1699" t="s">
        <v>420</v>
      </c>
      <c r="F1699">
        <v>10</v>
      </c>
      <c r="P1699" t="s">
        <v>429</v>
      </c>
      <c r="Q1699">
        <v>71</v>
      </c>
      <c r="R1699" t="s">
        <v>247</v>
      </c>
      <c r="S1699" t="s">
        <v>9</v>
      </c>
      <c r="T1699">
        <v>3.3E-3</v>
      </c>
    </row>
    <row r="1700" spans="4:20" ht="15.75" customHeight="1" x14ac:dyDescent="0.2">
      <c r="D1700" t="s">
        <v>285</v>
      </c>
      <c r="E1700" t="s">
        <v>420</v>
      </c>
      <c r="F1700">
        <v>10</v>
      </c>
      <c r="P1700" t="s">
        <v>429</v>
      </c>
      <c r="Q1700">
        <v>71</v>
      </c>
      <c r="R1700" t="s">
        <v>249</v>
      </c>
      <c r="S1700" t="s">
        <v>10</v>
      </c>
      <c r="T1700">
        <v>6</v>
      </c>
    </row>
    <row r="1701" spans="4:20" ht="15.75" customHeight="1" x14ac:dyDescent="0.2">
      <c r="D1701" t="s">
        <v>285</v>
      </c>
      <c r="E1701" t="s">
        <v>420</v>
      </c>
      <c r="F1701">
        <v>10</v>
      </c>
      <c r="P1701" t="s">
        <v>429</v>
      </c>
      <c r="Q1701">
        <v>71</v>
      </c>
      <c r="R1701" t="s">
        <v>251</v>
      </c>
      <c r="S1701" t="s">
        <v>11</v>
      </c>
      <c r="T1701">
        <v>6</v>
      </c>
    </row>
    <row r="1702" spans="4:20" ht="15.75" customHeight="1" x14ac:dyDescent="0.2">
      <c r="D1702" t="s">
        <v>285</v>
      </c>
      <c r="E1702" t="s">
        <v>420</v>
      </c>
      <c r="F1702">
        <v>10</v>
      </c>
      <c r="P1702" t="s">
        <v>429</v>
      </c>
      <c r="Q1702">
        <v>71</v>
      </c>
      <c r="R1702" t="s">
        <v>253</v>
      </c>
      <c r="S1702" t="s">
        <v>12</v>
      </c>
      <c r="T1702">
        <v>15.5098</v>
      </c>
    </row>
    <row r="1703" spans="4:20" ht="15.75" customHeight="1" x14ac:dyDescent="0.2">
      <c r="D1703" t="s">
        <v>285</v>
      </c>
      <c r="E1703" t="s">
        <v>420</v>
      </c>
      <c r="F1703">
        <v>10</v>
      </c>
      <c r="P1703" t="s">
        <v>429</v>
      </c>
      <c r="Q1703">
        <v>71</v>
      </c>
      <c r="R1703" t="s">
        <v>255</v>
      </c>
      <c r="S1703" t="s">
        <v>15</v>
      </c>
      <c r="T1703">
        <v>1</v>
      </c>
    </row>
    <row r="1704" spans="4:20" ht="15.75" customHeight="1" x14ac:dyDescent="0.2">
      <c r="D1704" t="s">
        <v>285</v>
      </c>
      <c r="E1704" t="s">
        <v>420</v>
      </c>
      <c r="F1704">
        <v>10</v>
      </c>
      <c r="P1704" t="s">
        <v>429</v>
      </c>
      <c r="Q1704">
        <v>71</v>
      </c>
      <c r="R1704" t="s">
        <v>293</v>
      </c>
      <c r="S1704" t="s">
        <v>13</v>
      </c>
      <c r="T1704">
        <v>1</v>
      </c>
    </row>
    <row r="1705" spans="4:20" ht="15.75" customHeight="1" x14ac:dyDescent="0.2">
      <c r="D1705" t="s">
        <v>285</v>
      </c>
      <c r="E1705" t="s">
        <v>420</v>
      </c>
      <c r="F1705">
        <v>10</v>
      </c>
      <c r="P1705" t="s">
        <v>429</v>
      </c>
      <c r="Q1705">
        <v>71</v>
      </c>
      <c r="R1705" t="s">
        <v>294</v>
      </c>
      <c r="S1705" t="s">
        <v>14</v>
      </c>
      <c r="T1705">
        <v>0</v>
      </c>
    </row>
    <row r="1706" spans="4:20" ht="15.75" customHeight="1" x14ac:dyDescent="0.2">
      <c r="D1706" t="s">
        <v>285</v>
      </c>
      <c r="E1706" t="s">
        <v>420</v>
      </c>
      <c r="F1706">
        <v>10</v>
      </c>
      <c r="P1706" t="s">
        <v>429</v>
      </c>
      <c r="Q1706">
        <v>71</v>
      </c>
      <c r="R1706" t="s">
        <v>257</v>
      </c>
      <c r="S1706" t="s">
        <v>16</v>
      </c>
      <c r="T1706">
        <v>91.765000000000001</v>
      </c>
    </row>
    <row r="1707" spans="4:20" ht="15.75" customHeight="1" x14ac:dyDescent="0.2">
      <c r="D1707" t="s">
        <v>285</v>
      </c>
      <c r="E1707" t="s">
        <v>420</v>
      </c>
      <c r="F1707">
        <v>10</v>
      </c>
      <c r="P1707" t="s">
        <v>429</v>
      </c>
      <c r="Q1707">
        <v>71</v>
      </c>
      <c r="R1707" t="s">
        <v>295</v>
      </c>
      <c r="S1707" t="s">
        <v>17</v>
      </c>
      <c r="T1707">
        <v>0</v>
      </c>
    </row>
    <row r="1708" spans="4:20" ht="15.75" customHeight="1" x14ac:dyDescent="0.2">
      <c r="D1708" t="s">
        <v>285</v>
      </c>
      <c r="E1708" t="s">
        <v>420</v>
      </c>
      <c r="F1708">
        <v>10</v>
      </c>
      <c r="P1708" t="s">
        <v>429</v>
      </c>
      <c r="Q1708">
        <v>71</v>
      </c>
      <c r="R1708" t="s">
        <v>296</v>
      </c>
      <c r="S1708" t="s">
        <v>1</v>
      </c>
      <c r="T1708">
        <v>1</v>
      </c>
    </row>
    <row r="1709" spans="4:20" ht="15.75" customHeight="1" x14ac:dyDescent="0.2">
      <c r="D1709" t="s">
        <v>285</v>
      </c>
      <c r="E1709" t="s">
        <v>420</v>
      </c>
      <c r="F1709">
        <v>10</v>
      </c>
      <c r="P1709" t="s">
        <v>429</v>
      </c>
      <c r="Q1709">
        <v>71</v>
      </c>
      <c r="R1709" t="s">
        <v>297</v>
      </c>
      <c r="S1709" t="s">
        <v>18</v>
      </c>
      <c r="T1709">
        <v>2</v>
      </c>
    </row>
    <row r="1710" spans="4:20" ht="15.75" customHeight="1" x14ac:dyDescent="0.2">
      <c r="D1710" t="s">
        <v>285</v>
      </c>
      <c r="E1710" t="s">
        <v>420</v>
      </c>
      <c r="F1710">
        <v>10</v>
      </c>
      <c r="P1710" t="s">
        <v>429</v>
      </c>
      <c r="Q1710">
        <v>71</v>
      </c>
      <c r="R1710" t="s">
        <v>298</v>
      </c>
      <c r="S1710" t="s">
        <v>19</v>
      </c>
      <c r="T1710">
        <v>0</v>
      </c>
    </row>
    <row r="1711" spans="4:20" ht="15.75" customHeight="1" x14ac:dyDescent="0.2">
      <c r="D1711" t="s">
        <v>285</v>
      </c>
      <c r="E1711" t="s">
        <v>420</v>
      </c>
      <c r="F1711">
        <v>10</v>
      </c>
      <c r="P1711" t="s">
        <v>429</v>
      </c>
      <c r="Q1711">
        <v>71</v>
      </c>
      <c r="R1711" t="s">
        <v>299</v>
      </c>
      <c r="S1711" t="s">
        <v>20</v>
      </c>
      <c r="T1711">
        <v>1</v>
      </c>
    </row>
    <row r="1712" spans="4:20" ht="15.75" customHeight="1" x14ac:dyDescent="0.2">
      <c r="D1712" t="s">
        <v>285</v>
      </c>
      <c r="E1712" t="s">
        <v>420</v>
      </c>
      <c r="F1712">
        <v>10</v>
      </c>
      <c r="P1712" t="s">
        <v>430</v>
      </c>
      <c r="Q1712">
        <v>72</v>
      </c>
      <c r="R1712" t="s">
        <v>288</v>
      </c>
      <c r="S1712" t="s">
        <v>2</v>
      </c>
      <c r="T1712">
        <v>0</v>
      </c>
    </row>
    <row r="1713" spans="4:20" ht="15.75" customHeight="1" x14ac:dyDescent="0.2">
      <c r="D1713" t="s">
        <v>285</v>
      </c>
      <c r="E1713" t="s">
        <v>420</v>
      </c>
      <c r="F1713">
        <v>10</v>
      </c>
      <c r="P1713" t="s">
        <v>430</v>
      </c>
      <c r="Q1713">
        <v>72</v>
      </c>
      <c r="R1713" t="s">
        <v>289</v>
      </c>
      <c r="S1713" t="s">
        <v>5</v>
      </c>
      <c r="T1713">
        <v>0</v>
      </c>
    </row>
    <row r="1714" spans="4:20" ht="15.75" customHeight="1" x14ac:dyDescent="0.2">
      <c r="D1714" t="s">
        <v>285</v>
      </c>
      <c r="E1714" t="s">
        <v>420</v>
      </c>
      <c r="F1714">
        <v>10</v>
      </c>
      <c r="P1714" t="s">
        <v>430</v>
      </c>
      <c r="Q1714">
        <v>72</v>
      </c>
      <c r="R1714" t="s">
        <v>290</v>
      </c>
      <c r="S1714" t="s">
        <v>3</v>
      </c>
      <c r="T1714">
        <v>0</v>
      </c>
    </row>
    <row r="1715" spans="4:20" ht="15.75" customHeight="1" x14ac:dyDescent="0.2">
      <c r="D1715" t="s">
        <v>285</v>
      </c>
      <c r="E1715" t="s">
        <v>420</v>
      </c>
      <c r="F1715">
        <v>10</v>
      </c>
      <c r="P1715" t="s">
        <v>430</v>
      </c>
      <c r="Q1715">
        <v>72</v>
      </c>
      <c r="R1715" t="s">
        <v>291</v>
      </c>
      <c r="S1715" t="s">
        <v>4</v>
      </c>
      <c r="T1715">
        <v>0</v>
      </c>
    </row>
    <row r="1716" spans="4:20" ht="15.75" customHeight="1" x14ac:dyDescent="0.2">
      <c r="D1716" t="s">
        <v>285</v>
      </c>
      <c r="E1716" t="s">
        <v>420</v>
      </c>
      <c r="F1716">
        <v>10</v>
      </c>
      <c r="P1716" t="s">
        <v>430</v>
      </c>
      <c r="Q1716">
        <v>72</v>
      </c>
      <c r="R1716" t="s">
        <v>292</v>
      </c>
      <c r="S1716" t="s">
        <v>6</v>
      </c>
      <c r="T1716">
        <v>0</v>
      </c>
    </row>
    <row r="1717" spans="4:20" ht="15.75" customHeight="1" x14ac:dyDescent="0.2">
      <c r="D1717" t="s">
        <v>285</v>
      </c>
      <c r="E1717" t="s">
        <v>420</v>
      </c>
      <c r="F1717">
        <v>10</v>
      </c>
      <c r="P1717" t="s">
        <v>430</v>
      </c>
      <c r="Q1717">
        <v>72</v>
      </c>
      <c r="R1717" t="s">
        <v>243</v>
      </c>
      <c r="S1717" t="s">
        <v>7</v>
      </c>
      <c r="T1717">
        <v>2</v>
      </c>
    </row>
    <row r="1718" spans="4:20" ht="15.75" customHeight="1" x14ac:dyDescent="0.2">
      <c r="D1718" t="s">
        <v>285</v>
      </c>
      <c r="E1718" t="s">
        <v>420</v>
      </c>
      <c r="F1718">
        <v>10</v>
      </c>
      <c r="P1718" t="s">
        <v>430</v>
      </c>
      <c r="Q1718">
        <v>72</v>
      </c>
      <c r="R1718" t="s">
        <v>245</v>
      </c>
      <c r="S1718" t="s">
        <v>8</v>
      </c>
      <c r="T1718">
        <v>31.019600000000001</v>
      </c>
    </row>
    <row r="1719" spans="4:20" ht="15.75" customHeight="1" x14ac:dyDescent="0.2">
      <c r="D1719" t="s">
        <v>285</v>
      </c>
      <c r="E1719" t="s">
        <v>420</v>
      </c>
      <c r="F1719">
        <v>10</v>
      </c>
      <c r="P1719" t="s">
        <v>430</v>
      </c>
      <c r="Q1719">
        <v>72</v>
      </c>
      <c r="R1719" t="s">
        <v>247</v>
      </c>
      <c r="S1719" t="s">
        <v>9</v>
      </c>
      <c r="T1719">
        <v>3.3E-3</v>
      </c>
    </row>
    <row r="1720" spans="4:20" ht="15.75" customHeight="1" x14ac:dyDescent="0.2">
      <c r="D1720" t="s">
        <v>285</v>
      </c>
      <c r="E1720" t="s">
        <v>420</v>
      </c>
      <c r="F1720">
        <v>10</v>
      </c>
      <c r="P1720" t="s">
        <v>430</v>
      </c>
      <c r="Q1720">
        <v>72</v>
      </c>
      <c r="R1720" t="s">
        <v>249</v>
      </c>
      <c r="S1720" t="s">
        <v>10</v>
      </c>
      <c r="T1720">
        <v>6</v>
      </c>
    </row>
    <row r="1721" spans="4:20" ht="15.75" customHeight="1" x14ac:dyDescent="0.2">
      <c r="D1721" t="s">
        <v>285</v>
      </c>
      <c r="E1721" t="s">
        <v>420</v>
      </c>
      <c r="F1721">
        <v>10</v>
      </c>
      <c r="P1721" t="s">
        <v>430</v>
      </c>
      <c r="Q1721">
        <v>72</v>
      </c>
      <c r="R1721" t="s">
        <v>251</v>
      </c>
      <c r="S1721" t="s">
        <v>11</v>
      </c>
      <c r="T1721">
        <v>6</v>
      </c>
    </row>
    <row r="1722" spans="4:20" ht="15.75" customHeight="1" x14ac:dyDescent="0.2">
      <c r="D1722" t="s">
        <v>285</v>
      </c>
      <c r="E1722" t="s">
        <v>420</v>
      </c>
      <c r="F1722">
        <v>10</v>
      </c>
      <c r="P1722" t="s">
        <v>430</v>
      </c>
      <c r="Q1722">
        <v>72</v>
      </c>
      <c r="R1722" t="s">
        <v>253</v>
      </c>
      <c r="S1722" t="s">
        <v>12</v>
      </c>
      <c r="T1722">
        <v>15.5098</v>
      </c>
    </row>
    <row r="1723" spans="4:20" ht="15.75" customHeight="1" x14ac:dyDescent="0.2">
      <c r="D1723" t="s">
        <v>285</v>
      </c>
      <c r="E1723" t="s">
        <v>420</v>
      </c>
      <c r="F1723">
        <v>10</v>
      </c>
      <c r="P1723" t="s">
        <v>430</v>
      </c>
      <c r="Q1723">
        <v>72</v>
      </c>
      <c r="R1723" t="s">
        <v>255</v>
      </c>
      <c r="S1723" t="s">
        <v>15</v>
      </c>
      <c r="T1723">
        <v>1</v>
      </c>
    </row>
    <row r="1724" spans="4:20" ht="15.75" customHeight="1" x14ac:dyDescent="0.2">
      <c r="D1724" t="s">
        <v>285</v>
      </c>
      <c r="E1724" t="s">
        <v>420</v>
      </c>
      <c r="F1724">
        <v>10</v>
      </c>
      <c r="P1724" t="s">
        <v>430</v>
      </c>
      <c r="Q1724">
        <v>72</v>
      </c>
      <c r="R1724" t="s">
        <v>293</v>
      </c>
      <c r="S1724" t="s">
        <v>13</v>
      </c>
      <c r="T1724">
        <v>1</v>
      </c>
    </row>
    <row r="1725" spans="4:20" ht="15.75" customHeight="1" x14ac:dyDescent="0.2">
      <c r="D1725" t="s">
        <v>285</v>
      </c>
      <c r="E1725" t="s">
        <v>420</v>
      </c>
      <c r="F1725">
        <v>10</v>
      </c>
      <c r="P1725" t="s">
        <v>430</v>
      </c>
      <c r="Q1725">
        <v>72</v>
      </c>
      <c r="R1725" t="s">
        <v>294</v>
      </c>
      <c r="S1725" t="s">
        <v>14</v>
      </c>
      <c r="T1725">
        <v>0</v>
      </c>
    </row>
    <row r="1726" spans="4:20" ht="15.75" customHeight="1" x14ac:dyDescent="0.2">
      <c r="D1726" t="s">
        <v>285</v>
      </c>
      <c r="E1726" t="s">
        <v>420</v>
      </c>
      <c r="F1726">
        <v>10</v>
      </c>
      <c r="P1726" t="s">
        <v>430</v>
      </c>
      <c r="Q1726">
        <v>72</v>
      </c>
      <c r="R1726" t="s">
        <v>257</v>
      </c>
      <c r="S1726" t="s">
        <v>16</v>
      </c>
      <c r="T1726">
        <v>91.765000000000001</v>
      </c>
    </row>
    <row r="1727" spans="4:20" ht="15.75" customHeight="1" x14ac:dyDescent="0.2">
      <c r="D1727" t="s">
        <v>285</v>
      </c>
      <c r="E1727" t="s">
        <v>420</v>
      </c>
      <c r="F1727">
        <v>10</v>
      </c>
      <c r="P1727" t="s">
        <v>430</v>
      </c>
      <c r="Q1727">
        <v>72</v>
      </c>
      <c r="R1727" t="s">
        <v>295</v>
      </c>
      <c r="S1727" t="s">
        <v>17</v>
      </c>
      <c r="T1727">
        <v>0</v>
      </c>
    </row>
    <row r="1728" spans="4:20" ht="15.75" customHeight="1" x14ac:dyDescent="0.2">
      <c r="D1728" t="s">
        <v>285</v>
      </c>
      <c r="E1728" t="s">
        <v>420</v>
      </c>
      <c r="F1728">
        <v>10</v>
      </c>
      <c r="P1728" t="s">
        <v>430</v>
      </c>
      <c r="Q1728">
        <v>72</v>
      </c>
      <c r="R1728" t="s">
        <v>296</v>
      </c>
      <c r="S1728" t="s">
        <v>1</v>
      </c>
      <c r="T1728">
        <v>1</v>
      </c>
    </row>
    <row r="1729" spans="4:23" ht="15.75" customHeight="1" x14ac:dyDescent="0.2">
      <c r="D1729" t="s">
        <v>285</v>
      </c>
      <c r="E1729" t="s">
        <v>420</v>
      </c>
      <c r="F1729">
        <v>10</v>
      </c>
      <c r="P1729" t="s">
        <v>430</v>
      </c>
      <c r="Q1729">
        <v>72</v>
      </c>
      <c r="R1729" t="s">
        <v>297</v>
      </c>
      <c r="S1729" t="s">
        <v>18</v>
      </c>
      <c r="T1729">
        <v>2</v>
      </c>
    </row>
    <row r="1730" spans="4:23" ht="15.75" customHeight="1" x14ac:dyDescent="0.2">
      <c r="D1730" t="s">
        <v>285</v>
      </c>
      <c r="E1730" t="s">
        <v>420</v>
      </c>
      <c r="F1730">
        <v>10</v>
      </c>
      <c r="P1730" t="s">
        <v>430</v>
      </c>
      <c r="Q1730">
        <v>72</v>
      </c>
      <c r="R1730" t="s">
        <v>298</v>
      </c>
      <c r="S1730" t="s">
        <v>19</v>
      </c>
      <c r="T1730">
        <v>0</v>
      </c>
    </row>
    <row r="1731" spans="4:23" ht="15.75" customHeight="1" x14ac:dyDescent="0.2">
      <c r="D1731" t="s">
        <v>285</v>
      </c>
      <c r="E1731" t="s">
        <v>420</v>
      </c>
      <c r="F1731">
        <v>10</v>
      </c>
      <c r="P1731" t="s">
        <v>430</v>
      </c>
      <c r="Q1731">
        <v>72</v>
      </c>
      <c r="R1731" t="s">
        <v>299</v>
      </c>
      <c r="S1731" t="s">
        <v>20</v>
      </c>
      <c r="T1731">
        <v>1</v>
      </c>
    </row>
    <row r="1732" spans="4:23" ht="15.75" customHeight="1" x14ac:dyDescent="0.2">
      <c r="D1732" t="s">
        <v>285</v>
      </c>
      <c r="E1732" t="s">
        <v>420</v>
      </c>
      <c r="F1732">
        <v>10</v>
      </c>
      <c r="U1732" t="s">
        <v>300</v>
      </c>
      <c r="V1732" t="s">
        <v>301</v>
      </c>
      <c r="W1732">
        <v>0</v>
      </c>
    </row>
    <row r="1733" spans="4:23" ht="15.75" customHeight="1" x14ac:dyDescent="0.2">
      <c r="D1733" t="s">
        <v>285</v>
      </c>
      <c r="E1733" t="s">
        <v>420</v>
      </c>
      <c r="F1733">
        <v>10</v>
      </c>
      <c r="U1733" t="s">
        <v>288</v>
      </c>
      <c r="V1733" t="s">
        <v>302</v>
      </c>
      <c r="W1733">
        <v>0</v>
      </c>
    </row>
    <row r="1734" spans="4:23" ht="15.75" customHeight="1" x14ac:dyDescent="0.2">
      <c r="D1734" t="s">
        <v>285</v>
      </c>
      <c r="E1734" t="s">
        <v>420</v>
      </c>
      <c r="F1734">
        <v>10</v>
      </c>
      <c r="U1734" t="s">
        <v>303</v>
      </c>
      <c r="V1734" t="s">
        <v>304</v>
      </c>
      <c r="W1734">
        <v>4</v>
      </c>
    </row>
    <row r="1735" spans="4:23" ht="15.75" customHeight="1" x14ac:dyDescent="0.2">
      <c r="D1735" t="s">
        <v>285</v>
      </c>
      <c r="E1735" t="s">
        <v>420</v>
      </c>
      <c r="F1735">
        <v>10</v>
      </c>
      <c r="U1735" t="s">
        <v>305</v>
      </c>
      <c r="V1735" t="s">
        <v>306</v>
      </c>
      <c r="W1735">
        <v>2</v>
      </c>
    </row>
    <row r="1736" spans="4:23" ht="15.75" customHeight="1" x14ac:dyDescent="0.2">
      <c r="D1736" t="s">
        <v>285</v>
      </c>
      <c r="E1736" t="s">
        <v>420</v>
      </c>
      <c r="F1736">
        <v>10</v>
      </c>
      <c r="U1736" t="s">
        <v>307</v>
      </c>
      <c r="V1736" t="s">
        <v>308</v>
      </c>
      <c r="W1736">
        <v>1</v>
      </c>
    </row>
    <row r="1737" spans="4:23" ht="15.75" customHeight="1" x14ac:dyDescent="0.2">
      <c r="D1737" t="s">
        <v>285</v>
      </c>
      <c r="E1737" t="s">
        <v>420</v>
      </c>
      <c r="F1737">
        <v>10</v>
      </c>
      <c r="U1737" t="s">
        <v>243</v>
      </c>
      <c r="V1737" t="s">
        <v>309</v>
      </c>
      <c r="W1737">
        <v>10</v>
      </c>
    </row>
    <row r="1738" spans="4:23" ht="15.75" customHeight="1" x14ac:dyDescent="0.2">
      <c r="D1738" t="s">
        <v>285</v>
      </c>
      <c r="E1738" t="s">
        <v>420</v>
      </c>
      <c r="F1738">
        <v>10</v>
      </c>
      <c r="U1738" t="s">
        <v>245</v>
      </c>
      <c r="V1738" t="s">
        <v>310</v>
      </c>
      <c r="W1738">
        <v>2543.6543000000001</v>
      </c>
    </row>
    <row r="1739" spans="4:23" ht="15.75" customHeight="1" x14ac:dyDescent="0.2">
      <c r="D1739" t="s">
        <v>285</v>
      </c>
      <c r="E1739" t="s">
        <v>420</v>
      </c>
      <c r="F1739">
        <v>10</v>
      </c>
      <c r="U1739" t="s">
        <v>247</v>
      </c>
      <c r="V1739" t="s">
        <v>311</v>
      </c>
      <c r="W1739">
        <v>6.2100000000000002E-2</v>
      </c>
    </row>
    <row r="1740" spans="4:23" ht="15.75" customHeight="1" x14ac:dyDescent="0.2">
      <c r="D1740" t="s">
        <v>285</v>
      </c>
      <c r="E1740" t="s">
        <v>420</v>
      </c>
      <c r="F1740">
        <v>10</v>
      </c>
      <c r="U1740" t="s">
        <v>249</v>
      </c>
      <c r="V1740" t="s">
        <v>312</v>
      </c>
      <c r="W1740">
        <v>61</v>
      </c>
    </row>
    <row r="1741" spans="4:23" ht="15.75" customHeight="1" x14ac:dyDescent="0.2">
      <c r="D1741" t="s">
        <v>285</v>
      </c>
      <c r="E1741" t="s">
        <v>420</v>
      </c>
      <c r="F1741">
        <v>10</v>
      </c>
      <c r="U1741" t="s">
        <v>251</v>
      </c>
      <c r="V1741" t="s">
        <v>313</v>
      </c>
      <c r="W1741">
        <v>18</v>
      </c>
    </row>
    <row r="1742" spans="4:23" ht="15.75" customHeight="1" x14ac:dyDescent="0.2">
      <c r="D1742" t="s">
        <v>285</v>
      </c>
      <c r="E1742" t="s">
        <v>420</v>
      </c>
      <c r="F1742">
        <v>10</v>
      </c>
      <c r="U1742" t="s">
        <v>253</v>
      </c>
      <c r="V1742" t="s">
        <v>314</v>
      </c>
      <c r="W1742">
        <v>254.36539999999999</v>
      </c>
    </row>
    <row r="1743" spans="4:23" ht="15.75" customHeight="1" x14ac:dyDescent="0.2">
      <c r="D1743" t="s">
        <v>285</v>
      </c>
      <c r="E1743" t="s">
        <v>420</v>
      </c>
      <c r="F1743">
        <v>10</v>
      </c>
      <c r="U1743" t="s">
        <v>315</v>
      </c>
      <c r="V1743" t="s">
        <v>316</v>
      </c>
      <c r="W1743">
        <v>4</v>
      </c>
    </row>
    <row r="1744" spans="4:23" ht="15.75" customHeight="1" x14ac:dyDescent="0.2">
      <c r="D1744" t="s">
        <v>285</v>
      </c>
      <c r="E1744" t="s">
        <v>420</v>
      </c>
      <c r="F1744">
        <v>10</v>
      </c>
      <c r="U1744" t="s">
        <v>317</v>
      </c>
      <c r="V1744" t="s">
        <v>318</v>
      </c>
      <c r="W1744">
        <v>24</v>
      </c>
    </row>
    <row r="1745" spans="4:23" ht="15.75" customHeight="1" x14ac:dyDescent="0.2">
      <c r="D1745" t="s">
        <v>285</v>
      </c>
      <c r="E1745" t="s">
        <v>420</v>
      </c>
      <c r="F1745">
        <v>10</v>
      </c>
      <c r="U1745" t="s">
        <v>257</v>
      </c>
      <c r="V1745" t="s">
        <v>319</v>
      </c>
      <c r="W1745">
        <v>52.743699999999997</v>
      </c>
    </row>
    <row r="1746" spans="4:23" ht="15.75" customHeight="1" x14ac:dyDescent="0.2">
      <c r="D1746" t="s">
        <v>285</v>
      </c>
      <c r="E1746" t="s">
        <v>420</v>
      </c>
      <c r="F1746">
        <v>10</v>
      </c>
      <c r="U1746" t="s">
        <v>320</v>
      </c>
      <c r="V1746" t="s">
        <v>321</v>
      </c>
      <c r="W1746">
        <v>1</v>
      </c>
    </row>
    <row r="1747" spans="4:23" ht="15.75" customHeight="1" x14ac:dyDescent="0.2">
      <c r="D1747" t="s">
        <v>285</v>
      </c>
      <c r="E1747" t="s">
        <v>420</v>
      </c>
      <c r="F1747">
        <v>10</v>
      </c>
      <c r="U1747" t="s">
        <v>263</v>
      </c>
      <c r="V1747" t="s">
        <v>322</v>
      </c>
      <c r="W1747">
        <v>27</v>
      </c>
    </row>
    <row r="1748" spans="4:23" ht="15.75" customHeight="1" x14ac:dyDescent="0.2">
      <c r="D1748" t="s">
        <v>285</v>
      </c>
      <c r="E1748" t="s">
        <v>420</v>
      </c>
      <c r="F1748">
        <v>10</v>
      </c>
      <c r="U1748" t="s">
        <v>323</v>
      </c>
      <c r="V1748" t="s">
        <v>324</v>
      </c>
      <c r="W1748">
        <v>8</v>
      </c>
    </row>
    <row r="1749" spans="4:23" ht="15.75" customHeight="1" x14ac:dyDescent="0.2">
      <c r="D1749" t="s">
        <v>285</v>
      </c>
      <c r="E1749" t="s">
        <v>420</v>
      </c>
      <c r="F1749">
        <v>10</v>
      </c>
      <c r="U1749" t="s">
        <v>325</v>
      </c>
      <c r="V1749" t="s">
        <v>326</v>
      </c>
      <c r="W1749">
        <v>8</v>
      </c>
    </row>
    <row r="1750" spans="4:23" ht="15.75" customHeight="1" x14ac:dyDescent="0.2">
      <c r="D1750" t="s">
        <v>285</v>
      </c>
      <c r="E1750" t="s">
        <v>420</v>
      </c>
      <c r="F1750">
        <v>10</v>
      </c>
      <c r="U1750" t="s">
        <v>327</v>
      </c>
      <c r="V1750" t="s">
        <v>328</v>
      </c>
      <c r="W1750">
        <v>4</v>
      </c>
    </row>
    <row r="1751" spans="4:23" ht="15.75" customHeight="1" x14ac:dyDescent="0.2">
      <c r="D1751" t="s">
        <v>285</v>
      </c>
      <c r="E1751" t="s">
        <v>420</v>
      </c>
      <c r="F1751">
        <v>10</v>
      </c>
      <c r="U1751" t="s">
        <v>329</v>
      </c>
      <c r="V1751" t="s">
        <v>330</v>
      </c>
      <c r="W1751">
        <v>27</v>
      </c>
    </row>
    <row r="1752" spans="4:23" ht="15.75" customHeight="1" x14ac:dyDescent="0.2">
      <c r="D1752" t="s">
        <v>285</v>
      </c>
      <c r="E1752" t="s">
        <v>420</v>
      </c>
      <c r="F1752">
        <v>10</v>
      </c>
      <c r="U1752" t="s">
        <v>331</v>
      </c>
      <c r="V1752" t="s">
        <v>332</v>
      </c>
      <c r="W1752">
        <v>0</v>
      </c>
    </row>
    <row r="1753" spans="4:23" ht="15.75" customHeight="1" x14ac:dyDescent="0.2">
      <c r="D1753" t="s">
        <v>285</v>
      </c>
      <c r="E1753" t="s">
        <v>420</v>
      </c>
      <c r="F1753">
        <v>10</v>
      </c>
      <c r="U1753" t="s">
        <v>333</v>
      </c>
      <c r="V1753" t="s">
        <v>334</v>
      </c>
      <c r="W1753">
        <v>10</v>
      </c>
    </row>
    <row r="1754" spans="4:23" ht="15.75" customHeight="1" x14ac:dyDescent="0.2">
      <c r="D1754" t="s">
        <v>285</v>
      </c>
      <c r="E1754" t="s">
        <v>420</v>
      </c>
      <c r="F1754">
        <v>10</v>
      </c>
      <c r="U1754" t="s">
        <v>335</v>
      </c>
      <c r="V1754" t="s">
        <v>336</v>
      </c>
      <c r="W1754">
        <v>23</v>
      </c>
    </row>
    <row r="1755" spans="4:23" ht="15.75" customHeight="1" x14ac:dyDescent="0.2">
      <c r="D1755" t="s">
        <v>285</v>
      </c>
      <c r="E1755" t="s">
        <v>420</v>
      </c>
      <c r="F1755">
        <v>10</v>
      </c>
      <c r="U1755" t="s">
        <v>337</v>
      </c>
      <c r="V1755" t="s">
        <v>338</v>
      </c>
      <c r="W1755">
        <v>0</v>
      </c>
    </row>
    <row r="1756" spans="4:23" ht="15.75" customHeight="1" x14ac:dyDescent="0.2">
      <c r="D1756" t="s">
        <v>285</v>
      </c>
      <c r="E1756" t="s">
        <v>420</v>
      </c>
      <c r="F1756">
        <v>10</v>
      </c>
      <c r="U1756" t="s">
        <v>339</v>
      </c>
      <c r="V1756" t="s">
        <v>340</v>
      </c>
      <c r="W1756">
        <v>0</v>
      </c>
    </row>
    <row r="1757" spans="4:23" ht="15.75" customHeight="1" x14ac:dyDescent="0.2">
      <c r="D1757" t="s">
        <v>285</v>
      </c>
      <c r="E1757" t="s">
        <v>420</v>
      </c>
      <c r="F1757">
        <v>10</v>
      </c>
      <c r="U1757" t="s">
        <v>341</v>
      </c>
      <c r="V1757" t="s">
        <v>342</v>
      </c>
      <c r="W1757">
        <v>11</v>
      </c>
    </row>
    <row r="1758" spans="4:23" ht="15.75" customHeight="1" x14ac:dyDescent="0.2">
      <c r="D1758" t="s">
        <v>285</v>
      </c>
      <c r="E1758" t="s">
        <v>420</v>
      </c>
      <c r="F1758">
        <v>10</v>
      </c>
      <c r="U1758" t="s">
        <v>343</v>
      </c>
      <c r="V1758" t="s">
        <v>344</v>
      </c>
      <c r="W1758">
        <v>0.1429</v>
      </c>
    </row>
    <row r="1759" spans="4:23" ht="15.75" customHeight="1" x14ac:dyDescent="0.2">
      <c r="D1759" t="s">
        <v>285</v>
      </c>
      <c r="E1759" t="s">
        <v>420</v>
      </c>
      <c r="F1759">
        <v>10</v>
      </c>
      <c r="U1759" t="s">
        <v>345</v>
      </c>
      <c r="V1759" t="s">
        <v>346</v>
      </c>
      <c r="W1759">
        <v>0</v>
      </c>
    </row>
    <row r="1760" spans="4:23" ht="15.75" customHeight="1" x14ac:dyDescent="0.2">
      <c r="D1760" t="s">
        <v>285</v>
      </c>
      <c r="E1760" t="s">
        <v>420</v>
      </c>
      <c r="F1760">
        <v>10</v>
      </c>
      <c r="U1760" t="s">
        <v>347</v>
      </c>
      <c r="V1760" t="s">
        <v>348</v>
      </c>
      <c r="W1760">
        <v>10</v>
      </c>
    </row>
    <row r="1761" spans="4:20" ht="15.75" customHeight="1" x14ac:dyDescent="0.2">
      <c r="D1761" t="s">
        <v>285</v>
      </c>
      <c r="E1761" t="s">
        <v>431</v>
      </c>
      <c r="F1761">
        <v>11</v>
      </c>
      <c r="P1761" t="s">
        <v>370</v>
      </c>
      <c r="Q1761">
        <v>73</v>
      </c>
      <c r="R1761" t="s">
        <v>288</v>
      </c>
      <c r="S1761" t="s">
        <v>2</v>
      </c>
      <c r="T1761">
        <v>0</v>
      </c>
    </row>
    <row r="1762" spans="4:20" ht="15.75" customHeight="1" x14ac:dyDescent="0.2">
      <c r="D1762" t="s">
        <v>285</v>
      </c>
      <c r="E1762" t="s">
        <v>431</v>
      </c>
      <c r="F1762">
        <v>11</v>
      </c>
      <c r="P1762" t="s">
        <v>370</v>
      </c>
      <c r="Q1762">
        <v>73</v>
      </c>
      <c r="R1762" t="s">
        <v>289</v>
      </c>
      <c r="S1762" t="s">
        <v>5</v>
      </c>
      <c r="T1762">
        <v>0</v>
      </c>
    </row>
    <row r="1763" spans="4:20" ht="15.75" customHeight="1" x14ac:dyDescent="0.2">
      <c r="D1763" t="s">
        <v>285</v>
      </c>
      <c r="E1763" t="s">
        <v>431</v>
      </c>
      <c r="F1763">
        <v>11</v>
      </c>
      <c r="P1763" t="s">
        <v>370</v>
      </c>
      <c r="Q1763">
        <v>73</v>
      </c>
      <c r="R1763" t="s">
        <v>290</v>
      </c>
      <c r="S1763" t="s">
        <v>3</v>
      </c>
      <c r="T1763">
        <v>0</v>
      </c>
    </row>
    <row r="1764" spans="4:20" ht="15.75" customHeight="1" x14ac:dyDescent="0.2">
      <c r="D1764" t="s">
        <v>285</v>
      </c>
      <c r="E1764" t="s">
        <v>431</v>
      </c>
      <c r="F1764">
        <v>11</v>
      </c>
      <c r="P1764" t="s">
        <v>370</v>
      </c>
      <c r="Q1764">
        <v>73</v>
      </c>
      <c r="R1764" t="s">
        <v>291</v>
      </c>
      <c r="S1764" t="s">
        <v>4</v>
      </c>
      <c r="T1764">
        <v>0</v>
      </c>
    </row>
    <row r="1765" spans="4:20" ht="15.75" customHeight="1" x14ac:dyDescent="0.2">
      <c r="D1765" t="s">
        <v>285</v>
      </c>
      <c r="E1765" t="s">
        <v>431</v>
      </c>
      <c r="F1765">
        <v>11</v>
      </c>
      <c r="P1765" t="s">
        <v>370</v>
      </c>
      <c r="Q1765">
        <v>73</v>
      </c>
      <c r="R1765" t="s">
        <v>292</v>
      </c>
      <c r="S1765" t="s">
        <v>6</v>
      </c>
      <c r="T1765">
        <v>0</v>
      </c>
    </row>
    <row r="1766" spans="4:20" ht="15.75" customHeight="1" x14ac:dyDescent="0.2">
      <c r="D1766" t="s">
        <v>285</v>
      </c>
      <c r="E1766" t="s">
        <v>431</v>
      </c>
      <c r="F1766">
        <v>11</v>
      </c>
      <c r="P1766" t="s">
        <v>370</v>
      </c>
      <c r="Q1766">
        <v>73</v>
      </c>
      <c r="R1766" t="s">
        <v>243</v>
      </c>
      <c r="S1766" t="s">
        <v>7</v>
      </c>
      <c r="T1766">
        <v>0</v>
      </c>
    </row>
    <row r="1767" spans="4:20" ht="15.75" customHeight="1" x14ac:dyDescent="0.2">
      <c r="D1767" t="s">
        <v>285</v>
      </c>
      <c r="E1767" t="s">
        <v>431</v>
      </c>
      <c r="F1767">
        <v>11</v>
      </c>
      <c r="P1767" t="s">
        <v>370</v>
      </c>
      <c r="Q1767">
        <v>73</v>
      </c>
      <c r="R1767" t="s">
        <v>245</v>
      </c>
      <c r="S1767" t="s">
        <v>8</v>
      </c>
      <c r="T1767">
        <v>0</v>
      </c>
    </row>
    <row r="1768" spans="4:20" ht="15.75" customHeight="1" x14ac:dyDescent="0.2">
      <c r="D1768" t="s">
        <v>285</v>
      </c>
      <c r="E1768" t="s">
        <v>431</v>
      </c>
      <c r="F1768">
        <v>11</v>
      </c>
      <c r="P1768" t="s">
        <v>370</v>
      </c>
      <c r="Q1768">
        <v>73</v>
      </c>
      <c r="R1768" t="s">
        <v>247</v>
      </c>
      <c r="S1768" t="s">
        <v>9</v>
      </c>
      <c r="T1768">
        <v>0</v>
      </c>
    </row>
    <row r="1769" spans="4:20" ht="15.75" customHeight="1" x14ac:dyDescent="0.2">
      <c r="D1769" t="s">
        <v>285</v>
      </c>
      <c r="E1769" t="s">
        <v>431</v>
      </c>
      <c r="F1769">
        <v>11</v>
      </c>
      <c r="P1769" t="s">
        <v>370</v>
      </c>
      <c r="Q1769">
        <v>73</v>
      </c>
      <c r="R1769" t="s">
        <v>249</v>
      </c>
      <c r="S1769" t="s">
        <v>10</v>
      </c>
      <c r="T1769">
        <v>1</v>
      </c>
    </row>
    <row r="1770" spans="4:20" ht="15.75" customHeight="1" x14ac:dyDescent="0.2">
      <c r="D1770" t="s">
        <v>285</v>
      </c>
      <c r="E1770" t="s">
        <v>431</v>
      </c>
      <c r="F1770">
        <v>11</v>
      </c>
      <c r="P1770" t="s">
        <v>370</v>
      </c>
      <c r="Q1770">
        <v>73</v>
      </c>
      <c r="R1770" t="s">
        <v>251</v>
      </c>
      <c r="S1770" t="s">
        <v>11</v>
      </c>
      <c r="T1770">
        <v>1</v>
      </c>
    </row>
    <row r="1771" spans="4:20" ht="15.75" customHeight="1" x14ac:dyDescent="0.2">
      <c r="D1771" t="s">
        <v>285</v>
      </c>
      <c r="E1771" t="s">
        <v>431</v>
      </c>
      <c r="F1771">
        <v>11</v>
      </c>
      <c r="P1771" t="s">
        <v>370</v>
      </c>
      <c r="Q1771">
        <v>73</v>
      </c>
      <c r="R1771" t="s">
        <v>253</v>
      </c>
      <c r="S1771" t="s">
        <v>12</v>
      </c>
      <c r="T1771">
        <v>0</v>
      </c>
    </row>
    <row r="1772" spans="4:20" ht="15.75" customHeight="1" x14ac:dyDescent="0.2">
      <c r="D1772" t="s">
        <v>285</v>
      </c>
      <c r="E1772" t="s">
        <v>431</v>
      </c>
      <c r="F1772">
        <v>11</v>
      </c>
      <c r="P1772" t="s">
        <v>370</v>
      </c>
      <c r="Q1772">
        <v>73</v>
      </c>
      <c r="R1772" t="s">
        <v>255</v>
      </c>
      <c r="S1772" t="s">
        <v>15</v>
      </c>
      <c r="T1772">
        <v>0</v>
      </c>
    </row>
    <row r="1773" spans="4:20" ht="15.75" customHeight="1" x14ac:dyDescent="0.2">
      <c r="D1773" t="s">
        <v>285</v>
      </c>
      <c r="E1773" t="s">
        <v>431</v>
      </c>
      <c r="F1773">
        <v>11</v>
      </c>
      <c r="P1773" t="s">
        <v>370</v>
      </c>
      <c r="Q1773">
        <v>73</v>
      </c>
      <c r="R1773" t="s">
        <v>293</v>
      </c>
      <c r="S1773" t="s">
        <v>13</v>
      </c>
      <c r="T1773">
        <v>0</v>
      </c>
    </row>
    <row r="1774" spans="4:20" ht="15.75" customHeight="1" x14ac:dyDescent="0.2">
      <c r="D1774" t="s">
        <v>285</v>
      </c>
      <c r="E1774" t="s">
        <v>431</v>
      </c>
      <c r="F1774">
        <v>11</v>
      </c>
      <c r="P1774" t="s">
        <v>370</v>
      </c>
      <c r="Q1774">
        <v>73</v>
      </c>
      <c r="R1774" t="s">
        <v>294</v>
      </c>
      <c r="S1774" t="s">
        <v>14</v>
      </c>
      <c r="T1774">
        <v>1</v>
      </c>
    </row>
    <row r="1775" spans="4:20" ht="15.75" customHeight="1" x14ac:dyDescent="0.2">
      <c r="D1775" t="s">
        <v>285</v>
      </c>
      <c r="E1775" t="s">
        <v>431</v>
      </c>
      <c r="F1775">
        <v>11</v>
      </c>
      <c r="P1775" t="s">
        <v>370</v>
      </c>
      <c r="Q1775">
        <v>73</v>
      </c>
      <c r="R1775" t="s">
        <v>257</v>
      </c>
      <c r="S1775" t="s">
        <v>16</v>
      </c>
      <c r="T1775">
        <v>0</v>
      </c>
    </row>
    <row r="1776" spans="4:20" ht="15.75" customHeight="1" x14ac:dyDescent="0.2">
      <c r="D1776" t="s">
        <v>285</v>
      </c>
      <c r="E1776" t="s">
        <v>431</v>
      </c>
      <c r="F1776">
        <v>11</v>
      </c>
      <c r="P1776" t="s">
        <v>370</v>
      </c>
      <c r="Q1776">
        <v>73</v>
      </c>
      <c r="R1776" t="s">
        <v>295</v>
      </c>
      <c r="S1776" t="s">
        <v>17</v>
      </c>
      <c r="T1776" t="s">
        <v>366</v>
      </c>
    </row>
    <row r="1777" spans="4:20" ht="15.75" customHeight="1" x14ac:dyDescent="0.2">
      <c r="D1777" t="s">
        <v>285</v>
      </c>
      <c r="E1777" t="s">
        <v>431</v>
      </c>
      <c r="F1777">
        <v>11</v>
      </c>
      <c r="P1777" t="s">
        <v>370</v>
      </c>
      <c r="Q1777">
        <v>73</v>
      </c>
      <c r="R1777" t="s">
        <v>296</v>
      </c>
      <c r="S1777" t="s">
        <v>1</v>
      </c>
      <c r="T1777">
        <v>1</v>
      </c>
    </row>
    <row r="1778" spans="4:20" ht="15.75" customHeight="1" x14ac:dyDescent="0.2">
      <c r="D1778" t="s">
        <v>285</v>
      </c>
      <c r="E1778" t="s">
        <v>431</v>
      </c>
      <c r="F1778">
        <v>11</v>
      </c>
      <c r="P1778" t="s">
        <v>370</v>
      </c>
      <c r="Q1778">
        <v>73</v>
      </c>
      <c r="R1778" t="s">
        <v>297</v>
      </c>
      <c r="S1778" t="s">
        <v>18</v>
      </c>
      <c r="T1778" t="s">
        <v>366</v>
      </c>
    </row>
    <row r="1779" spans="4:20" ht="15.75" customHeight="1" x14ac:dyDescent="0.2">
      <c r="D1779" t="s">
        <v>285</v>
      </c>
      <c r="E1779" t="s">
        <v>431</v>
      </c>
      <c r="F1779">
        <v>11</v>
      </c>
      <c r="P1779" t="s">
        <v>370</v>
      </c>
      <c r="Q1779">
        <v>73</v>
      </c>
      <c r="R1779" t="s">
        <v>298</v>
      </c>
      <c r="S1779" t="s">
        <v>19</v>
      </c>
      <c r="T1779">
        <v>4</v>
      </c>
    </row>
    <row r="1780" spans="4:20" ht="15.75" customHeight="1" x14ac:dyDescent="0.2">
      <c r="D1780" t="s">
        <v>285</v>
      </c>
      <c r="E1780" t="s">
        <v>431</v>
      </c>
      <c r="F1780">
        <v>11</v>
      </c>
      <c r="P1780" t="s">
        <v>370</v>
      </c>
      <c r="Q1780">
        <v>73</v>
      </c>
      <c r="R1780" t="s">
        <v>299</v>
      </c>
      <c r="S1780" t="s">
        <v>20</v>
      </c>
      <c r="T1780">
        <v>1</v>
      </c>
    </row>
    <row r="1781" spans="4:20" ht="15.75" customHeight="1" x14ac:dyDescent="0.2">
      <c r="D1781" t="s">
        <v>285</v>
      </c>
      <c r="E1781" t="s">
        <v>431</v>
      </c>
      <c r="F1781">
        <v>11</v>
      </c>
      <c r="P1781" t="s">
        <v>373</v>
      </c>
      <c r="Q1781">
        <v>74</v>
      </c>
      <c r="R1781" t="s">
        <v>288</v>
      </c>
      <c r="S1781" t="s">
        <v>2</v>
      </c>
      <c r="T1781">
        <v>0</v>
      </c>
    </row>
    <row r="1782" spans="4:20" ht="15.75" customHeight="1" x14ac:dyDescent="0.2">
      <c r="D1782" t="s">
        <v>285</v>
      </c>
      <c r="E1782" t="s">
        <v>431</v>
      </c>
      <c r="F1782">
        <v>11</v>
      </c>
      <c r="P1782" t="s">
        <v>373</v>
      </c>
      <c r="Q1782">
        <v>74</v>
      </c>
      <c r="R1782" t="s">
        <v>289</v>
      </c>
      <c r="S1782" t="s">
        <v>5</v>
      </c>
      <c r="T1782">
        <v>0</v>
      </c>
    </row>
    <row r="1783" spans="4:20" ht="15.75" customHeight="1" x14ac:dyDescent="0.2">
      <c r="D1783" t="s">
        <v>285</v>
      </c>
      <c r="E1783" t="s">
        <v>431</v>
      </c>
      <c r="F1783">
        <v>11</v>
      </c>
      <c r="P1783" t="s">
        <v>373</v>
      </c>
      <c r="Q1783">
        <v>74</v>
      </c>
      <c r="R1783" t="s">
        <v>290</v>
      </c>
      <c r="S1783" t="s">
        <v>3</v>
      </c>
      <c r="T1783">
        <v>0</v>
      </c>
    </row>
    <row r="1784" spans="4:20" ht="15.75" customHeight="1" x14ac:dyDescent="0.2">
      <c r="D1784" t="s">
        <v>285</v>
      </c>
      <c r="E1784" t="s">
        <v>431</v>
      </c>
      <c r="F1784">
        <v>11</v>
      </c>
      <c r="P1784" t="s">
        <v>373</v>
      </c>
      <c r="Q1784">
        <v>74</v>
      </c>
      <c r="R1784" t="s">
        <v>291</v>
      </c>
      <c r="S1784" t="s">
        <v>4</v>
      </c>
      <c r="T1784">
        <v>0</v>
      </c>
    </row>
    <row r="1785" spans="4:20" ht="15.75" customHeight="1" x14ac:dyDescent="0.2">
      <c r="D1785" t="s">
        <v>285</v>
      </c>
      <c r="E1785" t="s">
        <v>431</v>
      </c>
      <c r="F1785">
        <v>11</v>
      </c>
      <c r="P1785" t="s">
        <v>373</v>
      </c>
      <c r="Q1785">
        <v>74</v>
      </c>
      <c r="R1785" t="s">
        <v>292</v>
      </c>
      <c r="S1785" t="s">
        <v>6</v>
      </c>
      <c r="T1785">
        <v>0</v>
      </c>
    </row>
    <row r="1786" spans="4:20" ht="15.75" customHeight="1" x14ac:dyDescent="0.2">
      <c r="D1786" t="s">
        <v>285</v>
      </c>
      <c r="E1786" t="s">
        <v>431</v>
      </c>
      <c r="F1786">
        <v>11</v>
      </c>
      <c r="P1786" t="s">
        <v>373</v>
      </c>
      <c r="Q1786">
        <v>74</v>
      </c>
      <c r="R1786" t="s">
        <v>243</v>
      </c>
      <c r="S1786" t="s">
        <v>7</v>
      </c>
      <c r="T1786">
        <v>0</v>
      </c>
    </row>
    <row r="1787" spans="4:20" ht="15.75" customHeight="1" x14ac:dyDescent="0.2">
      <c r="D1787" t="s">
        <v>285</v>
      </c>
      <c r="E1787" t="s">
        <v>431</v>
      </c>
      <c r="F1787">
        <v>11</v>
      </c>
      <c r="P1787" t="s">
        <v>373</v>
      </c>
      <c r="Q1787">
        <v>74</v>
      </c>
      <c r="R1787" t="s">
        <v>245</v>
      </c>
      <c r="S1787" t="s">
        <v>8</v>
      </c>
      <c r="T1787" t="s">
        <v>364</v>
      </c>
    </row>
    <row r="1788" spans="4:20" ht="15.75" customHeight="1" x14ac:dyDescent="0.2">
      <c r="D1788" t="s">
        <v>285</v>
      </c>
      <c r="E1788" t="s">
        <v>431</v>
      </c>
      <c r="F1788">
        <v>11</v>
      </c>
      <c r="P1788" t="s">
        <v>373</v>
      </c>
      <c r="Q1788">
        <v>74</v>
      </c>
      <c r="R1788" t="s">
        <v>247</v>
      </c>
      <c r="S1788" t="s">
        <v>9</v>
      </c>
      <c r="T1788" t="s">
        <v>364</v>
      </c>
    </row>
    <row r="1789" spans="4:20" ht="15.75" customHeight="1" x14ac:dyDescent="0.2">
      <c r="D1789" t="s">
        <v>285</v>
      </c>
      <c r="E1789" t="s">
        <v>431</v>
      </c>
      <c r="F1789">
        <v>11</v>
      </c>
      <c r="P1789" t="s">
        <v>373</v>
      </c>
      <c r="Q1789">
        <v>74</v>
      </c>
      <c r="R1789" t="s">
        <v>249</v>
      </c>
      <c r="S1789" t="s">
        <v>10</v>
      </c>
      <c r="T1789">
        <v>0</v>
      </c>
    </row>
    <row r="1790" spans="4:20" ht="15.75" customHeight="1" x14ac:dyDescent="0.2">
      <c r="D1790" t="s">
        <v>285</v>
      </c>
      <c r="E1790" t="s">
        <v>431</v>
      </c>
      <c r="F1790">
        <v>11</v>
      </c>
      <c r="P1790" t="s">
        <v>373</v>
      </c>
      <c r="Q1790">
        <v>74</v>
      </c>
      <c r="R1790" t="s">
        <v>251</v>
      </c>
      <c r="S1790" t="s">
        <v>11</v>
      </c>
      <c r="T1790">
        <v>0</v>
      </c>
    </row>
    <row r="1791" spans="4:20" ht="15.75" customHeight="1" x14ac:dyDescent="0.2">
      <c r="D1791" t="s">
        <v>285</v>
      </c>
      <c r="E1791" t="s">
        <v>431</v>
      </c>
      <c r="F1791">
        <v>11</v>
      </c>
      <c r="P1791" t="s">
        <v>373</v>
      </c>
      <c r="Q1791">
        <v>74</v>
      </c>
      <c r="R1791" t="s">
        <v>253</v>
      </c>
      <c r="S1791" t="s">
        <v>12</v>
      </c>
      <c r="T1791" t="s">
        <v>364</v>
      </c>
    </row>
    <row r="1792" spans="4:20" ht="15.75" customHeight="1" x14ac:dyDescent="0.2">
      <c r="D1792" t="s">
        <v>285</v>
      </c>
      <c r="E1792" t="s">
        <v>431</v>
      </c>
      <c r="F1792">
        <v>11</v>
      </c>
      <c r="P1792" t="s">
        <v>373</v>
      </c>
      <c r="Q1792">
        <v>74</v>
      </c>
      <c r="R1792" t="s">
        <v>255</v>
      </c>
      <c r="S1792" t="s">
        <v>15</v>
      </c>
      <c r="T1792">
        <v>0</v>
      </c>
    </row>
    <row r="1793" spans="4:20" ht="15.75" customHeight="1" x14ac:dyDescent="0.2">
      <c r="D1793" t="s">
        <v>285</v>
      </c>
      <c r="E1793" t="s">
        <v>431</v>
      </c>
      <c r="F1793">
        <v>11</v>
      </c>
      <c r="P1793" t="s">
        <v>373</v>
      </c>
      <c r="Q1793">
        <v>74</v>
      </c>
      <c r="R1793" t="s">
        <v>293</v>
      </c>
      <c r="S1793" t="s">
        <v>13</v>
      </c>
      <c r="T1793">
        <v>0</v>
      </c>
    </row>
    <row r="1794" spans="4:20" ht="15.75" customHeight="1" x14ac:dyDescent="0.2">
      <c r="D1794" t="s">
        <v>285</v>
      </c>
      <c r="E1794" t="s">
        <v>431</v>
      </c>
      <c r="F1794">
        <v>11</v>
      </c>
      <c r="P1794" t="s">
        <v>373</v>
      </c>
      <c r="Q1794">
        <v>74</v>
      </c>
      <c r="R1794" t="s">
        <v>294</v>
      </c>
      <c r="S1794" t="s">
        <v>14</v>
      </c>
      <c r="T1794">
        <v>1</v>
      </c>
    </row>
    <row r="1795" spans="4:20" ht="15.75" customHeight="1" x14ac:dyDescent="0.2">
      <c r="D1795" t="s">
        <v>285</v>
      </c>
      <c r="E1795" t="s">
        <v>431</v>
      </c>
      <c r="F1795">
        <v>11</v>
      </c>
      <c r="P1795" t="s">
        <v>373</v>
      </c>
      <c r="Q1795">
        <v>74</v>
      </c>
      <c r="R1795" t="s">
        <v>257</v>
      </c>
      <c r="S1795" t="s">
        <v>16</v>
      </c>
      <c r="T1795">
        <v>0</v>
      </c>
    </row>
    <row r="1796" spans="4:20" ht="15.75" customHeight="1" x14ac:dyDescent="0.2">
      <c r="D1796" t="s">
        <v>285</v>
      </c>
      <c r="E1796" t="s">
        <v>431</v>
      </c>
      <c r="F1796">
        <v>11</v>
      </c>
      <c r="P1796" t="s">
        <v>373</v>
      </c>
      <c r="Q1796">
        <v>74</v>
      </c>
      <c r="R1796" t="s">
        <v>295</v>
      </c>
      <c r="S1796" t="s">
        <v>17</v>
      </c>
      <c r="T1796" t="s">
        <v>366</v>
      </c>
    </row>
    <row r="1797" spans="4:20" ht="15.75" customHeight="1" x14ac:dyDescent="0.2">
      <c r="D1797" t="s">
        <v>285</v>
      </c>
      <c r="E1797" t="s">
        <v>431</v>
      </c>
      <c r="F1797">
        <v>11</v>
      </c>
      <c r="P1797" t="s">
        <v>373</v>
      </c>
      <c r="Q1797">
        <v>74</v>
      </c>
      <c r="R1797" t="s">
        <v>296</v>
      </c>
      <c r="S1797" t="s">
        <v>1</v>
      </c>
      <c r="T1797">
        <v>1</v>
      </c>
    </row>
    <row r="1798" spans="4:20" ht="15.75" customHeight="1" x14ac:dyDescent="0.2">
      <c r="D1798" t="s">
        <v>285</v>
      </c>
      <c r="E1798" t="s">
        <v>431</v>
      </c>
      <c r="F1798">
        <v>11</v>
      </c>
      <c r="P1798" t="s">
        <v>373</v>
      </c>
      <c r="Q1798">
        <v>74</v>
      </c>
      <c r="R1798" t="s">
        <v>297</v>
      </c>
      <c r="S1798" t="s">
        <v>18</v>
      </c>
      <c r="T1798" t="s">
        <v>366</v>
      </c>
    </row>
    <row r="1799" spans="4:20" ht="15.75" customHeight="1" x14ac:dyDescent="0.2">
      <c r="D1799" t="s">
        <v>285</v>
      </c>
      <c r="E1799" t="s">
        <v>431</v>
      </c>
      <c r="F1799">
        <v>11</v>
      </c>
      <c r="P1799" t="s">
        <v>373</v>
      </c>
      <c r="Q1799">
        <v>74</v>
      </c>
      <c r="R1799" t="s">
        <v>298</v>
      </c>
      <c r="S1799" t="s">
        <v>19</v>
      </c>
      <c r="T1799">
        <v>4</v>
      </c>
    </row>
    <row r="1800" spans="4:20" ht="15.75" customHeight="1" x14ac:dyDescent="0.2">
      <c r="D1800" t="s">
        <v>285</v>
      </c>
      <c r="E1800" t="s">
        <v>431</v>
      </c>
      <c r="F1800">
        <v>11</v>
      </c>
      <c r="P1800" t="s">
        <v>373</v>
      </c>
      <c r="Q1800">
        <v>74</v>
      </c>
      <c r="R1800" t="s">
        <v>299</v>
      </c>
      <c r="S1800" t="s">
        <v>20</v>
      </c>
      <c r="T1800">
        <v>0</v>
      </c>
    </row>
    <row r="1801" spans="4:20" ht="15.75" customHeight="1" x14ac:dyDescent="0.2">
      <c r="D1801" t="s">
        <v>285</v>
      </c>
      <c r="E1801" t="s">
        <v>431</v>
      </c>
      <c r="F1801">
        <v>11</v>
      </c>
      <c r="P1801" t="s">
        <v>374</v>
      </c>
      <c r="Q1801">
        <v>75</v>
      </c>
      <c r="R1801" t="s">
        <v>288</v>
      </c>
      <c r="S1801" t="s">
        <v>2</v>
      </c>
      <c r="T1801">
        <v>0</v>
      </c>
    </row>
    <row r="1802" spans="4:20" ht="15.75" customHeight="1" x14ac:dyDescent="0.2">
      <c r="D1802" t="s">
        <v>285</v>
      </c>
      <c r="E1802" t="s">
        <v>431</v>
      </c>
      <c r="F1802">
        <v>11</v>
      </c>
      <c r="P1802" t="s">
        <v>374</v>
      </c>
      <c r="Q1802">
        <v>75</v>
      </c>
      <c r="R1802" t="s">
        <v>289</v>
      </c>
      <c r="S1802" t="s">
        <v>5</v>
      </c>
      <c r="T1802">
        <v>0</v>
      </c>
    </row>
    <row r="1803" spans="4:20" ht="15.75" customHeight="1" x14ac:dyDescent="0.2">
      <c r="D1803" t="s">
        <v>285</v>
      </c>
      <c r="E1803" t="s">
        <v>431</v>
      </c>
      <c r="F1803">
        <v>11</v>
      </c>
      <c r="P1803" t="s">
        <v>374</v>
      </c>
      <c r="Q1803">
        <v>75</v>
      </c>
      <c r="R1803" t="s">
        <v>290</v>
      </c>
      <c r="S1803" t="s">
        <v>3</v>
      </c>
      <c r="T1803">
        <v>0</v>
      </c>
    </row>
    <row r="1804" spans="4:20" ht="15.75" customHeight="1" x14ac:dyDescent="0.2">
      <c r="D1804" t="s">
        <v>285</v>
      </c>
      <c r="E1804" t="s">
        <v>431</v>
      </c>
      <c r="F1804">
        <v>11</v>
      </c>
      <c r="P1804" t="s">
        <v>374</v>
      </c>
      <c r="Q1804">
        <v>75</v>
      </c>
      <c r="R1804" t="s">
        <v>291</v>
      </c>
      <c r="S1804" t="s">
        <v>4</v>
      </c>
      <c r="T1804">
        <v>0</v>
      </c>
    </row>
    <row r="1805" spans="4:20" ht="15.75" customHeight="1" x14ac:dyDescent="0.2">
      <c r="D1805" t="s">
        <v>285</v>
      </c>
      <c r="E1805" t="s">
        <v>431</v>
      </c>
      <c r="F1805">
        <v>11</v>
      </c>
      <c r="P1805" t="s">
        <v>374</v>
      </c>
      <c r="Q1805">
        <v>75</v>
      </c>
      <c r="R1805" t="s">
        <v>292</v>
      </c>
      <c r="S1805" t="s">
        <v>6</v>
      </c>
      <c r="T1805">
        <v>0</v>
      </c>
    </row>
    <row r="1806" spans="4:20" ht="15.75" customHeight="1" x14ac:dyDescent="0.2">
      <c r="D1806" t="s">
        <v>285</v>
      </c>
      <c r="E1806" t="s">
        <v>431</v>
      </c>
      <c r="F1806">
        <v>11</v>
      </c>
      <c r="P1806" t="s">
        <v>374</v>
      </c>
      <c r="Q1806">
        <v>75</v>
      </c>
      <c r="R1806" t="s">
        <v>243</v>
      </c>
      <c r="S1806" t="s">
        <v>7</v>
      </c>
      <c r="T1806">
        <v>0</v>
      </c>
    </row>
    <row r="1807" spans="4:20" ht="15.75" customHeight="1" x14ac:dyDescent="0.2">
      <c r="D1807" t="s">
        <v>285</v>
      </c>
      <c r="E1807" t="s">
        <v>431</v>
      </c>
      <c r="F1807">
        <v>11</v>
      </c>
      <c r="P1807" t="s">
        <v>374</v>
      </c>
      <c r="Q1807">
        <v>75</v>
      </c>
      <c r="R1807" t="s">
        <v>245</v>
      </c>
      <c r="S1807" t="s">
        <v>8</v>
      </c>
      <c r="T1807" t="s">
        <v>364</v>
      </c>
    </row>
    <row r="1808" spans="4:20" ht="15.75" customHeight="1" x14ac:dyDescent="0.2">
      <c r="D1808" t="s">
        <v>285</v>
      </c>
      <c r="E1808" t="s">
        <v>431</v>
      </c>
      <c r="F1808">
        <v>11</v>
      </c>
      <c r="P1808" t="s">
        <v>374</v>
      </c>
      <c r="Q1808">
        <v>75</v>
      </c>
      <c r="R1808" t="s">
        <v>247</v>
      </c>
      <c r="S1808" t="s">
        <v>9</v>
      </c>
      <c r="T1808" t="s">
        <v>364</v>
      </c>
    </row>
    <row r="1809" spans="4:20" ht="15.75" customHeight="1" x14ac:dyDescent="0.2">
      <c r="D1809" t="s">
        <v>285</v>
      </c>
      <c r="E1809" t="s">
        <v>431</v>
      </c>
      <c r="F1809">
        <v>11</v>
      </c>
      <c r="P1809" t="s">
        <v>374</v>
      </c>
      <c r="Q1809">
        <v>75</v>
      </c>
      <c r="R1809" t="s">
        <v>249</v>
      </c>
      <c r="S1809" t="s">
        <v>10</v>
      </c>
      <c r="T1809">
        <v>0</v>
      </c>
    </row>
    <row r="1810" spans="4:20" ht="15.75" customHeight="1" x14ac:dyDescent="0.2">
      <c r="D1810" t="s">
        <v>285</v>
      </c>
      <c r="E1810" t="s">
        <v>431</v>
      </c>
      <c r="F1810">
        <v>11</v>
      </c>
      <c r="P1810" t="s">
        <v>374</v>
      </c>
      <c r="Q1810">
        <v>75</v>
      </c>
      <c r="R1810" t="s">
        <v>251</v>
      </c>
      <c r="S1810" t="s">
        <v>11</v>
      </c>
      <c r="T1810">
        <v>0</v>
      </c>
    </row>
    <row r="1811" spans="4:20" ht="15.75" customHeight="1" x14ac:dyDescent="0.2">
      <c r="D1811" t="s">
        <v>285</v>
      </c>
      <c r="E1811" t="s">
        <v>431</v>
      </c>
      <c r="F1811">
        <v>11</v>
      </c>
      <c r="P1811" t="s">
        <v>374</v>
      </c>
      <c r="Q1811">
        <v>75</v>
      </c>
      <c r="R1811" t="s">
        <v>253</v>
      </c>
      <c r="S1811" t="s">
        <v>12</v>
      </c>
      <c r="T1811" t="s">
        <v>364</v>
      </c>
    </row>
    <row r="1812" spans="4:20" ht="15.75" customHeight="1" x14ac:dyDescent="0.2">
      <c r="D1812" t="s">
        <v>285</v>
      </c>
      <c r="E1812" t="s">
        <v>431</v>
      </c>
      <c r="F1812">
        <v>11</v>
      </c>
      <c r="P1812" t="s">
        <v>374</v>
      </c>
      <c r="Q1812">
        <v>75</v>
      </c>
      <c r="R1812" t="s">
        <v>255</v>
      </c>
      <c r="S1812" t="s">
        <v>15</v>
      </c>
      <c r="T1812">
        <v>0</v>
      </c>
    </row>
    <row r="1813" spans="4:20" ht="15.75" customHeight="1" x14ac:dyDescent="0.2">
      <c r="D1813" t="s">
        <v>285</v>
      </c>
      <c r="E1813" t="s">
        <v>431</v>
      </c>
      <c r="F1813">
        <v>11</v>
      </c>
      <c r="P1813" t="s">
        <v>374</v>
      </c>
      <c r="Q1813">
        <v>75</v>
      </c>
      <c r="R1813" t="s">
        <v>293</v>
      </c>
      <c r="S1813" t="s">
        <v>13</v>
      </c>
      <c r="T1813">
        <v>0</v>
      </c>
    </row>
    <row r="1814" spans="4:20" ht="15.75" customHeight="1" x14ac:dyDescent="0.2">
      <c r="D1814" t="s">
        <v>285</v>
      </c>
      <c r="E1814" t="s">
        <v>431</v>
      </c>
      <c r="F1814">
        <v>11</v>
      </c>
      <c r="P1814" t="s">
        <v>374</v>
      </c>
      <c r="Q1814">
        <v>75</v>
      </c>
      <c r="R1814" t="s">
        <v>294</v>
      </c>
      <c r="S1814" t="s">
        <v>14</v>
      </c>
      <c r="T1814">
        <v>1</v>
      </c>
    </row>
    <row r="1815" spans="4:20" ht="15.75" customHeight="1" x14ac:dyDescent="0.2">
      <c r="D1815" t="s">
        <v>285</v>
      </c>
      <c r="E1815" t="s">
        <v>431</v>
      </c>
      <c r="F1815">
        <v>11</v>
      </c>
      <c r="P1815" t="s">
        <v>374</v>
      </c>
      <c r="Q1815">
        <v>75</v>
      </c>
      <c r="R1815" t="s">
        <v>257</v>
      </c>
      <c r="S1815" t="s">
        <v>16</v>
      </c>
      <c r="T1815">
        <v>0</v>
      </c>
    </row>
    <row r="1816" spans="4:20" ht="15.75" customHeight="1" x14ac:dyDescent="0.2">
      <c r="D1816" t="s">
        <v>285</v>
      </c>
      <c r="E1816" t="s">
        <v>431</v>
      </c>
      <c r="F1816">
        <v>11</v>
      </c>
      <c r="P1816" t="s">
        <v>374</v>
      </c>
      <c r="Q1816">
        <v>75</v>
      </c>
      <c r="R1816" t="s">
        <v>295</v>
      </c>
      <c r="S1816" t="s">
        <v>17</v>
      </c>
      <c r="T1816" t="s">
        <v>366</v>
      </c>
    </row>
    <row r="1817" spans="4:20" ht="15.75" customHeight="1" x14ac:dyDescent="0.2">
      <c r="D1817" t="s">
        <v>285</v>
      </c>
      <c r="E1817" t="s">
        <v>431</v>
      </c>
      <c r="F1817">
        <v>11</v>
      </c>
      <c r="P1817" t="s">
        <v>374</v>
      </c>
      <c r="Q1817">
        <v>75</v>
      </c>
      <c r="R1817" t="s">
        <v>296</v>
      </c>
      <c r="S1817" t="s">
        <v>1</v>
      </c>
      <c r="T1817">
        <v>1</v>
      </c>
    </row>
    <row r="1818" spans="4:20" ht="15.75" customHeight="1" x14ac:dyDescent="0.2">
      <c r="D1818" t="s">
        <v>285</v>
      </c>
      <c r="E1818" t="s">
        <v>431</v>
      </c>
      <c r="F1818">
        <v>11</v>
      </c>
      <c r="P1818" t="s">
        <v>374</v>
      </c>
      <c r="Q1818">
        <v>75</v>
      </c>
      <c r="R1818" t="s">
        <v>297</v>
      </c>
      <c r="S1818" t="s">
        <v>18</v>
      </c>
      <c r="T1818" t="s">
        <v>366</v>
      </c>
    </row>
    <row r="1819" spans="4:20" ht="15.75" customHeight="1" x14ac:dyDescent="0.2">
      <c r="D1819" t="s">
        <v>285</v>
      </c>
      <c r="E1819" t="s">
        <v>431</v>
      </c>
      <c r="F1819">
        <v>11</v>
      </c>
      <c r="P1819" t="s">
        <v>374</v>
      </c>
      <c r="Q1819">
        <v>75</v>
      </c>
      <c r="R1819" t="s">
        <v>298</v>
      </c>
      <c r="S1819" t="s">
        <v>19</v>
      </c>
      <c r="T1819">
        <v>4</v>
      </c>
    </row>
    <row r="1820" spans="4:20" ht="15.75" customHeight="1" x14ac:dyDescent="0.2">
      <c r="D1820" t="s">
        <v>285</v>
      </c>
      <c r="E1820" t="s">
        <v>431</v>
      </c>
      <c r="F1820">
        <v>11</v>
      </c>
      <c r="P1820" t="s">
        <v>374</v>
      </c>
      <c r="Q1820">
        <v>75</v>
      </c>
      <c r="R1820" t="s">
        <v>299</v>
      </c>
      <c r="S1820" t="s">
        <v>20</v>
      </c>
      <c r="T1820">
        <v>0</v>
      </c>
    </row>
    <row r="1821" spans="4:20" ht="15.75" customHeight="1" x14ac:dyDescent="0.2">
      <c r="D1821" t="s">
        <v>285</v>
      </c>
      <c r="E1821" t="s">
        <v>431</v>
      </c>
      <c r="F1821">
        <v>11</v>
      </c>
      <c r="P1821" t="s">
        <v>375</v>
      </c>
      <c r="Q1821">
        <v>76</v>
      </c>
      <c r="R1821" t="s">
        <v>288</v>
      </c>
      <c r="S1821" t="s">
        <v>2</v>
      </c>
      <c r="T1821">
        <v>0</v>
      </c>
    </row>
    <row r="1822" spans="4:20" ht="15.75" customHeight="1" x14ac:dyDescent="0.2">
      <c r="D1822" t="s">
        <v>285</v>
      </c>
      <c r="E1822" t="s">
        <v>431</v>
      </c>
      <c r="F1822">
        <v>11</v>
      </c>
      <c r="P1822" t="s">
        <v>375</v>
      </c>
      <c r="Q1822">
        <v>76</v>
      </c>
      <c r="R1822" t="s">
        <v>289</v>
      </c>
      <c r="S1822" t="s">
        <v>5</v>
      </c>
      <c r="T1822">
        <v>0</v>
      </c>
    </row>
    <row r="1823" spans="4:20" ht="15.75" customHeight="1" x14ac:dyDescent="0.2">
      <c r="D1823" t="s">
        <v>285</v>
      </c>
      <c r="E1823" t="s">
        <v>431</v>
      </c>
      <c r="F1823">
        <v>11</v>
      </c>
      <c r="P1823" t="s">
        <v>375</v>
      </c>
      <c r="Q1823">
        <v>76</v>
      </c>
      <c r="R1823" t="s">
        <v>290</v>
      </c>
      <c r="S1823" t="s">
        <v>3</v>
      </c>
      <c r="T1823">
        <v>0</v>
      </c>
    </row>
    <row r="1824" spans="4:20" ht="15.75" customHeight="1" x14ac:dyDescent="0.2">
      <c r="D1824" t="s">
        <v>285</v>
      </c>
      <c r="E1824" t="s">
        <v>431</v>
      </c>
      <c r="F1824">
        <v>11</v>
      </c>
      <c r="P1824" t="s">
        <v>375</v>
      </c>
      <c r="Q1824">
        <v>76</v>
      </c>
      <c r="R1824" t="s">
        <v>291</v>
      </c>
      <c r="S1824" t="s">
        <v>4</v>
      </c>
      <c r="T1824">
        <v>0</v>
      </c>
    </row>
    <row r="1825" spans="4:20" ht="15.75" customHeight="1" x14ac:dyDescent="0.2">
      <c r="D1825" t="s">
        <v>285</v>
      </c>
      <c r="E1825" t="s">
        <v>431</v>
      </c>
      <c r="F1825">
        <v>11</v>
      </c>
      <c r="P1825" t="s">
        <v>375</v>
      </c>
      <c r="Q1825">
        <v>76</v>
      </c>
      <c r="R1825" t="s">
        <v>292</v>
      </c>
      <c r="S1825" t="s">
        <v>6</v>
      </c>
      <c r="T1825">
        <v>0</v>
      </c>
    </row>
    <row r="1826" spans="4:20" ht="15.75" customHeight="1" x14ac:dyDescent="0.2">
      <c r="D1826" t="s">
        <v>285</v>
      </c>
      <c r="E1826" t="s">
        <v>431</v>
      </c>
      <c r="F1826">
        <v>11</v>
      </c>
      <c r="P1826" t="s">
        <v>375</v>
      </c>
      <c r="Q1826">
        <v>76</v>
      </c>
      <c r="R1826" t="s">
        <v>243</v>
      </c>
      <c r="S1826" t="s">
        <v>7</v>
      </c>
      <c r="T1826">
        <v>0</v>
      </c>
    </row>
    <row r="1827" spans="4:20" ht="15.75" customHeight="1" x14ac:dyDescent="0.2">
      <c r="D1827" t="s">
        <v>285</v>
      </c>
      <c r="E1827" t="s">
        <v>431</v>
      </c>
      <c r="F1827">
        <v>11</v>
      </c>
      <c r="P1827" t="s">
        <v>375</v>
      </c>
      <c r="Q1827">
        <v>76</v>
      </c>
      <c r="R1827" t="s">
        <v>245</v>
      </c>
      <c r="S1827" t="s">
        <v>8</v>
      </c>
      <c r="T1827" t="s">
        <v>364</v>
      </c>
    </row>
    <row r="1828" spans="4:20" ht="15.75" customHeight="1" x14ac:dyDescent="0.2">
      <c r="D1828" t="s">
        <v>285</v>
      </c>
      <c r="E1828" t="s">
        <v>431</v>
      </c>
      <c r="F1828">
        <v>11</v>
      </c>
      <c r="P1828" t="s">
        <v>375</v>
      </c>
      <c r="Q1828">
        <v>76</v>
      </c>
      <c r="R1828" t="s">
        <v>247</v>
      </c>
      <c r="S1828" t="s">
        <v>9</v>
      </c>
      <c r="T1828" t="s">
        <v>364</v>
      </c>
    </row>
    <row r="1829" spans="4:20" ht="15.75" customHeight="1" x14ac:dyDescent="0.2">
      <c r="D1829" t="s">
        <v>285</v>
      </c>
      <c r="E1829" t="s">
        <v>431</v>
      </c>
      <c r="F1829">
        <v>11</v>
      </c>
      <c r="P1829" t="s">
        <v>375</v>
      </c>
      <c r="Q1829">
        <v>76</v>
      </c>
      <c r="R1829" t="s">
        <v>249</v>
      </c>
      <c r="S1829" t="s">
        <v>10</v>
      </c>
      <c r="T1829">
        <v>0</v>
      </c>
    </row>
    <row r="1830" spans="4:20" ht="15.75" customHeight="1" x14ac:dyDescent="0.2">
      <c r="D1830" t="s">
        <v>285</v>
      </c>
      <c r="E1830" t="s">
        <v>431</v>
      </c>
      <c r="F1830">
        <v>11</v>
      </c>
      <c r="P1830" t="s">
        <v>375</v>
      </c>
      <c r="Q1830">
        <v>76</v>
      </c>
      <c r="R1830" t="s">
        <v>251</v>
      </c>
      <c r="S1830" t="s">
        <v>11</v>
      </c>
      <c r="T1830">
        <v>0</v>
      </c>
    </row>
    <row r="1831" spans="4:20" ht="15.75" customHeight="1" x14ac:dyDescent="0.2">
      <c r="D1831" t="s">
        <v>285</v>
      </c>
      <c r="E1831" t="s">
        <v>431</v>
      </c>
      <c r="F1831">
        <v>11</v>
      </c>
      <c r="P1831" t="s">
        <v>375</v>
      </c>
      <c r="Q1831">
        <v>76</v>
      </c>
      <c r="R1831" t="s">
        <v>253</v>
      </c>
      <c r="S1831" t="s">
        <v>12</v>
      </c>
      <c r="T1831" t="s">
        <v>364</v>
      </c>
    </row>
    <row r="1832" spans="4:20" ht="15.75" customHeight="1" x14ac:dyDescent="0.2">
      <c r="D1832" t="s">
        <v>285</v>
      </c>
      <c r="E1832" t="s">
        <v>431</v>
      </c>
      <c r="F1832">
        <v>11</v>
      </c>
      <c r="P1832" t="s">
        <v>375</v>
      </c>
      <c r="Q1832">
        <v>76</v>
      </c>
      <c r="R1832" t="s">
        <v>255</v>
      </c>
      <c r="S1832" t="s">
        <v>15</v>
      </c>
      <c r="T1832">
        <v>0</v>
      </c>
    </row>
    <row r="1833" spans="4:20" ht="15.75" customHeight="1" x14ac:dyDescent="0.2">
      <c r="D1833" t="s">
        <v>285</v>
      </c>
      <c r="E1833" t="s">
        <v>431</v>
      </c>
      <c r="F1833">
        <v>11</v>
      </c>
      <c r="P1833" t="s">
        <v>375</v>
      </c>
      <c r="Q1833">
        <v>76</v>
      </c>
      <c r="R1833" t="s">
        <v>293</v>
      </c>
      <c r="S1833" t="s">
        <v>13</v>
      </c>
      <c r="T1833">
        <v>0</v>
      </c>
    </row>
    <row r="1834" spans="4:20" ht="15.75" customHeight="1" x14ac:dyDescent="0.2">
      <c r="D1834" t="s">
        <v>285</v>
      </c>
      <c r="E1834" t="s">
        <v>431</v>
      </c>
      <c r="F1834">
        <v>11</v>
      </c>
      <c r="P1834" t="s">
        <v>375</v>
      </c>
      <c r="Q1834">
        <v>76</v>
      </c>
      <c r="R1834" t="s">
        <v>294</v>
      </c>
      <c r="S1834" t="s">
        <v>14</v>
      </c>
      <c r="T1834">
        <v>1</v>
      </c>
    </row>
    <row r="1835" spans="4:20" ht="15.75" customHeight="1" x14ac:dyDescent="0.2">
      <c r="D1835" t="s">
        <v>285</v>
      </c>
      <c r="E1835" t="s">
        <v>431</v>
      </c>
      <c r="F1835">
        <v>11</v>
      </c>
      <c r="P1835" t="s">
        <v>375</v>
      </c>
      <c r="Q1835">
        <v>76</v>
      </c>
      <c r="R1835" t="s">
        <v>257</v>
      </c>
      <c r="S1835" t="s">
        <v>16</v>
      </c>
      <c r="T1835">
        <v>0</v>
      </c>
    </row>
    <row r="1836" spans="4:20" ht="15.75" customHeight="1" x14ac:dyDescent="0.2">
      <c r="D1836" t="s">
        <v>285</v>
      </c>
      <c r="E1836" t="s">
        <v>431</v>
      </c>
      <c r="F1836">
        <v>11</v>
      </c>
      <c r="P1836" t="s">
        <v>375</v>
      </c>
      <c r="Q1836">
        <v>76</v>
      </c>
      <c r="R1836" t="s">
        <v>295</v>
      </c>
      <c r="S1836" t="s">
        <v>17</v>
      </c>
      <c r="T1836" t="s">
        <v>366</v>
      </c>
    </row>
    <row r="1837" spans="4:20" ht="15.75" customHeight="1" x14ac:dyDescent="0.2">
      <c r="D1837" t="s">
        <v>285</v>
      </c>
      <c r="E1837" t="s">
        <v>431</v>
      </c>
      <c r="F1837">
        <v>11</v>
      </c>
      <c r="P1837" t="s">
        <v>375</v>
      </c>
      <c r="Q1837">
        <v>76</v>
      </c>
      <c r="R1837" t="s">
        <v>296</v>
      </c>
      <c r="S1837" t="s">
        <v>1</v>
      </c>
      <c r="T1837">
        <v>1</v>
      </c>
    </row>
    <row r="1838" spans="4:20" ht="15.75" customHeight="1" x14ac:dyDescent="0.2">
      <c r="D1838" t="s">
        <v>285</v>
      </c>
      <c r="E1838" t="s">
        <v>431</v>
      </c>
      <c r="F1838">
        <v>11</v>
      </c>
      <c r="P1838" t="s">
        <v>375</v>
      </c>
      <c r="Q1838">
        <v>76</v>
      </c>
      <c r="R1838" t="s">
        <v>297</v>
      </c>
      <c r="S1838" t="s">
        <v>18</v>
      </c>
      <c r="T1838" t="s">
        <v>366</v>
      </c>
    </row>
    <row r="1839" spans="4:20" ht="15.75" customHeight="1" x14ac:dyDescent="0.2">
      <c r="D1839" t="s">
        <v>285</v>
      </c>
      <c r="E1839" t="s">
        <v>431</v>
      </c>
      <c r="F1839">
        <v>11</v>
      </c>
      <c r="P1839" t="s">
        <v>375</v>
      </c>
      <c r="Q1839">
        <v>76</v>
      </c>
      <c r="R1839" t="s">
        <v>298</v>
      </c>
      <c r="S1839" t="s">
        <v>19</v>
      </c>
      <c r="T1839">
        <v>4</v>
      </c>
    </row>
    <row r="1840" spans="4:20" ht="15.75" customHeight="1" x14ac:dyDescent="0.2">
      <c r="D1840" t="s">
        <v>285</v>
      </c>
      <c r="E1840" t="s">
        <v>431</v>
      </c>
      <c r="F1840">
        <v>11</v>
      </c>
      <c r="P1840" t="s">
        <v>375</v>
      </c>
      <c r="Q1840">
        <v>76</v>
      </c>
      <c r="R1840" t="s">
        <v>299</v>
      </c>
      <c r="S1840" t="s">
        <v>20</v>
      </c>
      <c r="T1840">
        <v>1</v>
      </c>
    </row>
    <row r="1841" spans="4:20" ht="15.75" customHeight="1" x14ac:dyDescent="0.2">
      <c r="D1841" t="s">
        <v>285</v>
      </c>
      <c r="E1841" t="s">
        <v>431</v>
      </c>
      <c r="F1841">
        <v>11</v>
      </c>
      <c r="P1841" t="s">
        <v>376</v>
      </c>
      <c r="Q1841">
        <v>77</v>
      </c>
      <c r="R1841" t="s">
        <v>288</v>
      </c>
      <c r="S1841" t="s">
        <v>2</v>
      </c>
      <c r="T1841">
        <v>0</v>
      </c>
    </row>
    <row r="1842" spans="4:20" ht="15.75" customHeight="1" x14ac:dyDescent="0.2">
      <c r="D1842" t="s">
        <v>285</v>
      </c>
      <c r="E1842" t="s">
        <v>431</v>
      </c>
      <c r="F1842">
        <v>11</v>
      </c>
      <c r="P1842" t="s">
        <v>376</v>
      </c>
      <c r="Q1842">
        <v>77</v>
      </c>
      <c r="R1842" t="s">
        <v>289</v>
      </c>
      <c r="S1842" t="s">
        <v>5</v>
      </c>
      <c r="T1842">
        <v>0</v>
      </c>
    </row>
    <row r="1843" spans="4:20" ht="15.75" customHeight="1" x14ac:dyDescent="0.2">
      <c r="D1843" t="s">
        <v>285</v>
      </c>
      <c r="E1843" t="s">
        <v>431</v>
      </c>
      <c r="F1843">
        <v>11</v>
      </c>
      <c r="P1843" t="s">
        <v>376</v>
      </c>
      <c r="Q1843">
        <v>77</v>
      </c>
      <c r="R1843" t="s">
        <v>290</v>
      </c>
      <c r="S1843" t="s">
        <v>3</v>
      </c>
      <c r="T1843">
        <v>0</v>
      </c>
    </row>
    <row r="1844" spans="4:20" ht="15.75" customHeight="1" x14ac:dyDescent="0.2">
      <c r="D1844" t="s">
        <v>285</v>
      </c>
      <c r="E1844" t="s">
        <v>431</v>
      </c>
      <c r="F1844">
        <v>11</v>
      </c>
      <c r="P1844" t="s">
        <v>376</v>
      </c>
      <c r="Q1844">
        <v>77</v>
      </c>
      <c r="R1844" t="s">
        <v>291</v>
      </c>
      <c r="S1844" t="s">
        <v>4</v>
      </c>
      <c r="T1844">
        <v>0</v>
      </c>
    </row>
    <row r="1845" spans="4:20" ht="15.75" customHeight="1" x14ac:dyDescent="0.2">
      <c r="D1845" t="s">
        <v>285</v>
      </c>
      <c r="E1845" t="s">
        <v>431</v>
      </c>
      <c r="F1845">
        <v>11</v>
      </c>
      <c r="P1845" t="s">
        <v>376</v>
      </c>
      <c r="Q1845">
        <v>77</v>
      </c>
      <c r="R1845" t="s">
        <v>292</v>
      </c>
      <c r="S1845" t="s">
        <v>6</v>
      </c>
      <c r="T1845">
        <v>0</v>
      </c>
    </row>
    <row r="1846" spans="4:20" ht="15.75" customHeight="1" x14ac:dyDescent="0.2">
      <c r="D1846" t="s">
        <v>285</v>
      </c>
      <c r="E1846" t="s">
        <v>431</v>
      </c>
      <c r="F1846">
        <v>11</v>
      </c>
      <c r="P1846" t="s">
        <v>376</v>
      </c>
      <c r="Q1846">
        <v>77</v>
      </c>
      <c r="R1846" t="s">
        <v>243</v>
      </c>
      <c r="S1846" t="s">
        <v>7</v>
      </c>
      <c r="T1846">
        <v>0</v>
      </c>
    </row>
    <row r="1847" spans="4:20" ht="15.75" customHeight="1" x14ac:dyDescent="0.2">
      <c r="D1847" t="s">
        <v>285</v>
      </c>
      <c r="E1847" t="s">
        <v>431</v>
      </c>
      <c r="F1847">
        <v>11</v>
      </c>
      <c r="P1847" t="s">
        <v>376</v>
      </c>
      <c r="Q1847">
        <v>77</v>
      </c>
      <c r="R1847" t="s">
        <v>245</v>
      </c>
      <c r="S1847" t="s">
        <v>8</v>
      </c>
      <c r="T1847" t="s">
        <v>364</v>
      </c>
    </row>
    <row r="1848" spans="4:20" ht="15.75" customHeight="1" x14ac:dyDescent="0.2">
      <c r="D1848" t="s">
        <v>285</v>
      </c>
      <c r="E1848" t="s">
        <v>431</v>
      </c>
      <c r="F1848">
        <v>11</v>
      </c>
      <c r="P1848" t="s">
        <v>376</v>
      </c>
      <c r="Q1848">
        <v>77</v>
      </c>
      <c r="R1848" t="s">
        <v>247</v>
      </c>
      <c r="S1848" t="s">
        <v>9</v>
      </c>
      <c r="T1848" t="s">
        <v>364</v>
      </c>
    </row>
    <row r="1849" spans="4:20" ht="15.75" customHeight="1" x14ac:dyDescent="0.2">
      <c r="D1849" t="s">
        <v>285</v>
      </c>
      <c r="E1849" t="s">
        <v>431</v>
      </c>
      <c r="F1849">
        <v>11</v>
      </c>
      <c r="P1849" t="s">
        <v>376</v>
      </c>
      <c r="Q1849">
        <v>77</v>
      </c>
      <c r="R1849" t="s">
        <v>249</v>
      </c>
      <c r="S1849" t="s">
        <v>10</v>
      </c>
      <c r="T1849">
        <v>0</v>
      </c>
    </row>
    <row r="1850" spans="4:20" ht="15.75" customHeight="1" x14ac:dyDescent="0.2">
      <c r="D1850" t="s">
        <v>285</v>
      </c>
      <c r="E1850" t="s">
        <v>431</v>
      </c>
      <c r="F1850">
        <v>11</v>
      </c>
      <c r="P1850" t="s">
        <v>376</v>
      </c>
      <c r="Q1850">
        <v>77</v>
      </c>
      <c r="R1850" t="s">
        <v>251</v>
      </c>
      <c r="S1850" t="s">
        <v>11</v>
      </c>
      <c r="T1850">
        <v>0</v>
      </c>
    </row>
    <row r="1851" spans="4:20" ht="15.75" customHeight="1" x14ac:dyDescent="0.2">
      <c r="D1851" t="s">
        <v>285</v>
      </c>
      <c r="E1851" t="s">
        <v>431</v>
      </c>
      <c r="F1851">
        <v>11</v>
      </c>
      <c r="P1851" t="s">
        <v>376</v>
      </c>
      <c r="Q1851">
        <v>77</v>
      </c>
      <c r="R1851" t="s">
        <v>253</v>
      </c>
      <c r="S1851" t="s">
        <v>12</v>
      </c>
      <c r="T1851" t="s">
        <v>364</v>
      </c>
    </row>
    <row r="1852" spans="4:20" ht="15.75" customHeight="1" x14ac:dyDescent="0.2">
      <c r="D1852" t="s">
        <v>285</v>
      </c>
      <c r="E1852" t="s">
        <v>431</v>
      </c>
      <c r="F1852">
        <v>11</v>
      </c>
      <c r="P1852" t="s">
        <v>376</v>
      </c>
      <c r="Q1852">
        <v>77</v>
      </c>
      <c r="R1852" t="s">
        <v>255</v>
      </c>
      <c r="S1852" t="s">
        <v>15</v>
      </c>
      <c r="T1852">
        <v>0</v>
      </c>
    </row>
    <row r="1853" spans="4:20" ht="15.75" customHeight="1" x14ac:dyDescent="0.2">
      <c r="D1853" t="s">
        <v>285</v>
      </c>
      <c r="E1853" t="s">
        <v>431</v>
      </c>
      <c r="F1853">
        <v>11</v>
      </c>
      <c r="P1853" t="s">
        <v>376</v>
      </c>
      <c r="Q1853">
        <v>77</v>
      </c>
      <c r="R1853" t="s">
        <v>293</v>
      </c>
      <c r="S1853" t="s">
        <v>13</v>
      </c>
      <c r="T1853">
        <v>0</v>
      </c>
    </row>
    <row r="1854" spans="4:20" ht="15.75" customHeight="1" x14ac:dyDescent="0.2">
      <c r="D1854" t="s">
        <v>285</v>
      </c>
      <c r="E1854" t="s">
        <v>431</v>
      </c>
      <c r="F1854">
        <v>11</v>
      </c>
      <c r="P1854" t="s">
        <v>376</v>
      </c>
      <c r="Q1854">
        <v>77</v>
      </c>
      <c r="R1854" t="s">
        <v>294</v>
      </c>
      <c r="S1854" t="s">
        <v>14</v>
      </c>
      <c r="T1854">
        <v>1</v>
      </c>
    </row>
    <row r="1855" spans="4:20" ht="15.75" customHeight="1" x14ac:dyDescent="0.2">
      <c r="D1855" t="s">
        <v>285</v>
      </c>
      <c r="E1855" t="s">
        <v>431</v>
      </c>
      <c r="F1855">
        <v>11</v>
      </c>
      <c r="P1855" t="s">
        <v>376</v>
      </c>
      <c r="Q1855">
        <v>77</v>
      </c>
      <c r="R1855" t="s">
        <v>257</v>
      </c>
      <c r="S1855" t="s">
        <v>16</v>
      </c>
      <c r="T1855">
        <v>0</v>
      </c>
    </row>
    <row r="1856" spans="4:20" ht="15.75" customHeight="1" x14ac:dyDescent="0.2">
      <c r="D1856" t="s">
        <v>285</v>
      </c>
      <c r="E1856" t="s">
        <v>431</v>
      </c>
      <c r="F1856">
        <v>11</v>
      </c>
      <c r="P1856" t="s">
        <v>376</v>
      </c>
      <c r="Q1856">
        <v>77</v>
      </c>
      <c r="R1856" t="s">
        <v>295</v>
      </c>
      <c r="S1856" t="s">
        <v>17</v>
      </c>
      <c r="T1856" t="s">
        <v>366</v>
      </c>
    </row>
    <row r="1857" spans="4:20" ht="15.75" customHeight="1" x14ac:dyDescent="0.2">
      <c r="D1857" t="s">
        <v>285</v>
      </c>
      <c r="E1857" t="s">
        <v>431</v>
      </c>
      <c r="F1857">
        <v>11</v>
      </c>
      <c r="P1857" t="s">
        <v>376</v>
      </c>
      <c r="Q1857">
        <v>77</v>
      </c>
      <c r="R1857" t="s">
        <v>296</v>
      </c>
      <c r="S1857" t="s">
        <v>1</v>
      </c>
      <c r="T1857">
        <v>1</v>
      </c>
    </row>
    <row r="1858" spans="4:20" ht="15.75" customHeight="1" x14ac:dyDescent="0.2">
      <c r="D1858" t="s">
        <v>285</v>
      </c>
      <c r="E1858" t="s">
        <v>431</v>
      </c>
      <c r="F1858">
        <v>11</v>
      </c>
      <c r="P1858" t="s">
        <v>376</v>
      </c>
      <c r="Q1858">
        <v>77</v>
      </c>
      <c r="R1858" t="s">
        <v>297</v>
      </c>
      <c r="S1858" t="s">
        <v>18</v>
      </c>
      <c r="T1858" t="s">
        <v>366</v>
      </c>
    </row>
    <row r="1859" spans="4:20" ht="15.75" customHeight="1" x14ac:dyDescent="0.2">
      <c r="D1859" t="s">
        <v>285</v>
      </c>
      <c r="E1859" t="s">
        <v>431</v>
      </c>
      <c r="F1859">
        <v>11</v>
      </c>
      <c r="P1859" t="s">
        <v>376</v>
      </c>
      <c r="Q1859">
        <v>77</v>
      </c>
      <c r="R1859" t="s">
        <v>298</v>
      </c>
      <c r="S1859" t="s">
        <v>19</v>
      </c>
      <c r="T1859">
        <v>4</v>
      </c>
    </row>
    <row r="1860" spans="4:20" ht="15.75" customHeight="1" x14ac:dyDescent="0.2">
      <c r="D1860" t="s">
        <v>285</v>
      </c>
      <c r="E1860" t="s">
        <v>431</v>
      </c>
      <c r="F1860">
        <v>11</v>
      </c>
      <c r="P1860" t="s">
        <v>376</v>
      </c>
      <c r="Q1860">
        <v>77</v>
      </c>
      <c r="R1860" t="s">
        <v>299</v>
      </c>
      <c r="S1860" t="s">
        <v>20</v>
      </c>
      <c r="T1860">
        <v>0</v>
      </c>
    </row>
    <row r="1861" spans="4:20" ht="15.75" customHeight="1" x14ac:dyDescent="0.2">
      <c r="D1861" t="s">
        <v>285</v>
      </c>
      <c r="E1861" t="s">
        <v>431</v>
      </c>
      <c r="F1861">
        <v>11</v>
      </c>
      <c r="P1861" t="s">
        <v>382</v>
      </c>
      <c r="Q1861">
        <v>78</v>
      </c>
      <c r="R1861" t="s">
        <v>288</v>
      </c>
      <c r="S1861" t="s">
        <v>2</v>
      </c>
      <c r="T1861">
        <v>0</v>
      </c>
    </row>
    <row r="1862" spans="4:20" ht="15.75" customHeight="1" x14ac:dyDescent="0.2">
      <c r="D1862" t="s">
        <v>285</v>
      </c>
      <c r="E1862" t="s">
        <v>431</v>
      </c>
      <c r="F1862">
        <v>11</v>
      </c>
      <c r="P1862" t="s">
        <v>382</v>
      </c>
      <c r="Q1862">
        <v>78</v>
      </c>
      <c r="R1862" t="s">
        <v>289</v>
      </c>
      <c r="S1862" t="s">
        <v>5</v>
      </c>
      <c r="T1862">
        <v>0</v>
      </c>
    </row>
    <row r="1863" spans="4:20" ht="15.75" customHeight="1" x14ac:dyDescent="0.2">
      <c r="D1863" t="s">
        <v>285</v>
      </c>
      <c r="E1863" t="s">
        <v>431</v>
      </c>
      <c r="F1863">
        <v>11</v>
      </c>
      <c r="P1863" t="s">
        <v>382</v>
      </c>
      <c r="Q1863">
        <v>78</v>
      </c>
      <c r="R1863" t="s">
        <v>290</v>
      </c>
      <c r="S1863" t="s">
        <v>3</v>
      </c>
      <c r="T1863">
        <v>0</v>
      </c>
    </row>
    <row r="1864" spans="4:20" ht="15.75" customHeight="1" x14ac:dyDescent="0.2">
      <c r="D1864" t="s">
        <v>285</v>
      </c>
      <c r="E1864" t="s">
        <v>431</v>
      </c>
      <c r="F1864">
        <v>11</v>
      </c>
      <c r="P1864" t="s">
        <v>382</v>
      </c>
      <c r="Q1864">
        <v>78</v>
      </c>
      <c r="R1864" t="s">
        <v>291</v>
      </c>
      <c r="S1864" t="s">
        <v>4</v>
      </c>
      <c r="T1864">
        <v>0</v>
      </c>
    </row>
    <row r="1865" spans="4:20" ht="15.75" customHeight="1" x14ac:dyDescent="0.2">
      <c r="D1865" t="s">
        <v>285</v>
      </c>
      <c r="E1865" t="s">
        <v>431</v>
      </c>
      <c r="F1865">
        <v>11</v>
      </c>
      <c r="P1865" t="s">
        <v>382</v>
      </c>
      <c r="Q1865">
        <v>78</v>
      </c>
      <c r="R1865" t="s">
        <v>292</v>
      </c>
      <c r="S1865" t="s">
        <v>6</v>
      </c>
      <c r="T1865">
        <v>0</v>
      </c>
    </row>
    <row r="1866" spans="4:20" ht="15.75" customHeight="1" x14ac:dyDescent="0.2">
      <c r="D1866" t="s">
        <v>285</v>
      </c>
      <c r="E1866" t="s">
        <v>431</v>
      </c>
      <c r="F1866">
        <v>11</v>
      </c>
      <c r="P1866" t="s">
        <v>382</v>
      </c>
      <c r="Q1866">
        <v>78</v>
      </c>
      <c r="R1866" t="s">
        <v>243</v>
      </c>
      <c r="S1866" t="s">
        <v>7</v>
      </c>
      <c r="T1866">
        <v>0</v>
      </c>
    </row>
    <row r="1867" spans="4:20" ht="15.75" customHeight="1" x14ac:dyDescent="0.2">
      <c r="D1867" t="s">
        <v>285</v>
      </c>
      <c r="E1867" t="s">
        <v>431</v>
      </c>
      <c r="F1867">
        <v>11</v>
      </c>
      <c r="P1867" t="s">
        <v>382</v>
      </c>
      <c r="Q1867">
        <v>78</v>
      </c>
      <c r="R1867" t="s">
        <v>245</v>
      </c>
      <c r="S1867" t="s">
        <v>8</v>
      </c>
      <c r="T1867">
        <v>0</v>
      </c>
    </row>
    <row r="1868" spans="4:20" ht="15.75" customHeight="1" x14ac:dyDescent="0.2">
      <c r="D1868" t="s">
        <v>285</v>
      </c>
      <c r="E1868" t="s">
        <v>431</v>
      </c>
      <c r="F1868">
        <v>11</v>
      </c>
      <c r="P1868" t="s">
        <v>382</v>
      </c>
      <c r="Q1868">
        <v>78</v>
      </c>
      <c r="R1868" t="s">
        <v>247</v>
      </c>
      <c r="S1868" t="s">
        <v>9</v>
      </c>
      <c r="T1868">
        <v>0</v>
      </c>
    </row>
    <row r="1869" spans="4:20" ht="15.75" customHeight="1" x14ac:dyDescent="0.2">
      <c r="D1869" t="s">
        <v>285</v>
      </c>
      <c r="E1869" t="s">
        <v>431</v>
      </c>
      <c r="F1869">
        <v>11</v>
      </c>
      <c r="P1869" t="s">
        <v>382</v>
      </c>
      <c r="Q1869">
        <v>78</v>
      </c>
      <c r="R1869" t="s">
        <v>249</v>
      </c>
      <c r="S1869" t="s">
        <v>10</v>
      </c>
      <c r="T1869">
        <v>1</v>
      </c>
    </row>
    <row r="1870" spans="4:20" ht="15.75" customHeight="1" x14ac:dyDescent="0.2">
      <c r="D1870" t="s">
        <v>285</v>
      </c>
      <c r="E1870" t="s">
        <v>431</v>
      </c>
      <c r="F1870">
        <v>11</v>
      </c>
      <c r="P1870" t="s">
        <v>382</v>
      </c>
      <c r="Q1870">
        <v>78</v>
      </c>
      <c r="R1870" t="s">
        <v>251</v>
      </c>
      <c r="S1870" t="s">
        <v>11</v>
      </c>
      <c r="T1870">
        <v>1</v>
      </c>
    </row>
    <row r="1871" spans="4:20" ht="15.75" customHeight="1" x14ac:dyDescent="0.2">
      <c r="D1871" t="s">
        <v>285</v>
      </c>
      <c r="E1871" t="s">
        <v>431</v>
      </c>
      <c r="F1871">
        <v>11</v>
      </c>
      <c r="P1871" t="s">
        <v>382</v>
      </c>
      <c r="Q1871">
        <v>78</v>
      </c>
      <c r="R1871" t="s">
        <v>253</v>
      </c>
      <c r="S1871" t="s">
        <v>12</v>
      </c>
      <c r="T1871">
        <v>0</v>
      </c>
    </row>
    <row r="1872" spans="4:20" ht="15.75" customHeight="1" x14ac:dyDescent="0.2">
      <c r="D1872" t="s">
        <v>285</v>
      </c>
      <c r="E1872" t="s">
        <v>431</v>
      </c>
      <c r="F1872">
        <v>11</v>
      </c>
      <c r="P1872" t="s">
        <v>382</v>
      </c>
      <c r="Q1872">
        <v>78</v>
      </c>
      <c r="R1872" t="s">
        <v>255</v>
      </c>
      <c r="S1872" t="s">
        <v>15</v>
      </c>
      <c r="T1872">
        <v>0</v>
      </c>
    </row>
    <row r="1873" spans="4:20" ht="15.75" customHeight="1" x14ac:dyDescent="0.2">
      <c r="D1873" t="s">
        <v>285</v>
      </c>
      <c r="E1873" t="s">
        <v>431</v>
      </c>
      <c r="F1873">
        <v>11</v>
      </c>
      <c r="P1873" t="s">
        <v>382</v>
      </c>
      <c r="Q1873">
        <v>78</v>
      </c>
      <c r="R1873" t="s">
        <v>293</v>
      </c>
      <c r="S1873" t="s">
        <v>13</v>
      </c>
      <c r="T1873">
        <v>0</v>
      </c>
    </row>
    <row r="1874" spans="4:20" ht="15.75" customHeight="1" x14ac:dyDescent="0.2">
      <c r="D1874" t="s">
        <v>285</v>
      </c>
      <c r="E1874" t="s">
        <v>431</v>
      </c>
      <c r="F1874">
        <v>11</v>
      </c>
      <c r="P1874" t="s">
        <v>382</v>
      </c>
      <c r="Q1874">
        <v>78</v>
      </c>
      <c r="R1874" t="s">
        <v>294</v>
      </c>
      <c r="S1874" t="s">
        <v>14</v>
      </c>
      <c r="T1874">
        <v>1</v>
      </c>
    </row>
    <row r="1875" spans="4:20" ht="15.75" customHeight="1" x14ac:dyDescent="0.2">
      <c r="D1875" t="s">
        <v>285</v>
      </c>
      <c r="E1875" t="s">
        <v>431</v>
      </c>
      <c r="F1875">
        <v>11</v>
      </c>
      <c r="P1875" t="s">
        <v>382</v>
      </c>
      <c r="Q1875">
        <v>78</v>
      </c>
      <c r="R1875" t="s">
        <v>257</v>
      </c>
      <c r="S1875" t="s">
        <v>16</v>
      </c>
      <c r="T1875">
        <v>0</v>
      </c>
    </row>
    <row r="1876" spans="4:20" ht="15.75" customHeight="1" x14ac:dyDescent="0.2">
      <c r="D1876" t="s">
        <v>285</v>
      </c>
      <c r="E1876" t="s">
        <v>431</v>
      </c>
      <c r="F1876">
        <v>11</v>
      </c>
      <c r="P1876" t="s">
        <v>382</v>
      </c>
      <c r="Q1876">
        <v>78</v>
      </c>
      <c r="R1876" t="s">
        <v>295</v>
      </c>
      <c r="S1876" t="s">
        <v>17</v>
      </c>
      <c r="T1876" t="s">
        <v>366</v>
      </c>
    </row>
    <row r="1877" spans="4:20" ht="15.75" customHeight="1" x14ac:dyDescent="0.2">
      <c r="D1877" t="s">
        <v>285</v>
      </c>
      <c r="E1877" t="s">
        <v>431</v>
      </c>
      <c r="F1877">
        <v>11</v>
      </c>
      <c r="P1877" t="s">
        <v>382</v>
      </c>
      <c r="Q1877">
        <v>78</v>
      </c>
      <c r="R1877" t="s">
        <v>296</v>
      </c>
      <c r="S1877" t="s">
        <v>1</v>
      </c>
      <c r="T1877">
        <v>1</v>
      </c>
    </row>
    <row r="1878" spans="4:20" ht="15.75" customHeight="1" x14ac:dyDescent="0.2">
      <c r="D1878" t="s">
        <v>285</v>
      </c>
      <c r="E1878" t="s">
        <v>431</v>
      </c>
      <c r="F1878">
        <v>11</v>
      </c>
      <c r="P1878" t="s">
        <v>382</v>
      </c>
      <c r="Q1878">
        <v>78</v>
      </c>
      <c r="R1878" t="s">
        <v>297</v>
      </c>
      <c r="S1878" t="s">
        <v>18</v>
      </c>
      <c r="T1878" t="s">
        <v>366</v>
      </c>
    </row>
    <row r="1879" spans="4:20" ht="15.75" customHeight="1" x14ac:dyDescent="0.2">
      <c r="D1879" t="s">
        <v>285</v>
      </c>
      <c r="E1879" t="s">
        <v>431</v>
      </c>
      <c r="F1879">
        <v>11</v>
      </c>
      <c r="P1879" t="s">
        <v>382</v>
      </c>
      <c r="Q1879">
        <v>78</v>
      </c>
      <c r="R1879" t="s">
        <v>298</v>
      </c>
      <c r="S1879" t="s">
        <v>19</v>
      </c>
      <c r="T1879">
        <v>4</v>
      </c>
    </row>
    <row r="1880" spans="4:20" ht="15.75" customHeight="1" x14ac:dyDescent="0.2">
      <c r="D1880" t="s">
        <v>285</v>
      </c>
      <c r="E1880" t="s">
        <v>431</v>
      </c>
      <c r="F1880">
        <v>11</v>
      </c>
      <c r="P1880" t="s">
        <v>382</v>
      </c>
      <c r="Q1880">
        <v>78</v>
      </c>
      <c r="R1880" t="s">
        <v>299</v>
      </c>
      <c r="S1880" t="s">
        <v>20</v>
      </c>
      <c r="T1880">
        <v>0</v>
      </c>
    </row>
    <row r="1881" spans="4:20" ht="15.75" customHeight="1" x14ac:dyDescent="0.2">
      <c r="D1881" t="s">
        <v>285</v>
      </c>
      <c r="E1881" t="s">
        <v>431</v>
      </c>
      <c r="F1881">
        <v>11</v>
      </c>
      <c r="P1881" t="s">
        <v>383</v>
      </c>
      <c r="Q1881">
        <v>79</v>
      </c>
      <c r="R1881" t="s">
        <v>288</v>
      </c>
      <c r="S1881" t="s">
        <v>2</v>
      </c>
      <c r="T1881">
        <v>0</v>
      </c>
    </row>
    <row r="1882" spans="4:20" ht="15.75" customHeight="1" x14ac:dyDescent="0.2">
      <c r="D1882" t="s">
        <v>285</v>
      </c>
      <c r="E1882" t="s">
        <v>431</v>
      </c>
      <c r="F1882">
        <v>11</v>
      </c>
      <c r="P1882" t="s">
        <v>383</v>
      </c>
      <c r="Q1882">
        <v>79</v>
      </c>
      <c r="R1882" t="s">
        <v>289</v>
      </c>
      <c r="S1882" t="s">
        <v>5</v>
      </c>
      <c r="T1882">
        <v>0</v>
      </c>
    </row>
    <row r="1883" spans="4:20" ht="15.75" customHeight="1" x14ac:dyDescent="0.2">
      <c r="D1883" t="s">
        <v>285</v>
      </c>
      <c r="E1883" t="s">
        <v>431</v>
      </c>
      <c r="F1883">
        <v>11</v>
      </c>
      <c r="P1883" t="s">
        <v>383</v>
      </c>
      <c r="Q1883">
        <v>79</v>
      </c>
      <c r="R1883" t="s">
        <v>290</v>
      </c>
      <c r="S1883" t="s">
        <v>3</v>
      </c>
      <c r="T1883">
        <v>0</v>
      </c>
    </row>
    <row r="1884" spans="4:20" ht="15.75" customHeight="1" x14ac:dyDescent="0.2">
      <c r="D1884" t="s">
        <v>285</v>
      </c>
      <c r="E1884" t="s">
        <v>431</v>
      </c>
      <c r="F1884">
        <v>11</v>
      </c>
      <c r="P1884" t="s">
        <v>383</v>
      </c>
      <c r="Q1884">
        <v>79</v>
      </c>
      <c r="R1884" t="s">
        <v>291</v>
      </c>
      <c r="S1884" t="s">
        <v>4</v>
      </c>
      <c r="T1884">
        <v>0</v>
      </c>
    </row>
    <row r="1885" spans="4:20" ht="15.75" customHeight="1" x14ac:dyDescent="0.2">
      <c r="D1885" t="s">
        <v>285</v>
      </c>
      <c r="E1885" t="s">
        <v>431</v>
      </c>
      <c r="F1885">
        <v>11</v>
      </c>
      <c r="P1885" t="s">
        <v>383</v>
      </c>
      <c r="Q1885">
        <v>79</v>
      </c>
      <c r="R1885" t="s">
        <v>292</v>
      </c>
      <c r="S1885" t="s">
        <v>6</v>
      </c>
      <c r="T1885">
        <v>0</v>
      </c>
    </row>
    <row r="1886" spans="4:20" ht="15.75" customHeight="1" x14ac:dyDescent="0.2">
      <c r="D1886" t="s">
        <v>285</v>
      </c>
      <c r="E1886" t="s">
        <v>431</v>
      </c>
      <c r="F1886">
        <v>11</v>
      </c>
      <c r="P1886" t="s">
        <v>383</v>
      </c>
      <c r="Q1886">
        <v>79</v>
      </c>
      <c r="R1886" t="s">
        <v>243</v>
      </c>
      <c r="S1886" t="s">
        <v>7</v>
      </c>
      <c r="T1886">
        <v>0</v>
      </c>
    </row>
    <row r="1887" spans="4:20" ht="15.75" customHeight="1" x14ac:dyDescent="0.2">
      <c r="D1887" t="s">
        <v>285</v>
      </c>
      <c r="E1887" t="s">
        <v>431</v>
      </c>
      <c r="F1887">
        <v>11</v>
      </c>
      <c r="P1887" t="s">
        <v>383</v>
      </c>
      <c r="Q1887">
        <v>79</v>
      </c>
      <c r="R1887" t="s">
        <v>245</v>
      </c>
      <c r="S1887" t="s">
        <v>8</v>
      </c>
      <c r="T1887" t="s">
        <v>364</v>
      </c>
    </row>
    <row r="1888" spans="4:20" ht="15.75" customHeight="1" x14ac:dyDescent="0.2">
      <c r="D1888" t="s">
        <v>285</v>
      </c>
      <c r="E1888" t="s">
        <v>431</v>
      </c>
      <c r="F1888">
        <v>11</v>
      </c>
      <c r="P1888" t="s">
        <v>383</v>
      </c>
      <c r="Q1888">
        <v>79</v>
      </c>
      <c r="R1888" t="s">
        <v>247</v>
      </c>
      <c r="S1888" t="s">
        <v>9</v>
      </c>
      <c r="T1888" t="s">
        <v>364</v>
      </c>
    </row>
    <row r="1889" spans="4:23" ht="15.75" customHeight="1" x14ac:dyDescent="0.2">
      <c r="D1889" t="s">
        <v>285</v>
      </c>
      <c r="E1889" t="s">
        <v>431</v>
      </c>
      <c r="F1889">
        <v>11</v>
      </c>
      <c r="P1889" t="s">
        <v>383</v>
      </c>
      <c r="Q1889">
        <v>79</v>
      </c>
      <c r="R1889" t="s">
        <v>249</v>
      </c>
      <c r="S1889" t="s">
        <v>10</v>
      </c>
      <c r="T1889">
        <v>0</v>
      </c>
    </row>
    <row r="1890" spans="4:23" ht="15.75" customHeight="1" x14ac:dyDescent="0.2">
      <c r="D1890" t="s">
        <v>285</v>
      </c>
      <c r="E1890" t="s">
        <v>431</v>
      </c>
      <c r="F1890">
        <v>11</v>
      </c>
      <c r="P1890" t="s">
        <v>383</v>
      </c>
      <c r="Q1890">
        <v>79</v>
      </c>
      <c r="R1890" t="s">
        <v>251</v>
      </c>
      <c r="S1890" t="s">
        <v>11</v>
      </c>
      <c r="T1890">
        <v>0</v>
      </c>
    </row>
    <row r="1891" spans="4:23" ht="15.75" customHeight="1" x14ac:dyDescent="0.2">
      <c r="D1891" t="s">
        <v>285</v>
      </c>
      <c r="E1891" t="s">
        <v>431</v>
      </c>
      <c r="F1891">
        <v>11</v>
      </c>
      <c r="P1891" t="s">
        <v>383</v>
      </c>
      <c r="Q1891">
        <v>79</v>
      </c>
      <c r="R1891" t="s">
        <v>253</v>
      </c>
      <c r="S1891" t="s">
        <v>12</v>
      </c>
      <c r="T1891" t="s">
        <v>364</v>
      </c>
    </row>
    <row r="1892" spans="4:23" ht="15.75" customHeight="1" x14ac:dyDescent="0.2">
      <c r="D1892" t="s">
        <v>285</v>
      </c>
      <c r="E1892" t="s">
        <v>431</v>
      </c>
      <c r="F1892">
        <v>11</v>
      </c>
      <c r="P1892" t="s">
        <v>383</v>
      </c>
      <c r="Q1892">
        <v>79</v>
      </c>
      <c r="R1892" t="s">
        <v>255</v>
      </c>
      <c r="S1892" t="s">
        <v>15</v>
      </c>
      <c r="T1892">
        <v>0</v>
      </c>
    </row>
    <row r="1893" spans="4:23" ht="15.75" customHeight="1" x14ac:dyDescent="0.2">
      <c r="D1893" t="s">
        <v>285</v>
      </c>
      <c r="E1893" t="s">
        <v>431</v>
      </c>
      <c r="F1893">
        <v>11</v>
      </c>
      <c r="P1893" t="s">
        <v>383</v>
      </c>
      <c r="Q1893">
        <v>79</v>
      </c>
      <c r="R1893" t="s">
        <v>293</v>
      </c>
      <c r="S1893" t="s">
        <v>13</v>
      </c>
      <c r="T1893">
        <v>0</v>
      </c>
    </row>
    <row r="1894" spans="4:23" ht="15.75" customHeight="1" x14ac:dyDescent="0.2">
      <c r="D1894" t="s">
        <v>285</v>
      </c>
      <c r="E1894" t="s">
        <v>431</v>
      </c>
      <c r="F1894">
        <v>11</v>
      </c>
      <c r="P1894" t="s">
        <v>383</v>
      </c>
      <c r="Q1894">
        <v>79</v>
      </c>
      <c r="R1894" t="s">
        <v>294</v>
      </c>
      <c r="S1894" t="s">
        <v>14</v>
      </c>
      <c r="T1894">
        <v>1</v>
      </c>
    </row>
    <row r="1895" spans="4:23" ht="15.75" customHeight="1" x14ac:dyDescent="0.2">
      <c r="D1895" t="s">
        <v>285</v>
      </c>
      <c r="E1895" t="s">
        <v>431</v>
      </c>
      <c r="F1895">
        <v>11</v>
      </c>
      <c r="P1895" t="s">
        <v>383</v>
      </c>
      <c r="Q1895">
        <v>79</v>
      </c>
      <c r="R1895" t="s">
        <v>257</v>
      </c>
      <c r="S1895" t="s">
        <v>16</v>
      </c>
      <c r="T1895">
        <v>0</v>
      </c>
    </row>
    <row r="1896" spans="4:23" ht="15.75" customHeight="1" x14ac:dyDescent="0.2">
      <c r="D1896" t="s">
        <v>285</v>
      </c>
      <c r="E1896" t="s">
        <v>431</v>
      </c>
      <c r="F1896">
        <v>11</v>
      </c>
      <c r="P1896" t="s">
        <v>383</v>
      </c>
      <c r="Q1896">
        <v>79</v>
      </c>
      <c r="R1896" t="s">
        <v>295</v>
      </c>
      <c r="S1896" t="s">
        <v>17</v>
      </c>
      <c r="T1896" t="s">
        <v>366</v>
      </c>
    </row>
    <row r="1897" spans="4:23" ht="15.75" customHeight="1" x14ac:dyDescent="0.2">
      <c r="D1897" t="s">
        <v>285</v>
      </c>
      <c r="E1897" t="s">
        <v>431</v>
      </c>
      <c r="F1897">
        <v>11</v>
      </c>
      <c r="P1897" t="s">
        <v>383</v>
      </c>
      <c r="Q1897">
        <v>79</v>
      </c>
      <c r="R1897" t="s">
        <v>296</v>
      </c>
      <c r="S1897" t="s">
        <v>1</v>
      </c>
      <c r="T1897">
        <v>1</v>
      </c>
    </row>
    <row r="1898" spans="4:23" ht="15.75" customHeight="1" x14ac:dyDescent="0.2">
      <c r="D1898" t="s">
        <v>285</v>
      </c>
      <c r="E1898" t="s">
        <v>431</v>
      </c>
      <c r="F1898">
        <v>11</v>
      </c>
      <c r="P1898" t="s">
        <v>383</v>
      </c>
      <c r="Q1898">
        <v>79</v>
      </c>
      <c r="R1898" t="s">
        <v>297</v>
      </c>
      <c r="S1898" t="s">
        <v>18</v>
      </c>
      <c r="T1898" t="s">
        <v>366</v>
      </c>
    </row>
    <row r="1899" spans="4:23" ht="15.75" customHeight="1" x14ac:dyDescent="0.2">
      <c r="D1899" t="s">
        <v>285</v>
      </c>
      <c r="E1899" t="s">
        <v>431</v>
      </c>
      <c r="F1899">
        <v>11</v>
      </c>
      <c r="P1899" t="s">
        <v>383</v>
      </c>
      <c r="Q1899">
        <v>79</v>
      </c>
      <c r="R1899" t="s">
        <v>298</v>
      </c>
      <c r="S1899" t="s">
        <v>19</v>
      </c>
      <c r="T1899">
        <v>4</v>
      </c>
    </row>
    <row r="1900" spans="4:23" ht="15.75" customHeight="1" x14ac:dyDescent="0.2">
      <c r="D1900" t="s">
        <v>285</v>
      </c>
      <c r="E1900" t="s">
        <v>431</v>
      </c>
      <c r="F1900">
        <v>11</v>
      </c>
      <c r="P1900" t="s">
        <v>383</v>
      </c>
      <c r="Q1900">
        <v>79</v>
      </c>
      <c r="R1900" t="s">
        <v>299</v>
      </c>
      <c r="S1900" t="s">
        <v>20</v>
      </c>
      <c r="T1900">
        <v>1</v>
      </c>
    </row>
    <row r="1901" spans="4:23" ht="15.75" customHeight="1" x14ac:dyDescent="0.2">
      <c r="D1901" t="s">
        <v>285</v>
      </c>
      <c r="E1901" t="s">
        <v>431</v>
      </c>
      <c r="F1901">
        <v>11</v>
      </c>
      <c r="U1901" t="s">
        <v>300</v>
      </c>
      <c r="V1901" t="s">
        <v>301</v>
      </c>
      <c r="W1901">
        <v>0</v>
      </c>
    </row>
    <row r="1902" spans="4:23" ht="15.75" customHeight="1" x14ac:dyDescent="0.2">
      <c r="D1902" t="s">
        <v>285</v>
      </c>
      <c r="E1902" t="s">
        <v>431</v>
      </c>
      <c r="F1902">
        <v>11</v>
      </c>
      <c r="U1902" t="s">
        <v>288</v>
      </c>
      <c r="V1902" t="s">
        <v>302</v>
      </c>
      <c r="W1902">
        <v>0</v>
      </c>
    </row>
    <row r="1903" spans="4:23" ht="15.75" customHeight="1" x14ac:dyDescent="0.2">
      <c r="D1903" t="s">
        <v>285</v>
      </c>
      <c r="E1903" t="s">
        <v>431</v>
      </c>
      <c r="F1903">
        <v>11</v>
      </c>
      <c r="U1903" t="s">
        <v>303</v>
      </c>
      <c r="V1903" t="s">
        <v>304</v>
      </c>
      <c r="W1903">
        <v>6</v>
      </c>
    </row>
    <row r="1904" spans="4:23" ht="15.75" customHeight="1" x14ac:dyDescent="0.2">
      <c r="D1904" t="s">
        <v>285</v>
      </c>
      <c r="E1904" t="s">
        <v>431</v>
      </c>
      <c r="F1904">
        <v>11</v>
      </c>
      <c r="U1904" t="s">
        <v>305</v>
      </c>
      <c r="V1904" t="s">
        <v>306</v>
      </c>
      <c r="W1904" t="s">
        <v>366</v>
      </c>
    </row>
    <row r="1905" spans="4:23" ht="15.75" customHeight="1" x14ac:dyDescent="0.2">
      <c r="D1905" t="s">
        <v>285</v>
      </c>
      <c r="E1905" t="s">
        <v>431</v>
      </c>
      <c r="F1905">
        <v>11</v>
      </c>
      <c r="U1905" t="s">
        <v>307</v>
      </c>
      <c r="V1905" t="s">
        <v>308</v>
      </c>
      <c r="W1905" t="s">
        <v>366</v>
      </c>
    </row>
    <row r="1906" spans="4:23" ht="15.75" customHeight="1" x14ac:dyDescent="0.2">
      <c r="D1906" t="s">
        <v>285</v>
      </c>
      <c r="E1906" t="s">
        <v>431</v>
      </c>
      <c r="F1906">
        <v>11</v>
      </c>
      <c r="U1906" t="s">
        <v>243</v>
      </c>
      <c r="V1906" t="s">
        <v>309</v>
      </c>
      <c r="W1906" t="s">
        <v>366</v>
      </c>
    </row>
    <row r="1907" spans="4:23" ht="15.75" customHeight="1" x14ac:dyDescent="0.2">
      <c r="D1907" t="s">
        <v>285</v>
      </c>
      <c r="E1907" t="s">
        <v>431</v>
      </c>
      <c r="F1907">
        <v>11</v>
      </c>
      <c r="U1907" t="s">
        <v>245</v>
      </c>
      <c r="V1907" t="s">
        <v>310</v>
      </c>
      <c r="W1907" t="s">
        <v>366</v>
      </c>
    </row>
    <row r="1908" spans="4:23" ht="15.75" customHeight="1" x14ac:dyDescent="0.2">
      <c r="D1908" t="s">
        <v>285</v>
      </c>
      <c r="E1908" t="s">
        <v>431</v>
      </c>
      <c r="F1908">
        <v>11</v>
      </c>
      <c r="U1908" t="s">
        <v>247</v>
      </c>
      <c r="V1908" t="s">
        <v>311</v>
      </c>
      <c r="W1908" t="s">
        <v>366</v>
      </c>
    </row>
    <row r="1909" spans="4:23" ht="15.75" customHeight="1" x14ac:dyDescent="0.2">
      <c r="D1909" t="s">
        <v>285</v>
      </c>
      <c r="E1909" t="s">
        <v>431</v>
      </c>
      <c r="F1909">
        <v>11</v>
      </c>
      <c r="U1909" t="s">
        <v>249</v>
      </c>
      <c r="V1909" t="s">
        <v>312</v>
      </c>
      <c r="W1909" t="s">
        <v>366</v>
      </c>
    </row>
    <row r="1910" spans="4:23" ht="15.75" customHeight="1" x14ac:dyDescent="0.2">
      <c r="D1910" t="s">
        <v>285</v>
      </c>
      <c r="E1910" t="s">
        <v>431</v>
      </c>
      <c r="F1910">
        <v>11</v>
      </c>
      <c r="U1910" t="s">
        <v>251</v>
      </c>
      <c r="V1910" t="s">
        <v>313</v>
      </c>
      <c r="W1910" t="s">
        <v>366</v>
      </c>
    </row>
    <row r="1911" spans="4:23" ht="15.75" customHeight="1" x14ac:dyDescent="0.2">
      <c r="D1911" t="s">
        <v>285</v>
      </c>
      <c r="E1911" t="s">
        <v>431</v>
      </c>
      <c r="F1911">
        <v>11</v>
      </c>
      <c r="U1911" t="s">
        <v>253</v>
      </c>
      <c r="V1911" t="s">
        <v>314</v>
      </c>
      <c r="W1911" t="s">
        <v>366</v>
      </c>
    </row>
    <row r="1912" spans="4:23" ht="15.75" customHeight="1" x14ac:dyDescent="0.2">
      <c r="D1912" t="s">
        <v>285</v>
      </c>
      <c r="E1912" t="s">
        <v>431</v>
      </c>
      <c r="F1912">
        <v>11</v>
      </c>
      <c r="U1912" t="s">
        <v>315</v>
      </c>
      <c r="V1912" t="s">
        <v>316</v>
      </c>
      <c r="W1912" t="s">
        <v>366</v>
      </c>
    </row>
    <row r="1913" spans="4:23" ht="15.75" customHeight="1" x14ac:dyDescent="0.2">
      <c r="D1913" t="s">
        <v>285</v>
      </c>
      <c r="E1913" t="s">
        <v>431</v>
      </c>
      <c r="F1913">
        <v>11</v>
      </c>
      <c r="U1913" t="s">
        <v>317</v>
      </c>
      <c r="V1913" t="s">
        <v>318</v>
      </c>
      <c r="W1913">
        <v>0</v>
      </c>
    </row>
    <row r="1914" spans="4:23" ht="15.75" customHeight="1" x14ac:dyDescent="0.2">
      <c r="D1914" t="s">
        <v>285</v>
      </c>
      <c r="E1914" t="s">
        <v>431</v>
      </c>
      <c r="F1914">
        <v>11</v>
      </c>
      <c r="U1914" t="s">
        <v>257</v>
      </c>
      <c r="V1914" t="s">
        <v>319</v>
      </c>
      <c r="W1914">
        <v>0</v>
      </c>
    </row>
    <row r="1915" spans="4:23" ht="15.75" customHeight="1" x14ac:dyDescent="0.2">
      <c r="D1915" t="s">
        <v>285</v>
      </c>
      <c r="E1915" t="s">
        <v>431</v>
      </c>
      <c r="F1915">
        <v>11</v>
      </c>
      <c r="U1915" t="s">
        <v>320</v>
      </c>
      <c r="V1915" t="s">
        <v>321</v>
      </c>
      <c r="W1915" t="s">
        <v>366</v>
      </c>
    </row>
    <row r="1916" spans="4:23" ht="15.75" customHeight="1" x14ac:dyDescent="0.2">
      <c r="D1916" t="s">
        <v>285</v>
      </c>
      <c r="E1916" t="s">
        <v>431</v>
      </c>
      <c r="F1916">
        <v>11</v>
      </c>
      <c r="U1916" t="s">
        <v>263</v>
      </c>
      <c r="V1916" t="s">
        <v>322</v>
      </c>
      <c r="W1916" t="s">
        <v>366</v>
      </c>
    </row>
    <row r="1917" spans="4:23" ht="15.75" customHeight="1" x14ac:dyDescent="0.2">
      <c r="D1917" t="s">
        <v>285</v>
      </c>
      <c r="E1917" t="s">
        <v>431</v>
      </c>
      <c r="F1917">
        <v>11</v>
      </c>
      <c r="U1917" t="s">
        <v>323</v>
      </c>
      <c r="V1917" t="s">
        <v>324</v>
      </c>
      <c r="W1917" t="s">
        <v>366</v>
      </c>
    </row>
    <row r="1918" spans="4:23" ht="15.75" customHeight="1" x14ac:dyDescent="0.2">
      <c r="D1918" t="s">
        <v>285</v>
      </c>
      <c r="E1918" t="s">
        <v>431</v>
      </c>
      <c r="F1918">
        <v>11</v>
      </c>
      <c r="U1918" t="s">
        <v>325</v>
      </c>
      <c r="V1918" t="s">
        <v>326</v>
      </c>
      <c r="W1918" t="s">
        <v>366</v>
      </c>
    </row>
    <row r="1919" spans="4:23" ht="15.75" customHeight="1" x14ac:dyDescent="0.2">
      <c r="D1919" t="s">
        <v>285</v>
      </c>
      <c r="E1919" t="s">
        <v>431</v>
      </c>
      <c r="F1919">
        <v>11</v>
      </c>
      <c r="U1919" t="s">
        <v>327</v>
      </c>
      <c r="V1919" t="s">
        <v>328</v>
      </c>
      <c r="W1919" t="s">
        <v>366</v>
      </c>
    </row>
    <row r="1920" spans="4:23" ht="15.75" customHeight="1" x14ac:dyDescent="0.2">
      <c r="D1920" t="s">
        <v>285</v>
      </c>
      <c r="E1920" t="s">
        <v>431</v>
      </c>
      <c r="F1920">
        <v>11</v>
      </c>
      <c r="U1920" t="s">
        <v>329</v>
      </c>
      <c r="V1920" t="s">
        <v>330</v>
      </c>
      <c r="W1920" t="s">
        <v>366</v>
      </c>
    </row>
    <row r="1921" spans="4:23" ht="15.75" customHeight="1" x14ac:dyDescent="0.2">
      <c r="D1921" t="s">
        <v>285</v>
      </c>
      <c r="E1921" t="s">
        <v>431</v>
      </c>
      <c r="F1921">
        <v>11</v>
      </c>
      <c r="U1921" t="s">
        <v>331</v>
      </c>
      <c r="V1921" t="s">
        <v>332</v>
      </c>
      <c r="W1921" t="s">
        <v>366</v>
      </c>
    </row>
    <row r="1922" spans="4:23" ht="15.75" customHeight="1" x14ac:dyDescent="0.2">
      <c r="D1922" t="s">
        <v>285</v>
      </c>
      <c r="E1922" t="s">
        <v>431</v>
      </c>
      <c r="F1922">
        <v>11</v>
      </c>
      <c r="U1922" t="s">
        <v>333</v>
      </c>
      <c r="V1922" t="s">
        <v>334</v>
      </c>
      <c r="W1922" t="s">
        <v>366</v>
      </c>
    </row>
    <row r="1923" spans="4:23" ht="15.75" customHeight="1" x14ac:dyDescent="0.2">
      <c r="D1923" t="s">
        <v>285</v>
      </c>
      <c r="E1923" t="s">
        <v>431</v>
      </c>
      <c r="F1923">
        <v>11</v>
      </c>
      <c r="U1923" t="s">
        <v>335</v>
      </c>
      <c r="V1923" t="s">
        <v>336</v>
      </c>
      <c r="W1923" t="s">
        <v>366</v>
      </c>
    </row>
    <row r="1924" spans="4:23" ht="15.75" customHeight="1" x14ac:dyDescent="0.2">
      <c r="D1924" t="s">
        <v>285</v>
      </c>
      <c r="E1924" t="s">
        <v>431</v>
      </c>
      <c r="F1924">
        <v>11</v>
      </c>
      <c r="U1924" t="s">
        <v>337</v>
      </c>
      <c r="V1924" t="s">
        <v>338</v>
      </c>
      <c r="W1924" t="s">
        <v>366</v>
      </c>
    </row>
    <row r="1925" spans="4:23" ht="15.75" customHeight="1" x14ac:dyDescent="0.2">
      <c r="D1925" t="s">
        <v>285</v>
      </c>
      <c r="E1925" t="s">
        <v>431</v>
      </c>
      <c r="F1925">
        <v>11</v>
      </c>
      <c r="U1925" t="s">
        <v>339</v>
      </c>
      <c r="V1925" t="s">
        <v>340</v>
      </c>
      <c r="W1925" t="s">
        <v>366</v>
      </c>
    </row>
    <row r="1926" spans="4:23" ht="15.75" customHeight="1" x14ac:dyDescent="0.2">
      <c r="D1926" t="s">
        <v>285</v>
      </c>
      <c r="E1926" t="s">
        <v>431</v>
      </c>
      <c r="F1926">
        <v>11</v>
      </c>
      <c r="U1926" t="s">
        <v>341</v>
      </c>
      <c r="V1926" t="s">
        <v>342</v>
      </c>
      <c r="W1926" t="s">
        <v>366</v>
      </c>
    </row>
    <row r="1927" spans="4:23" ht="15.75" customHeight="1" x14ac:dyDescent="0.2">
      <c r="D1927" t="s">
        <v>285</v>
      </c>
      <c r="E1927" t="s">
        <v>431</v>
      </c>
      <c r="F1927">
        <v>11</v>
      </c>
      <c r="U1927" t="s">
        <v>343</v>
      </c>
      <c r="V1927" t="s">
        <v>344</v>
      </c>
      <c r="W1927" t="s">
        <v>366</v>
      </c>
    </row>
    <row r="1928" spans="4:23" ht="15.75" customHeight="1" x14ac:dyDescent="0.2">
      <c r="D1928" t="s">
        <v>285</v>
      </c>
      <c r="E1928" t="s">
        <v>431</v>
      </c>
      <c r="F1928">
        <v>11</v>
      </c>
      <c r="U1928" t="s">
        <v>345</v>
      </c>
      <c r="V1928" t="s">
        <v>346</v>
      </c>
      <c r="W1928" t="s">
        <v>366</v>
      </c>
    </row>
    <row r="1929" spans="4:23" ht="15.75" customHeight="1" x14ac:dyDescent="0.2">
      <c r="D1929" t="s">
        <v>285</v>
      </c>
      <c r="E1929" t="s">
        <v>431</v>
      </c>
      <c r="F1929">
        <v>11</v>
      </c>
      <c r="U1929" t="s">
        <v>347</v>
      </c>
      <c r="V1929" t="s">
        <v>348</v>
      </c>
      <c r="W1929" t="s">
        <v>366</v>
      </c>
    </row>
    <row r="1930" spans="4:23" ht="15.75" customHeight="1" x14ac:dyDescent="0.2">
      <c r="D1930" t="s">
        <v>285</v>
      </c>
      <c r="E1930" t="s">
        <v>432</v>
      </c>
      <c r="F1930">
        <v>12</v>
      </c>
      <c r="G1930" t="s">
        <v>433</v>
      </c>
      <c r="H1930" t="s">
        <v>434</v>
      </c>
      <c r="I1930">
        <v>1</v>
      </c>
      <c r="J1930" t="s">
        <v>288</v>
      </c>
      <c r="K1930" t="s">
        <v>2</v>
      </c>
      <c r="L1930">
        <v>0</v>
      </c>
    </row>
    <row r="1931" spans="4:23" ht="15.75" customHeight="1" x14ac:dyDescent="0.2">
      <c r="D1931" t="s">
        <v>285</v>
      </c>
      <c r="E1931" t="s">
        <v>432</v>
      </c>
      <c r="F1931">
        <v>12</v>
      </c>
      <c r="G1931" t="s">
        <v>433</v>
      </c>
      <c r="H1931" t="s">
        <v>434</v>
      </c>
      <c r="I1931">
        <v>1</v>
      </c>
      <c r="J1931" t="s">
        <v>289</v>
      </c>
      <c r="K1931" t="s">
        <v>5</v>
      </c>
      <c r="L1931">
        <v>0</v>
      </c>
    </row>
    <row r="1932" spans="4:23" ht="15.75" customHeight="1" x14ac:dyDescent="0.2">
      <c r="D1932" t="s">
        <v>285</v>
      </c>
      <c r="E1932" t="s">
        <v>432</v>
      </c>
      <c r="F1932">
        <v>12</v>
      </c>
      <c r="G1932" t="s">
        <v>433</v>
      </c>
      <c r="H1932" t="s">
        <v>434</v>
      </c>
      <c r="I1932">
        <v>1</v>
      </c>
      <c r="J1932" t="s">
        <v>290</v>
      </c>
      <c r="K1932" t="s">
        <v>3</v>
      </c>
      <c r="L1932">
        <v>0</v>
      </c>
    </row>
    <row r="1933" spans="4:23" ht="15.75" customHeight="1" x14ac:dyDescent="0.2">
      <c r="D1933" t="s">
        <v>285</v>
      </c>
      <c r="E1933" t="s">
        <v>432</v>
      </c>
      <c r="F1933">
        <v>12</v>
      </c>
      <c r="G1933" t="s">
        <v>433</v>
      </c>
      <c r="H1933" t="s">
        <v>434</v>
      </c>
      <c r="I1933">
        <v>1</v>
      </c>
      <c r="J1933" t="s">
        <v>291</v>
      </c>
      <c r="K1933" t="s">
        <v>4</v>
      </c>
      <c r="L1933">
        <v>0</v>
      </c>
    </row>
    <row r="1934" spans="4:23" ht="15.75" customHeight="1" x14ac:dyDescent="0.2">
      <c r="D1934" t="s">
        <v>285</v>
      </c>
      <c r="E1934" t="s">
        <v>432</v>
      </c>
      <c r="F1934">
        <v>12</v>
      </c>
      <c r="G1934" t="s">
        <v>433</v>
      </c>
      <c r="H1934" t="s">
        <v>434</v>
      </c>
      <c r="I1934">
        <v>1</v>
      </c>
      <c r="J1934" t="s">
        <v>292</v>
      </c>
      <c r="K1934" t="s">
        <v>6</v>
      </c>
      <c r="L1934">
        <v>0</v>
      </c>
    </row>
    <row r="1935" spans="4:23" ht="15.75" customHeight="1" x14ac:dyDescent="0.2">
      <c r="D1935" t="s">
        <v>285</v>
      </c>
      <c r="E1935" t="s">
        <v>432</v>
      </c>
      <c r="F1935">
        <v>12</v>
      </c>
      <c r="G1935" t="s">
        <v>433</v>
      </c>
      <c r="H1935" t="s">
        <v>434</v>
      </c>
      <c r="I1935">
        <v>1</v>
      </c>
      <c r="J1935" t="s">
        <v>243</v>
      </c>
      <c r="K1935" t="s">
        <v>7</v>
      </c>
      <c r="L1935">
        <v>0</v>
      </c>
    </row>
    <row r="1936" spans="4:23" ht="15.75" customHeight="1" x14ac:dyDescent="0.2">
      <c r="D1936" t="s">
        <v>285</v>
      </c>
      <c r="E1936" t="s">
        <v>432</v>
      </c>
      <c r="F1936">
        <v>12</v>
      </c>
      <c r="G1936" t="s">
        <v>433</v>
      </c>
      <c r="H1936" t="s">
        <v>434</v>
      </c>
      <c r="I1936">
        <v>1</v>
      </c>
      <c r="J1936" t="s">
        <v>245</v>
      </c>
      <c r="K1936" t="s">
        <v>8</v>
      </c>
      <c r="L1936" t="s">
        <v>364</v>
      </c>
    </row>
    <row r="1937" spans="4:12" ht="15.75" customHeight="1" x14ac:dyDescent="0.2">
      <c r="D1937" t="s">
        <v>285</v>
      </c>
      <c r="E1937" t="s">
        <v>432</v>
      </c>
      <c r="F1937">
        <v>12</v>
      </c>
      <c r="G1937" t="s">
        <v>433</v>
      </c>
      <c r="H1937" t="s">
        <v>434</v>
      </c>
      <c r="I1937">
        <v>1</v>
      </c>
      <c r="J1937" t="s">
        <v>247</v>
      </c>
      <c r="K1937" t="s">
        <v>9</v>
      </c>
      <c r="L1937" t="s">
        <v>364</v>
      </c>
    </row>
    <row r="1938" spans="4:12" ht="15.75" customHeight="1" x14ac:dyDescent="0.2">
      <c r="D1938" t="s">
        <v>285</v>
      </c>
      <c r="E1938" t="s">
        <v>432</v>
      </c>
      <c r="F1938">
        <v>12</v>
      </c>
      <c r="G1938" t="s">
        <v>433</v>
      </c>
      <c r="H1938" t="s">
        <v>434</v>
      </c>
      <c r="I1938">
        <v>1</v>
      </c>
      <c r="J1938" t="s">
        <v>249</v>
      </c>
      <c r="K1938" t="s">
        <v>10</v>
      </c>
      <c r="L1938">
        <v>0</v>
      </c>
    </row>
    <row r="1939" spans="4:12" ht="15.75" customHeight="1" x14ac:dyDescent="0.2">
      <c r="D1939" t="s">
        <v>285</v>
      </c>
      <c r="E1939" t="s">
        <v>432</v>
      </c>
      <c r="F1939">
        <v>12</v>
      </c>
      <c r="G1939" t="s">
        <v>433</v>
      </c>
      <c r="H1939" t="s">
        <v>434</v>
      </c>
      <c r="I1939">
        <v>1</v>
      </c>
      <c r="J1939" t="s">
        <v>251</v>
      </c>
      <c r="K1939" t="s">
        <v>11</v>
      </c>
      <c r="L1939">
        <v>0</v>
      </c>
    </row>
    <row r="1940" spans="4:12" ht="15.75" customHeight="1" x14ac:dyDescent="0.2">
      <c r="D1940" t="s">
        <v>285</v>
      </c>
      <c r="E1940" t="s">
        <v>432</v>
      </c>
      <c r="F1940">
        <v>12</v>
      </c>
      <c r="G1940" t="s">
        <v>433</v>
      </c>
      <c r="H1940" t="s">
        <v>434</v>
      </c>
      <c r="I1940">
        <v>1</v>
      </c>
      <c r="J1940" t="s">
        <v>253</v>
      </c>
      <c r="K1940" t="s">
        <v>12</v>
      </c>
      <c r="L1940" t="s">
        <v>364</v>
      </c>
    </row>
    <row r="1941" spans="4:12" ht="15.75" customHeight="1" x14ac:dyDescent="0.2">
      <c r="D1941" t="s">
        <v>285</v>
      </c>
      <c r="E1941" t="s">
        <v>432</v>
      </c>
      <c r="F1941">
        <v>12</v>
      </c>
      <c r="G1941" t="s">
        <v>433</v>
      </c>
      <c r="H1941" t="s">
        <v>434</v>
      </c>
      <c r="I1941">
        <v>1</v>
      </c>
      <c r="J1941" t="s">
        <v>255</v>
      </c>
      <c r="K1941" t="s">
        <v>15</v>
      </c>
      <c r="L1941">
        <v>4</v>
      </c>
    </row>
    <row r="1942" spans="4:12" ht="15.75" customHeight="1" x14ac:dyDescent="0.2">
      <c r="D1942" t="s">
        <v>285</v>
      </c>
      <c r="E1942" t="s">
        <v>432</v>
      </c>
      <c r="F1942">
        <v>12</v>
      </c>
      <c r="G1942" t="s">
        <v>433</v>
      </c>
      <c r="H1942" t="s">
        <v>434</v>
      </c>
      <c r="I1942">
        <v>1</v>
      </c>
      <c r="J1942" t="s">
        <v>293</v>
      </c>
      <c r="K1942" t="s">
        <v>13</v>
      </c>
      <c r="L1942">
        <v>0</v>
      </c>
    </row>
    <row r="1943" spans="4:12" ht="15.75" customHeight="1" x14ac:dyDescent="0.2">
      <c r="D1943" t="s">
        <v>285</v>
      </c>
      <c r="E1943" t="s">
        <v>432</v>
      </c>
      <c r="F1943">
        <v>12</v>
      </c>
      <c r="G1943" t="s">
        <v>433</v>
      </c>
      <c r="H1943" t="s">
        <v>434</v>
      </c>
      <c r="I1943">
        <v>1</v>
      </c>
      <c r="J1943" t="s">
        <v>294</v>
      </c>
      <c r="K1943" t="s">
        <v>14</v>
      </c>
      <c r="L1943">
        <v>0</v>
      </c>
    </row>
    <row r="1944" spans="4:12" ht="15.75" customHeight="1" x14ac:dyDescent="0.2">
      <c r="D1944" t="s">
        <v>285</v>
      </c>
      <c r="E1944" t="s">
        <v>432</v>
      </c>
      <c r="F1944">
        <v>12</v>
      </c>
      <c r="G1944" t="s">
        <v>433</v>
      </c>
      <c r="H1944" t="s">
        <v>434</v>
      </c>
      <c r="I1944">
        <v>1</v>
      </c>
      <c r="J1944" t="s">
        <v>257</v>
      </c>
      <c r="K1944" t="s">
        <v>16</v>
      </c>
      <c r="L1944" t="s">
        <v>367</v>
      </c>
    </row>
    <row r="1945" spans="4:12" ht="15.75" customHeight="1" x14ac:dyDescent="0.2">
      <c r="D1945" t="s">
        <v>285</v>
      </c>
      <c r="E1945" t="s">
        <v>432</v>
      </c>
      <c r="F1945">
        <v>12</v>
      </c>
      <c r="G1945" t="s">
        <v>433</v>
      </c>
      <c r="H1945" t="s">
        <v>434</v>
      </c>
      <c r="I1945">
        <v>1</v>
      </c>
      <c r="J1945" t="s">
        <v>295</v>
      </c>
      <c r="K1945" t="s">
        <v>17</v>
      </c>
      <c r="L1945">
        <v>-1</v>
      </c>
    </row>
    <row r="1946" spans="4:12" ht="15.75" customHeight="1" x14ac:dyDescent="0.2">
      <c r="D1946" t="s">
        <v>285</v>
      </c>
      <c r="E1946" t="s">
        <v>432</v>
      </c>
      <c r="F1946">
        <v>12</v>
      </c>
      <c r="G1946" t="s">
        <v>433</v>
      </c>
      <c r="H1946" t="s">
        <v>434</v>
      </c>
      <c r="I1946">
        <v>1</v>
      </c>
      <c r="J1946" t="s">
        <v>296</v>
      </c>
      <c r="K1946" t="s">
        <v>1</v>
      </c>
      <c r="L1946">
        <v>1</v>
      </c>
    </row>
    <row r="1947" spans="4:12" ht="15.75" customHeight="1" x14ac:dyDescent="0.2">
      <c r="D1947" t="s">
        <v>285</v>
      </c>
      <c r="E1947" t="s">
        <v>432</v>
      </c>
      <c r="F1947">
        <v>12</v>
      </c>
      <c r="G1947" t="s">
        <v>433</v>
      </c>
      <c r="H1947" t="s">
        <v>434</v>
      </c>
      <c r="I1947">
        <v>1</v>
      </c>
      <c r="J1947" t="s">
        <v>297</v>
      </c>
      <c r="K1947" t="s">
        <v>18</v>
      </c>
      <c r="L1947">
        <v>0</v>
      </c>
    </row>
    <row r="1948" spans="4:12" ht="15.75" customHeight="1" x14ac:dyDescent="0.2">
      <c r="D1948" t="s">
        <v>285</v>
      </c>
      <c r="E1948" t="s">
        <v>432</v>
      </c>
      <c r="F1948">
        <v>12</v>
      </c>
      <c r="G1948" t="s">
        <v>433</v>
      </c>
      <c r="H1948" t="s">
        <v>434</v>
      </c>
      <c r="I1948">
        <v>1</v>
      </c>
      <c r="J1948" t="s">
        <v>298</v>
      </c>
      <c r="K1948" t="s">
        <v>19</v>
      </c>
      <c r="L1948">
        <v>0</v>
      </c>
    </row>
    <row r="1949" spans="4:12" ht="15.75" customHeight="1" x14ac:dyDescent="0.2">
      <c r="D1949" t="s">
        <v>285</v>
      </c>
      <c r="E1949" t="s">
        <v>432</v>
      </c>
      <c r="F1949">
        <v>12</v>
      </c>
      <c r="G1949" t="s">
        <v>433</v>
      </c>
      <c r="H1949" t="s">
        <v>434</v>
      </c>
      <c r="I1949">
        <v>1</v>
      </c>
      <c r="J1949" t="s">
        <v>299</v>
      </c>
      <c r="K1949" t="s">
        <v>20</v>
      </c>
      <c r="L1949">
        <v>4</v>
      </c>
    </row>
    <row r="1950" spans="4:12" ht="15.75" customHeight="1" x14ac:dyDescent="0.2">
      <c r="D1950" t="s">
        <v>285</v>
      </c>
      <c r="E1950" t="s">
        <v>432</v>
      </c>
      <c r="F1950">
        <v>12</v>
      </c>
      <c r="G1950" t="s">
        <v>433</v>
      </c>
      <c r="H1950" t="s">
        <v>435</v>
      </c>
      <c r="I1950">
        <v>2</v>
      </c>
      <c r="J1950" t="s">
        <v>288</v>
      </c>
      <c r="K1950" t="s">
        <v>2</v>
      </c>
      <c r="L1950">
        <v>0</v>
      </c>
    </row>
    <row r="1951" spans="4:12" ht="15.75" customHeight="1" x14ac:dyDescent="0.2">
      <c r="D1951" t="s">
        <v>285</v>
      </c>
      <c r="E1951" t="s">
        <v>432</v>
      </c>
      <c r="F1951">
        <v>12</v>
      </c>
      <c r="G1951" t="s">
        <v>433</v>
      </c>
      <c r="H1951" t="s">
        <v>435</v>
      </c>
      <c r="I1951">
        <v>2</v>
      </c>
      <c r="J1951" t="s">
        <v>289</v>
      </c>
      <c r="K1951" t="s">
        <v>5</v>
      </c>
      <c r="L1951">
        <v>0</v>
      </c>
    </row>
    <row r="1952" spans="4:12" ht="15.75" customHeight="1" x14ac:dyDescent="0.2">
      <c r="D1952" t="s">
        <v>285</v>
      </c>
      <c r="E1952" t="s">
        <v>432</v>
      </c>
      <c r="F1952">
        <v>12</v>
      </c>
      <c r="G1952" t="s">
        <v>433</v>
      </c>
      <c r="H1952" t="s">
        <v>435</v>
      </c>
      <c r="I1952">
        <v>2</v>
      </c>
      <c r="J1952" t="s">
        <v>290</v>
      </c>
      <c r="K1952" t="s">
        <v>3</v>
      </c>
      <c r="L1952">
        <v>0</v>
      </c>
    </row>
    <row r="1953" spans="4:12" ht="15.75" customHeight="1" x14ac:dyDescent="0.2">
      <c r="D1953" t="s">
        <v>285</v>
      </c>
      <c r="E1953" t="s">
        <v>432</v>
      </c>
      <c r="F1953">
        <v>12</v>
      </c>
      <c r="G1953" t="s">
        <v>433</v>
      </c>
      <c r="H1953" t="s">
        <v>435</v>
      </c>
      <c r="I1953">
        <v>2</v>
      </c>
      <c r="J1953" t="s">
        <v>291</v>
      </c>
      <c r="K1953" t="s">
        <v>4</v>
      </c>
      <c r="L1953">
        <v>0</v>
      </c>
    </row>
    <row r="1954" spans="4:12" ht="15.75" customHeight="1" x14ac:dyDescent="0.2">
      <c r="D1954" t="s">
        <v>285</v>
      </c>
      <c r="E1954" t="s">
        <v>432</v>
      </c>
      <c r="F1954">
        <v>12</v>
      </c>
      <c r="G1954" t="s">
        <v>433</v>
      </c>
      <c r="H1954" t="s">
        <v>435</v>
      </c>
      <c r="I1954">
        <v>2</v>
      </c>
      <c r="J1954" t="s">
        <v>292</v>
      </c>
      <c r="K1954" t="s">
        <v>6</v>
      </c>
      <c r="L1954">
        <v>0</v>
      </c>
    </row>
    <row r="1955" spans="4:12" ht="15.75" customHeight="1" x14ac:dyDescent="0.2">
      <c r="D1955" t="s">
        <v>285</v>
      </c>
      <c r="E1955" t="s">
        <v>432</v>
      </c>
      <c r="F1955">
        <v>12</v>
      </c>
      <c r="G1955" t="s">
        <v>433</v>
      </c>
      <c r="H1955" t="s">
        <v>435</v>
      </c>
      <c r="I1955">
        <v>2</v>
      </c>
      <c r="J1955" t="s">
        <v>243</v>
      </c>
      <c r="K1955" t="s">
        <v>7</v>
      </c>
      <c r="L1955">
        <v>0</v>
      </c>
    </row>
    <row r="1956" spans="4:12" ht="15.75" customHeight="1" x14ac:dyDescent="0.2">
      <c r="D1956" t="s">
        <v>285</v>
      </c>
      <c r="E1956" t="s">
        <v>432</v>
      </c>
      <c r="F1956">
        <v>12</v>
      </c>
      <c r="G1956" t="s">
        <v>433</v>
      </c>
      <c r="H1956" t="s">
        <v>435</v>
      </c>
      <c r="I1956">
        <v>2</v>
      </c>
      <c r="J1956" t="s">
        <v>245</v>
      </c>
      <c r="K1956" t="s">
        <v>8</v>
      </c>
      <c r="L1956" t="s">
        <v>364</v>
      </c>
    </row>
    <row r="1957" spans="4:12" ht="15.75" customHeight="1" x14ac:dyDescent="0.2">
      <c r="D1957" t="s">
        <v>285</v>
      </c>
      <c r="E1957" t="s">
        <v>432</v>
      </c>
      <c r="F1957">
        <v>12</v>
      </c>
      <c r="G1957" t="s">
        <v>433</v>
      </c>
      <c r="H1957" t="s">
        <v>435</v>
      </c>
      <c r="I1957">
        <v>2</v>
      </c>
      <c r="J1957" t="s">
        <v>247</v>
      </c>
      <c r="K1957" t="s">
        <v>9</v>
      </c>
      <c r="L1957" t="s">
        <v>364</v>
      </c>
    </row>
    <row r="1958" spans="4:12" ht="15.75" customHeight="1" x14ac:dyDescent="0.2">
      <c r="D1958" t="s">
        <v>285</v>
      </c>
      <c r="E1958" t="s">
        <v>432</v>
      </c>
      <c r="F1958">
        <v>12</v>
      </c>
      <c r="G1958" t="s">
        <v>433</v>
      </c>
      <c r="H1958" t="s">
        <v>435</v>
      </c>
      <c r="I1958">
        <v>2</v>
      </c>
      <c r="J1958" t="s">
        <v>249</v>
      </c>
      <c r="K1958" t="s">
        <v>10</v>
      </c>
      <c r="L1958">
        <v>0</v>
      </c>
    </row>
    <row r="1959" spans="4:12" ht="15.75" customHeight="1" x14ac:dyDescent="0.2">
      <c r="D1959" t="s">
        <v>285</v>
      </c>
      <c r="E1959" t="s">
        <v>432</v>
      </c>
      <c r="F1959">
        <v>12</v>
      </c>
      <c r="G1959" t="s">
        <v>433</v>
      </c>
      <c r="H1959" t="s">
        <v>435</v>
      </c>
      <c r="I1959">
        <v>2</v>
      </c>
      <c r="J1959" t="s">
        <v>251</v>
      </c>
      <c r="K1959" t="s">
        <v>11</v>
      </c>
      <c r="L1959">
        <v>0</v>
      </c>
    </row>
    <row r="1960" spans="4:12" ht="15.75" customHeight="1" x14ac:dyDescent="0.2">
      <c r="D1960" t="s">
        <v>285</v>
      </c>
      <c r="E1960" t="s">
        <v>432</v>
      </c>
      <c r="F1960">
        <v>12</v>
      </c>
      <c r="G1960" t="s">
        <v>433</v>
      </c>
      <c r="H1960" t="s">
        <v>435</v>
      </c>
      <c r="I1960">
        <v>2</v>
      </c>
      <c r="J1960" t="s">
        <v>253</v>
      </c>
      <c r="K1960" t="s">
        <v>12</v>
      </c>
      <c r="L1960" t="s">
        <v>364</v>
      </c>
    </row>
    <row r="1961" spans="4:12" ht="15.75" customHeight="1" x14ac:dyDescent="0.2">
      <c r="D1961" t="s">
        <v>285</v>
      </c>
      <c r="E1961" t="s">
        <v>432</v>
      </c>
      <c r="F1961">
        <v>12</v>
      </c>
      <c r="G1961" t="s">
        <v>433</v>
      </c>
      <c r="H1961" t="s">
        <v>435</v>
      </c>
      <c r="I1961">
        <v>2</v>
      </c>
      <c r="J1961" t="s">
        <v>255</v>
      </c>
      <c r="K1961" t="s">
        <v>15</v>
      </c>
      <c r="L1961">
        <v>1</v>
      </c>
    </row>
    <row r="1962" spans="4:12" ht="15.75" customHeight="1" x14ac:dyDescent="0.2">
      <c r="D1962" t="s">
        <v>285</v>
      </c>
      <c r="E1962" t="s">
        <v>432</v>
      </c>
      <c r="F1962">
        <v>12</v>
      </c>
      <c r="G1962" t="s">
        <v>433</v>
      </c>
      <c r="H1962" t="s">
        <v>435</v>
      </c>
      <c r="I1962">
        <v>2</v>
      </c>
      <c r="J1962" t="s">
        <v>293</v>
      </c>
      <c r="K1962" t="s">
        <v>13</v>
      </c>
      <c r="L1962">
        <v>0</v>
      </c>
    </row>
    <row r="1963" spans="4:12" ht="15.75" customHeight="1" x14ac:dyDescent="0.2">
      <c r="D1963" t="s">
        <v>285</v>
      </c>
      <c r="E1963" t="s">
        <v>432</v>
      </c>
      <c r="F1963">
        <v>12</v>
      </c>
      <c r="G1963" t="s">
        <v>433</v>
      </c>
      <c r="H1963" t="s">
        <v>435</v>
      </c>
      <c r="I1963">
        <v>2</v>
      </c>
      <c r="J1963" t="s">
        <v>294</v>
      </c>
      <c r="K1963" t="s">
        <v>14</v>
      </c>
      <c r="L1963">
        <v>0</v>
      </c>
    </row>
    <row r="1964" spans="4:12" ht="15.75" customHeight="1" x14ac:dyDescent="0.2">
      <c r="D1964" t="s">
        <v>285</v>
      </c>
      <c r="E1964" t="s">
        <v>432</v>
      </c>
      <c r="F1964">
        <v>12</v>
      </c>
      <c r="G1964" t="s">
        <v>433</v>
      </c>
      <c r="H1964" t="s">
        <v>435</v>
      </c>
      <c r="I1964">
        <v>2</v>
      </c>
      <c r="J1964" t="s">
        <v>257</v>
      </c>
      <c r="K1964" t="s">
        <v>16</v>
      </c>
      <c r="L1964" t="s">
        <v>367</v>
      </c>
    </row>
    <row r="1965" spans="4:12" ht="15.75" customHeight="1" x14ac:dyDescent="0.2">
      <c r="D1965" t="s">
        <v>285</v>
      </c>
      <c r="E1965" t="s">
        <v>432</v>
      </c>
      <c r="F1965">
        <v>12</v>
      </c>
      <c r="G1965" t="s">
        <v>433</v>
      </c>
      <c r="H1965" t="s">
        <v>435</v>
      </c>
      <c r="I1965">
        <v>2</v>
      </c>
      <c r="J1965" t="s">
        <v>295</v>
      </c>
      <c r="K1965" t="s">
        <v>17</v>
      </c>
      <c r="L1965">
        <v>-1</v>
      </c>
    </row>
    <row r="1966" spans="4:12" ht="15.75" customHeight="1" x14ac:dyDescent="0.2">
      <c r="D1966" t="s">
        <v>285</v>
      </c>
      <c r="E1966" t="s">
        <v>432</v>
      </c>
      <c r="F1966">
        <v>12</v>
      </c>
      <c r="G1966" t="s">
        <v>433</v>
      </c>
      <c r="H1966" t="s">
        <v>435</v>
      </c>
      <c r="I1966">
        <v>2</v>
      </c>
      <c r="J1966" t="s">
        <v>296</v>
      </c>
      <c r="K1966" t="s">
        <v>1</v>
      </c>
      <c r="L1966">
        <v>1</v>
      </c>
    </row>
    <row r="1967" spans="4:12" ht="15.75" customHeight="1" x14ac:dyDescent="0.2">
      <c r="D1967" t="s">
        <v>285</v>
      </c>
      <c r="E1967" t="s">
        <v>432</v>
      </c>
      <c r="F1967">
        <v>12</v>
      </c>
      <c r="G1967" t="s">
        <v>433</v>
      </c>
      <c r="H1967" t="s">
        <v>435</v>
      </c>
      <c r="I1967">
        <v>2</v>
      </c>
      <c r="J1967" t="s">
        <v>297</v>
      </c>
      <c r="K1967" t="s">
        <v>18</v>
      </c>
      <c r="L1967">
        <v>0</v>
      </c>
    </row>
    <row r="1968" spans="4:12" ht="15.75" customHeight="1" x14ac:dyDescent="0.2">
      <c r="D1968" t="s">
        <v>285</v>
      </c>
      <c r="E1968" t="s">
        <v>432</v>
      </c>
      <c r="F1968">
        <v>12</v>
      </c>
      <c r="G1968" t="s">
        <v>433</v>
      </c>
      <c r="H1968" t="s">
        <v>435</v>
      </c>
      <c r="I1968">
        <v>2</v>
      </c>
      <c r="J1968" t="s">
        <v>298</v>
      </c>
      <c r="K1968" t="s">
        <v>19</v>
      </c>
      <c r="L1968">
        <v>0</v>
      </c>
    </row>
    <row r="1969" spans="4:12" ht="15.75" customHeight="1" x14ac:dyDescent="0.2">
      <c r="D1969" t="s">
        <v>285</v>
      </c>
      <c r="E1969" t="s">
        <v>432</v>
      </c>
      <c r="F1969">
        <v>12</v>
      </c>
      <c r="G1969" t="s">
        <v>433</v>
      </c>
      <c r="H1969" t="s">
        <v>435</v>
      </c>
      <c r="I1969">
        <v>2</v>
      </c>
      <c r="J1969" t="s">
        <v>299</v>
      </c>
      <c r="K1969" t="s">
        <v>20</v>
      </c>
      <c r="L1969">
        <v>0</v>
      </c>
    </row>
    <row r="1970" spans="4:12" ht="15.75" customHeight="1" x14ac:dyDescent="0.2">
      <c r="D1970" t="s">
        <v>285</v>
      </c>
      <c r="E1970" t="s">
        <v>432</v>
      </c>
      <c r="F1970">
        <v>12</v>
      </c>
      <c r="G1970" t="s">
        <v>433</v>
      </c>
      <c r="H1970" t="s">
        <v>436</v>
      </c>
      <c r="I1970">
        <v>3</v>
      </c>
      <c r="J1970" t="s">
        <v>288</v>
      </c>
      <c r="K1970" t="s">
        <v>2</v>
      </c>
      <c r="L1970">
        <v>0</v>
      </c>
    </row>
    <row r="1971" spans="4:12" ht="15.75" customHeight="1" x14ac:dyDescent="0.2">
      <c r="D1971" t="s">
        <v>285</v>
      </c>
      <c r="E1971" t="s">
        <v>432</v>
      </c>
      <c r="F1971">
        <v>12</v>
      </c>
      <c r="G1971" t="s">
        <v>433</v>
      </c>
      <c r="H1971" t="s">
        <v>436</v>
      </c>
      <c r="I1971">
        <v>3</v>
      </c>
      <c r="J1971" t="s">
        <v>289</v>
      </c>
      <c r="K1971" t="s">
        <v>5</v>
      </c>
      <c r="L1971">
        <v>0</v>
      </c>
    </row>
    <row r="1972" spans="4:12" ht="15.75" customHeight="1" x14ac:dyDescent="0.2">
      <c r="D1972" t="s">
        <v>285</v>
      </c>
      <c r="E1972" t="s">
        <v>432</v>
      </c>
      <c r="F1972">
        <v>12</v>
      </c>
      <c r="G1972" t="s">
        <v>433</v>
      </c>
      <c r="H1972" t="s">
        <v>436</v>
      </c>
      <c r="I1972">
        <v>3</v>
      </c>
      <c r="J1972" t="s">
        <v>290</v>
      </c>
      <c r="K1972" t="s">
        <v>3</v>
      </c>
      <c r="L1972">
        <v>0</v>
      </c>
    </row>
    <row r="1973" spans="4:12" ht="15.75" customHeight="1" x14ac:dyDescent="0.2">
      <c r="D1973" t="s">
        <v>285</v>
      </c>
      <c r="E1973" t="s">
        <v>432</v>
      </c>
      <c r="F1973">
        <v>12</v>
      </c>
      <c r="G1973" t="s">
        <v>433</v>
      </c>
      <c r="H1973" t="s">
        <v>436</v>
      </c>
      <c r="I1973">
        <v>3</v>
      </c>
      <c r="J1973" t="s">
        <v>291</v>
      </c>
      <c r="K1973" t="s">
        <v>4</v>
      </c>
      <c r="L1973">
        <v>0</v>
      </c>
    </row>
    <row r="1974" spans="4:12" ht="15.75" customHeight="1" x14ac:dyDescent="0.2">
      <c r="D1974" t="s">
        <v>285</v>
      </c>
      <c r="E1974" t="s">
        <v>432</v>
      </c>
      <c r="F1974">
        <v>12</v>
      </c>
      <c r="G1974" t="s">
        <v>433</v>
      </c>
      <c r="H1974" t="s">
        <v>436</v>
      </c>
      <c r="I1974">
        <v>3</v>
      </c>
      <c r="J1974" t="s">
        <v>292</v>
      </c>
      <c r="K1974" t="s">
        <v>6</v>
      </c>
      <c r="L1974">
        <v>0</v>
      </c>
    </row>
    <row r="1975" spans="4:12" ht="15.75" customHeight="1" x14ac:dyDescent="0.2">
      <c r="D1975" t="s">
        <v>285</v>
      </c>
      <c r="E1975" t="s">
        <v>432</v>
      </c>
      <c r="F1975">
        <v>12</v>
      </c>
      <c r="G1975" t="s">
        <v>433</v>
      </c>
      <c r="H1975" t="s">
        <v>436</v>
      </c>
      <c r="I1975">
        <v>3</v>
      </c>
      <c r="J1975" t="s">
        <v>243</v>
      </c>
      <c r="K1975" t="s">
        <v>7</v>
      </c>
      <c r="L1975">
        <v>0</v>
      </c>
    </row>
    <row r="1976" spans="4:12" ht="15.75" customHeight="1" x14ac:dyDescent="0.2">
      <c r="D1976" t="s">
        <v>285</v>
      </c>
      <c r="E1976" t="s">
        <v>432</v>
      </c>
      <c r="F1976">
        <v>12</v>
      </c>
      <c r="G1976" t="s">
        <v>433</v>
      </c>
      <c r="H1976" t="s">
        <v>436</v>
      </c>
      <c r="I1976">
        <v>3</v>
      </c>
      <c r="J1976" t="s">
        <v>245</v>
      </c>
      <c r="K1976" t="s">
        <v>8</v>
      </c>
      <c r="L1976" t="s">
        <v>364</v>
      </c>
    </row>
    <row r="1977" spans="4:12" ht="15.75" customHeight="1" x14ac:dyDescent="0.2">
      <c r="D1977" t="s">
        <v>285</v>
      </c>
      <c r="E1977" t="s">
        <v>432</v>
      </c>
      <c r="F1977">
        <v>12</v>
      </c>
      <c r="G1977" t="s">
        <v>433</v>
      </c>
      <c r="H1977" t="s">
        <v>436</v>
      </c>
      <c r="I1977">
        <v>3</v>
      </c>
      <c r="J1977" t="s">
        <v>247</v>
      </c>
      <c r="K1977" t="s">
        <v>9</v>
      </c>
      <c r="L1977" t="s">
        <v>364</v>
      </c>
    </row>
    <row r="1978" spans="4:12" ht="15.75" customHeight="1" x14ac:dyDescent="0.2">
      <c r="D1978" t="s">
        <v>285</v>
      </c>
      <c r="E1978" t="s">
        <v>432</v>
      </c>
      <c r="F1978">
        <v>12</v>
      </c>
      <c r="G1978" t="s">
        <v>433</v>
      </c>
      <c r="H1978" t="s">
        <v>436</v>
      </c>
      <c r="I1978">
        <v>3</v>
      </c>
      <c r="J1978" t="s">
        <v>249</v>
      </c>
      <c r="K1978" t="s">
        <v>10</v>
      </c>
      <c r="L1978">
        <v>0</v>
      </c>
    </row>
    <row r="1979" spans="4:12" ht="15.75" customHeight="1" x14ac:dyDescent="0.2">
      <c r="D1979" t="s">
        <v>285</v>
      </c>
      <c r="E1979" t="s">
        <v>432</v>
      </c>
      <c r="F1979">
        <v>12</v>
      </c>
      <c r="G1979" t="s">
        <v>433</v>
      </c>
      <c r="H1979" t="s">
        <v>436</v>
      </c>
      <c r="I1979">
        <v>3</v>
      </c>
      <c r="J1979" t="s">
        <v>251</v>
      </c>
      <c r="K1979" t="s">
        <v>11</v>
      </c>
      <c r="L1979">
        <v>0</v>
      </c>
    </row>
    <row r="1980" spans="4:12" ht="15.75" customHeight="1" x14ac:dyDescent="0.2">
      <c r="D1980" t="s">
        <v>285</v>
      </c>
      <c r="E1980" t="s">
        <v>432</v>
      </c>
      <c r="F1980">
        <v>12</v>
      </c>
      <c r="G1980" t="s">
        <v>433</v>
      </c>
      <c r="H1980" t="s">
        <v>436</v>
      </c>
      <c r="I1980">
        <v>3</v>
      </c>
      <c r="J1980" t="s">
        <v>253</v>
      </c>
      <c r="K1980" t="s">
        <v>12</v>
      </c>
      <c r="L1980" t="s">
        <v>364</v>
      </c>
    </row>
    <row r="1981" spans="4:12" ht="15.75" customHeight="1" x14ac:dyDescent="0.2">
      <c r="D1981" t="s">
        <v>285</v>
      </c>
      <c r="E1981" t="s">
        <v>432</v>
      </c>
      <c r="F1981">
        <v>12</v>
      </c>
      <c r="G1981" t="s">
        <v>433</v>
      </c>
      <c r="H1981" t="s">
        <v>436</v>
      </c>
      <c r="I1981">
        <v>3</v>
      </c>
      <c r="J1981" t="s">
        <v>255</v>
      </c>
      <c r="K1981" t="s">
        <v>15</v>
      </c>
      <c r="L1981">
        <v>1</v>
      </c>
    </row>
    <row r="1982" spans="4:12" ht="15.75" customHeight="1" x14ac:dyDescent="0.2">
      <c r="D1982" t="s">
        <v>285</v>
      </c>
      <c r="E1982" t="s">
        <v>432</v>
      </c>
      <c r="F1982">
        <v>12</v>
      </c>
      <c r="G1982" t="s">
        <v>433</v>
      </c>
      <c r="H1982" t="s">
        <v>436</v>
      </c>
      <c r="I1982">
        <v>3</v>
      </c>
      <c r="J1982" t="s">
        <v>293</v>
      </c>
      <c r="K1982" t="s">
        <v>13</v>
      </c>
      <c r="L1982">
        <v>0</v>
      </c>
    </row>
    <row r="1983" spans="4:12" ht="15.75" customHeight="1" x14ac:dyDescent="0.2">
      <c r="D1983" t="s">
        <v>285</v>
      </c>
      <c r="E1983" t="s">
        <v>432</v>
      </c>
      <c r="F1983">
        <v>12</v>
      </c>
      <c r="G1983" t="s">
        <v>433</v>
      </c>
      <c r="H1983" t="s">
        <v>436</v>
      </c>
      <c r="I1983">
        <v>3</v>
      </c>
      <c r="J1983" t="s">
        <v>294</v>
      </c>
      <c r="K1983" t="s">
        <v>14</v>
      </c>
      <c r="L1983">
        <v>0</v>
      </c>
    </row>
    <row r="1984" spans="4:12" ht="15.75" customHeight="1" x14ac:dyDescent="0.2">
      <c r="D1984" t="s">
        <v>285</v>
      </c>
      <c r="E1984" t="s">
        <v>432</v>
      </c>
      <c r="F1984">
        <v>12</v>
      </c>
      <c r="G1984" t="s">
        <v>433</v>
      </c>
      <c r="H1984" t="s">
        <v>436</v>
      </c>
      <c r="I1984">
        <v>3</v>
      </c>
      <c r="J1984" t="s">
        <v>257</v>
      </c>
      <c r="K1984" t="s">
        <v>16</v>
      </c>
      <c r="L1984" t="s">
        <v>367</v>
      </c>
    </row>
    <row r="1985" spans="4:12" ht="15.75" customHeight="1" x14ac:dyDescent="0.2">
      <c r="D1985" t="s">
        <v>285</v>
      </c>
      <c r="E1985" t="s">
        <v>432</v>
      </c>
      <c r="F1985">
        <v>12</v>
      </c>
      <c r="G1985" t="s">
        <v>433</v>
      </c>
      <c r="H1985" t="s">
        <v>436</v>
      </c>
      <c r="I1985">
        <v>3</v>
      </c>
      <c r="J1985" t="s">
        <v>295</v>
      </c>
      <c r="K1985" t="s">
        <v>17</v>
      </c>
      <c r="L1985">
        <v>-1</v>
      </c>
    </row>
    <row r="1986" spans="4:12" ht="15.75" customHeight="1" x14ac:dyDescent="0.2">
      <c r="D1986" t="s">
        <v>285</v>
      </c>
      <c r="E1986" t="s">
        <v>432</v>
      </c>
      <c r="F1986">
        <v>12</v>
      </c>
      <c r="G1986" t="s">
        <v>433</v>
      </c>
      <c r="H1986" t="s">
        <v>436</v>
      </c>
      <c r="I1986">
        <v>3</v>
      </c>
      <c r="J1986" t="s">
        <v>296</v>
      </c>
      <c r="K1986" t="s">
        <v>1</v>
      </c>
      <c r="L1986">
        <v>1</v>
      </c>
    </row>
    <row r="1987" spans="4:12" ht="15.75" customHeight="1" x14ac:dyDescent="0.2">
      <c r="D1987" t="s">
        <v>285</v>
      </c>
      <c r="E1987" t="s">
        <v>432</v>
      </c>
      <c r="F1987">
        <v>12</v>
      </c>
      <c r="G1987" t="s">
        <v>433</v>
      </c>
      <c r="H1987" t="s">
        <v>436</v>
      </c>
      <c r="I1987">
        <v>3</v>
      </c>
      <c r="J1987" t="s">
        <v>297</v>
      </c>
      <c r="K1987" t="s">
        <v>18</v>
      </c>
      <c r="L1987">
        <v>0</v>
      </c>
    </row>
    <row r="1988" spans="4:12" ht="15.75" customHeight="1" x14ac:dyDescent="0.2">
      <c r="D1988" t="s">
        <v>285</v>
      </c>
      <c r="E1988" t="s">
        <v>432</v>
      </c>
      <c r="F1988">
        <v>12</v>
      </c>
      <c r="G1988" t="s">
        <v>433</v>
      </c>
      <c r="H1988" t="s">
        <v>436</v>
      </c>
      <c r="I1988">
        <v>3</v>
      </c>
      <c r="J1988" t="s">
        <v>298</v>
      </c>
      <c r="K1988" t="s">
        <v>19</v>
      </c>
      <c r="L1988">
        <v>0</v>
      </c>
    </row>
    <row r="1989" spans="4:12" ht="15.75" customHeight="1" x14ac:dyDescent="0.2">
      <c r="D1989" t="s">
        <v>285</v>
      </c>
      <c r="E1989" t="s">
        <v>432</v>
      </c>
      <c r="F1989">
        <v>12</v>
      </c>
      <c r="G1989" t="s">
        <v>433</v>
      </c>
      <c r="H1989" t="s">
        <v>436</v>
      </c>
      <c r="I1989">
        <v>3</v>
      </c>
      <c r="J1989" t="s">
        <v>299</v>
      </c>
      <c r="K1989" t="s">
        <v>20</v>
      </c>
      <c r="L1989">
        <v>0</v>
      </c>
    </row>
    <row r="1990" spans="4:12" ht="15.75" customHeight="1" x14ac:dyDescent="0.2">
      <c r="D1990" t="s">
        <v>285</v>
      </c>
      <c r="E1990" t="s">
        <v>432</v>
      </c>
      <c r="F1990">
        <v>12</v>
      </c>
      <c r="G1990" t="s">
        <v>433</v>
      </c>
      <c r="H1990" t="s">
        <v>437</v>
      </c>
      <c r="I1990">
        <v>4</v>
      </c>
      <c r="J1990" t="s">
        <v>288</v>
      </c>
      <c r="K1990" t="s">
        <v>2</v>
      </c>
      <c r="L1990">
        <v>0</v>
      </c>
    </row>
    <row r="1991" spans="4:12" ht="15.75" customHeight="1" x14ac:dyDescent="0.2">
      <c r="D1991" t="s">
        <v>285</v>
      </c>
      <c r="E1991" t="s">
        <v>432</v>
      </c>
      <c r="F1991">
        <v>12</v>
      </c>
      <c r="G1991" t="s">
        <v>433</v>
      </c>
      <c r="H1991" t="s">
        <v>437</v>
      </c>
      <c r="I1991">
        <v>4</v>
      </c>
      <c r="J1991" t="s">
        <v>289</v>
      </c>
      <c r="K1991" t="s">
        <v>5</v>
      </c>
      <c r="L1991">
        <v>0</v>
      </c>
    </row>
    <row r="1992" spans="4:12" ht="15.75" customHeight="1" x14ac:dyDescent="0.2">
      <c r="D1992" t="s">
        <v>285</v>
      </c>
      <c r="E1992" t="s">
        <v>432</v>
      </c>
      <c r="F1992">
        <v>12</v>
      </c>
      <c r="G1992" t="s">
        <v>433</v>
      </c>
      <c r="H1992" t="s">
        <v>437</v>
      </c>
      <c r="I1992">
        <v>4</v>
      </c>
      <c r="J1992" t="s">
        <v>290</v>
      </c>
      <c r="K1992" t="s">
        <v>3</v>
      </c>
      <c r="L1992">
        <v>0</v>
      </c>
    </row>
    <row r="1993" spans="4:12" ht="15.75" customHeight="1" x14ac:dyDescent="0.2">
      <c r="D1993" t="s">
        <v>285</v>
      </c>
      <c r="E1993" t="s">
        <v>432</v>
      </c>
      <c r="F1993">
        <v>12</v>
      </c>
      <c r="G1993" t="s">
        <v>433</v>
      </c>
      <c r="H1993" t="s">
        <v>437</v>
      </c>
      <c r="I1993">
        <v>4</v>
      </c>
      <c r="J1993" t="s">
        <v>291</v>
      </c>
      <c r="K1993" t="s">
        <v>4</v>
      </c>
      <c r="L1993">
        <v>0</v>
      </c>
    </row>
    <row r="1994" spans="4:12" ht="15.75" customHeight="1" x14ac:dyDescent="0.2">
      <c r="D1994" t="s">
        <v>285</v>
      </c>
      <c r="E1994" t="s">
        <v>432</v>
      </c>
      <c r="F1994">
        <v>12</v>
      </c>
      <c r="G1994" t="s">
        <v>433</v>
      </c>
      <c r="H1994" t="s">
        <v>437</v>
      </c>
      <c r="I1994">
        <v>4</v>
      </c>
      <c r="J1994" t="s">
        <v>292</v>
      </c>
      <c r="K1994" t="s">
        <v>6</v>
      </c>
      <c r="L1994">
        <v>0</v>
      </c>
    </row>
    <row r="1995" spans="4:12" ht="15.75" customHeight="1" x14ac:dyDescent="0.2">
      <c r="D1995" t="s">
        <v>285</v>
      </c>
      <c r="E1995" t="s">
        <v>432</v>
      </c>
      <c r="F1995">
        <v>12</v>
      </c>
      <c r="G1995" t="s">
        <v>433</v>
      </c>
      <c r="H1995" t="s">
        <v>437</v>
      </c>
      <c r="I1995">
        <v>4</v>
      </c>
      <c r="J1995" t="s">
        <v>243</v>
      </c>
      <c r="K1995" t="s">
        <v>7</v>
      </c>
      <c r="L1995">
        <v>0</v>
      </c>
    </row>
    <row r="1996" spans="4:12" ht="15.75" customHeight="1" x14ac:dyDescent="0.2">
      <c r="D1996" t="s">
        <v>285</v>
      </c>
      <c r="E1996" t="s">
        <v>432</v>
      </c>
      <c r="F1996">
        <v>12</v>
      </c>
      <c r="G1996" t="s">
        <v>433</v>
      </c>
      <c r="H1996" t="s">
        <v>437</v>
      </c>
      <c r="I1996">
        <v>4</v>
      </c>
      <c r="J1996" t="s">
        <v>245</v>
      </c>
      <c r="K1996" t="s">
        <v>8</v>
      </c>
      <c r="L1996" t="s">
        <v>364</v>
      </c>
    </row>
    <row r="1997" spans="4:12" ht="15.75" customHeight="1" x14ac:dyDescent="0.2">
      <c r="D1997" t="s">
        <v>285</v>
      </c>
      <c r="E1997" t="s">
        <v>432</v>
      </c>
      <c r="F1997">
        <v>12</v>
      </c>
      <c r="G1997" t="s">
        <v>433</v>
      </c>
      <c r="H1997" t="s">
        <v>437</v>
      </c>
      <c r="I1997">
        <v>4</v>
      </c>
      <c r="J1997" t="s">
        <v>247</v>
      </c>
      <c r="K1997" t="s">
        <v>9</v>
      </c>
      <c r="L1997" t="s">
        <v>364</v>
      </c>
    </row>
    <row r="1998" spans="4:12" ht="15.75" customHeight="1" x14ac:dyDescent="0.2">
      <c r="D1998" t="s">
        <v>285</v>
      </c>
      <c r="E1998" t="s">
        <v>432</v>
      </c>
      <c r="F1998">
        <v>12</v>
      </c>
      <c r="G1998" t="s">
        <v>433</v>
      </c>
      <c r="H1998" t="s">
        <v>437</v>
      </c>
      <c r="I1998">
        <v>4</v>
      </c>
      <c r="J1998" t="s">
        <v>249</v>
      </c>
      <c r="K1998" t="s">
        <v>10</v>
      </c>
      <c r="L1998">
        <v>0</v>
      </c>
    </row>
    <row r="1999" spans="4:12" ht="15.75" customHeight="1" x14ac:dyDescent="0.2">
      <c r="D1999" t="s">
        <v>285</v>
      </c>
      <c r="E1999" t="s">
        <v>432</v>
      </c>
      <c r="F1999">
        <v>12</v>
      </c>
      <c r="G1999" t="s">
        <v>433</v>
      </c>
      <c r="H1999" t="s">
        <v>437</v>
      </c>
      <c r="I1999">
        <v>4</v>
      </c>
      <c r="J1999" t="s">
        <v>251</v>
      </c>
      <c r="K1999" t="s">
        <v>11</v>
      </c>
      <c r="L1999">
        <v>0</v>
      </c>
    </row>
    <row r="2000" spans="4:12" ht="15.75" customHeight="1" x14ac:dyDescent="0.2">
      <c r="D2000" t="s">
        <v>285</v>
      </c>
      <c r="E2000" t="s">
        <v>432</v>
      </c>
      <c r="F2000">
        <v>12</v>
      </c>
      <c r="G2000" t="s">
        <v>433</v>
      </c>
      <c r="H2000" t="s">
        <v>437</v>
      </c>
      <c r="I2000">
        <v>4</v>
      </c>
      <c r="J2000" t="s">
        <v>253</v>
      </c>
      <c r="K2000" t="s">
        <v>12</v>
      </c>
      <c r="L2000" t="s">
        <v>364</v>
      </c>
    </row>
    <row r="2001" spans="4:12" ht="15.75" customHeight="1" x14ac:dyDescent="0.2">
      <c r="D2001" t="s">
        <v>285</v>
      </c>
      <c r="E2001" t="s">
        <v>432</v>
      </c>
      <c r="F2001">
        <v>12</v>
      </c>
      <c r="G2001" t="s">
        <v>433</v>
      </c>
      <c r="H2001" t="s">
        <v>437</v>
      </c>
      <c r="I2001">
        <v>4</v>
      </c>
      <c r="J2001" t="s">
        <v>255</v>
      </c>
      <c r="K2001" t="s">
        <v>15</v>
      </c>
      <c r="L2001">
        <v>1</v>
      </c>
    </row>
    <row r="2002" spans="4:12" ht="15.75" customHeight="1" x14ac:dyDescent="0.2">
      <c r="D2002" t="s">
        <v>285</v>
      </c>
      <c r="E2002" t="s">
        <v>432</v>
      </c>
      <c r="F2002">
        <v>12</v>
      </c>
      <c r="G2002" t="s">
        <v>433</v>
      </c>
      <c r="H2002" t="s">
        <v>437</v>
      </c>
      <c r="I2002">
        <v>4</v>
      </c>
      <c r="J2002" t="s">
        <v>293</v>
      </c>
      <c r="K2002" t="s">
        <v>13</v>
      </c>
      <c r="L2002">
        <v>0</v>
      </c>
    </row>
    <row r="2003" spans="4:12" ht="15.75" customHeight="1" x14ac:dyDescent="0.2">
      <c r="D2003" t="s">
        <v>285</v>
      </c>
      <c r="E2003" t="s">
        <v>432</v>
      </c>
      <c r="F2003">
        <v>12</v>
      </c>
      <c r="G2003" t="s">
        <v>433</v>
      </c>
      <c r="H2003" t="s">
        <v>437</v>
      </c>
      <c r="I2003">
        <v>4</v>
      </c>
      <c r="J2003" t="s">
        <v>294</v>
      </c>
      <c r="K2003" t="s">
        <v>14</v>
      </c>
      <c r="L2003">
        <v>0</v>
      </c>
    </row>
    <row r="2004" spans="4:12" ht="15.75" customHeight="1" x14ac:dyDescent="0.2">
      <c r="D2004" t="s">
        <v>285</v>
      </c>
      <c r="E2004" t="s">
        <v>432</v>
      </c>
      <c r="F2004">
        <v>12</v>
      </c>
      <c r="G2004" t="s">
        <v>433</v>
      </c>
      <c r="H2004" t="s">
        <v>437</v>
      </c>
      <c r="I2004">
        <v>4</v>
      </c>
      <c r="J2004" t="s">
        <v>257</v>
      </c>
      <c r="K2004" t="s">
        <v>16</v>
      </c>
      <c r="L2004" t="s">
        <v>367</v>
      </c>
    </row>
    <row r="2005" spans="4:12" ht="15.75" customHeight="1" x14ac:dyDescent="0.2">
      <c r="D2005" t="s">
        <v>285</v>
      </c>
      <c r="E2005" t="s">
        <v>432</v>
      </c>
      <c r="F2005">
        <v>12</v>
      </c>
      <c r="G2005" t="s">
        <v>433</v>
      </c>
      <c r="H2005" t="s">
        <v>437</v>
      </c>
      <c r="I2005">
        <v>4</v>
      </c>
      <c r="J2005" t="s">
        <v>295</v>
      </c>
      <c r="K2005" t="s">
        <v>17</v>
      </c>
      <c r="L2005">
        <v>-1</v>
      </c>
    </row>
    <row r="2006" spans="4:12" ht="15.75" customHeight="1" x14ac:dyDescent="0.2">
      <c r="D2006" t="s">
        <v>285</v>
      </c>
      <c r="E2006" t="s">
        <v>432</v>
      </c>
      <c r="F2006">
        <v>12</v>
      </c>
      <c r="G2006" t="s">
        <v>433</v>
      </c>
      <c r="H2006" t="s">
        <v>437</v>
      </c>
      <c r="I2006">
        <v>4</v>
      </c>
      <c r="J2006" t="s">
        <v>296</v>
      </c>
      <c r="K2006" t="s">
        <v>1</v>
      </c>
      <c r="L2006">
        <v>1</v>
      </c>
    </row>
    <row r="2007" spans="4:12" ht="15.75" customHeight="1" x14ac:dyDescent="0.2">
      <c r="D2007" t="s">
        <v>285</v>
      </c>
      <c r="E2007" t="s">
        <v>432</v>
      </c>
      <c r="F2007">
        <v>12</v>
      </c>
      <c r="G2007" t="s">
        <v>433</v>
      </c>
      <c r="H2007" t="s">
        <v>437</v>
      </c>
      <c r="I2007">
        <v>4</v>
      </c>
      <c r="J2007" t="s">
        <v>297</v>
      </c>
      <c r="K2007" t="s">
        <v>18</v>
      </c>
      <c r="L2007">
        <v>0</v>
      </c>
    </row>
    <row r="2008" spans="4:12" ht="15.75" customHeight="1" x14ac:dyDescent="0.2">
      <c r="D2008" t="s">
        <v>285</v>
      </c>
      <c r="E2008" t="s">
        <v>432</v>
      </c>
      <c r="F2008">
        <v>12</v>
      </c>
      <c r="G2008" t="s">
        <v>433</v>
      </c>
      <c r="H2008" t="s">
        <v>437</v>
      </c>
      <c r="I2008">
        <v>4</v>
      </c>
      <c r="J2008" t="s">
        <v>298</v>
      </c>
      <c r="K2008" t="s">
        <v>19</v>
      </c>
      <c r="L2008">
        <v>0</v>
      </c>
    </row>
    <row r="2009" spans="4:12" ht="15.75" customHeight="1" x14ac:dyDescent="0.2">
      <c r="D2009" t="s">
        <v>285</v>
      </c>
      <c r="E2009" t="s">
        <v>432</v>
      </c>
      <c r="F2009">
        <v>12</v>
      </c>
      <c r="G2009" t="s">
        <v>433</v>
      </c>
      <c r="H2009" t="s">
        <v>437</v>
      </c>
      <c r="I2009">
        <v>4</v>
      </c>
      <c r="J2009" t="s">
        <v>299</v>
      </c>
      <c r="K2009" t="s">
        <v>20</v>
      </c>
      <c r="L2009">
        <v>0</v>
      </c>
    </row>
    <row r="2010" spans="4:12" ht="15.75" customHeight="1" x14ac:dyDescent="0.2">
      <c r="D2010" t="s">
        <v>285</v>
      </c>
      <c r="E2010" t="s">
        <v>432</v>
      </c>
      <c r="F2010">
        <v>12</v>
      </c>
      <c r="G2010" t="s">
        <v>433</v>
      </c>
      <c r="H2010" t="s">
        <v>438</v>
      </c>
      <c r="I2010">
        <v>5</v>
      </c>
      <c r="J2010" t="s">
        <v>288</v>
      </c>
      <c r="K2010" t="s">
        <v>2</v>
      </c>
      <c r="L2010">
        <v>0</v>
      </c>
    </row>
    <row r="2011" spans="4:12" ht="15.75" customHeight="1" x14ac:dyDescent="0.2">
      <c r="D2011" t="s">
        <v>285</v>
      </c>
      <c r="E2011" t="s">
        <v>432</v>
      </c>
      <c r="F2011">
        <v>12</v>
      </c>
      <c r="G2011" t="s">
        <v>433</v>
      </c>
      <c r="H2011" t="s">
        <v>438</v>
      </c>
      <c r="I2011">
        <v>5</v>
      </c>
      <c r="J2011" t="s">
        <v>289</v>
      </c>
      <c r="K2011" t="s">
        <v>5</v>
      </c>
      <c r="L2011">
        <v>0</v>
      </c>
    </row>
    <row r="2012" spans="4:12" ht="15.75" customHeight="1" x14ac:dyDescent="0.2">
      <c r="D2012" t="s">
        <v>285</v>
      </c>
      <c r="E2012" t="s">
        <v>432</v>
      </c>
      <c r="F2012">
        <v>12</v>
      </c>
      <c r="G2012" t="s">
        <v>433</v>
      </c>
      <c r="H2012" t="s">
        <v>438</v>
      </c>
      <c r="I2012">
        <v>5</v>
      </c>
      <c r="J2012" t="s">
        <v>290</v>
      </c>
      <c r="K2012" t="s">
        <v>3</v>
      </c>
      <c r="L2012">
        <v>0</v>
      </c>
    </row>
    <row r="2013" spans="4:12" ht="15.75" customHeight="1" x14ac:dyDescent="0.2">
      <c r="D2013" t="s">
        <v>285</v>
      </c>
      <c r="E2013" t="s">
        <v>432</v>
      </c>
      <c r="F2013">
        <v>12</v>
      </c>
      <c r="G2013" t="s">
        <v>433</v>
      </c>
      <c r="H2013" t="s">
        <v>438</v>
      </c>
      <c r="I2013">
        <v>5</v>
      </c>
      <c r="J2013" t="s">
        <v>291</v>
      </c>
      <c r="K2013" t="s">
        <v>4</v>
      </c>
      <c r="L2013">
        <v>0</v>
      </c>
    </row>
    <row r="2014" spans="4:12" ht="15.75" customHeight="1" x14ac:dyDescent="0.2">
      <c r="D2014" t="s">
        <v>285</v>
      </c>
      <c r="E2014" t="s">
        <v>432</v>
      </c>
      <c r="F2014">
        <v>12</v>
      </c>
      <c r="G2014" t="s">
        <v>433</v>
      </c>
      <c r="H2014" t="s">
        <v>438</v>
      </c>
      <c r="I2014">
        <v>5</v>
      </c>
      <c r="J2014" t="s">
        <v>292</v>
      </c>
      <c r="K2014" t="s">
        <v>6</v>
      </c>
      <c r="L2014">
        <v>0</v>
      </c>
    </row>
    <row r="2015" spans="4:12" ht="15.75" customHeight="1" x14ac:dyDescent="0.2">
      <c r="D2015" t="s">
        <v>285</v>
      </c>
      <c r="E2015" t="s">
        <v>432</v>
      </c>
      <c r="F2015">
        <v>12</v>
      </c>
      <c r="G2015" t="s">
        <v>433</v>
      </c>
      <c r="H2015" t="s">
        <v>438</v>
      </c>
      <c r="I2015">
        <v>5</v>
      </c>
      <c r="J2015" t="s">
        <v>243</v>
      </c>
      <c r="K2015" t="s">
        <v>7</v>
      </c>
      <c r="L2015">
        <v>0</v>
      </c>
    </row>
    <row r="2016" spans="4:12" ht="15.75" customHeight="1" x14ac:dyDescent="0.2">
      <c r="D2016" t="s">
        <v>285</v>
      </c>
      <c r="E2016" t="s">
        <v>432</v>
      </c>
      <c r="F2016">
        <v>12</v>
      </c>
      <c r="G2016" t="s">
        <v>433</v>
      </c>
      <c r="H2016" t="s">
        <v>438</v>
      </c>
      <c r="I2016">
        <v>5</v>
      </c>
      <c r="J2016" t="s">
        <v>245</v>
      </c>
      <c r="K2016" t="s">
        <v>8</v>
      </c>
      <c r="L2016" t="s">
        <v>364</v>
      </c>
    </row>
    <row r="2017" spans="4:15" ht="15.75" customHeight="1" x14ac:dyDescent="0.2">
      <c r="D2017" t="s">
        <v>285</v>
      </c>
      <c r="E2017" t="s">
        <v>432</v>
      </c>
      <c r="F2017">
        <v>12</v>
      </c>
      <c r="G2017" t="s">
        <v>433</v>
      </c>
      <c r="H2017" t="s">
        <v>438</v>
      </c>
      <c r="I2017">
        <v>5</v>
      </c>
      <c r="J2017" t="s">
        <v>247</v>
      </c>
      <c r="K2017" t="s">
        <v>9</v>
      </c>
      <c r="L2017" t="s">
        <v>364</v>
      </c>
    </row>
    <row r="2018" spans="4:15" ht="15.75" customHeight="1" x14ac:dyDescent="0.2">
      <c r="D2018" t="s">
        <v>285</v>
      </c>
      <c r="E2018" t="s">
        <v>432</v>
      </c>
      <c r="F2018">
        <v>12</v>
      </c>
      <c r="G2018" t="s">
        <v>433</v>
      </c>
      <c r="H2018" t="s">
        <v>438</v>
      </c>
      <c r="I2018">
        <v>5</v>
      </c>
      <c r="J2018" t="s">
        <v>249</v>
      </c>
      <c r="K2018" t="s">
        <v>10</v>
      </c>
      <c r="L2018">
        <v>0</v>
      </c>
    </row>
    <row r="2019" spans="4:15" ht="15.75" customHeight="1" x14ac:dyDescent="0.2">
      <c r="D2019" t="s">
        <v>285</v>
      </c>
      <c r="E2019" t="s">
        <v>432</v>
      </c>
      <c r="F2019">
        <v>12</v>
      </c>
      <c r="G2019" t="s">
        <v>433</v>
      </c>
      <c r="H2019" t="s">
        <v>438</v>
      </c>
      <c r="I2019">
        <v>5</v>
      </c>
      <c r="J2019" t="s">
        <v>251</v>
      </c>
      <c r="K2019" t="s">
        <v>11</v>
      </c>
      <c r="L2019">
        <v>0</v>
      </c>
    </row>
    <row r="2020" spans="4:15" ht="15.75" customHeight="1" x14ac:dyDescent="0.2">
      <c r="D2020" t="s">
        <v>285</v>
      </c>
      <c r="E2020" t="s">
        <v>432</v>
      </c>
      <c r="F2020">
        <v>12</v>
      </c>
      <c r="G2020" t="s">
        <v>433</v>
      </c>
      <c r="H2020" t="s">
        <v>438</v>
      </c>
      <c r="I2020">
        <v>5</v>
      </c>
      <c r="J2020" t="s">
        <v>253</v>
      </c>
      <c r="K2020" t="s">
        <v>12</v>
      </c>
      <c r="L2020" t="s">
        <v>364</v>
      </c>
    </row>
    <row r="2021" spans="4:15" ht="15.75" customHeight="1" x14ac:dyDescent="0.2">
      <c r="D2021" t="s">
        <v>285</v>
      </c>
      <c r="E2021" t="s">
        <v>432</v>
      </c>
      <c r="F2021">
        <v>12</v>
      </c>
      <c r="G2021" t="s">
        <v>433</v>
      </c>
      <c r="H2021" t="s">
        <v>438</v>
      </c>
      <c r="I2021">
        <v>5</v>
      </c>
      <c r="J2021" t="s">
        <v>255</v>
      </c>
      <c r="K2021" t="s">
        <v>15</v>
      </c>
      <c r="L2021">
        <v>1</v>
      </c>
    </row>
    <row r="2022" spans="4:15" ht="15.75" customHeight="1" x14ac:dyDescent="0.2">
      <c r="D2022" t="s">
        <v>285</v>
      </c>
      <c r="E2022" t="s">
        <v>432</v>
      </c>
      <c r="F2022">
        <v>12</v>
      </c>
      <c r="G2022" t="s">
        <v>433</v>
      </c>
      <c r="H2022" t="s">
        <v>438</v>
      </c>
      <c r="I2022">
        <v>5</v>
      </c>
      <c r="J2022" t="s">
        <v>293</v>
      </c>
      <c r="K2022" t="s">
        <v>13</v>
      </c>
      <c r="L2022">
        <v>0</v>
      </c>
    </row>
    <row r="2023" spans="4:15" ht="15.75" customHeight="1" x14ac:dyDescent="0.2">
      <c r="D2023" t="s">
        <v>285</v>
      </c>
      <c r="E2023" t="s">
        <v>432</v>
      </c>
      <c r="F2023">
        <v>12</v>
      </c>
      <c r="G2023" t="s">
        <v>433</v>
      </c>
      <c r="H2023" t="s">
        <v>438</v>
      </c>
      <c r="I2023">
        <v>5</v>
      </c>
      <c r="J2023" t="s">
        <v>294</v>
      </c>
      <c r="K2023" t="s">
        <v>14</v>
      </c>
      <c r="L2023">
        <v>0</v>
      </c>
    </row>
    <row r="2024" spans="4:15" ht="15.75" customHeight="1" x14ac:dyDescent="0.2">
      <c r="D2024" t="s">
        <v>285</v>
      </c>
      <c r="E2024" t="s">
        <v>432</v>
      </c>
      <c r="F2024">
        <v>12</v>
      </c>
      <c r="G2024" t="s">
        <v>433</v>
      </c>
      <c r="H2024" t="s">
        <v>438</v>
      </c>
      <c r="I2024">
        <v>5</v>
      </c>
      <c r="J2024" t="s">
        <v>257</v>
      </c>
      <c r="K2024" t="s">
        <v>16</v>
      </c>
      <c r="L2024" t="s">
        <v>367</v>
      </c>
    </row>
    <row r="2025" spans="4:15" ht="15.75" customHeight="1" x14ac:dyDescent="0.2">
      <c r="D2025" t="s">
        <v>285</v>
      </c>
      <c r="E2025" t="s">
        <v>432</v>
      </c>
      <c r="F2025">
        <v>12</v>
      </c>
      <c r="G2025" t="s">
        <v>433</v>
      </c>
      <c r="H2025" t="s">
        <v>438</v>
      </c>
      <c r="I2025">
        <v>5</v>
      </c>
      <c r="J2025" t="s">
        <v>295</v>
      </c>
      <c r="K2025" t="s">
        <v>17</v>
      </c>
      <c r="L2025">
        <v>-1</v>
      </c>
    </row>
    <row r="2026" spans="4:15" ht="15.75" customHeight="1" x14ac:dyDescent="0.2">
      <c r="D2026" t="s">
        <v>285</v>
      </c>
      <c r="E2026" t="s">
        <v>432</v>
      </c>
      <c r="F2026">
        <v>12</v>
      </c>
      <c r="G2026" t="s">
        <v>433</v>
      </c>
      <c r="H2026" t="s">
        <v>438</v>
      </c>
      <c r="I2026">
        <v>5</v>
      </c>
      <c r="J2026" t="s">
        <v>296</v>
      </c>
      <c r="K2026" t="s">
        <v>1</v>
      </c>
      <c r="L2026">
        <v>1</v>
      </c>
    </row>
    <row r="2027" spans="4:15" ht="15.75" customHeight="1" x14ac:dyDescent="0.2">
      <c r="D2027" t="s">
        <v>285</v>
      </c>
      <c r="E2027" t="s">
        <v>432</v>
      </c>
      <c r="F2027">
        <v>12</v>
      </c>
      <c r="G2027" t="s">
        <v>433</v>
      </c>
      <c r="H2027" t="s">
        <v>438</v>
      </c>
      <c r="I2027">
        <v>5</v>
      </c>
      <c r="J2027" t="s">
        <v>297</v>
      </c>
      <c r="K2027" t="s">
        <v>18</v>
      </c>
      <c r="L2027">
        <v>0</v>
      </c>
    </row>
    <row r="2028" spans="4:15" ht="15.75" customHeight="1" x14ac:dyDescent="0.2">
      <c r="D2028" t="s">
        <v>285</v>
      </c>
      <c r="E2028" t="s">
        <v>432</v>
      </c>
      <c r="F2028">
        <v>12</v>
      </c>
      <c r="G2028" t="s">
        <v>433</v>
      </c>
      <c r="H2028" t="s">
        <v>438</v>
      </c>
      <c r="I2028">
        <v>5</v>
      </c>
      <c r="J2028" t="s">
        <v>298</v>
      </c>
      <c r="K2028" t="s">
        <v>19</v>
      </c>
      <c r="L2028">
        <v>0</v>
      </c>
    </row>
    <row r="2029" spans="4:15" ht="15.75" customHeight="1" x14ac:dyDescent="0.2">
      <c r="D2029" t="s">
        <v>285</v>
      </c>
      <c r="E2029" t="s">
        <v>432</v>
      </c>
      <c r="F2029">
        <v>12</v>
      </c>
      <c r="G2029" t="s">
        <v>433</v>
      </c>
      <c r="H2029" t="s">
        <v>438</v>
      </c>
      <c r="I2029">
        <v>5</v>
      </c>
      <c r="J2029" t="s">
        <v>299</v>
      </c>
      <c r="K2029" t="s">
        <v>20</v>
      </c>
      <c r="L2029">
        <v>0</v>
      </c>
    </row>
    <row r="2030" spans="4:15" ht="15.75" customHeight="1" x14ac:dyDescent="0.2">
      <c r="D2030" t="s">
        <v>285</v>
      </c>
      <c r="E2030" t="s">
        <v>432</v>
      </c>
      <c r="F2030">
        <v>12</v>
      </c>
      <c r="G2030" t="s">
        <v>433</v>
      </c>
      <c r="M2030" t="s">
        <v>300</v>
      </c>
      <c r="N2030" t="s">
        <v>301</v>
      </c>
      <c r="O2030">
        <v>0</v>
      </c>
    </row>
    <row r="2031" spans="4:15" ht="15.75" customHeight="1" x14ac:dyDescent="0.2">
      <c r="D2031" t="s">
        <v>285</v>
      </c>
      <c r="E2031" t="s">
        <v>432</v>
      </c>
      <c r="F2031">
        <v>12</v>
      </c>
      <c r="G2031" t="s">
        <v>433</v>
      </c>
      <c r="M2031" t="s">
        <v>288</v>
      </c>
      <c r="N2031" t="s">
        <v>302</v>
      </c>
      <c r="O2031">
        <v>0</v>
      </c>
    </row>
    <row r="2032" spans="4:15" ht="15.75" customHeight="1" x14ac:dyDescent="0.2">
      <c r="D2032" t="s">
        <v>285</v>
      </c>
      <c r="E2032" t="s">
        <v>432</v>
      </c>
      <c r="F2032">
        <v>12</v>
      </c>
      <c r="G2032" t="s">
        <v>433</v>
      </c>
      <c r="M2032" t="s">
        <v>303</v>
      </c>
      <c r="N2032" t="s">
        <v>304</v>
      </c>
      <c r="O2032">
        <v>4</v>
      </c>
    </row>
    <row r="2033" spans="4:15" ht="15.75" customHeight="1" x14ac:dyDescent="0.2">
      <c r="D2033" t="s">
        <v>285</v>
      </c>
      <c r="E2033" t="s">
        <v>432</v>
      </c>
      <c r="F2033">
        <v>12</v>
      </c>
      <c r="G2033" t="s">
        <v>433</v>
      </c>
      <c r="M2033" t="s">
        <v>305</v>
      </c>
      <c r="N2033" t="s">
        <v>306</v>
      </c>
      <c r="O2033">
        <v>1</v>
      </c>
    </row>
    <row r="2034" spans="4:15" ht="15.75" customHeight="1" x14ac:dyDescent="0.2">
      <c r="D2034" t="s">
        <v>285</v>
      </c>
      <c r="E2034" t="s">
        <v>432</v>
      </c>
      <c r="F2034">
        <v>12</v>
      </c>
      <c r="G2034" t="s">
        <v>433</v>
      </c>
      <c r="M2034" t="s">
        <v>307</v>
      </c>
      <c r="N2034" t="s">
        <v>308</v>
      </c>
      <c r="O2034">
        <v>2</v>
      </c>
    </row>
    <row r="2035" spans="4:15" ht="15.75" customHeight="1" x14ac:dyDescent="0.2">
      <c r="D2035" t="s">
        <v>285</v>
      </c>
      <c r="E2035" t="s">
        <v>432</v>
      </c>
      <c r="F2035">
        <v>12</v>
      </c>
      <c r="G2035" t="s">
        <v>433</v>
      </c>
      <c r="M2035" t="s">
        <v>243</v>
      </c>
      <c r="N2035" t="s">
        <v>309</v>
      </c>
      <c r="O2035">
        <v>0</v>
      </c>
    </row>
    <row r="2036" spans="4:15" ht="15.75" customHeight="1" x14ac:dyDescent="0.2">
      <c r="D2036" t="s">
        <v>285</v>
      </c>
      <c r="E2036" t="s">
        <v>432</v>
      </c>
      <c r="F2036">
        <v>12</v>
      </c>
      <c r="G2036" t="s">
        <v>433</v>
      </c>
      <c r="M2036" t="s">
        <v>245</v>
      </c>
      <c r="N2036" t="s">
        <v>310</v>
      </c>
      <c r="O2036">
        <v>0</v>
      </c>
    </row>
    <row r="2037" spans="4:15" ht="15.75" customHeight="1" x14ac:dyDescent="0.2">
      <c r="D2037" t="s">
        <v>285</v>
      </c>
      <c r="E2037" t="s">
        <v>432</v>
      </c>
      <c r="F2037">
        <v>12</v>
      </c>
      <c r="G2037" t="s">
        <v>433</v>
      </c>
      <c r="M2037" t="s">
        <v>247</v>
      </c>
      <c r="N2037" t="s">
        <v>311</v>
      </c>
      <c r="O2037">
        <v>0</v>
      </c>
    </row>
    <row r="2038" spans="4:15" ht="15.75" customHeight="1" x14ac:dyDescent="0.2">
      <c r="D2038" t="s">
        <v>285</v>
      </c>
      <c r="E2038" t="s">
        <v>432</v>
      </c>
      <c r="F2038">
        <v>12</v>
      </c>
      <c r="G2038" t="s">
        <v>433</v>
      </c>
      <c r="M2038" t="s">
        <v>249</v>
      </c>
      <c r="N2038" t="s">
        <v>312</v>
      </c>
      <c r="O2038">
        <v>4</v>
      </c>
    </row>
    <row r="2039" spans="4:15" ht="15.75" customHeight="1" x14ac:dyDescent="0.2">
      <c r="D2039" t="s">
        <v>285</v>
      </c>
      <c r="E2039" t="s">
        <v>432</v>
      </c>
      <c r="F2039">
        <v>12</v>
      </c>
      <c r="G2039" t="s">
        <v>433</v>
      </c>
      <c r="M2039" t="s">
        <v>251</v>
      </c>
      <c r="N2039" t="s">
        <v>313</v>
      </c>
      <c r="O2039">
        <v>2</v>
      </c>
    </row>
    <row r="2040" spans="4:15" ht="15.75" customHeight="1" x14ac:dyDescent="0.2">
      <c r="D2040" t="s">
        <v>285</v>
      </c>
      <c r="E2040" t="s">
        <v>432</v>
      </c>
      <c r="F2040">
        <v>12</v>
      </c>
      <c r="G2040" t="s">
        <v>433</v>
      </c>
      <c r="M2040" t="s">
        <v>253</v>
      </c>
      <c r="N2040" t="s">
        <v>314</v>
      </c>
      <c r="O2040">
        <v>4</v>
      </c>
    </row>
    <row r="2041" spans="4:15" ht="15.75" customHeight="1" x14ac:dyDescent="0.2">
      <c r="D2041" t="s">
        <v>285</v>
      </c>
      <c r="E2041" t="s">
        <v>432</v>
      </c>
      <c r="F2041">
        <v>12</v>
      </c>
      <c r="G2041" t="s">
        <v>433</v>
      </c>
      <c r="M2041" t="s">
        <v>315</v>
      </c>
      <c r="N2041" t="s">
        <v>316</v>
      </c>
      <c r="O2041">
        <v>0</v>
      </c>
    </row>
    <row r="2042" spans="4:15" ht="15.75" customHeight="1" x14ac:dyDescent="0.2">
      <c r="D2042" t="s">
        <v>285</v>
      </c>
      <c r="E2042" t="s">
        <v>432</v>
      </c>
      <c r="F2042">
        <v>12</v>
      </c>
      <c r="G2042" t="s">
        <v>433</v>
      </c>
      <c r="M2042" t="s">
        <v>317</v>
      </c>
      <c r="N2042" t="s">
        <v>318</v>
      </c>
      <c r="O2042">
        <v>8</v>
      </c>
    </row>
    <row r="2043" spans="4:15" ht="15.75" customHeight="1" x14ac:dyDescent="0.2">
      <c r="D2043" t="s">
        <v>285</v>
      </c>
      <c r="E2043" t="s">
        <v>432</v>
      </c>
      <c r="F2043">
        <v>12</v>
      </c>
      <c r="G2043" t="s">
        <v>433</v>
      </c>
      <c r="M2043" t="s">
        <v>257</v>
      </c>
      <c r="N2043" t="s">
        <v>319</v>
      </c>
      <c r="O2043">
        <v>75.867900000000006</v>
      </c>
    </row>
    <row r="2044" spans="4:15" ht="15.75" customHeight="1" x14ac:dyDescent="0.2">
      <c r="D2044" t="s">
        <v>285</v>
      </c>
      <c r="E2044" t="s">
        <v>432</v>
      </c>
      <c r="F2044">
        <v>12</v>
      </c>
      <c r="G2044" t="s">
        <v>433</v>
      </c>
      <c r="M2044" t="s">
        <v>320</v>
      </c>
      <c r="N2044" t="s">
        <v>321</v>
      </c>
      <c r="O2044">
        <v>0</v>
      </c>
    </row>
    <row r="2045" spans="4:15" ht="15.75" customHeight="1" x14ac:dyDescent="0.2">
      <c r="D2045" t="s">
        <v>285</v>
      </c>
      <c r="E2045" t="s">
        <v>432</v>
      </c>
      <c r="F2045">
        <v>12</v>
      </c>
      <c r="G2045" t="s">
        <v>433</v>
      </c>
      <c r="M2045" t="s">
        <v>263</v>
      </c>
      <c r="N2045" t="s">
        <v>322</v>
      </c>
      <c r="O2045">
        <v>1</v>
      </c>
    </row>
    <row r="2046" spans="4:15" ht="15.75" customHeight="1" x14ac:dyDescent="0.2">
      <c r="D2046" t="s">
        <v>285</v>
      </c>
      <c r="E2046" t="s">
        <v>432</v>
      </c>
      <c r="F2046">
        <v>12</v>
      </c>
      <c r="G2046" t="s">
        <v>433</v>
      </c>
      <c r="M2046" t="s">
        <v>323</v>
      </c>
      <c r="N2046" t="s">
        <v>324</v>
      </c>
      <c r="O2046">
        <v>4</v>
      </c>
    </row>
    <row r="2047" spans="4:15" ht="15.75" customHeight="1" x14ac:dyDescent="0.2">
      <c r="D2047" t="s">
        <v>285</v>
      </c>
      <c r="E2047" t="s">
        <v>432</v>
      </c>
      <c r="F2047">
        <v>12</v>
      </c>
      <c r="G2047" t="s">
        <v>433</v>
      </c>
      <c r="M2047" t="s">
        <v>325</v>
      </c>
      <c r="N2047" t="s">
        <v>326</v>
      </c>
      <c r="O2047">
        <v>4</v>
      </c>
    </row>
    <row r="2048" spans="4:15" ht="15.75" customHeight="1" x14ac:dyDescent="0.2">
      <c r="D2048" t="s">
        <v>285</v>
      </c>
      <c r="E2048" t="s">
        <v>432</v>
      </c>
      <c r="F2048">
        <v>12</v>
      </c>
      <c r="G2048" t="s">
        <v>433</v>
      </c>
      <c r="M2048" t="s">
        <v>327</v>
      </c>
      <c r="N2048" t="s">
        <v>328</v>
      </c>
      <c r="O2048">
        <v>4</v>
      </c>
    </row>
    <row r="2049" spans="4:20" ht="15.75" customHeight="1" x14ac:dyDescent="0.2">
      <c r="D2049" t="s">
        <v>285</v>
      </c>
      <c r="E2049" t="s">
        <v>432</v>
      </c>
      <c r="F2049">
        <v>12</v>
      </c>
      <c r="G2049" t="s">
        <v>433</v>
      </c>
      <c r="M2049" t="s">
        <v>329</v>
      </c>
      <c r="N2049" t="s">
        <v>330</v>
      </c>
      <c r="O2049">
        <v>26</v>
      </c>
    </row>
    <row r="2050" spans="4:20" ht="15.75" customHeight="1" x14ac:dyDescent="0.2">
      <c r="D2050" t="s">
        <v>285</v>
      </c>
      <c r="E2050" t="s">
        <v>432</v>
      </c>
      <c r="F2050">
        <v>12</v>
      </c>
      <c r="G2050" t="s">
        <v>433</v>
      </c>
      <c r="M2050" t="s">
        <v>331</v>
      </c>
      <c r="N2050" t="s">
        <v>332</v>
      </c>
      <c r="O2050" t="s">
        <v>366</v>
      </c>
    </row>
    <row r="2051" spans="4:20" ht="15.75" customHeight="1" x14ac:dyDescent="0.2">
      <c r="D2051" t="s">
        <v>285</v>
      </c>
      <c r="E2051" t="s">
        <v>432</v>
      </c>
      <c r="F2051">
        <v>12</v>
      </c>
      <c r="G2051" t="s">
        <v>433</v>
      </c>
      <c r="M2051" t="s">
        <v>333</v>
      </c>
      <c r="N2051" t="s">
        <v>334</v>
      </c>
      <c r="O2051">
        <v>5</v>
      </c>
    </row>
    <row r="2052" spans="4:20" ht="15.75" customHeight="1" x14ac:dyDescent="0.2">
      <c r="D2052" t="s">
        <v>285</v>
      </c>
      <c r="E2052" t="s">
        <v>432</v>
      </c>
      <c r="F2052">
        <v>12</v>
      </c>
      <c r="G2052" t="s">
        <v>433</v>
      </c>
      <c r="M2052" t="s">
        <v>335</v>
      </c>
      <c r="N2052" t="s">
        <v>336</v>
      </c>
      <c r="O2052">
        <v>22</v>
      </c>
    </row>
    <row r="2053" spans="4:20" ht="15.75" customHeight="1" x14ac:dyDescent="0.2">
      <c r="D2053" t="s">
        <v>285</v>
      </c>
      <c r="E2053" t="s">
        <v>432</v>
      </c>
      <c r="F2053">
        <v>12</v>
      </c>
      <c r="G2053" t="s">
        <v>433</v>
      </c>
      <c r="M2053" t="s">
        <v>337</v>
      </c>
      <c r="N2053" t="s">
        <v>338</v>
      </c>
      <c r="O2053">
        <v>0</v>
      </c>
    </row>
    <row r="2054" spans="4:20" ht="15.75" customHeight="1" x14ac:dyDescent="0.2">
      <c r="D2054" t="s">
        <v>285</v>
      </c>
      <c r="E2054" t="s">
        <v>432</v>
      </c>
      <c r="F2054">
        <v>12</v>
      </c>
      <c r="G2054" t="s">
        <v>433</v>
      </c>
      <c r="M2054" t="s">
        <v>339</v>
      </c>
      <c r="N2054" t="s">
        <v>340</v>
      </c>
      <c r="O2054">
        <v>0</v>
      </c>
    </row>
    <row r="2055" spans="4:20" ht="15.75" customHeight="1" x14ac:dyDescent="0.2">
      <c r="D2055" t="s">
        <v>285</v>
      </c>
      <c r="E2055" t="s">
        <v>432</v>
      </c>
      <c r="F2055">
        <v>12</v>
      </c>
      <c r="G2055" t="s">
        <v>433</v>
      </c>
      <c r="M2055" t="s">
        <v>341</v>
      </c>
      <c r="N2055" t="s">
        <v>342</v>
      </c>
      <c r="O2055">
        <v>5</v>
      </c>
    </row>
    <row r="2056" spans="4:20" ht="15.75" customHeight="1" x14ac:dyDescent="0.2">
      <c r="D2056" t="s">
        <v>285</v>
      </c>
      <c r="E2056" t="s">
        <v>432</v>
      </c>
      <c r="F2056">
        <v>12</v>
      </c>
      <c r="G2056" t="s">
        <v>433</v>
      </c>
      <c r="M2056" t="s">
        <v>343</v>
      </c>
      <c r="N2056" t="s">
        <v>344</v>
      </c>
      <c r="O2056">
        <v>0</v>
      </c>
    </row>
    <row r="2057" spans="4:20" ht="15.75" customHeight="1" x14ac:dyDescent="0.2">
      <c r="D2057" t="s">
        <v>285</v>
      </c>
      <c r="E2057" t="s">
        <v>432</v>
      </c>
      <c r="F2057">
        <v>12</v>
      </c>
      <c r="G2057" t="s">
        <v>433</v>
      </c>
      <c r="M2057" t="s">
        <v>345</v>
      </c>
      <c r="N2057" t="s">
        <v>346</v>
      </c>
      <c r="O2057">
        <v>0</v>
      </c>
    </row>
    <row r="2058" spans="4:20" ht="15.75" customHeight="1" x14ac:dyDescent="0.2">
      <c r="D2058" t="s">
        <v>285</v>
      </c>
      <c r="E2058" t="s">
        <v>432</v>
      </c>
      <c r="F2058">
        <v>12</v>
      </c>
      <c r="G2058" t="s">
        <v>433</v>
      </c>
      <c r="M2058" t="s">
        <v>347</v>
      </c>
      <c r="N2058" t="s">
        <v>348</v>
      </c>
      <c r="O2058">
        <v>5</v>
      </c>
    </row>
    <row r="2059" spans="4:20" ht="15.75" customHeight="1" x14ac:dyDescent="0.2">
      <c r="D2059" t="s">
        <v>285</v>
      </c>
      <c r="E2059" t="s">
        <v>432</v>
      </c>
      <c r="F2059">
        <v>12</v>
      </c>
      <c r="P2059" t="s">
        <v>395</v>
      </c>
      <c r="Q2059">
        <v>80</v>
      </c>
      <c r="R2059" t="s">
        <v>288</v>
      </c>
      <c r="S2059" t="s">
        <v>2</v>
      </c>
      <c r="T2059">
        <v>0</v>
      </c>
    </row>
    <row r="2060" spans="4:20" ht="15.75" customHeight="1" x14ac:dyDescent="0.2">
      <c r="D2060" t="s">
        <v>285</v>
      </c>
      <c r="E2060" t="s">
        <v>432</v>
      </c>
      <c r="F2060">
        <v>12</v>
      </c>
      <c r="P2060" t="s">
        <v>395</v>
      </c>
      <c r="Q2060">
        <v>80</v>
      </c>
      <c r="R2060" t="s">
        <v>289</v>
      </c>
      <c r="S2060" t="s">
        <v>5</v>
      </c>
      <c r="T2060">
        <v>0</v>
      </c>
    </row>
    <row r="2061" spans="4:20" ht="15.75" customHeight="1" x14ac:dyDescent="0.2">
      <c r="D2061" t="s">
        <v>285</v>
      </c>
      <c r="E2061" t="s">
        <v>432</v>
      </c>
      <c r="F2061">
        <v>12</v>
      </c>
      <c r="P2061" t="s">
        <v>395</v>
      </c>
      <c r="Q2061">
        <v>80</v>
      </c>
      <c r="R2061" t="s">
        <v>290</v>
      </c>
      <c r="S2061" t="s">
        <v>3</v>
      </c>
      <c r="T2061">
        <v>0</v>
      </c>
    </row>
    <row r="2062" spans="4:20" ht="15.75" customHeight="1" x14ac:dyDescent="0.2">
      <c r="D2062" t="s">
        <v>285</v>
      </c>
      <c r="E2062" t="s">
        <v>432</v>
      </c>
      <c r="F2062">
        <v>12</v>
      </c>
      <c r="P2062" t="s">
        <v>395</v>
      </c>
      <c r="Q2062">
        <v>80</v>
      </c>
      <c r="R2062" t="s">
        <v>291</v>
      </c>
      <c r="S2062" t="s">
        <v>4</v>
      </c>
      <c r="T2062">
        <v>0</v>
      </c>
    </row>
    <row r="2063" spans="4:20" ht="15.75" customHeight="1" x14ac:dyDescent="0.2">
      <c r="D2063" t="s">
        <v>285</v>
      </c>
      <c r="E2063" t="s">
        <v>432</v>
      </c>
      <c r="F2063">
        <v>12</v>
      </c>
      <c r="P2063" t="s">
        <v>395</v>
      </c>
      <c r="Q2063">
        <v>80</v>
      </c>
      <c r="R2063" t="s">
        <v>292</v>
      </c>
      <c r="S2063" t="s">
        <v>6</v>
      </c>
      <c r="T2063">
        <v>0</v>
      </c>
    </row>
    <row r="2064" spans="4:20" ht="15.75" customHeight="1" x14ac:dyDescent="0.2">
      <c r="D2064" t="s">
        <v>285</v>
      </c>
      <c r="E2064" t="s">
        <v>432</v>
      </c>
      <c r="F2064">
        <v>12</v>
      </c>
      <c r="P2064" t="s">
        <v>395</v>
      </c>
      <c r="Q2064">
        <v>80</v>
      </c>
      <c r="R2064" t="s">
        <v>243</v>
      </c>
      <c r="S2064" t="s">
        <v>7</v>
      </c>
      <c r="T2064">
        <v>0</v>
      </c>
    </row>
    <row r="2065" spans="4:20" ht="15.75" customHeight="1" x14ac:dyDescent="0.2">
      <c r="D2065" t="s">
        <v>285</v>
      </c>
      <c r="E2065" t="s">
        <v>432</v>
      </c>
      <c r="F2065">
        <v>12</v>
      </c>
      <c r="P2065" t="s">
        <v>395</v>
      </c>
      <c r="Q2065">
        <v>80</v>
      </c>
      <c r="R2065" t="s">
        <v>245</v>
      </c>
      <c r="S2065" t="s">
        <v>8</v>
      </c>
      <c r="T2065">
        <v>0</v>
      </c>
    </row>
    <row r="2066" spans="4:20" ht="15.75" customHeight="1" x14ac:dyDescent="0.2">
      <c r="D2066" t="s">
        <v>285</v>
      </c>
      <c r="E2066" t="s">
        <v>432</v>
      </c>
      <c r="F2066">
        <v>12</v>
      </c>
      <c r="P2066" t="s">
        <v>395</v>
      </c>
      <c r="Q2066">
        <v>80</v>
      </c>
      <c r="R2066" t="s">
        <v>247</v>
      </c>
      <c r="S2066" t="s">
        <v>9</v>
      </c>
      <c r="T2066">
        <v>0</v>
      </c>
    </row>
    <row r="2067" spans="4:20" ht="15.75" customHeight="1" x14ac:dyDescent="0.2">
      <c r="D2067" t="s">
        <v>285</v>
      </c>
      <c r="E2067" t="s">
        <v>432</v>
      </c>
      <c r="F2067">
        <v>12</v>
      </c>
      <c r="P2067" t="s">
        <v>395</v>
      </c>
      <c r="Q2067">
        <v>80</v>
      </c>
      <c r="R2067" t="s">
        <v>249</v>
      </c>
      <c r="S2067" t="s">
        <v>10</v>
      </c>
      <c r="T2067">
        <v>1</v>
      </c>
    </row>
    <row r="2068" spans="4:20" ht="15.75" customHeight="1" x14ac:dyDescent="0.2">
      <c r="D2068" t="s">
        <v>285</v>
      </c>
      <c r="E2068" t="s">
        <v>432</v>
      </c>
      <c r="F2068">
        <v>12</v>
      </c>
      <c r="P2068" t="s">
        <v>395</v>
      </c>
      <c r="Q2068">
        <v>80</v>
      </c>
      <c r="R2068" t="s">
        <v>251</v>
      </c>
      <c r="S2068" t="s">
        <v>11</v>
      </c>
      <c r="T2068">
        <v>1</v>
      </c>
    </row>
    <row r="2069" spans="4:20" ht="15.75" customHeight="1" x14ac:dyDescent="0.2">
      <c r="D2069" t="s">
        <v>285</v>
      </c>
      <c r="E2069" t="s">
        <v>432</v>
      </c>
      <c r="F2069">
        <v>12</v>
      </c>
      <c r="P2069" t="s">
        <v>395</v>
      </c>
      <c r="Q2069">
        <v>80</v>
      </c>
      <c r="R2069" t="s">
        <v>253</v>
      </c>
      <c r="S2069" t="s">
        <v>12</v>
      </c>
      <c r="T2069">
        <v>0</v>
      </c>
    </row>
    <row r="2070" spans="4:20" ht="15.75" customHeight="1" x14ac:dyDescent="0.2">
      <c r="D2070" t="s">
        <v>285</v>
      </c>
      <c r="E2070" t="s">
        <v>432</v>
      </c>
      <c r="F2070">
        <v>12</v>
      </c>
      <c r="P2070" t="s">
        <v>395</v>
      </c>
      <c r="Q2070">
        <v>80</v>
      </c>
      <c r="R2070" t="s">
        <v>255</v>
      </c>
      <c r="S2070" t="s">
        <v>15</v>
      </c>
      <c r="T2070">
        <v>0</v>
      </c>
    </row>
    <row r="2071" spans="4:20" ht="15.75" customHeight="1" x14ac:dyDescent="0.2">
      <c r="D2071" t="s">
        <v>285</v>
      </c>
      <c r="E2071" t="s">
        <v>432</v>
      </c>
      <c r="F2071">
        <v>12</v>
      </c>
      <c r="P2071" t="s">
        <v>395</v>
      </c>
      <c r="Q2071">
        <v>80</v>
      </c>
      <c r="R2071" t="s">
        <v>293</v>
      </c>
      <c r="S2071" t="s">
        <v>13</v>
      </c>
      <c r="T2071">
        <v>0</v>
      </c>
    </row>
    <row r="2072" spans="4:20" ht="15.75" customHeight="1" x14ac:dyDescent="0.2">
      <c r="D2072" t="s">
        <v>285</v>
      </c>
      <c r="E2072" t="s">
        <v>432</v>
      </c>
      <c r="F2072">
        <v>12</v>
      </c>
      <c r="P2072" t="s">
        <v>395</v>
      </c>
      <c r="Q2072">
        <v>80</v>
      </c>
      <c r="R2072" t="s">
        <v>294</v>
      </c>
      <c r="S2072" t="s">
        <v>14</v>
      </c>
      <c r="T2072">
        <v>0</v>
      </c>
    </row>
    <row r="2073" spans="4:20" ht="15.75" customHeight="1" x14ac:dyDescent="0.2">
      <c r="D2073" t="s">
        <v>285</v>
      </c>
      <c r="E2073" t="s">
        <v>432</v>
      </c>
      <c r="F2073">
        <v>12</v>
      </c>
      <c r="P2073" t="s">
        <v>395</v>
      </c>
      <c r="Q2073">
        <v>80</v>
      </c>
      <c r="R2073" t="s">
        <v>257</v>
      </c>
      <c r="S2073" t="s">
        <v>16</v>
      </c>
      <c r="T2073">
        <v>0</v>
      </c>
    </row>
    <row r="2074" spans="4:20" ht="15.75" customHeight="1" x14ac:dyDescent="0.2">
      <c r="D2074" t="s">
        <v>285</v>
      </c>
      <c r="E2074" t="s">
        <v>432</v>
      </c>
      <c r="F2074">
        <v>12</v>
      </c>
      <c r="P2074" t="s">
        <v>395</v>
      </c>
      <c r="Q2074">
        <v>80</v>
      </c>
      <c r="R2074" t="s">
        <v>295</v>
      </c>
      <c r="S2074" t="s">
        <v>17</v>
      </c>
      <c r="T2074" t="s">
        <v>366</v>
      </c>
    </row>
    <row r="2075" spans="4:20" ht="15.75" customHeight="1" x14ac:dyDescent="0.2">
      <c r="D2075" t="s">
        <v>285</v>
      </c>
      <c r="E2075" t="s">
        <v>432</v>
      </c>
      <c r="F2075">
        <v>12</v>
      </c>
      <c r="P2075" t="s">
        <v>395</v>
      </c>
      <c r="Q2075">
        <v>80</v>
      </c>
      <c r="R2075" t="s">
        <v>296</v>
      </c>
      <c r="S2075" t="s">
        <v>1</v>
      </c>
      <c r="T2075">
        <v>1</v>
      </c>
    </row>
    <row r="2076" spans="4:20" ht="15.75" customHeight="1" x14ac:dyDescent="0.2">
      <c r="D2076" t="s">
        <v>285</v>
      </c>
      <c r="E2076" t="s">
        <v>432</v>
      </c>
      <c r="F2076">
        <v>12</v>
      </c>
      <c r="P2076" t="s">
        <v>395</v>
      </c>
      <c r="Q2076">
        <v>80</v>
      </c>
      <c r="R2076" t="s">
        <v>297</v>
      </c>
      <c r="S2076" t="s">
        <v>18</v>
      </c>
      <c r="T2076" t="s">
        <v>366</v>
      </c>
    </row>
    <row r="2077" spans="4:20" ht="15.75" customHeight="1" x14ac:dyDescent="0.2">
      <c r="D2077" t="s">
        <v>285</v>
      </c>
      <c r="E2077" t="s">
        <v>432</v>
      </c>
      <c r="F2077">
        <v>12</v>
      </c>
      <c r="P2077" t="s">
        <v>395</v>
      </c>
      <c r="Q2077">
        <v>80</v>
      </c>
      <c r="R2077" t="s">
        <v>298</v>
      </c>
      <c r="S2077" t="s">
        <v>19</v>
      </c>
      <c r="T2077">
        <v>0</v>
      </c>
    </row>
    <row r="2078" spans="4:20" ht="15.75" customHeight="1" x14ac:dyDescent="0.2">
      <c r="D2078" t="s">
        <v>285</v>
      </c>
      <c r="E2078" t="s">
        <v>432</v>
      </c>
      <c r="F2078">
        <v>12</v>
      </c>
      <c r="P2078" t="s">
        <v>395</v>
      </c>
      <c r="Q2078">
        <v>80</v>
      </c>
      <c r="R2078" t="s">
        <v>299</v>
      </c>
      <c r="S2078" t="s">
        <v>20</v>
      </c>
      <c r="T2078">
        <v>1</v>
      </c>
    </row>
    <row r="2079" spans="4:20" ht="15.75" customHeight="1" x14ac:dyDescent="0.2">
      <c r="D2079" t="s">
        <v>285</v>
      </c>
      <c r="E2079" t="s">
        <v>432</v>
      </c>
      <c r="F2079">
        <v>12</v>
      </c>
      <c r="P2079" t="s">
        <v>397</v>
      </c>
      <c r="Q2079">
        <v>81</v>
      </c>
      <c r="R2079" t="s">
        <v>288</v>
      </c>
      <c r="S2079" t="s">
        <v>2</v>
      </c>
      <c r="T2079">
        <v>0</v>
      </c>
    </row>
    <row r="2080" spans="4:20" ht="15.75" customHeight="1" x14ac:dyDescent="0.2">
      <c r="D2080" t="s">
        <v>285</v>
      </c>
      <c r="E2080" t="s">
        <v>432</v>
      </c>
      <c r="F2080">
        <v>12</v>
      </c>
      <c r="P2080" t="s">
        <v>397</v>
      </c>
      <c r="Q2080">
        <v>81</v>
      </c>
      <c r="R2080" t="s">
        <v>289</v>
      </c>
      <c r="S2080" t="s">
        <v>5</v>
      </c>
      <c r="T2080">
        <v>0</v>
      </c>
    </row>
    <row r="2081" spans="4:20" ht="15.75" customHeight="1" x14ac:dyDescent="0.2">
      <c r="D2081" t="s">
        <v>285</v>
      </c>
      <c r="E2081" t="s">
        <v>432</v>
      </c>
      <c r="F2081">
        <v>12</v>
      </c>
      <c r="P2081" t="s">
        <v>397</v>
      </c>
      <c r="Q2081">
        <v>81</v>
      </c>
      <c r="R2081" t="s">
        <v>290</v>
      </c>
      <c r="S2081" t="s">
        <v>3</v>
      </c>
      <c r="T2081">
        <v>0</v>
      </c>
    </row>
    <row r="2082" spans="4:20" ht="15.75" customHeight="1" x14ac:dyDescent="0.2">
      <c r="D2082" t="s">
        <v>285</v>
      </c>
      <c r="E2082" t="s">
        <v>432</v>
      </c>
      <c r="F2082">
        <v>12</v>
      </c>
      <c r="P2082" t="s">
        <v>397</v>
      </c>
      <c r="Q2082">
        <v>81</v>
      </c>
      <c r="R2082" t="s">
        <v>291</v>
      </c>
      <c r="S2082" t="s">
        <v>4</v>
      </c>
      <c r="T2082">
        <v>0</v>
      </c>
    </row>
    <row r="2083" spans="4:20" ht="15.75" customHeight="1" x14ac:dyDescent="0.2">
      <c r="D2083" t="s">
        <v>285</v>
      </c>
      <c r="E2083" t="s">
        <v>432</v>
      </c>
      <c r="F2083">
        <v>12</v>
      </c>
      <c r="P2083" t="s">
        <v>397</v>
      </c>
      <c r="Q2083">
        <v>81</v>
      </c>
      <c r="R2083" t="s">
        <v>292</v>
      </c>
      <c r="S2083" t="s">
        <v>6</v>
      </c>
      <c r="T2083">
        <v>0</v>
      </c>
    </row>
    <row r="2084" spans="4:20" ht="15.75" customHeight="1" x14ac:dyDescent="0.2">
      <c r="D2084" t="s">
        <v>285</v>
      </c>
      <c r="E2084" t="s">
        <v>432</v>
      </c>
      <c r="F2084">
        <v>12</v>
      </c>
      <c r="P2084" t="s">
        <v>397</v>
      </c>
      <c r="Q2084">
        <v>81</v>
      </c>
      <c r="R2084" t="s">
        <v>243</v>
      </c>
      <c r="S2084" t="s">
        <v>7</v>
      </c>
      <c r="T2084">
        <v>0</v>
      </c>
    </row>
    <row r="2085" spans="4:20" ht="15.75" customHeight="1" x14ac:dyDescent="0.2">
      <c r="D2085" t="s">
        <v>285</v>
      </c>
      <c r="E2085" t="s">
        <v>432</v>
      </c>
      <c r="F2085">
        <v>12</v>
      </c>
      <c r="P2085" t="s">
        <v>397</v>
      </c>
      <c r="Q2085">
        <v>81</v>
      </c>
      <c r="R2085" t="s">
        <v>245</v>
      </c>
      <c r="S2085" t="s">
        <v>8</v>
      </c>
      <c r="T2085">
        <v>0</v>
      </c>
    </row>
    <row r="2086" spans="4:20" ht="15.75" customHeight="1" x14ac:dyDescent="0.2">
      <c r="D2086" t="s">
        <v>285</v>
      </c>
      <c r="E2086" t="s">
        <v>432</v>
      </c>
      <c r="F2086">
        <v>12</v>
      </c>
      <c r="P2086" t="s">
        <v>397</v>
      </c>
      <c r="Q2086">
        <v>81</v>
      </c>
      <c r="R2086" t="s">
        <v>247</v>
      </c>
      <c r="S2086" t="s">
        <v>9</v>
      </c>
      <c r="T2086">
        <v>0</v>
      </c>
    </row>
    <row r="2087" spans="4:20" ht="15.75" customHeight="1" x14ac:dyDescent="0.2">
      <c r="D2087" t="s">
        <v>285</v>
      </c>
      <c r="E2087" t="s">
        <v>432</v>
      </c>
      <c r="F2087">
        <v>12</v>
      </c>
      <c r="P2087" t="s">
        <v>397</v>
      </c>
      <c r="Q2087">
        <v>81</v>
      </c>
      <c r="R2087" t="s">
        <v>249</v>
      </c>
      <c r="S2087" t="s">
        <v>10</v>
      </c>
      <c r="T2087">
        <v>1</v>
      </c>
    </row>
    <row r="2088" spans="4:20" ht="15.75" customHeight="1" x14ac:dyDescent="0.2">
      <c r="D2088" t="s">
        <v>285</v>
      </c>
      <c r="E2088" t="s">
        <v>432</v>
      </c>
      <c r="F2088">
        <v>12</v>
      </c>
      <c r="P2088" t="s">
        <v>397</v>
      </c>
      <c r="Q2088">
        <v>81</v>
      </c>
      <c r="R2088" t="s">
        <v>251</v>
      </c>
      <c r="S2088" t="s">
        <v>11</v>
      </c>
      <c r="T2088">
        <v>1</v>
      </c>
    </row>
    <row r="2089" spans="4:20" ht="15.75" customHeight="1" x14ac:dyDescent="0.2">
      <c r="D2089" t="s">
        <v>285</v>
      </c>
      <c r="E2089" t="s">
        <v>432</v>
      </c>
      <c r="F2089">
        <v>12</v>
      </c>
      <c r="P2089" t="s">
        <v>397</v>
      </c>
      <c r="Q2089">
        <v>81</v>
      </c>
      <c r="R2089" t="s">
        <v>253</v>
      </c>
      <c r="S2089" t="s">
        <v>12</v>
      </c>
      <c r="T2089">
        <v>0</v>
      </c>
    </row>
    <row r="2090" spans="4:20" ht="15.75" customHeight="1" x14ac:dyDescent="0.2">
      <c r="D2090" t="s">
        <v>285</v>
      </c>
      <c r="E2090" t="s">
        <v>432</v>
      </c>
      <c r="F2090">
        <v>12</v>
      </c>
      <c r="P2090" t="s">
        <v>397</v>
      </c>
      <c r="Q2090">
        <v>81</v>
      </c>
      <c r="R2090" t="s">
        <v>255</v>
      </c>
      <c r="S2090" t="s">
        <v>15</v>
      </c>
      <c r="T2090">
        <v>0</v>
      </c>
    </row>
    <row r="2091" spans="4:20" ht="15.75" customHeight="1" x14ac:dyDescent="0.2">
      <c r="D2091" t="s">
        <v>285</v>
      </c>
      <c r="E2091" t="s">
        <v>432</v>
      </c>
      <c r="F2091">
        <v>12</v>
      </c>
      <c r="P2091" t="s">
        <v>397</v>
      </c>
      <c r="Q2091">
        <v>81</v>
      </c>
      <c r="R2091" t="s">
        <v>293</v>
      </c>
      <c r="S2091" t="s">
        <v>13</v>
      </c>
      <c r="T2091">
        <v>0</v>
      </c>
    </row>
    <row r="2092" spans="4:20" ht="15.75" customHeight="1" x14ac:dyDescent="0.2">
      <c r="D2092" t="s">
        <v>285</v>
      </c>
      <c r="E2092" t="s">
        <v>432</v>
      </c>
      <c r="F2092">
        <v>12</v>
      </c>
      <c r="P2092" t="s">
        <v>397</v>
      </c>
      <c r="Q2092">
        <v>81</v>
      </c>
      <c r="R2092" t="s">
        <v>294</v>
      </c>
      <c r="S2092" t="s">
        <v>14</v>
      </c>
      <c r="T2092">
        <v>0</v>
      </c>
    </row>
    <row r="2093" spans="4:20" ht="15.75" customHeight="1" x14ac:dyDescent="0.2">
      <c r="D2093" t="s">
        <v>285</v>
      </c>
      <c r="E2093" t="s">
        <v>432</v>
      </c>
      <c r="F2093">
        <v>12</v>
      </c>
      <c r="P2093" t="s">
        <v>397</v>
      </c>
      <c r="Q2093">
        <v>81</v>
      </c>
      <c r="R2093" t="s">
        <v>257</v>
      </c>
      <c r="S2093" t="s">
        <v>16</v>
      </c>
      <c r="T2093">
        <v>0</v>
      </c>
    </row>
    <row r="2094" spans="4:20" ht="15.75" customHeight="1" x14ac:dyDescent="0.2">
      <c r="D2094" t="s">
        <v>285</v>
      </c>
      <c r="E2094" t="s">
        <v>432</v>
      </c>
      <c r="F2094">
        <v>12</v>
      </c>
      <c r="P2094" t="s">
        <v>397</v>
      </c>
      <c r="Q2094">
        <v>81</v>
      </c>
      <c r="R2094" t="s">
        <v>295</v>
      </c>
      <c r="S2094" t="s">
        <v>17</v>
      </c>
      <c r="T2094" t="s">
        <v>366</v>
      </c>
    </row>
    <row r="2095" spans="4:20" ht="15.75" customHeight="1" x14ac:dyDescent="0.2">
      <c r="D2095" t="s">
        <v>285</v>
      </c>
      <c r="E2095" t="s">
        <v>432</v>
      </c>
      <c r="F2095">
        <v>12</v>
      </c>
      <c r="P2095" t="s">
        <v>397</v>
      </c>
      <c r="Q2095">
        <v>81</v>
      </c>
      <c r="R2095" t="s">
        <v>296</v>
      </c>
      <c r="S2095" t="s">
        <v>1</v>
      </c>
      <c r="T2095">
        <v>1</v>
      </c>
    </row>
    <row r="2096" spans="4:20" ht="15.75" customHeight="1" x14ac:dyDescent="0.2">
      <c r="D2096" t="s">
        <v>285</v>
      </c>
      <c r="E2096" t="s">
        <v>432</v>
      </c>
      <c r="F2096">
        <v>12</v>
      </c>
      <c r="P2096" t="s">
        <v>397</v>
      </c>
      <c r="Q2096">
        <v>81</v>
      </c>
      <c r="R2096" t="s">
        <v>297</v>
      </c>
      <c r="S2096" t="s">
        <v>18</v>
      </c>
      <c r="T2096" t="s">
        <v>366</v>
      </c>
    </row>
    <row r="2097" spans="4:20" ht="15.75" customHeight="1" x14ac:dyDescent="0.2">
      <c r="D2097" t="s">
        <v>285</v>
      </c>
      <c r="E2097" t="s">
        <v>432</v>
      </c>
      <c r="F2097">
        <v>12</v>
      </c>
      <c r="P2097" t="s">
        <v>397</v>
      </c>
      <c r="Q2097">
        <v>81</v>
      </c>
      <c r="R2097" t="s">
        <v>298</v>
      </c>
      <c r="S2097" t="s">
        <v>19</v>
      </c>
      <c r="T2097">
        <v>0</v>
      </c>
    </row>
    <row r="2098" spans="4:20" ht="15.75" customHeight="1" x14ac:dyDescent="0.2">
      <c r="D2098" t="s">
        <v>285</v>
      </c>
      <c r="E2098" t="s">
        <v>432</v>
      </c>
      <c r="F2098">
        <v>12</v>
      </c>
      <c r="P2098" t="s">
        <v>397</v>
      </c>
      <c r="Q2098">
        <v>81</v>
      </c>
      <c r="R2098" t="s">
        <v>299</v>
      </c>
      <c r="S2098" t="s">
        <v>20</v>
      </c>
      <c r="T2098">
        <v>2</v>
      </c>
    </row>
    <row r="2099" spans="4:20" ht="15.75" customHeight="1" x14ac:dyDescent="0.2">
      <c r="D2099" t="s">
        <v>285</v>
      </c>
      <c r="E2099" t="s">
        <v>432</v>
      </c>
      <c r="F2099">
        <v>12</v>
      </c>
      <c r="P2099" t="s">
        <v>399</v>
      </c>
      <c r="Q2099">
        <v>82</v>
      </c>
      <c r="R2099" t="s">
        <v>288</v>
      </c>
      <c r="S2099" t="s">
        <v>2</v>
      </c>
      <c r="T2099">
        <v>0</v>
      </c>
    </row>
    <row r="2100" spans="4:20" ht="15.75" customHeight="1" x14ac:dyDescent="0.2">
      <c r="D2100" t="s">
        <v>285</v>
      </c>
      <c r="E2100" t="s">
        <v>432</v>
      </c>
      <c r="F2100">
        <v>12</v>
      </c>
      <c r="P2100" t="s">
        <v>399</v>
      </c>
      <c r="Q2100">
        <v>82</v>
      </c>
      <c r="R2100" t="s">
        <v>289</v>
      </c>
      <c r="S2100" t="s">
        <v>5</v>
      </c>
      <c r="T2100">
        <v>0</v>
      </c>
    </row>
    <row r="2101" spans="4:20" ht="15.75" customHeight="1" x14ac:dyDescent="0.2">
      <c r="D2101" t="s">
        <v>285</v>
      </c>
      <c r="E2101" t="s">
        <v>432</v>
      </c>
      <c r="F2101">
        <v>12</v>
      </c>
      <c r="P2101" t="s">
        <v>399</v>
      </c>
      <c r="Q2101">
        <v>82</v>
      </c>
      <c r="R2101" t="s">
        <v>290</v>
      </c>
      <c r="S2101" t="s">
        <v>3</v>
      </c>
      <c r="T2101">
        <v>0</v>
      </c>
    </row>
    <row r="2102" spans="4:20" ht="15.75" customHeight="1" x14ac:dyDescent="0.2">
      <c r="D2102" t="s">
        <v>285</v>
      </c>
      <c r="E2102" t="s">
        <v>432</v>
      </c>
      <c r="F2102">
        <v>12</v>
      </c>
      <c r="P2102" t="s">
        <v>399</v>
      </c>
      <c r="Q2102">
        <v>82</v>
      </c>
      <c r="R2102" t="s">
        <v>291</v>
      </c>
      <c r="S2102" t="s">
        <v>4</v>
      </c>
      <c r="T2102">
        <v>0</v>
      </c>
    </row>
    <row r="2103" spans="4:20" ht="15.75" customHeight="1" x14ac:dyDescent="0.2">
      <c r="D2103" t="s">
        <v>285</v>
      </c>
      <c r="E2103" t="s">
        <v>432</v>
      </c>
      <c r="F2103">
        <v>12</v>
      </c>
      <c r="P2103" t="s">
        <v>399</v>
      </c>
      <c r="Q2103">
        <v>82</v>
      </c>
      <c r="R2103" t="s">
        <v>292</v>
      </c>
      <c r="S2103" t="s">
        <v>6</v>
      </c>
      <c r="T2103">
        <v>0</v>
      </c>
    </row>
    <row r="2104" spans="4:20" ht="15.75" customHeight="1" x14ac:dyDescent="0.2">
      <c r="D2104" t="s">
        <v>285</v>
      </c>
      <c r="E2104" t="s">
        <v>432</v>
      </c>
      <c r="F2104">
        <v>12</v>
      </c>
      <c r="P2104" t="s">
        <v>399</v>
      </c>
      <c r="Q2104">
        <v>82</v>
      </c>
      <c r="R2104" t="s">
        <v>243</v>
      </c>
      <c r="S2104" t="s">
        <v>7</v>
      </c>
      <c r="T2104">
        <v>0</v>
      </c>
    </row>
    <row r="2105" spans="4:20" ht="15.75" customHeight="1" x14ac:dyDescent="0.2">
      <c r="D2105" t="s">
        <v>285</v>
      </c>
      <c r="E2105" t="s">
        <v>432</v>
      </c>
      <c r="F2105">
        <v>12</v>
      </c>
      <c r="P2105" t="s">
        <v>399</v>
      </c>
      <c r="Q2105">
        <v>82</v>
      </c>
      <c r="R2105" t="s">
        <v>245</v>
      </c>
      <c r="S2105" t="s">
        <v>8</v>
      </c>
      <c r="T2105" t="s">
        <v>364</v>
      </c>
    </row>
    <row r="2106" spans="4:20" ht="15.75" customHeight="1" x14ac:dyDescent="0.2">
      <c r="D2106" t="s">
        <v>285</v>
      </c>
      <c r="E2106" t="s">
        <v>432</v>
      </c>
      <c r="F2106">
        <v>12</v>
      </c>
      <c r="P2106" t="s">
        <v>399</v>
      </c>
      <c r="Q2106">
        <v>82</v>
      </c>
      <c r="R2106" t="s">
        <v>247</v>
      </c>
      <c r="S2106" t="s">
        <v>9</v>
      </c>
      <c r="T2106" t="s">
        <v>364</v>
      </c>
    </row>
    <row r="2107" spans="4:20" ht="15.75" customHeight="1" x14ac:dyDescent="0.2">
      <c r="D2107" t="s">
        <v>285</v>
      </c>
      <c r="E2107" t="s">
        <v>432</v>
      </c>
      <c r="F2107">
        <v>12</v>
      </c>
      <c r="P2107" t="s">
        <v>399</v>
      </c>
      <c r="Q2107">
        <v>82</v>
      </c>
      <c r="R2107" t="s">
        <v>249</v>
      </c>
      <c r="S2107" t="s">
        <v>10</v>
      </c>
      <c r="T2107">
        <v>0</v>
      </c>
    </row>
    <row r="2108" spans="4:20" ht="15.75" customHeight="1" x14ac:dyDescent="0.2">
      <c r="D2108" t="s">
        <v>285</v>
      </c>
      <c r="E2108" t="s">
        <v>432</v>
      </c>
      <c r="F2108">
        <v>12</v>
      </c>
      <c r="P2108" t="s">
        <v>399</v>
      </c>
      <c r="Q2108">
        <v>82</v>
      </c>
      <c r="R2108" t="s">
        <v>251</v>
      </c>
      <c r="S2108" t="s">
        <v>11</v>
      </c>
      <c r="T2108">
        <v>0</v>
      </c>
    </row>
    <row r="2109" spans="4:20" ht="15.75" customHeight="1" x14ac:dyDescent="0.2">
      <c r="D2109" t="s">
        <v>285</v>
      </c>
      <c r="E2109" t="s">
        <v>432</v>
      </c>
      <c r="F2109">
        <v>12</v>
      </c>
      <c r="P2109" t="s">
        <v>399</v>
      </c>
      <c r="Q2109">
        <v>82</v>
      </c>
      <c r="R2109" t="s">
        <v>253</v>
      </c>
      <c r="S2109" t="s">
        <v>12</v>
      </c>
      <c r="T2109" t="s">
        <v>364</v>
      </c>
    </row>
    <row r="2110" spans="4:20" ht="15.75" customHeight="1" x14ac:dyDescent="0.2">
      <c r="D2110" t="s">
        <v>285</v>
      </c>
      <c r="E2110" t="s">
        <v>432</v>
      </c>
      <c r="F2110">
        <v>12</v>
      </c>
      <c r="P2110" t="s">
        <v>399</v>
      </c>
      <c r="Q2110">
        <v>82</v>
      </c>
      <c r="R2110" t="s">
        <v>255</v>
      </c>
      <c r="S2110" t="s">
        <v>15</v>
      </c>
      <c r="T2110">
        <v>0</v>
      </c>
    </row>
    <row r="2111" spans="4:20" ht="15.75" customHeight="1" x14ac:dyDescent="0.2">
      <c r="D2111" t="s">
        <v>285</v>
      </c>
      <c r="E2111" t="s">
        <v>432</v>
      </c>
      <c r="F2111">
        <v>12</v>
      </c>
      <c r="P2111" t="s">
        <v>399</v>
      </c>
      <c r="Q2111">
        <v>82</v>
      </c>
      <c r="R2111" t="s">
        <v>293</v>
      </c>
      <c r="S2111" t="s">
        <v>13</v>
      </c>
      <c r="T2111">
        <v>0</v>
      </c>
    </row>
    <row r="2112" spans="4:20" ht="15.75" customHeight="1" x14ac:dyDescent="0.2">
      <c r="D2112" t="s">
        <v>285</v>
      </c>
      <c r="E2112" t="s">
        <v>432</v>
      </c>
      <c r="F2112">
        <v>12</v>
      </c>
      <c r="P2112" t="s">
        <v>399</v>
      </c>
      <c r="Q2112">
        <v>82</v>
      </c>
      <c r="R2112" t="s">
        <v>294</v>
      </c>
      <c r="S2112" t="s">
        <v>14</v>
      </c>
      <c r="T2112">
        <v>0</v>
      </c>
    </row>
    <row r="2113" spans="4:20" ht="15.75" customHeight="1" x14ac:dyDescent="0.2">
      <c r="D2113" t="s">
        <v>285</v>
      </c>
      <c r="E2113" t="s">
        <v>432</v>
      </c>
      <c r="F2113">
        <v>12</v>
      </c>
      <c r="P2113" t="s">
        <v>399</v>
      </c>
      <c r="Q2113">
        <v>82</v>
      </c>
      <c r="R2113" t="s">
        <v>257</v>
      </c>
      <c r="S2113" t="s">
        <v>16</v>
      </c>
      <c r="T2113">
        <v>0</v>
      </c>
    </row>
    <row r="2114" spans="4:20" ht="15.75" customHeight="1" x14ac:dyDescent="0.2">
      <c r="D2114" t="s">
        <v>285</v>
      </c>
      <c r="E2114" t="s">
        <v>432</v>
      </c>
      <c r="F2114">
        <v>12</v>
      </c>
      <c r="P2114" t="s">
        <v>399</v>
      </c>
      <c r="Q2114">
        <v>82</v>
      </c>
      <c r="R2114" t="s">
        <v>295</v>
      </c>
      <c r="S2114" t="s">
        <v>17</v>
      </c>
      <c r="T2114" t="s">
        <v>366</v>
      </c>
    </row>
    <row r="2115" spans="4:20" ht="15.75" customHeight="1" x14ac:dyDescent="0.2">
      <c r="D2115" t="s">
        <v>285</v>
      </c>
      <c r="E2115" t="s">
        <v>432</v>
      </c>
      <c r="F2115">
        <v>12</v>
      </c>
      <c r="P2115" t="s">
        <v>399</v>
      </c>
      <c r="Q2115">
        <v>82</v>
      </c>
      <c r="R2115" t="s">
        <v>296</v>
      </c>
      <c r="S2115" t="s">
        <v>1</v>
      </c>
      <c r="T2115">
        <v>1</v>
      </c>
    </row>
    <row r="2116" spans="4:20" ht="15.75" customHeight="1" x14ac:dyDescent="0.2">
      <c r="D2116" t="s">
        <v>285</v>
      </c>
      <c r="E2116" t="s">
        <v>432</v>
      </c>
      <c r="F2116">
        <v>12</v>
      </c>
      <c r="P2116" t="s">
        <v>399</v>
      </c>
      <c r="Q2116">
        <v>82</v>
      </c>
      <c r="R2116" t="s">
        <v>297</v>
      </c>
      <c r="S2116" t="s">
        <v>18</v>
      </c>
      <c r="T2116" t="s">
        <v>366</v>
      </c>
    </row>
    <row r="2117" spans="4:20" ht="15.75" customHeight="1" x14ac:dyDescent="0.2">
      <c r="D2117" t="s">
        <v>285</v>
      </c>
      <c r="E2117" t="s">
        <v>432</v>
      </c>
      <c r="F2117">
        <v>12</v>
      </c>
      <c r="P2117" t="s">
        <v>399</v>
      </c>
      <c r="Q2117">
        <v>82</v>
      </c>
      <c r="R2117" t="s">
        <v>298</v>
      </c>
      <c r="S2117" t="s">
        <v>19</v>
      </c>
      <c r="T2117">
        <v>0</v>
      </c>
    </row>
    <row r="2118" spans="4:20" ht="15.75" customHeight="1" x14ac:dyDescent="0.2">
      <c r="D2118" t="s">
        <v>285</v>
      </c>
      <c r="E2118" t="s">
        <v>432</v>
      </c>
      <c r="F2118">
        <v>12</v>
      </c>
      <c r="P2118" t="s">
        <v>399</v>
      </c>
      <c r="Q2118">
        <v>82</v>
      </c>
      <c r="R2118" t="s">
        <v>299</v>
      </c>
      <c r="S2118" t="s">
        <v>20</v>
      </c>
      <c r="T2118">
        <v>0</v>
      </c>
    </row>
    <row r="2119" spans="4:20" ht="15.75" customHeight="1" x14ac:dyDescent="0.2">
      <c r="D2119" t="s">
        <v>285</v>
      </c>
      <c r="E2119" t="s">
        <v>432</v>
      </c>
      <c r="F2119">
        <v>12</v>
      </c>
      <c r="P2119" t="s">
        <v>400</v>
      </c>
      <c r="Q2119">
        <v>83</v>
      </c>
      <c r="R2119" t="s">
        <v>288</v>
      </c>
      <c r="S2119" t="s">
        <v>2</v>
      </c>
      <c r="T2119">
        <v>0</v>
      </c>
    </row>
    <row r="2120" spans="4:20" ht="15.75" customHeight="1" x14ac:dyDescent="0.2">
      <c r="D2120" t="s">
        <v>285</v>
      </c>
      <c r="E2120" t="s">
        <v>432</v>
      </c>
      <c r="F2120">
        <v>12</v>
      </c>
      <c r="P2120" t="s">
        <v>400</v>
      </c>
      <c r="Q2120">
        <v>83</v>
      </c>
      <c r="R2120" t="s">
        <v>289</v>
      </c>
      <c r="S2120" t="s">
        <v>5</v>
      </c>
      <c r="T2120">
        <v>0</v>
      </c>
    </row>
    <row r="2121" spans="4:20" ht="15.75" customHeight="1" x14ac:dyDescent="0.2">
      <c r="D2121" t="s">
        <v>285</v>
      </c>
      <c r="E2121" t="s">
        <v>432</v>
      </c>
      <c r="F2121">
        <v>12</v>
      </c>
      <c r="P2121" t="s">
        <v>400</v>
      </c>
      <c r="Q2121">
        <v>83</v>
      </c>
      <c r="R2121" t="s">
        <v>290</v>
      </c>
      <c r="S2121" t="s">
        <v>3</v>
      </c>
      <c r="T2121">
        <v>0</v>
      </c>
    </row>
    <row r="2122" spans="4:20" ht="15.75" customHeight="1" x14ac:dyDescent="0.2">
      <c r="D2122" t="s">
        <v>285</v>
      </c>
      <c r="E2122" t="s">
        <v>432</v>
      </c>
      <c r="F2122">
        <v>12</v>
      </c>
      <c r="P2122" t="s">
        <v>400</v>
      </c>
      <c r="Q2122">
        <v>83</v>
      </c>
      <c r="R2122" t="s">
        <v>291</v>
      </c>
      <c r="S2122" t="s">
        <v>4</v>
      </c>
      <c r="T2122">
        <v>0</v>
      </c>
    </row>
    <row r="2123" spans="4:20" ht="15.75" customHeight="1" x14ac:dyDescent="0.2">
      <c r="D2123" t="s">
        <v>285</v>
      </c>
      <c r="E2123" t="s">
        <v>432</v>
      </c>
      <c r="F2123">
        <v>12</v>
      </c>
      <c r="P2123" t="s">
        <v>400</v>
      </c>
      <c r="Q2123">
        <v>83</v>
      </c>
      <c r="R2123" t="s">
        <v>292</v>
      </c>
      <c r="S2123" t="s">
        <v>6</v>
      </c>
      <c r="T2123">
        <v>0</v>
      </c>
    </row>
    <row r="2124" spans="4:20" ht="15.75" customHeight="1" x14ac:dyDescent="0.2">
      <c r="D2124" t="s">
        <v>285</v>
      </c>
      <c r="E2124" t="s">
        <v>432</v>
      </c>
      <c r="F2124">
        <v>12</v>
      </c>
      <c r="P2124" t="s">
        <v>400</v>
      </c>
      <c r="Q2124">
        <v>83</v>
      </c>
      <c r="R2124" t="s">
        <v>243</v>
      </c>
      <c r="S2124" t="s">
        <v>7</v>
      </c>
      <c r="T2124">
        <v>0</v>
      </c>
    </row>
    <row r="2125" spans="4:20" ht="15.75" customHeight="1" x14ac:dyDescent="0.2">
      <c r="D2125" t="s">
        <v>285</v>
      </c>
      <c r="E2125" t="s">
        <v>432</v>
      </c>
      <c r="F2125">
        <v>12</v>
      </c>
      <c r="P2125" t="s">
        <v>400</v>
      </c>
      <c r="Q2125">
        <v>83</v>
      </c>
      <c r="R2125" t="s">
        <v>245</v>
      </c>
      <c r="S2125" t="s">
        <v>8</v>
      </c>
      <c r="T2125" t="s">
        <v>364</v>
      </c>
    </row>
    <row r="2126" spans="4:20" ht="15.75" customHeight="1" x14ac:dyDescent="0.2">
      <c r="D2126" t="s">
        <v>285</v>
      </c>
      <c r="E2126" t="s">
        <v>432</v>
      </c>
      <c r="F2126">
        <v>12</v>
      </c>
      <c r="P2126" t="s">
        <v>400</v>
      </c>
      <c r="Q2126">
        <v>83</v>
      </c>
      <c r="R2126" t="s">
        <v>247</v>
      </c>
      <c r="S2126" t="s">
        <v>9</v>
      </c>
      <c r="T2126" t="s">
        <v>364</v>
      </c>
    </row>
    <row r="2127" spans="4:20" ht="15.75" customHeight="1" x14ac:dyDescent="0.2">
      <c r="D2127" t="s">
        <v>285</v>
      </c>
      <c r="E2127" t="s">
        <v>432</v>
      </c>
      <c r="F2127">
        <v>12</v>
      </c>
      <c r="P2127" t="s">
        <v>400</v>
      </c>
      <c r="Q2127">
        <v>83</v>
      </c>
      <c r="R2127" t="s">
        <v>249</v>
      </c>
      <c r="S2127" t="s">
        <v>10</v>
      </c>
      <c r="T2127">
        <v>0</v>
      </c>
    </row>
    <row r="2128" spans="4:20" ht="15.75" customHeight="1" x14ac:dyDescent="0.2">
      <c r="D2128" t="s">
        <v>285</v>
      </c>
      <c r="E2128" t="s">
        <v>432</v>
      </c>
      <c r="F2128">
        <v>12</v>
      </c>
      <c r="P2128" t="s">
        <v>400</v>
      </c>
      <c r="Q2128">
        <v>83</v>
      </c>
      <c r="R2128" t="s">
        <v>251</v>
      </c>
      <c r="S2128" t="s">
        <v>11</v>
      </c>
      <c r="T2128">
        <v>0</v>
      </c>
    </row>
    <row r="2129" spans="4:20" ht="15.75" customHeight="1" x14ac:dyDescent="0.2">
      <c r="D2129" t="s">
        <v>285</v>
      </c>
      <c r="E2129" t="s">
        <v>432</v>
      </c>
      <c r="F2129">
        <v>12</v>
      </c>
      <c r="P2129" t="s">
        <v>400</v>
      </c>
      <c r="Q2129">
        <v>83</v>
      </c>
      <c r="R2129" t="s">
        <v>253</v>
      </c>
      <c r="S2129" t="s">
        <v>12</v>
      </c>
      <c r="T2129" t="s">
        <v>364</v>
      </c>
    </row>
    <row r="2130" spans="4:20" ht="15.75" customHeight="1" x14ac:dyDescent="0.2">
      <c r="D2130" t="s">
        <v>285</v>
      </c>
      <c r="E2130" t="s">
        <v>432</v>
      </c>
      <c r="F2130">
        <v>12</v>
      </c>
      <c r="P2130" t="s">
        <v>400</v>
      </c>
      <c r="Q2130">
        <v>83</v>
      </c>
      <c r="R2130" t="s">
        <v>255</v>
      </c>
      <c r="S2130" t="s">
        <v>15</v>
      </c>
      <c r="T2130">
        <v>0</v>
      </c>
    </row>
    <row r="2131" spans="4:20" ht="15.75" customHeight="1" x14ac:dyDescent="0.2">
      <c r="D2131" t="s">
        <v>285</v>
      </c>
      <c r="E2131" t="s">
        <v>432</v>
      </c>
      <c r="F2131">
        <v>12</v>
      </c>
      <c r="P2131" t="s">
        <v>400</v>
      </c>
      <c r="Q2131">
        <v>83</v>
      </c>
      <c r="R2131" t="s">
        <v>293</v>
      </c>
      <c r="S2131" t="s">
        <v>13</v>
      </c>
      <c r="T2131">
        <v>0</v>
      </c>
    </row>
    <row r="2132" spans="4:20" ht="15.75" customHeight="1" x14ac:dyDescent="0.2">
      <c r="D2132" t="s">
        <v>285</v>
      </c>
      <c r="E2132" t="s">
        <v>432</v>
      </c>
      <c r="F2132">
        <v>12</v>
      </c>
      <c r="P2132" t="s">
        <v>400</v>
      </c>
      <c r="Q2132">
        <v>83</v>
      </c>
      <c r="R2132" t="s">
        <v>294</v>
      </c>
      <c r="S2132" t="s">
        <v>14</v>
      </c>
      <c r="T2132">
        <v>0</v>
      </c>
    </row>
    <row r="2133" spans="4:20" ht="15.75" customHeight="1" x14ac:dyDescent="0.2">
      <c r="D2133" t="s">
        <v>285</v>
      </c>
      <c r="E2133" t="s">
        <v>432</v>
      </c>
      <c r="F2133">
        <v>12</v>
      </c>
      <c r="P2133" t="s">
        <v>400</v>
      </c>
      <c r="Q2133">
        <v>83</v>
      </c>
      <c r="R2133" t="s">
        <v>257</v>
      </c>
      <c r="S2133" t="s">
        <v>16</v>
      </c>
      <c r="T2133">
        <v>0</v>
      </c>
    </row>
    <row r="2134" spans="4:20" ht="15.75" customHeight="1" x14ac:dyDescent="0.2">
      <c r="D2134" t="s">
        <v>285</v>
      </c>
      <c r="E2134" t="s">
        <v>432</v>
      </c>
      <c r="F2134">
        <v>12</v>
      </c>
      <c r="P2134" t="s">
        <v>400</v>
      </c>
      <c r="Q2134">
        <v>83</v>
      </c>
      <c r="R2134" t="s">
        <v>295</v>
      </c>
      <c r="S2134" t="s">
        <v>17</v>
      </c>
      <c r="T2134" t="s">
        <v>366</v>
      </c>
    </row>
    <row r="2135" spans="4:20" ht="15.75" customHeight="1" x14ac:dyDescent="0.2">
      <c r="D2135" t="s">
        <v>285</v>
      </c>
      <c r="E2135" t="s">
        <v>432</v>
      </c>
      <c r="F2135">
        <v>12</v>
      </c>
      <c r="P2135" t="s">
        <v>400</v>
      </c>
      <c r="Q2135">
        <v>83</v>
      </c>
      <c r="R2135" t="s">
        <v>296</v>
      </c>
      <c r="S2135" t="s">
        <v>1</v>
      </c>
      <c r="T2135">
        <v>1</v>
      </c>
    </row>
    <row r="2136" spans="4:20" ht="15.75" customHeight="1" x14ac:dyDescent="0.2">
      <c r="D2136" t="s">
        <v>285</v>
      </c>
      <c r="E2136" t="s">
        <v>432</v>
      </c>
      <c r="F2136">
        <v>12</v>
      </c>
      <c r="P2136" t="s">
        <v>400</v>
      </c>
      <c r="Q2136">
        <v>83</v>
      </c>
      <c r="R2136" t="s">
        <v>297</v>
      </c>
      <c r="S2136" t="s">
        <v>18</v>
      </c>
      <c r="T2136" t="s">
        <v>366</v>
      </c>
    </row>
    <row r="2137" spans="4:20" ht="15.75" customHeight="1" x14ac:dyDescent="0.2">
      <c r="D2137" t="s">
        <v>285</v>
      </c>
      <c r="E2137" t="s">
        <v>432</v>
      </c>
      <c r="F2137">
        <v>12</v>
      </c>
      <c r="P2137" t="s">
        <v>400</v>
      </c>
      <c r="Q2137">
        <v>83</v>
      </c>
      <c r="R2137" t="s">
        <v>298</v>
      </c>
      <c r="S2137" t="s">
        <v>19</v>
      </c>
      <c r="T2137">
        <v>0</v>
      </c>
    </row>
    <row r="2138" spans="4:20" ht="15.75" customHeight="1" x14ac:dyDescent="0.2">
      <c r="D2138" t="s">
        <v>285</v>
      </c>
      <c r="E2138" t="s">
        <v>432</v>
      </c>
      <c r="F2138">
        <v>12</v>
      </c>
      <c r="P2138" t="s">
        <v>400</v>
      </c>
      <c r="Q2138">
        <v>83</v>
      </c>
      <c r="R2138" t="s">
        <v>299</v>
      </c>
      <c r="S2138" t="s">
        <v>20</v>
      </c>
      <c r="T2138">
        <v>0</v>
      </c>
    </row>
    <row r="2139" spans="4:20" ht="15.75" customHeight="1" x14ac:dyDescent="0.2">
      <c r="D2139" t="s">
        <v>285</v>
      </c>
      <c r="E2139" t="s">
        <v>432</v>
      </c>
      <c r="F2139">
        <v>12</v>
      </c>
      <c r="P2139" t="s">
        <v>401</v>
      </c>
      <c r="Q2139">
        <v>84</v>
      </c>
      <c r="R2139" t="s">
        <v>288</v>
      </c>
      <c r="S2139" t="s">
        <v>2</v>
      </c>
      <c r="T2139">
        <v>0</v>
      </c>
    </row>
    <row r="2140" spans="4:20" ht="15.75" customHeight="1" x14ac:dyDescent="0.2">
      <c r="D2140" t="s">
        <v>285</v>
      </c>
      <c r="E2140" t="s">
        <v>432</v>
      </c>
      <c r="F2140">
        <v>12</v>
      </c>
      <c r="P2140" t="s">
        <v>401</v>
      </c>
      <c r="Q2140">
        <v>84</v>
      </c>
      <c r="R2140" t="s">
        <v>289</v>
      </c>
      <c r="S2140" t="s">
        <v>5</v>
      </c>
      <c r="T2140">
        <v>0</v>
      </c>
    </row>
    <row r="2141" spans="4:20" ht="15.75" customHeight="1" x14ac:dyDescent="0.2">
      <c r="D2141" t="s">
        <v>285</v>
      </c>
      <c r="E2141" t="s">
        <v>432</v>
      </c>
      <c r="F2141">
        <v>12</v>
      </c>
      <c r="P2141" t="s">
        <v>401</v>
      </c>
      <c r="Q2141">
        <v>84</v>
      </c>
      <c r="R2141" t="s">
        <v>290</v>
      </c>
      <c r="S2141" t="s">
        <v>3</v>
      </c>
      <c r="T2141">
        <v>0</v>
      </c>
    </row>
    <row r="2142" spans="4:20" ht="15.75" customHeight="1" x14ac:dyDescent="0.2">
      <c r="D2142" t="s">
        <v>285</v>
      </c>
      <c r="E2142" t="s">
        <v>432</v>
      </c>
      <c r="F2142">
        <v>12</v>
      </c>
      <c r="P2142" t="s">
        <v>401</v>
      </c>
      <c r="Q2142">
        <v>84</v>
      </c>
      <c r="R2142" t="s">
        <v>291</v>
      </c>
      <c r="S2142" t="s">
        <v>4</v>
      </c>
      <c r="T2142">
        <v>0</v>
      </c>
    </row>
    <row r="2143" spans="4:20" ht="15.75" customHeight="1" x14ac:dyDescent="0.2">
      <c r="D2143" t="s">
        <v>285</v>
      </c>
      <c r="E2143" t="s">
        <v>432</v>
      </c>
      <c r="F2143">
        <v>12</v>
      </c>
      <c r="P2143" t="s">
        <v>401</v>
      </c>
      <c r="Q2143">
        <v>84</v>
      </c>
      <c r="R2143" t="s">
        <v>292</v>
      </c>
      <c r="S2143" t="s">
        <v>6</v>
      </c>
      <c r="T2143">
        <v>0</v>
      </c>
    </row>
    <row r="2144" spans="4:20" ht="15.75" customHeight="1" x14ac:dyDescent="0.2">
      <c r="D2144" t="s">
        <v>285</v>
      </c>
      <c r="E2144" t="s">
        <v>432</v>
      </c>
      <c r="F2144">
        <v>12</v>
      </c>
      <c r="P2144" t="s">
        <v>401</v>
      </c>
      <c r="Q2144">
        <v>84</v>
      </c>
      <c r="R2144" t="s">
        <v>243</v>
      </c>
      <c r="S2144" t="s">
        <v>7</v>
      </c>
      <c r="T2144">
        <v>0</v>
      </c>
    </row>
    <row r="2145" spans="4:20" ht="15.75" customHeight="1" x14ac:dyDescent="0.2">
      <c r="D2145" t="s">
        <v>285</v>
      </c>
      <c r="E2145" t="s">
        <v>432</v>
      </c>
      <c r="F2145">
        <v>12</v>
      </c>
      <c r="P2145" t="s">
        <v>401</v>
      </c>
      <c r="Q2145">
        <v>84</v>
      </c>
      <c r="R2145" t="s">
        <v>245</v>
      </c>
      <c r="S2145" t="s">
        <v>8</v>
      </c>
      <c r="T2145">
        <v>0</v>
      </c>
    </row>
    <row r="2146" spans="4:20" ht="15.75" customHeight="1" x14ac:dyDescent="0.2">
      <c r="D2146" t="s">
        <v>285</v>
      </c>
      <c r="E2146" t="s">
        <v>432</v>
      </c>
      <c r="F2146">
        <v>12</v>
      </c>
      <c r="P2146" t="s">
        <v>401</v>
      </c>
      <c r="Q2146">
        <v>84</v>
      </c>
      <c r="R2146" t="s">
        <v>247</v>
      </c>
      <c r="S2146" t="s">
        <v>9</v>
      </c>
      <c r="T2146">
        <v>0</v>
      </c>
    </row>
    <row r="2147" spans="4:20" ht="15.75" customHeight="1" x14ac:dyDescent="0.2">
      <c r="D2147" t="s">
        <v>285</v>
      </c>
      <c r="E2147" t="s">
        <v>432</v>
      </c>
      <c r="F2147">
        <v>12</v>
      </c>
      <c r="P2147" t="s">
        <v>401</v>
      </c>
      <c r="Q2147">
        <v>84</v>
      </c>
      <c r="R2147" t="s">
        <v>249</v>
      </c>
      <c r="S2147" t="s">
        <v>10</v>
      </c>
      <c r="T2147">
        <v>1</v>
      </c>
    </row>
    <row r="2148" spans="4:20" ht="15.75" customHeight="1" x14ac:dyDescent="0.2">
      <c r="D2148" t="s">
        <v>285</v>
      </c>
      <c r="E2148" t="s">
        <v>432</v>
      </c>
      <c r="F2148">
        <v>12</v>
      </c>
      <c r="P2148" t="s">
        <v>401</v>
      </c>
      <c r="Q2148">
        <v>84</v>
      </c>
      <c r="R2148" t="s">
        <v>251</v>
      </c>
      <c r="S2148" t="s">
        <v>11</v>
      </c>
      <c r="T2148">
        <v>1</v>
      </c>
    </row>
    <row r="2149" spans="4:20" ht="15.75" customHeight="1" x14ac:dyDescent="0.2">
      <c r="D2149" t="s">
        <v>285</v>
      </c>
      <c r="E2149" t="s">
        <v>432</v>
      </c>
      <c r="F2149">
        <v>12</v>
      </c>
      <c r="P2149" t="s">
        <v>401</v>
      </c>
      <c r="Q2149">
        <v>84</v>
      </c>
      <c r="R2149" t="s">
        <v>253</v>
      </c>
      <c r="S2149" t="s">
        <v>12</v>
      </c>
      <c r="T2149">
        <v>0</v>
      </c>
    </row>
    <row r="2150" spans="4:20" ht="15.75" customHeight="1" x14ac:dyDescent="0.2">
      <c r="D2150" t="s">
        <v>285</v>
      </c>
      <c r="E2150" t="s">
        <v>432</v>
      </c>
      <c r="F2150">
        <v>12</v>
      </c>
      <c r="P2150" t="s">
        <v>401</v>
      </c>
      <c r="Q2150">
        <v>84</v>
      </c>
      <c r="R2150" t="s">
        <v>255</v>
      </c>
      <c r="S2150" t="s">
        <v>15</v>
      </c>
      <c r="T2150">
        <v>0</v>
      </c>
    </row>
    <row r="2151" spans="4:20" ht="15.75" customHeight="1" x14ac:dyDescent="0.2">
      <c r="D2151" t="s">
        <v>285</v>
      </c>
      <c r="E2151" t="s">
        <v>432</v>
      </c>
      <c r="F2151">
        <v>12</v>
      </c>
      <c r="P2151" t="s">
        <v>401</v>
      </c>
      <c r="Q2151">
        <v>84</v>
      </c>
      <c r="R2151" t="s">
        <v>293</v>
      </c>
      <c r="S2151" t="s">
        <v>13</v>
      </c>
      <c r="T2151">
        <v>0</v>
      </c>
    </row>
    <row r="2152" spans="4:20" ht="15.75" customHeight="1" x14ac:dyDescent="0.2">
      <c r="D2152" t="s">
        <v>285</v>
      </c>
      <c r="E2152" t="s">
        <v>432</v>
      </c>
      <c r="F2152">
        <v>12</v>
      </c>
      <c r="P2152" t="s">
        <v>401</v>
      </c>
      <c r="Q2152">
        <v>84</v>
      </c>
      <c r="R2152" t="s">
        <v>294</v>
      </c>
      <c r="S2152" t="s">
        <v>14</v>
      </c>
      <c r="T2152">
        <v>0</v>
      </c>
    </row>
    <row r="2153" spans="4:20" ht="15.75" customHeight="1" x14ac:dyDescent="0.2">
      <c r="D2153" t="s">
        <v>285</v>
      </c>
      <c r="E2153" t="s">
        <v>432</v>
      </c>
      <c r="F2153">
        <v>12</v>
      </c>
      <c r="P2153" t="s">
        <v>401</v>
      </c>
      <c r="Q2153">
        <v>84</v>
      </c>
      <c r="R2153" t="s">
        <v>257</v>
      </c>
      <c r="S2153" t="s">
        <v>16</v>
      </c>
      <c r="T2153">
        <v>0</v>
      </c>
    </row>
    <row r="2154" spans="4:20" ht="15.75" customHeight="1" x14ac:dyDescent="0.2">
      <c r="D2154" t="s">
        <v>285</v>
      </c>
      <c r="E2154" t="s">
        <v>432</v>
      </c>
      <c r="F2154">
        <v>12</v>
      </c>
      <c r="P2154" t="s">
        <v>401</v>
      </c>
      <c r="Q2154">
        <v>84</v>
      </c>
      <c r="R2154" t="s">
        <v>295</v>
      </c>
      <c r="S2154" t="s">
        <v>17</v>
      </c>
      <c r="T2154" t="s">
        <v>366</v>
      </c>
    </row>
    <row r="2155" spans="4:20" ht="15.75" customHeight="1" x14ac:dyDescent="0.2">
      <c r="D2155" t="s">
        <v>285</v>
      </c>
      <c r="E2155" t="s">
        <v>432</v>
      </c>
      <c r="F2155">
        <v>12</v>
      </c>
      <c r="P2155" t="s">
        <v>401</v>
      </c>
      <c r="Q2155">
        <v>84</v>
      </c>
      <c r="R2155" t="s">
        <v>296</v>
      </c>
      <c r="S2155" t="s">
        <v>1</v>
      </c>
      <c r="T2155">
        <v>1</v>
      </c>
    </row>
    <row r="2156" spans="4:20" ht="15.75" customHeight="1" x14ac:dyDescent="0.2">
      <c r="D2156" t="s">
        <v>285</v>
      </c>
      <c r="E2156" t="s">
        <v>432</v>
      </c>
      <c r="F2156">
        <v>12</v>
      </c>
      <c r="P2156" t="s">
        <v>401</v>
      </c>
      <c r="Q2156">
        <v>84</v>
      </c>
      <c r="R2156" t="s">
        <v>297</v>
      </c>
      <c r="S2156" t="s">
        <v>18</v>
      </c>
      <c r="T2156" t="s">
        <v>366</v>
      </c>
    </row>
    <row r="2157" spans="4:20" ht="15.75" customHeight="1" x14ac:dyDescent="0.2">
      <c r="D2157" t="s">
        <v>285</v>
      </c>
      <c r="E2157" t="s">
        <v>432</v>
      </c>
      <c r="F2157">
        <v>12</v>
      </c>
      <c r="P2157" t="s">
        <v>401</v>
      </c>
      <c r="Q2157">
        <v>84</v>
      </c>
      <c r="R2157" t="s">
        <v>298</v>
      </c>
      <c r="S2157" t="s">
        <v>19</v>
      </c>
      <c r="T2157">
        <v>0</v>
      </c>
    </row>
    <row r="2158" spans="4:20" ht="15.75" customHeight="1" x14ac:dyDescent="0.2">
      <c r="D2158" t="s">
        <v>285</v>
      </c>
      <c r="E2158" t="s">
        <v>432</v>
      </c>
      <c r="F2158">
        <v>12</v>
      </c>
      <c r="P2158" t="s">
        <v>401</v>
      </c>
      <c r="Q2158">
        <v>84</v>
      </c>
      <c r="R2158" t="s">
        <v>299</v>
      </c>
      <c r="S2158" t="s">
        <v>20</v>
      </c>
      <c r="T2158">
        <v>0</v>
      </c>
    </row>
    <row r="2159" spans="4:20" ht="15.75" customHeight="1" x14ac:dyDescent="0.2">
      <c r="D2159" t="s">
        <v>285</v>
      </c>
      <c r="E2159" t="s">
        <v>432</v>
      </c>
      <c r="F2159">
        <v>12</v>
      </c>
      <c r="P2159" t="s">
        <v>402</v>
      </c>
      <c r="Q2159">
        <v>85</v>
      </c>
      <c r="R2159" t="s">
        <v>288</v>
      </c>
      <c r="S2159" t="s">
        <v>2</v>
      </c>
      <c r="T2159">
        <v>0</v>
      </c>
    </row>
    <row r="2160" spans="4:20" ht="15.75" customHeight="1" x14ac:dyDescent="0.2">
      <c r="D2160" t="s">
        <v>285</v>
      </c>
      <c r="E2160" t="s">
        <v>432</v>
      </c>
      <c r="F2160">
        <v>12</v>
      </c>
      <c r="P2160" t="s">
        <v>402</v>
      </c>
      <c r="Q2160">
        <v>85</v>
      </c>
      <c r="R2160" t="s">
        <v>289</v>
      </c>
      <c r="S2160" t="s">
        <v>5</v>
      </c>
      <c r="T2160">
        <v>0</v>
      </c>
    </row>
    <row r="2161" spans="4:20" ht="15.75" customHeight="1" x14ac:dyDescent="0.2">
      <c r="D2161" t="s">
        <v>285</v>
      </c>
      <c r="E2161" t="s">
        <v>432</v>
      </c>
      <c r="F2161">
        <v>12</v>
      </c>
      <c r="P2161" t="s">
        <v>402</v>
      </c>
      <c r="Q2161">
        <v>85</v>
      </c>
      <c r="R2161" t="s">
        <v>290</v>
      </c>
      <c r="S2161" t="s">
        <v>3</v>
      </c>
      <c r="T2161">
        <v>0</v>
      </c>
    </row>
    <row r="2162" spans="4:20" ht="15.75" customHeight="1" x14ac:dyDescent="0.2">
      <c r="D2162" t="s">
        <v>285</v>
      </c>
      <c r="E2162" t="s">
        <v>432</v>
      </c>
      <c r="F2162">
        <v>12</v>
      </c>
      <c r="P2162" t="s">
        <v>402</v>
      </c>
      <c r="Q2162">
        <v>85</v>
      </c>
      <c r="R2162" t="s">
        <v>291</v>
      </c>
      <c r="S2162" t="s">
        <v>4</v>
      </c>
      <c r="T2162">
        <v>0</v>
      </c>
    </row>
    <row r="2163" spans="4:20" ht="15.75" customHeight="1" x14ac:dyDescent="0.2">
      <c r="D2163" t="s">
        <v>285</v>
      </c>
      <c r="E2163" t="s">
        <v>432</v>
      </c>
      <c r="F2163">
        <v>12</v>
      </c>
      <c r="P2163" t="s">
        <v>402</v>
      </c>
      <c r="Q2163">
        <v>85</v>
      </c>
      <c r="R2163" t="s">
        <v>292</v>
      </c>
      <c r="S2163" t="s">
        <v>6</v>
      </c>
      <c r="T2163">
        <v>0</v>
      </c>
    </row>
    <row r="2164" spans="4:20" ht="15.75" customHeight="1" x14ac:dyDescent="0.2">
      <c r="D2164" t="s">
        <v>285</v>
      </c>
      <c r="E2164" t="s">
        <v>432</v>
      </c>
      <c r="F2164">
        <v>12</v>
      </c>
      <c r="P2164" t="s">
        <v>402</v>
      </c>
      <c r="Q2164">
        <v>85</v>
      </c>
      <c r="R2164" t="s">
        <v>243</v>
      </c>
      <c r="S2164" t="s">
        <v>7</v>
      </c>
      <c r="T2164">
        <v>0</v>
      </c>
    </row>
    <row r="2165" spans="4:20" ht="15.75" customHeight="1" x14ac:dyDescent="0.2">
      <c r="D2165" t="s">
        <v>285</v>
      </c>
      <c r="E2165" t="s">
        <v>432</v>
      </c>
      <c r="F2165">
        <v>12</v>
      </c>
      <c r="P2165" t="s">
        <v>402</v>
      </c>
      <c r="Q2165">
        <v>85</v>
      </c>
      <c r="R2165" t="s">
        <v>245</v>
      </c>
      <c r="S2165" t="s">
        <v>8</v>
      </c>
      <c r="T2165">
        <v>0</v>
      </c>
    </row>
    <row r="2166" spans="4:20" ht="15.75" customHeight="1" x14ac:dyDescent="0.2">
      <c r="D2166" t="s">
        <v>285</v>
      </c>
      <c r="E2166" t="s">
        <v>432</v>
      </c>
      <c r="F2166">
        <v>12</v>
      </c>
      <c r="P2166" t="s">
        <v>402</v>
      </c>
      <c r="Q2166">
        <v>85</v>
      </c>
      <c r="R2166" t="s">
        <v>247</v>
      </c>
      <c r="S2166" t="s">
        <v>9</v>
      </c>
      <c r="T2166">
        <v>0</v>
      </c>
    </row>
    <row r="2167" spans="4:20" ht="15.75" customHeight="1" x14ac:dyDescent="0.2">
      <c r="D2167" t="s">
        <v>285</v>
      </c>
      <c r="E2167" t="s">
        <v>432</v>
      </c>
      <c r="F2167">
        <v>12</v>
      </c>
      <c r="P2167" t="s">
        <v>402</v>
      </c>
      <c r="Q2167">
        <v>85</v>
      </c>
      <c r="R2167" t="s">
        <v>249</v>
      </c>
      <c r="S2167" t="s">
        <v>10</v>
      </c>
      <c r="T2167">
        <v>1</v>
      </c>
    </row>
    <row r="2168" spans="4:20" ht="15.75" customHeight="1" x14ac:dyDescent="0.2">
      <c r="D2168" t="s">
        <v>285</v>
      </c>
      <c r="E2168" t="s">
        <v>432</v>
      </c>
      <c r="F2168">
        <v>12</v>
      </c>
      <c r="P2168" t="s">
        <v>402</v>
      </c>
      <c r="Q2168">
        <v>85</v>
      </c>
      <c r="R2168" t="s">
        <v>251</v>
      </c>
      <c r="S2168" t="s">
        <v>11</v>
      </c>
      <c r="T2168">
        <v>1</v>
      </c>
    </row>
    <row r="2169" spans="4:20" ht="15.75" customHeight="1" x14ac:dyDescent="0.2">
      <c r="D2169" t="s">
        <v>285</v>
      </c>
      <c r="E2169" t="s">
        <v>432</v>
      </c>
      <c r="F2169">
        <v>12</v>
      </c>
      <c r="P2169" t="s">
        <v>402</v>
      </c>
      <c r="Q2169">
        <v>85</v>
      </c>
      <c r="R2169" t="s">
        <v>253</v>
      </c>
      <c r="S2169" t="s">
        <v>12</v>
      </c>
      <c r="T2169">
        <v>0</v>
      </c>
    </row>
    <row r="2170" spans="4:20" ht="15.75" customHeight="1" x14ac:dyDescent="0.2">
      <c r="D2170" t="s">
        <v>285</v>
      </c>
      <c r="E2170" t="s">
        <v>432</v>
      </c>
      <c r="F2170">
        <v>12</v>
      </c>
      <c r="P2170" t="s">
        <v>402</v>
      </c>
      <c r="Q2170">
        <v>85</v>
      </c>
      <c r="R2170" t="s">
        <v>255</v>
      </c>
      <c r="S2170" t="s">
        <v>15</v>
      </c>
      <c r="T2170">
        <v>0</v>
      </c>
    </row>
    <row r="2171" spans="4:20" ht="15.75" customHeight="1" x14ac:dyDescent="0.2">
      <c r="D2171" t="s">
        <v>285</v>
      </c>
      <c r="E2171" t="s">
        <v>432</v>
      </c>
      <c r="F2171">
        <v>12</v>
      </c>
      <c r="P2171" t="s">
        <v>402</v>
      </c>
      <c r="Q2171">
        <v>85</v>
      </c>
      <c r="R2171" t="s">
        <v>293</v>
      </c>
      <c r="S2171" t="s">
        <v>13</v>
      </c>
      <c r="T2171">
        <v>0</v>
      </c>
    </row>
    <row r="2172" spans="4:20" ht="15.75" customHeight="1" x14ac:dyDescent="0.2">
      <c r="D2172" t="s">
        <v>285</v>
      </c>
      <c r="E2172" t="s">
        <v>432</v>
      </c>
      <c r="F2172">
        <v>12</v>
      </c>
      <c r="P2172" t="s">
        <v>402</v>
      </c>
      <c r="Q2172">
        <v>85</v>
      </c>
      <c r="R2172" t="s">
        <v>294</v>
      </c>
      <c r="S2172" t="s">
        <v>14</v>
      </c>
      <c r="T2172">
        <v>0</v>
      </c>
    </row>
    <row r="2173" spans="4:20" ht="15.75" customHeight="1" x14ac:dyDescent="0.2">
      <c r="D2173" t="s">
        <v>285</v>
      </c>
      <c r="E2173" t="s">
        <v>432</v>
      </c>
      <c r="F2173">
        <v>12</v>
      </c>
      <c r="P2173" t="s">
        <v>402</v>
      </c>
      <c r="Q2173">
        <v>85</v>
      </c>
      <c r="R2173" t="s">
        <v>257</v>
      </c>
      <c r="S2173" t="s">
        <v>16</v>
      </c>
      <c r="T2173">
        <v>0</v>
      </c>
    </row>
    <row r="2174" spans="4:20" ht="15.75" customHeight="1" x14ac:dyDescent="0.2">
      <c r="D2174" t="s">
        <v>285</v>
      </c>
      <c r="E2174" t="s">
        <v>432</v>
      </c>
      <c r="F2174">
        <v>12</v>
      </c>
      <c r="P2174" t="s">
        <v>402</v>
      </c>
      <c r="Q2174">
        <v>85</v>
      </c>
      <c r="R2174" t="s">
        <v>295</v>
      </c>
      <c r="S2174" t="s">
        <v>17</v>
      </c>
      <c r="T2174" t="s">
        <v>366</v>
      </c>
    </row>
    <row r="2175" spans="4:20" ht="15.75" customHeight="1" x14ac:dyDescent="0.2">
      <c r="D2175" t="s">
        <v>285</v>
      </c>
      <c r="E2175" t="s">
        <v>432</v>
      </c>
      <c r="F2175">
        <v>12</v>
      </c>
      <c r="P2175" t="s">
        <v>402</v>
      </c>
      <c r="Q2175">
        <v>85</v>
      </c>
      <c r="R2175" t="s">
        <v>296</v>
      </c>
      <c r="S2175" t="s">
        <v>1</v>
      </c>
      <c r="T2175">
        <v>1</v>
      </c>
    </row>
    <row r="2176" spans="4:20" ht="15.75" customHeight="1" x14ac:dyDescent="0.2">
      <c r="D2176" t="s">
        <v>285</v>
      </c>
      <c r="E2176" t="s">
        <v>432</v>
      </c>
      <c r="F2176">
        <v>12</v>
      </c>
      <c r="P2176" t="s">
        <v>402</v>
      </c>
      <c r="Q2176">
        <v>85</v>
      </c>
      <c r="R2176" t="s">
        <v>297</v>
      </c>
      <c r="S2176" t="s">
        <v>18</v>
      </c>
      <c r="T2176" t="s">
        <v>366</v>
      </c>
    </row>
    <row r="2177" spans="4:20" ht="15.75" customHeight="1" x14ac:dyDescent="0.2">
      <c r="D2177" t="s">
        <v>285</v>
      </c>
      <c r="E2177" t="s">
        <v>432</v>
      </c>
      <c r="F2177">
        <v>12</v>
      </c>
      <c r="P2177" t="s">
        <v>402</v>
      </c>
      <c r="Q2177">
        <v>85</v>
      </c>
      <c r="R2177" t="s">
        <v>298</v>
      </c>
      <c r="S2177" t="s">
        <v>19</v>
      </c>
      <c r="T2177">
        <v>0</v>
      </c>
    </row>
    <row r="2178" spans="4:20" ht="15.75" customHeight="1" x14ac:dyDescent="0.2">
      <c r="D2178" t="s">
        <v>285</v>
      </c>
      <c r="E2178" t="s">
        <v>432</v>
      </c>
      <c r="F2178">
        <v>12</v>
      </c>
      <c r="P2178" t="s">
        <v>402</v>
      </c>
      <c r="Q2178">
        <v>85</v>
      </c>
      <c r="R2178" t="s">
        <v>299</v>
      </c>
      <c r="S2178" t="s">
        <v>20</v>
      </c>
      <c r="T2178">
        <v>0</v>
      </c>
    </row>
    <row r="2179" spans="4:20" ht="15.75" customHeight="1" x14ac:dyDescent="0.2">
      <c r="D2179" t="s">
        <v>285</v>
      </c>
      <c r="E2179" t="s">
        <v>432</v>
      </c>
      <c r="F2179">
        <v>12</v>
      </c>
      <c r="P2179" t="s">
        <v>403</v>
      </c>
      <c r="Q2179">
        <v>86</v>
      </c>
      <c r="R2179" t="s">
        <v>288</v>
      </c>
      <c r="S2179" t="s">
        <v>2</v>
      </c>
      <c r="T2179">
        <v>0</v>
      </c>
    </row>
    <row r="2180" spans="4:20" ht="15.75" customHeight="1" x14ac:dyDescent="0.2">
      <c r="D2180" t="s">
        <v>285</v>
      </c>
      <c r="E2180" t="s">
        <v>432</v>
      </c>
      <c r="F2180">
        <v>12</v>
      </c>
      <c r="P2180" t="s">
        <v>403</v>
      </c>
      <c r="Q2180">
        <v>86</v>
      </c>
      <c r="R2180" t="s">
        <v>289</v>
      </c>
      <c r="S2180" t="s">
        <v>5</v>
      </c>
      <c r="T2180">
        <v>0</v>
      </c>
    </row>
    <row r="2181" spans="4:20" ht="15.75" customHeight="1" x14ac:dyDescent="0.2">
      <c r="D2181" t="s">
        <v>285</v>
      </c>
      <c r="E2181" t="s">
        <v>432</v>
      </c>
      <c r="F2181">
        <v>12</v>
      </c>
      <c r="P2181" t="s">
        <v>403</v>
      </c>
      <c r="Q2181">
        <v>86</v>
      </c>
      <c r="R2181" t="s">
        <v>290</v>
      </c>
      <c r="S2181" t="s">
        <v>3</v>
      </c>
      <c r="T2181">
        <v>0</v>
      </c>
    </row>
    <row r="2182" spans="4:20" ht="15.75" customHeight="1" x14ac:dyDescent="0.2">
      <c r="D2182" t="s">
        <v>285</v>
      </c>
      <c r="E2182" t="s">
        <v>432</v>
      </c>
      <c r="F2182">
        <v>12</v>
      </c>
      <c r="P2182" t="s">
        <v>403</v>
      </c>
      <c r="Q2182">
        <v>86</v>
      </c>
      <c r="R2182" t="s">
        <v>291</v>
      </c>
      <c r="S2182" t="s">
        <v>4</v>
      </c>
      <c r="T2182">
        <v>0</v>
      </c>
    </row>
    <row r="2183" spans="4:20" ht="15.75" customHeight="1" x14ac:dyDescent="0.2">
      <c r="D2183" t="s">
        <v>285</v>
      </c>
      <c r="E2183" t="s">
        <v>432</v>
      </c>
      <c r="F2183">
        <v>12</v>
      </c>
      <c r="P2183" t="s">
        <v>403</v>
      </c>
      <c r="Q2183">
        <v>86</v>
      </c>
      <c r="R2183" t="s">
        <v>292</v>
      </c>
      <c r="S2183" t="s">
        <v>6</v>
      </c>
      <c r="T2183">
        <v>0</v>
      </c>
    </row>
    <row r="2184" spans="4:20" ht="15.75" customHeight="1" x14ac:dyDescent="0.2">
      <c r="D2184" t="s">
        <v>285</v>
      </c>
      <c r="E2184" t="s">
        <v>432</v>
      </c>
      <c r="F2184">
        <v>12</v>
      </c>
      <c r="P2184" t="s">
        <v>403</v>
      </c>
      <c r="Q2184">
        <v>86</v>
      </c>
      <c r="R2184" t="s">
        <v>243</v>
      </c>
      <c r="S2184" t="s">
        <v>7</v>
      </c>
      <c r="T2184">
        <v>0</v>
      </c>
    </row>
    <row r="2185" spans="4:20" ht="15.75" customHeight="1" x14ac:dyDescent="0.2">
      <c r="D2185" t="s">
        <v>285</v>
      </c>
      <c r="E2185" t="s">
        <v>432</v>
      </c>
      <c r="F2185">
        <v>12</v>
      </c>
      <c r="P2185" t="s">
        <v>403</v>
      </c>
      <c r="Q2185">
        <v>86</v>
      </c>
      <c r="R2185" t="s">
        <v>245</v>
      </c>
      <c r="S2185" t="s">
        <v>8</v>
      </c>
      <c r="T2185" t="s">
        <v>364</v>
      </c>
    </row>
    <row r="2186" spans="4:20" ht="15.75" customHeight="1" x14ac:dyDescent="0.2">
      <c r="D2186" t="s">
        <v>285</v>
      </c>
      <c r="E2186" t="s">
        <v>432</v>
      </c>
      <c r="F2186">
        <v>12</v>
      </c>
      <c r="P2186" t="s">
        <v>403</v>
      </c>
      <c r="Q2186">
        <v>86</v>
      </c>
      <c r="R2186" t="s">
        <v>247</v>
      </c>
      <c r="S2186" t="s">
        <v>9</v>
      </c>
      <c r="T2186" t="s">
        <v>364</v>
      </c>
    </row>
    <row r="2187" spans="4:20" ht="15.75" customHeight="1" x14ac:dyDescent="0.2">
      <c r="D2187" t="s">
        <v>285</v>
      </c>
      <c r="E2187" t="s">
        <v>432</v>
      </c>
      <c r="F2187">
        <v>12</v>
      </c>
      <c r="P2187" t="s">
        <v>403</v>
      </c>
      <c r="Q2187">
        <v>86</v>
      </c>
      <c r="R2187" t="s">
        <v>249</v>
      </c>
      <c r="S2187" t="s">
        <v>10</v>
      </c>
      <c r="T2187">
        <v>0</v>
      </c>
    </row>
    <row r="2188" spans="4:20" ht="15.75" customHeight="1" x14ac:dyDescent="0.2">
      <c r="D2188" t="s">
        <v>285</v>
      </c>
      <c r="E2188" t="s">
        <v>432</v>
      </c>
      <c r="F2188">
        <v>12</v>
      </c>
      <c r="P2188" t="s">
        <v>403</v>
      </c>
      <c r="Q2188">
        <v>86</v>
      </c>
      <c r="R2188" t="s">
        <v>251</v>
      </c>
      <c r="S2188" t="s">
        <v>11</v>
      </c>
      <c r="T2188">
        <v>0</v>
      </c>
    </row>
    <row r="2189" spans="4:20" ht="15.75" customHeight="1" x14ac:dyDescent="0.2">
      <c r="D2189" t="s">
        <v>285</v>
      </c>
      <c r="E2189" t="s">
        <v>432</v>
      </c>
      <c r="F2189">
        <v>12</v>
      </c>
      <c r="P2189" t="s">
        <v>403</v>
      </c>
      <c r="Q2189">
        <v>86</v>
      </c>
      <c r="R2189" t="s">
        <v>253</v>
      </c>
      <c r="S2189" t="s">
        <v>12</v>
      </c>
      <c r="T2189" t="s">
        <v>364</v>
      </c>
    </row>
    <row r="2190" spans="4:20" ht="15.75" customHeight="1" x14ac:dyDescent="0.2">
      <c r="D2190" t="s">
        <v>285</v>
      </c>
      <c r="E2190" t="s">
        <v>432</v>
      </c>
      <c r="F2190">
        <v>12</v>
      </c>
      <c r="P2190" t="s">
        <v>403</v>
      </c>
      <c r="Q2190">
        <v>86</v>
      </c>
      <c r="R2190" t="s">
        <v>255</v>
      </c>
      <c r="S2190" t="s">
        <v>15</v>
      </c>
      <c r="T2190">
        <v>0</v>
      </c>
    </row>
    <row r="2191" spans="4:20" ht="15.75" customHeight="1" x14ac:dyDescent="0.2">
      <c r="D2191" t="s">
        <v>285</v>
      </c>
      <c r="E2191" t="s">
        <v>432</v>
      </c>
      <c r="F2191">
        <v>12</v>
      </c>
      <c r="P2191" t="s">
        <v>403</v>
      </c>
      <c r="Q2191">
        <v>86</v>
      </c>
      <c r="R2191" t="s">
        <v>293</v>
      </c>
      <c r="S2191" t="s">
        <v>13</v>
      </c>
      <c r="T2191">
        <v>0</v>
      </c>
    </row>
    <row r="2192" spans="4:20" ht="15.75" customHeight="1" x14ac:dyDescent="0.2">
      <c r="D2192" t="s">
        <v>285</v>
      </c>
      <c r="E2192" t="s">
        <v>432</v>
      </c>
      <c r="F2192">
        <v>12</v>
      </c>
      <c r="P2192" t="s">
        <v>403</v>
      </c>
      <c r="Q2192">
        <v>86</v>
      </c>
      <c r="R2192" t="s">
        <v>294</v>
      </c>
      <c r="S2192" t="s">
        <v>14</v>
      </c>
      <c r="T2192">
        <v>0</v>
      </c>
    </row>
    <row r="2193" spans="4:20" ht="15.75" customHeight="1" x14ac:dyDescent="0.2">
      <c r="D2193" t="s">
        <v>285</v>
      </c>
      <c r="E2193" t="s">
        <v>432</v>
      </c>
      <c r="F2193">
        <v>12</v>
      </c>
      <c r="P2193" t="s">
        <v>403</v>
      </c>
      <c r="Q2193">
        <v>86</v>
      </c>
      <c r="R2193" t="s">
        <v>257</v>
      </c>
      <c r="S2193" t="s">
        <v>16</v>
      </c>
      <c r="T2193">
        <v>0</v>
      </c>
    </row>
    <row r="2194" spans="4:20" ht="15.75" customHeight="1" x14ac:dyDescent="0.2">
      <c r="D2194" t="s">
        <v>285</v>
      </c>
      <c r="E2194" t="s">
        <v>432</v>
      </c>
      <c r="F2194">
        <v>12</v>
      </c>
      <c r="P2194" t="s">
        <v>403</v>
      </c>
      <c r="Q2194">
        <v>86</v>
      </c>
      <c r="R2194" t="s">
        <v>295</v>
      </c>
      <c r="S2194" t="s">
        <v>17</v>
      </c>
      <c r="T2194" t="s">
        <v>366</v>
      </c>
    </row>
    <row r="2195" spans="4:20" ht="15.75" customHeight="1" x14ac:dyDescent="0.2">
      <c r="D2195" t="s">
        <v>285</v>
      </c>
      <c r="E2195" t="s">
        <v>432</v>
      </c>
      <c r="F2195">
        <v>12</v>
      </c>
      <c r="P2195" t="s">
        <v>403</v>
      </c>
      <c r="Q2195">
        <v>86</v>
      </c>
      <c r="R2195" t="s">
        <v>296</v>
      </c>
      <c r="S2195" t="s">
        <v>1</v>
      </c>
      <c r="T2195">
        <v>1</v>
      </c>
    </row>
    <row r="2196" spans="4:20" ht="15.75" customHeight="1" x14ac:dyDescent="0.2">
      <c r="D2196" t="s">
        <v>285</v>
      </c>
      <c r="E2196" t="s">
        <v>432</v>
      </c>
      <c r="F2196">
        <v>12</v>
      </c>
      <c r="P2196" t="s">
        <v>403</v>
      </c>
      <c r="Q2196">
        <v>86</v>
      </c>
      <c r="R2196" t="s">
        <v>297</v>
      </c>
      <c r="S2196" t="s">
        <v>18</v>
      </c>
      <c r="T2196" t="s">
        <v>366</v>
      </c>
    </row>
    <row r="2197" spans="4:20" ht="15.75" customHeight="1" x14ac:dyDescent="0.2">
      <c r="D2197" t="s">
        <v>285</v>
      </c>
      <c r="E2197" t="s">
        <v>432</v>
      </c>
      <c r="F2197">
        <v>12</v>
      </c>
      <c r="P2197" t="s">
        <v>403</v>
      </c>
      <c r="Q2197">
        <v>86</v>
      </c>
      <c r="R2197" t="s">
        <v>298</v>
      </c>
      <c r="S2197" t="s">
        <v>19</v>
      </c>
      <c r="T2197">
        <v>0</v>
      </c>
    </row>
    <row r="2198" spans="4:20" ht="15.75" customHeight="1" x14ac:dyDescent="0.2">
      <c r="D2198" t="s">
        <v>285</v>
      </c>
      <c r="E2198" t="s">
        <v>432</v>
      </c>
      <c r="F2198">
        <v>12</v>
      </c>
      <c r="P2198" t="s">
        <v>403</v>
      </c>
      <c r="Q2198">
        <v>86</v>
      </c>
      <c r="R2198" t="s">
        <v>299</v>
      </c>
      <c r="S2198" t="s">
        <v>20</v>
      </c>
      <c r="T2198">
        <v>0</v>
      </c>
    </row>
    <row r="2199" spans="4:20" ht="15.75" customHeight="1" x14ac:dyDescent="0.2">
      <c r="D2199" t="s">
        <v>285</v>
      </c>
      <c r="E2199" t="s">
        <v>432</v>
      </c>
      <c r="F2199">
        <v>12</v>
      </c>
      <c r="P2199" t="s">
        <v>404</v>
      </c>
      <c r="Q2199">
        <v>87</v>
      </c>
      <c r="R2199" t="s">
        <v>288</v>
      </c>
      <c r="S2199" t="s">
        <v>2</v>
      </c>
      <c r="T2199">
        <v>0</v>
      </c>
    </row>
    <row r="2200" spans="4:20" ht="15.75" customHeight="1" x14ac:dyDescent="0.2">
      <c r="D2200" t="s">
        <v>285</v>
      </c>
      <c r="E2200" t="s">
        <v>432</v>
      </c>
      <c r="F2200">
        <v>12</v>
      </c>
      <c r="P2200" t="s">
        <v>404</v>
      </c>
      <c r="Q2200">
        <v>87</v>
      </c>
      <c r="R2200" t="s">
        <v>289</v>
      </c>
      <c r="S2200" t="s">
        <v>5</v>
      </c>
      <c r="T2200">
        <v>0</v>
      </c>
    </row>
    <row r="2201" spans="4:20" ht="15.75" customHeight="1" x14ac:dyDescent="0.2">
      <c r="D2201" t="s">
        <v>285</v>
      </c>
      <c r="E2201" t="s">
        <v>432</v>
      </c>
      <c r="F2201">
        <v>12</v>
      </c>
      <c r="P2201" t="s">
        <v>404</v>
      </c>
      <c r="Q2201">
        <v>87</v>
      </c>
      <c r="R2201" t="s">
        <v>290</v>
      </c>
      <c r="S2201" t="s">
        <v>3</v>
      </c>
      <c r="T2201">
        <v>0</v>
      </c>
    </row>
    <row r="2202" spans="4:20" ht="15.75" customHeight="1" x14ac:dyDescent="0.2">
      <c r="D2202" t="s">
        <v>285</v>
      </c>
      <c r="E2202" t="s">
        <v>432</v>
      </c>
      <c r="F2202">
        <v>12</v>
      </c>
      <c r="P2202" t="s">
        <v>404</v>
      </c>
      <c r="Q2202">
        <v>87</v>
      </c>
      <c r="R2202" t="s">
        <v>291</v>
      </c>
      <c r="S2202" t="s">
        <v>4</v>
      </c>
      <c r="T2202">
        <v>0</v>
      </c>
    </row>
    <row r="2203" spans="4:20" ht="15.75" customHeight="1" x14ac:dyDescent="0.2">
      <c r="D2203" t="s">
        <v>285</v>
      </c>
      <c r="E2203" t="s">
        <v>432</v>
      </c>
      <c r="F2203">
        <v>12</v>
      </c>
      <c r="P2203" t="s">
        <v>404</v>
      </c>
      <c r="Q2203">
        <v>87</v>
      </c>
      <c r="R2203" t="s">
        <v>292</v>
      </c>
      <c r="S2203" t="s">
        <v>6</v>
      </c>
      <c r="T2203">
        <v>0</v>
      </c>
    </row>
    <row r="2204" spans="4:20" ht="15.75" customHeight="1" x14ac:dyDescent="0.2">
      <c r="D2204" t="s">
        <v>285</v>
      </c>
      <c r="E2204" t="s">
        <v>432</v>
      </c>
      <c r="F2204">
        <v>12</v>
      </c>
      <c r="P2204" t="s">
        <v>404</v>
      </c>
      <c r="Q2204">
        <v>87</v>
      </c>
      <c r="R2204" t="s">
        <v>243</v>
      </c>
      <c r="S2204" t="s">
        <v>7</v>
      </c>
      <c r="T2204">
        <v>0</v>
      </c>
    </row>
    <row r="2205" spans="4:20" ht="15.75" customHeight="1" x14ac:dyDescent="0.2">
      <c r="D2205" t="s">
        <v>285</v>
      </c>
      <c r="E2205" t="s">
        <v>432</v>
      </c>
      <c r="F2205">
        <v>12</v>
      </c>
      <c r="P2205" t="s">
        <v>404</v>
      </c>
      <c r="Q2205">
        <v>87</v>
      </c>
      <c r="R2205" t="s">
        <v>245</v>
      </c>
      <c r="S2205" t="s">
        <v>8</v>
      </c>
      <c r="T2205" t="s">
        <v>364</v>
      </c>
    </row>
    <row r="2206" spans="4:20" ht="15.75" customHeight="1" x14ac:dyDescent="0.2">
      <c r="D2206" t="s">
        <v>285</v>
      </c>
      <c r="E2206" t="s">
        <v>432</v>
      </c>
      <c r="F2206">
        <v>12</v>
      </c>
      <c r="P2206" t="s">
        <v>404</v>
      </c>
      <c r="Q2206">
        <v>87</v>
      </c>
      <c r="R2206" t="s">
        <v>247</v>
      </c>
      <c r="S2206" t="s">
        <v>9</v>
      </c>
      <c r="T2206" t="s">
        <v>364</v>
      </c>
    </row>
    <row r="2207" spans="4:20" ht="15.75" customHeight="1" x14ac:dyDescent="0.2">
      <c r="D2207" t="s">
        <v>285</v>
      </c>
      <c r="E2207" t="s">
        <v>432</v>
      </c>
      <c r="F2207">
        <v>12</v>
      </c>
      <c r="P2207" t="s">
        <v>404</v>
      </c>
      <c r="Q2207">
        <v>87</v>
      </c>
      <c r="R2207" t="s">
        <v>249</v>
      </c>
      <c r="S2207" t="s">
        <v>10</v>
      </c>
      <c r="T2207">
        <v>0</v>
      </c>
    </row>
    <row r="2208" spans="4:20" ht="15.75" customHeight="1" x14ac:dyDescent="0.2">
      <c r="D2208" t="s">
        <v>285</v>
      </c>
      <c r="E2208" t="s">
        <v>432</v>
      </c>
      <c r="F2208">
        <v>12</v>
      </c>
      <c r="P2208" t="s">
        <v>404</v>
      </c>
      <c r="Q2208">
        <v>87</v>
      </c>
      <c r="R2208" t="s">
        <v>251</v>
      </c>
      <c r="S2208" t="s">
        <v>11</v>
      </c>
      <c r="T2208">
        <v>0</v>
      </c>
    </row>
    <row r="2209" spans="4:20" ht="15.75" customHeight="1" x14ac:dyDescent="0.2">
      <c r="D2209" t="s">
        <v>285</v>
      </c>
      <c r="E2209" t="s">
        <v>432</v>
      </c>
      <c r="F2209">
        <v>12</v>
      </c>
      <c r="P2209" t="s">
        <v>404</v>
      </c>
      <c r="Q2209">
        <v>87</v>
      </c>
      <c r="R2209" t="s">
        <v>253</v>
      </c>
      <c r="S2209" t="s">
        <v>12</v>
      </c>
      <c r="T2209" t="s">
        <v>364</v>
      </c>
    </row>
    <row r="2210" spans="4:20" ht="15.75" customHeight="1" x14ac:dyDescent="0.2">
      <c r="D2210" t="s">
        <v>285</v>
      </c>
      <c r="E2210" t="s">
        <v>432</v>
      </c>
      <c r="F2210">
        <v>12</v>
      </c>
      <c r="P2210" t="s">
        <v>404</v>
      </c>
      <c r="Q2210">
        <v>87</v>
      </c>
      <c r="R2210" t="s">
        <v>255</v>
      </c>
      <c r="S2210" t="s">
        <v>15</v>
      </c>
      <c r="T2210">
        <v>0</v>
      </c>
    </row>
    <row r="2211" spans="4:20" ht="15.75" customHeight="1" x14ac:dyDescent="0.2">
      <c r="D2211" t="s">
        <v>285</v>
      </c>
      <c r="E2211" t="s">
        <v>432</v>
      </c>
      <c r="F2211">
        <v>12</v>
      </c>
      <c r="P2211" t="s">
        <v>404</v>
      </c>
      <c r="Q2211">
        <v>87</v>
      </c>
      <c r="R2211" t="s">
        <v>293</v>
      </c>
      <c r="S2211" t="s">
        <v>13</v>
      </c>
      <c r="T2211">
        <v>0</v>
      </c>
    </row>
    <row r="2212" spans="4:20" ht="15.75" customHeight="1" x14ac:dyDescent="0.2">
      <c r="D2212" t="s">
        <v>285</v>
      </c>
      <c r="E2212" t="s">
        <v>432</v>
      </c>
      <c r="F2212">
        <v>12</v>
      </c>
      <c r="P2212" t="s">
        <v>404</v>
      </c>
      <c r="Q2212">
        <v>87</v>
      </c>
      <c r="R2212" t="s">
        <v>294</v>
      </c>
      <c r="S2212" t="s">
        <v>14</v>
      </c>
      <c r="T2212">
        <v>0</v>
      </c>
    </row>
    <row r="2213" spans="4:20" ht="15.75" customHeight="1" x14ac:dyDescent="0.2">
      <c r="D2213" t="s">
        <v>285</v>
      </c>
      <c r="E2213" t="s">
        <v>432</v>
      </c>
      <c r="F2213">
        <v>12</v>
      </c>
      <c r="P2213" t="s">
        <v>404</v>
      </c>
      <c r="Q2213">
        <v>87</v>
      </c>
      <c r="R2213" t="s">
        <v>257</v>
      </c>
      <c r="S2213" t="s">
        <v>16</v>
      </c>
      <c r="T2213">
        <v>0</v>
      </c>
    </row>
    <row r="2214" spans="4:20" ht="15.75" customHeight="1" x14ac:dyDescent="0.2">
      <c r="D2214" t="s">
        <v>285</v>
      </c>
      <c r="E2214" t="s">
        <v>432</v>
      </c>
      <c r="F2214">
        <v>12</v>
      </c>
      <c r="P2214" t="s">
        <v>404</v>
      </c>
      <c r="Q2214">
        <v>87</v>
      </c>
      <c r="R2214" t="s">
        <v>295</v>
      </c>
      <c r="S2214" t="s">
        <v>17</v>
      </c>
      <c r="T2214" t="s">
        <v>366</v>
      </c>
    </row>
    <row r="2215" spans="4:20" ht="15.75" customHeight="1" x14ac:dyDescent="0.2">
      <c r="D2215" t="s">
        <v>285</v>
      </c>
      <c r="E2215" t="s">
        <v>432</v>
      </c>
      <c r="F2215">
        <v>12</v>
      </c>
      <c r="P2215" t="s">
        <v>404</v>
      </c>
      <c r="Q2215">
        <v>87</v>
      </c>
      <c r="R2215" t="s">
        <v>296</v>
      </c>
      <c r="S2215" t="s">
        <v>1</v>
      </c>
      <c r="T2215">
        <v>1</v>
      </c>
    </row>
    <row r="2216" spans="4:20" ht="15.75" customHeight="1" x14ac:dyDescent="0.2">
      <c r="D2216" t="s">
        <v>285</v>
      </c>
      <c r="E2216" t="s">
        <v>432</v>
      </c>
      <c r="F2216">
        <v>12</v>
      </c>
      <c r="P2216" t="s">
        <v>404</v>
      </c>
      <c r="Q2216">
        <v>87</v>
      </c>
      <c r="R2216" t="s">
        <v>297</v>
      </c>
      <c r="S2216" t="s">
        <v>18</v>
      </c>
      <c r="T2216" t="s">
        <v>366</v>
      </c>
    </row>
    <row r="2217" spans="4:20" ht="15.75" customHeight="1" x14ac:dyDescent="0.2">
      <c r="D2217" t="s">
        <v>285</v>
      </c>
      <c r="E2217" t="s">
        <v>432</v>
      </c>
      <c r="F2217">
        <v>12</v>
      </c>
      <c r="P2217" t="s">
        <v>404</v>
      </c>
      <c r="Q2217">
        <v>87</v>
      </c>
      <c r="R2217" t="s">
        <v>298</v>
      </c>
      <c r="S2217" t="s">
        <v>19</v>
      </c>
      <c r="T2217">
        <v>0</v>
      </c>
    </row>
    <row r="2218" spans="4:20" ht="15.75" customHeight="1" x14ac:dyDescent="0.2">
      <c r="D2218" t="s">
        <v>285</v>
      </c>
      <c r="E2218" t="s">
        <v>432</v>
      </c>
      <c r="F2218">
        <v>12</v>
      </c>
      <c r="P2218" t="s">
        <v>404</v>
      </c>
      <c r="Q2218">
        <v>87</v>
      </c>
      <c r="R2218" t="s">
        <v>299</v>
      </c>
      <c r="S2218" t="s">
        <v>20</v>
      </c>
      <c r="T2218">
        <v>0</v>
      </c>
    </row>
    <row r="2219" spans="4:20" ht="15.75" customHeight="1" x14ac:dyDescent="0.2">
      <c r="D2219" t="s">
        <v>285</v>
      </c>
      <c r="E2219" t="s">
        <v>432</v>
      </c>
      <c r="F2219">
        <v>12</v>
      </c>
      <c r="P2219" t="s">
        <v>405</v>
      </c>
      <c r="Q2219">
        <v>88</v>
      </c>
      <c r="R2219" t="s">
        <v>288</v>
      </c>
      <c r="S2219" t="s">
        <v>2</v>
      </c>
      <c r="T2219">
        <v>0</v>
      </c>
    </row>
    <row r="2220" spans="4:20" ht="15.75" customHeight="1" x14ac:dyDescent="0.2">
      <c r="D2220" t="s">
        <v>285</v>
      </c>
      <c r="E2220" t="s">
        <v>432</v>
      </c>
      <c r="F2220">
        <v>12</v>
      </c>
      <c r="P2220" t="s">
        <v>405</v>
      </c>
      <c r="Q2220">
        <v>88</v>
      </c>
      <c r="R2220" t="s">
        <v>289</v>
      </c>
      <c r="S2220" t="s">
        <v>5</v>
      </c>
      <c r="T2220">
        <v>0</v>
      </c>
    </row>
    <row r="2221" spans="4:20" ht="15.75" customHeight="1" x14ac:dyDescent="0.2">
      <c r="D2221" t="s">
        <v>285</v>
      </c>
      <c r="E2221" t="s">
        <v>432</v>
      </c>
      <c r="F2221">
        <v>12</v>
      </c>
      <c r="P2221" t="s">
        <v>405</v>
      </c>
      <c r="Q2221">
        <v>88</v>
      </c>
      <c r="R2221" t="s">
        <v>290</v>
      </c>
      <c r="S2221" t="s">
        <v>3</v>
      </c>
      <c r="T2221">
        <v>0</v>
      </c>
    </row>
    <row r="2222" spans="4:20" ht="15.75" customHeight="1" x14ac:dyDescent="0.2">
      <c r="D2222" t="s">
        <v>285</v>
      </c>
      <c r="E2222" t="s">
        <v>432</v>
      </c>
      <c r="F2222">
        <v>12</v>
      </c>
      <c r="P2222" t="s">
        <v>405</v>
      </c>
      <c r="Q2222">
        <v>88</v>
      </c>
      <c r="R2222" t="s">
        <v>291</v>
      </c>
      <c r="S2222" t="s">
        <v>4</v>
      </c>
      <c r="T2222">
        <v>0</v>
      </c>
    </row>
    <row r="2223" spans="4:20" ht="15.75" customHeight="1" x14ac:dyDescent="0.2">
      <c r="D2223" t="s">
        <v>285</v>
      </c>
      <c r="E2223" t="s">
        <v>432</v>
      </c>
      <c r="F2223">
        <v>12</v>
      </c>
      <c r="P2223" t="s">
        <v>405</v>
      </c>
      <c r="Q2223">
        <v>88</v>
      </c>
      <c r="R2223" t="s">
        <v>292</v>
      </c>
      <c r="S2223" t="s">
        <v>6</v>
      </c>
      <c r="T2223">
        <v>0</v>
      </c>
    </row>
    <row r="2224" spans="4:20" ht="15.75" customHeight="1" x14ac:dyDescent="0.2">
      <c r="D2224" t="s">
        <v>285</v>
      </c>
      <c r="E2224" t="s">
        <v>432</v>
      </c>
      <c r="F2224">
        <v>12</v>
      </c>
      <c r="P2224" t="s">
        <v>405</v>
      </c>
      <c r="Q2224">
        <v>88</v>
      </c>
      <c r="R2224" t="s">
        <v>243</v>
      </c>
      <c r="S2224" t="s">
        <v>7</v>
      </c>
      <c r="T2224">
        <v>0</v>
      </c>
    </row>
    <row r="2225" spans="4:20" ht="15.75" customHeight="1" x14ac:dyDescent="0.2">
      <c r="D2225" t="s">
        <v>285</v>
      </c>
      <c r="E2225" t="s">
        <v>432</v>
      </c>
      <c r="F2225">
        <v>12</v>
      </c>
      <c r="P2225" t="s">
        <v>405</v>
      </c>
      <c r="Q2225">
        <v>88</v>
      </c>
      <c r="R2225" t="s">
        <v>245</v>
      </c>
      <c r="S2225" t="s">
        <v>8</v>
      </c>
      <c r="T2225">
        <v>0</v>
      </c>
    </row>
    <row r="2226" spans="4:20" ht="15.75" customHeight="1" x14ac:dyDescent="0.2">
      <c r="D2226" t="s">
        <v>285</v>
      </c>
      <c r="E2226" t="s">
        <v>432</v>
      </c>
      <c r="F2226">
        <v>12</v>
      </c>
      <c r="P2226" t="s">
        <v>405</v>
      </c>
      <c r="Q2226">
        <v>88</v>
      </c>
      <c r="R2226" t="s">
        <v>247</v>
      </c>
      <c r="S2226" t="s">
        <v>9</v>
      </c>
      <c r="T2226">
        <v>0</v>
      </c>
    </row>
    <row r="2227" spans="4:20" ht="15.75" customHeight="1" x14ac:dyDescent="0.2">
      <c r="D2227" t="s">
        <v>285</v>
      </c>
      <c r="E2227" t="s">
        <v>432</v>
      </c>
      <c r="F2227">
        <v>12</v>
      </c>
      <c r="P2227" t="s">
        <v>405</v>
      </c>
      <c r="Q2227">
        <v>88</v>
      </c>
      <c r="R2227" t="s">
        <v>249</v>
      </c>
      <c r="S2227" t="s">
        <v>10</v>
      </c>
      <c r="T2227">
        <v>1</v>
      </c>
    </row>
    <row r="2228" spans="4:20" ht="15.75" customHeight="1" x14ac:dyDescent="0.2">
      <c r="D2228" t="s">
        <v>285</v>
      </c>
      <c r="E2228" t="s">
        <v>432</v>
      </c>
      <c r="F2228">
        <v>12</v>
      </c>
      <c r="P2228" t="s">
        <v>405</v>
      </c>
      <c r="Q2228">
        <v>88</v>
      </c>
      <c r="R2228" t="s">
        <v>251</v>
      </c>
      <c r="S2228" t="s">
        <v>11</v>
      </c>
      <c r="T2228">
        <v>1</v>
      </c>
    </row>
    <row r="2229" spans="4:20" ht="15.75" customHeight="1" x14ac:dyDescent="0.2">
      <c r="D2229" t="s">
        <v>285</v>
      </c>
      <c r="E2229" t="s">
        <v>432</v>
      </c>
      <c r="F2229">
        <v>12</v>
      </c>
      <c r="P2229" t="s">
        <v>405</v>
      </c>
      <c r="Q2229">
        <v>88</v>
      </c>
      <c r="R2229" t="s">
        <v>253</v>
      </c>
      <c r="S2229" t="s">
        <v>12</v>
      </c>
      <c r="T2229">
        <v>0</v>
      </c>
    </row>
    <row r="2230" spans="4:20" ht="15.75" customHeight="1" x14ac:dyDescent="0.2">
      <c r="D2230" t="s">
        <v>285</v>
      </c>
      <c r="E2230" t="s">
        <v>432</v>
      </c>
      <c r="F2230">
        <v>12</v>
      </c>
      <c r="P2230" t="s">
        <v>405</v>
      </c>
      <c r="Q2230">
        <v>88</v>
      </c>
      <c r="R2230" t="s">
        <v>255</v>
      </c>
      <c r="S2230" t="s">
        <v>15</v>
      </c>
      <c r="T2230">
        <v>0</v>
      </c>
    </row>
    <row r="2231" spans="4:20" ht="15.75" customHeight="1" x14ac:dyDescent="0.2">
      <c r="D2231" t="s">
        <v>285</v>
      </c>
      <c r="E2231" t="s">
        <v>432</v>
      </c>
      <c r="F2231">
        <v>12</v>
      </c>
      <c r="P2231" t="s">
        <v>405</v>
      </c>
      <c r="Q2231">
        <v>88</v>
      </c>
      <c r="R2231" t="s">
        <v>293</v>
      </c>
      <c r="S2231" t="s">
        <v>13</v>
      </c>
      <c r="T2231">
        <v>0</v>
      </c>
    </row>
    <row r="2232" spans="4:20" ht="15.75" customHeight="1" x14ac:dyDescent="0.2">
      <c r="D2232" t="s">
        <v>285</v>
      </c>
      <c r="E2232" t="s">
        <v>432</v>
      </c>
      <c r="F2232">
        <v>12</v>
      </c>
      <c r="P2232" t="s">
        <v>405</v>
      </c>
      <c r="Q2232">
        <v>88</v>
      </c>
      <c r="R2232" t="s">
        <v>294</v>
      </c>
      <c r="S2232" t="s">
        <v>14</v>
      </c>
      <c r="T2232">
        <v>0</v>
      </c>
    </row>
    <row r="2233" spans="4:20" ht="15.75" customHeight="1" x14ac:dyDescent="0.2">
      <c r="D2233" t="s">
        <v>285</v>
      </c>
      <c r="E2233" t="s">
        <v>432</v>
      </c>
      <c r="F2233">
        <v>12</v>
      </c>
      <c r="P2233" t="s">
        <v>405</v>
      </c>
      <c r="Q2233">
        <v>88</v>
      </c>
      <c r="R2233" t="s">
        <v>257</v>
      </c>
      <c r="S2233" t="s">
        <v>16</v>
      </c>
      <c r="T2233">
        <v>0</v>
      </c>
    </row>
    <row r="2234" spans="4:20" ht="15.75" customHeight="1" x14ac:dyDescent="0.2">
      <c r="D2234" t="s">
        <v>285</v>
      </c>
      <c r="E2234" t="s">
        <v>432</v>
      </c>
      <c r="F2234">
        <v>12</v>
      </c>
      <c r="P2234" t="s">
        <v>405</v>
      </c>
      <c r="Q2234">
        <v>88</v>
      </c>
      <c r="R2234" t="s">
        <v>295</v>
      </c>
      <c r="S2234" t="s">
        <v>17</v>
      </c>
      <c r="T2234" t="s">
        <v>366</v>
      </c>
    </row>
    <row r="2235" spans="4:20" ht="15.75" customHeight="1" x14ac:dyDescent="0.2">
      <c r="D2235" t="s">
        <v>285</v>
      </c>
      <c r="E2235" t="s">
        <v>432</v>
      </c>
      <c r="F2235">
        <v>12</v>
      </c>
      <c r="P2235" t="s">
        <v>405</v>
      </c>
      <c r="Q2235">
        <v>88</v>
      </c>
      <c r="R2235" t="s">
        <v>296</v>
      </c>
      <c r="S2235" t="s">
        <v>1</v>
      </c>
      <c r="T2235">
        <v>1</v>
      </c>
    </row>
    <row r="2236" spans="4:20" ht="15.75" customHeight="1" x14ac:dyDescent="0.2">
      <c r="D2236" t="s">
        <v>285</v>
      </c>
      <c r="E2236" t="s">
        <v>432</v>
      </c>
      <c r="F2236">
        <v>12</v>
      </c>
      <c r="P2236" t="s">
        <v>405</v>
      </c>
      <c r="Q2236">
        <v>88</v>
      </c>
      <c r="R2236" t="s">
        <v>297</v>
      </c>
      <c r="S2236" t="s">
        <v>18</v>
      </c>
      <c r="T2236" t="s">
        <v>366</v>
      </c>
    </row>
    <row r="2237" spans="4:20" ht="15.75" customHeight="1" x14ac:dyDescent="0.2">
      <c r="D2237" t="s">
        <v>285</v>
      </c>
      <c r="E2237" t="s">
        <v>432</v>
      </c>
      <c r="F2237">
        <v>12</v>
      </c>
      <c r="P2237" t="s">
        <v>405</v>
      </c>
      <c r="Q2237">
        <v>88</v>
      </c>
      <c r="R2237" t="s">
        <v>298</v>
      </c>
      <c r="S2237" t="s">
        <v>19</v>
      </c>
      <c r="T2237">
        <v>0</v>
      </c>
    </row>
    <row r="2238" spans="4:20" ht="15.75" customHeight="1" x14ac:dyDescent="0.2">
      <c r="D2238" t="s">
        <v>285</v>
      </c>
      <c r="E2238" t="s">
        <v>432</v>
      </c>
      <c r="F2238">
        <v>12</v>
      </c>
      <c r="P2238" t="s">
        <v>405</v>
      </c>
      <c r="Q2238">
        <v>88</v>
      </c>
      <c r="R2238" t="s">
        <v>299</v>
      </c>
      <c r="S2238" t="s">
        <v>20</v>
      </c>
      <c r="T2238">
        <v>0</v>
      </c>
    </row>
    <row r="2239" spans="4:20" ht="15.75" customHeight="1" x14ac:dyDescent="0.2">
      <c r="D2239" t="s">
        <v>285</v>
      </c>
      <c r="E2239" t="s">
        <v>432</v>
      </c>
      <c r="F2239">
        <v>12</v>
      </c>
      <c r="P2239" t="s">
        <v>406</v>
      </c>
      <c r="Q2239">
        <v>89</v>
      </c>
      <c r="R2239" t="s">
        <v>288</v>
      </c>
      <c r="S2239" t="s">
        <v>2</v>
      </c>
      <c r="T2239">
        <v>0</v>
      </c>
    </row>
    <row r="2240" spans="4:20" ht="15.75" customHeight="1" x14ac:dyDescent="0.2">
      <c r="D2240" t="s">
        <v>285</v>
      </c>
      <c r="E2240" t="s">
        <v>432</v>
      </c>
      <c r="F2240">
        <v>12</v>
      </c>
      <c r="P2240" t="s">
        <v>406</v>
      </c>
      <c r="Q2240">
        <v>89</v>
      </c>
      <c r="R2240" t="s">
        <v>289</v>
      </c>
      <c r="S2240" t="s">
        <v>5</v>
      </c>
      <c r="T2240">
        <v>0</v>
      </c>
    </row>
    <row r="2241" spans="4:20" ht="15.75" customHeight="1" x14ac:dyDescent="0.2">
      <c r="D2241" t="s">
        <v>285</v>
      </c>
      <c r="E2241" t="s">
        <v>432</v>
      </c>
      <c r="F2241">
        <v>12</v>
      </c>
      <c r="P2241" t="s">
        <v>406</v>
      </c>
      <c r="Q2241">
        <v>89</v>
      </c>
      <c r="R2241" t="s">
        <v>290</v>
      </c>
      <c r="S2241" t="s">
        <v>3</v>
      </c>
      <c r="T2241">
        <v>0</v>
      </c>
    </row>
    <row r="2242" spans="4:20" ht="15.75" customHeight="1" x14ac:dyDescent="0.2">
      <c r="D2242" t="s">
        <v>285</v>
      </c>
      <c r="E2242" t="s">
        <v>432</v>
      </c>
      <c r="F2242">
        <v>12</v>
      </c>
      <c r="P2242" t="s">
        <v>406</v>
      </c>
      <c r="Q2242">
        <v>89</v>
      </c>
      <c r="R2242" t="s">
        <v>291</v>
      </c>
      <c r="S2242" t="s">
        <v>4</v>
      </c>
      <c r="T2242">
        <v>0</v>
      </c>
    </row>
    <row r="2243" spans="4:20" ht="15.75" customHeight="1" x14ac:dyDescent="0.2">
      <c r="D2243" t="s">
        <v>285</v>
      </c>
      <c r="E2243" t="s">
        <v>432</v>
      </c>
      <c r="F2243">
        <v>12</v>
      </c>
      <c r="P2243" t="s">
        <v>406</v>
      </c>
      <c r="Q2243">
        <v>89</v>
      </c>
      <c r="R2243" t="s">
        <v>292</v>
      </c>
      <c r="S2243" t="s">
        <v>6</v>
      </c>
      <c r="T2243">
        <v>0</v>
      </c>
    </row>
    <row r="2244" spans="4:20" ht="15.75" customHeight="1" x14ac:dyDescent="0.2">
      <c r="D2244" t="s">
        <v>285</v>
      </c>
      <c r="E2244" t="s">
        <v>432</v>
      </c>
      <c r="F2244">
        <v>12</v>
      </c>
      <c r="P2244" t="s">
        <v>406</v>
      </c>
      <c r="Q2244">
        <v>89</v>
      </c>
      <c r="R2244" t="s">
        <v>243</v>
      </c>
      <c r="S2244" t="s">
        <v>7</v>
      </c>
      <c r="T2244">
        <v>0</v>
      </c>
    </row>
    <row r="2245" spans="4:20" ht="15.75" customHeight="1" x14ac:dyDescent="0.2">
      <c r="D2245" t="s">
        <v>285</v>
      </c>
      <c r="E2245" t="s">
        <v>432</v>
      </c>
      <c r="F2245">
        <v>12</v>
      </c>
      <c r="P2245" t="s">
        <v>406</v>
      </c>
      <c r="Q2245">
        <v>89</v>
      </c>
      <c r="R2245" t="s">
        <v>245</v>
      </c>
      <c r="S2245" t="s">
        <v>8</v>
      </c>
      <c r="T2245">
        <v>0</v>
      </c>
    </row>
    <row r="2246" spans="4:20" ht="15.75" customHeight="1" x14ac:dyDescent="0.2">
      <c r="D2246" t="s">
        <v>285</v>
      </c>
      <c r="E2246" t="s">
        <v>432</v>
      </c>
      <c r="F2246">
        <v>12</v>
      </c>
      <c r="P2246" t="s">
        <v>406</v>
      </c>
      <c r="Q2246">
        <v>89</v>
      </c>
      <c r="R2246" t="s">
        <v>247</v>
      </c>
      <c r="S2246" t="s">
        <v>9</v>
      </c>
      <c r="T2246">
        <v>0</v>
      </c>
    </row>
    <row r="2247" spans="4:20" ht="15.75" customHeight="1" x14ac:dyDescent="0.2">
      <c r="D2247" t="s">
        <v>285</v>
      </c>
      <c r="E2247" t="s">
        <v>432</v>
      </c>
      <c r="F2247">
        <v>12</v>
      </c>
      <c r="P2247" t="s">
        <v>406</v>
      </c>
      <c r="Q2247">
        <v>89</v>
      </c>
      <c r="R2247" t="s">
        <v>249</v>
      </c>
      <c r="S2247" t="s">
        <v>10</v>
      </c>
      <c r="T2247">
        <v>1</v>
      </c>
    </row>
    <row r="2248" spans="4:20" ht="15.75" customHeight="1" x14ac:dyDescent="0.2">
      <c r="D2248" t="s">
        <v>285</v>
      </c>
      <c r="E2248" t="s">
        <v>432</v>
      </c>
      <c r="F2248">
        <v>12</v>
      </c>
      <c r="P2248" t="s">
        <v>406</v>
      </c>
      <c r="Q2248">
        <v>89</v>
      </c>
      <c r="R2248" t="s">
        <v>251</v>
      </c>
      <c r="S2248" t="s">
        <v>11</v>
      </c>
      <c r="T2248">
        <v>1</v>
      </c>
    </row>
    <row r="2249" spans="4:20" ht="15.75" customHeight="1" x14ac:dyDescent="0.2">
      <c r="D2249" t="s">
        <v>285</v>
      </c>
      <c r="E2249" t="s">
        <v>432</v>
      </c>
      <c r="F2249">
        <v>12</v>
      </c>
      <c r="P2249" t="s">
        <v>406</v>
      </c>
      <c r="Q2249">
        <v>89</v>
      </c>
      <c r="R2249" t="s">
        <v>253</v>
      </c>
      <c r="S2249" t="s">
        <v>12</v>
      </c>
      <c r="T2249">
        <v>0</v>
      </c>
    </row>
    <row r="2250" spans="4:20" ht="15.75" customHeight="1" x14ac:dyDescent="0.2">
      <c r="D2250" t="s">
        <v>285</v>
      </c>
      <c r="E2250" t="s">
        <v>432</v>
      </c>
      <c r="F2250">
        <v>12</v>
      </c>
      <c r="P2250" t="s">
        <v>406</v>
      </c>
      <c r="Q2250">
        <v>89</v>
      </c>
      <c r="R2250" t="s">
        <v>255</v>
      </c>
      <c r="S2250" t="s">
        <v>15</v>
      </c>
      <c r="T2250">
        <v>0</v>
      </c>
    </row>
    <row r="2251" spans="4:20" ht="15.75" customHeight="1" x14ac:dyDescent="0.2">
      <c r="D2251" t="s">
        <v>285</v>
      </c>
      <c r="E2251" t="s">
        <v>432</v>
      </c>
      <c r="F2251">
        <v>12</v>
      </c>
      <c r="P2251" t="s">
        <v>406</v>
      </c>
      <c r="Q2251">
        <v>89</v>
      </c>
      <c r="R2251" t="s">
        <v>293</v>
      </c>
      <c r="S2251" t="s">
        <v>13</v>
      </c>
      <c r="T2251">
        <v>0</v>
      </c>
    </row>
    <row r="2252" spans="4:20" ht="15.75" customHeight="1" x14ac:dyDescent="0.2">
      <c r="D2252" t="s">
        <v>285</v>
      </c>
      <c r="E2252" t="s">
        <v>432</v>
      </c>
      <c r="F2252">
        <v>12</v>
      </c>
      <c r="P2252" t="s">
        <v>406</v>
      </c>
      <c r="Q2252">
        <v>89</v>
      </c>
      <c r="R2252" t="s">
        <v>294</v>
      </c>
      <c r="S2252" t="s">
        <v>14</v>
      </c>
      <c r="T2252">
        <v>0</v>
      </c>
    </row>
    <row r="2253" spans="4:20" ht="15.75" customHeight="1" x14ac:dyDescent="0.2">
      <c r="D2253" t="s">
        <v>285</v>
      </c>
      <c r="E2253" t="s">
        <v>432</v>
      </c>
      <c r="F2253">
        <v>12</v>
      </c>
      <c r="P2253" t="s">
        <v>406</v>
      </c>
      <c r="Q2253">
        <v>89</v>
      </c>
      <c r="R2253" t="s">
        <v>257</v>
      </c>
      <c r="S2253" t="s">
        <v>16</v>
      </c>
      <c r="T2253">
        <v>0</v>
      </c>
    </row>
    <row r="2254" spans="4:20" ht="15.75" customHeight="1" x14ac:dyDescent="0.2">
      <c r="D2254" t="s">
        <v>285</v>
      </c>
      <c r="E2254" t="s">
        <v>432</v>
      </c>
      <c r="F2254">
        <v>12</v>
      </c>
      <c r="P2254" t="s">
        <v>406</v>
      </c>
      <c r="Q2254">
        <v>89</v>
      </c>
      <c r="R2254" t="s">
        <v>295</v>
      </c>
      <c r="S2254" t="s">
        <v>17</v>
      </c>
      <c r="T2254" t="s">
        <v>366</v>
      </c>
    </row>
    <row r="2255" spans="4:20" ht="15.75" customHeight="1" x14ac:dyDescent="0.2">
      <c r="D2255" t="s">
        <v>285</v>
      </c>
      <c r="E2255" t="s">
        <v>432</v>
      </c>
      <c r="F2255">
        <v>12</v>
      </c>
      <c r="P2255" t="s">
        <v>406</v>
      </c>
      <c r="Q2255">
        <v>89</v>
      </c>
      <c r="R2255" t="s">
        <v>296</v>
      </c>
      <c r="S2255" t="s">
        <v>1</v>
      </c>
      <c r="T2255">
        <v>1</v>
      </c>
    </row>
    <row r="2256" spans="4:20" ht="15.75" customHeight="1" x14ac:dyDescent="0.2">
      <c r="D2256" t="s">
        <v>285</v>
      </c>
      <c r="E2256" t="s">
        <v>432</v>
      </c>
      <c r="F2256">
        <v>12</v>
      </c>
      <c r="P2256" t="s">
        <v>406</v>
      </c>
      <c r="Q2256">
        <v>89</v>
      </c>
      <c r="R2256" t="s">
        <v>297</v>
      </c>
      <c r="S2256" t="s">
        <v>18</v>
      </c>
      <c r="T2256" t="s">
        <v>366</v>
      </c>
    </row>
    <row r="2257" spans="4:20" ht="15.75" customHeight="1" x14ac:dyDescent="0.2">
      <c r="D2257" t="s">
        <v>285</v>
      </c>
      <c r="E2257" t="s">
        <v>432</v>
      </c>
      <c r="F2257">
        <v>12</v>
      </c>
      <c r="P2257" t="s">
        <v>406</v>
      </c>
      <c r="Q2257">
        <v>89</v>
      </c>
      <c r="R2257" t="s">
        <v>298</v>
      </c>
      <c r="S2257" t="s">
        <v>19</v>
      </c>
      <c r="T2257">
        <v>0</v>
      </c>
    </row>
    <row r="2258" spans="4:20" ht="15.75" customHeight="1" x14ac:dyDescent="0.2">
      <c r="D2258" t="s">
        <v>285</v>
      </c>
      <c r="E2258" t="s">
        <v>432</v>
      </c>
      <c r="F2258">
        <v>12</v>
      </c>
      <c r="P2258" t="s">
        <v>406</v>
      </c>
      <c r="Q2258">
        <v>89</v>
      </c>
      <c r="R2258" t="s">
        <v>299</v>
      </c>
      <c r="S2258" t="s">
        <v>20</v>
      </c>
      <c r="T2258">
        <v>0</v>
      </c>
    </row>
    <row r="2259" spans="4:20" ht="15.75" customHeight="1" x14ac:dyDescent="0.2">
      <c r="D2259" t="s">
        <v>285</v>
      </c>
      <c r="E2259" t="s">
        <v>432</v>
      </c>
      <c r="F2259">
        <v>12</v>
      </c>
      <c r="P2259" t="s">
        <v>376</v>
      </c>
      <c r="Q2259">
        <v>90</v>
      </c>
      <c r="R2259" t="s">
        <v>288</v>
      </c>
      <c r="S2259" t="s">
        <v>2</v>
      </c>
      <c r="T2259">
        <v>0</v>
      </c>
    </row>
    <row r="2260" spans="4:20" ht="15.75" customHeight="1" x14ac:dyDescent="0.2">
      <c r="D2260" t="s">
        <v>285</v>
      </c>
      <c r="E2260" t="s">
        <v>432</v>
      </c>
      <c r="F2260">
        <v>12</v>
      </c>
      <c r="P2260" t="s">
        <v>376</v>
      </c>
      <c r="Q2260">
        <v>90</v>
      </c>
      <c r="R2260" t="s">
        <v>289</v>
      </c>
      <c r="S2260" t="s">
        <v>5</v>
      </c>
      <c r="T2260">
        <v>0</v>
      </c>
    </row>
    <row r="2261" spans="4:20" ht="15.75" customHeight="1" x14ac:dyDescent="0.2">
      <c r="D2261" t="s">
        <v>285</v>
      </c>
      <c r="E2261" t="s">
        <v>432</v>
      </c>
      <c r="F2261">
        <v>12</v>
      </c>
      <c r="P2261" t="s">
        <v>376</v>
      </c>
      <c r="Q2261">
        <v>90</v>
      </c>
      <c r="R2261" t="s">
        <v>290</v>
      </c>
      <c r="S2261" t="s">
        <v>3</v>
      </c>
      <c r="T2261">
        <v>0</v>
      </c>
    </row>
    <row r="2262" spans="4:20" ht="15.75" customHeight="1" x14ac:dyDescent="0.2">
      <c r="D2262" t="s">
        <v>285</v>
      </c>
      <c r="E2262" t="s">
        <v>432</v>
      </c>
      <c r="F2262">
        <v>12</v>
      </c>
      <c r="P2262" t="s">
        <v>376</v>
      </c>
      <c r="Q2262">
        <v>90</v>
      </c>
      <c r="R2262" t="s">
        <v>291</v>
      </c>
      <c r="S2262" t="s">
        <v>4</v>
      </c>
      <c r="T2262">
        <v>0</v>
      </c>
    </row>
    <row r="2263" spans="4:20" ht="15.75" customHeight="1" x14ac:dyDescent="0.2">
      <c r="D2263" t="s">
        <v>285</v>
      </c>
      <c r="E2263" t="s">
        <v>432</v>
      </c>
      <c r="F2263">
        <v>12</v>
      </c>
      <c r="P2263" t="s">
        <v>376</v>
      </c>
      <c r="Q2263">
        <v>90</v>
      </c>
      <c r="R2263" t="s">
        <v>292</v>
      </c>
      <c r="S2263" t="s">
        <v>6</v>
      </c>
      <c r="T2263">
        <v>0</v>
      </c>
    </row>
    <row r="2264" spans="4:20" ht="15.75" customHeight="1" x14ac:dyDescent="0.2">
      <c r="D2264" t="s">
        <v>285</v>
      </c>
      <c r="E2264" t="s">
        <v>432</v>
      </c>
      <c r="F2264">
        <v>12</v>
      </c>
      <c r="P2264" t="s">
        <v>376</v>
      </c>
      <c r="Q2264">
        <v>90</v>
      </c>
      <c r="R2264" t="s">
        <v>243</v>
      </c>
      <c r="S2264" t="s">
        <v>7</v>
      </c>
      <c r="T2264">
        <v>0</v>
      </c>
    </row>
    <row r="2265" spans="4:20" ht="15.75" customHeight="1" x14ac:dyDescent="0.2">
      <c r="D2265" t="s">
        <v>285</v>
      </c>
      <c r="E2265" t="s">
        <v>432</v>
      </c>
      <c r="F2265">
        <v>12</v>
      </c>
      <c r="P2265" t="s">
        <v>376</v>
      </c>
      <c r="Q2265">
        <v>90</v>
      </c>
      <c r="R2265" t="s">
        <v>245</v>
      </c>
      <c r="S2265" t="s">
        <v>8</v>
      </c>
      <c r="T2265">
        <v>0</v>
      </c>
    </row>
    <row r="2266" spans="4:20" ht="15.75" customHeight="1" x14ac:dyDescent="0.2">
      <c r="D2266" t="s">
        <v>285</v>
      </c>
      <c r="E2266" t="s">
        <v>432</v>
      </c>
      <c r="F2266">
        <v>12</v>
      </c>
      <c r="P2266" t="s">
        <v>376</v>
      </c>
      <c r="Q2266">
        <v>90</v>
      </c>
      <c r="R2266" t="s">
        <v>247</v>
      </c>
      <c r="S2266" t="s">
        <v>9</v>
      </c>
      <c r="T2266">
        <v>0</v>
      </c>
    </row>
    <row r="2267" spans="4:20" ht="15.75" customHeight="1" x14ac:dyDescent="0.2">
      <c r="D2267" t="s">
        <v>285</v>
      </c>
      <c r="E2267" t="s">
        <v>432</v>
      </c>
      <c r="F2267">
        <v>12</v>
      </c>
      <c r="P2267" t="s">
        <v>376</v>
      </c>
      <c r="Q2267">
        <v>90</v>
      </c>
      <c r="R2267" t="s">
        <v>249</v>
      </c>
      <c r="S2267" t="s">
        <v>10</v>
      </c>
      <c r="T2267">
        <v>1</v>
      </c>
    </row>
    <row r="2268" spans="4:20" ht="15.75" customHeight="1" x14ac:dyDescent="0.2">
      <c r="D2268" t="s">
        <v>285</v>
      </c>
      <c r="E2268" t="s">
        <v>432</v>
      </c>
      <c r="F2268">
        <v>12</v>
      </c>
      <c r="P2268" t="s">
        <v>376</v>
      </c>
      <c r="Q2268">
        <v>90</v>
      </c>
      <c r="R2268" t="s">
        <v>251</v>
      </c>
      <c r="S2268" t="s">
        <v>11</v>
      </c>
      <c r="T2268">
        <v>1</v>
      </c>
    </row>
    <row r="2269" spans="4:20" ht="15.75" customHeight="1" x14ac:dyDescent="0.2">
      <c r="D2269" t="s">
        <v>285</v>
      </c>
      <c r="E2269" t="s">
        <v>432</v>
      </c>
      <c r="F2269">
        <v>12</v>
      </c>
      <c r="P2269" t="s">
        <v>376</v>
      </c>
      <c r="Q2269">
        <v>90</v>
      </c>
      <c r="R2269" t="s">
        <v>253</v>
      </c>
      <c r="S2269" t="s">
        <v>12</v>
      </c>
      <c r="T2269">
        <v>0</v>
      </c>
    </row>
    <row r="2270" spans="4:20" ht="15.75" customHeight="1" x14ac:dyDescent="0.2">
      <c r="D2270" t="s">
        <v>285</v>
      </c>
      <c r="E2270" t="s">
        <v>432</v>
      </c>
      <c r="F2270">
        <v>12</v>
      </c>
      <c r="P2270" t="s">
        <v>376</v>
      </c>
      <c r="Q2270">
        <v>90</v>
      </c>
      <c r="R2270" t="s">
        <v>255</v>
      </c>
      <c r="S2270" t="s">
        <v>15</v>
      </c>
      <c r="T2270">
        <v>0</v>
      </c>
    </row>
    <row r="2271" spans="4:20" ht="15.75" customHeight="1" x14ac:dyDescent="0.2">
      <c r="D2271" t="s">
        <v>285</v>
      </c>
      <c r="E2271" t="s">
        <v>432</v>
      </c>
      <c r="F2271">
        <v>12</v>
      </c>
      <c r="P2271" t="s">
        <v>376</v>
      </c>
      <c r="Q2271">
        <v>90</v>
      </c>
      <c r="R2271" t="s">
        <v>293</v>
      </c>
      <c r="S2271" t="s">
        <v>13</v>
      </c>
      <c r="T2271">
        <v>0</v>
      </c>
    </row>
    <row r="2272" spans="4:20" ht="15.75" customHeight="1" x14ac:dyDescent="0.2">
      <c r="D2272" t="s">
        <v>285</v>
      </c>
      <c r="E2272" t="s">
        <v>432</v>
      </c>
      <c r="F2272">
        <v>12</v>
      </c>
      <c r="P2272" t="s">
        <v>376</v>
      </c>
      <c r="Q2272">
        <v>90</v>
      </c>
      <c r="R2272" t="s">
        <v>294</v>
      </c>
      <c r="S2272" t="s">
        <v>14</v>
      </c>
      <c r="T2272">
        <v>0</v>
      </c>
    </row>
    <row r="2273" spans="4:20" ht="15.75" customHeight="1" x14ac:dyDescent="0.2">
      <c r="D2273" t="s">
        <v>285</v>
      </c>
      <c r="E2273" t="s">
        <v>432</v>
      </c>
      <c r="F2273">
        <v>12</v>
      </c>
      <c r="P2273" t="s">
        <v>376</v>
      </c>
      <c r="Q2273">
        <v>90</v>
      </c>
      <c r="R2273" t="s">
        <v>257</v>
      </c>
      <c r="S2273" t="s">
        <v>16</v>
      </c>
      <c r="T2273">
        <v>0</v>
      </c>
    </row>
    <row r="2274" spans="4:20" ht="15.75" customHeight="1" x14ac:dyDescent="0.2">
      <c r="D2274" t="s">
        <v>285</v>
      </c>
      <c r="E2274" t="s">
        <v>432</v>
      </c>
      <c r="F2274">
        <v>12</v>
      </c>
      <c r="P2274" t="s">
        <v>376</v>
      </c>
      <c r="Q2274">
        <v>90</v>
      </c>
      <c r="R2274" t="s">
        <v>295</v>
      </c>
      <c r="S2274" t="s">
        <v>17</v>
      </c>
      <c r="T2274" t="s">
        <v>366</v>
      </c>
    </row>
    <row r="2275" spans="4:20" ht="15.75" customHeight="1" x14ac:dyDescent="0.2">
      <c r="D2275" t="s">
        <v>285</v>
      </c>
      <c r="E2275" t="s">
        <v>432</v>
      </c>
      <c r="F2275">
        <v>12</v>
      </c>
      <c r="P2275" t="s">
        <v>376</v>
      </c>
      <c r="Q2275">
        <v>90</v>
      </c>
      <c r="R2275" t="s">
        <v>296</v>
      </c>
      <c r="S2275" t="s">
        <v>1</v>
      </c>
      <c r="T2275">
        <v>1</v>
      </c>
    </row>
    <row r="2276" spans="4:20" ht="15.75" customHeight="1" x14ac:dyDescent="0.2">
      <c r="D2276" t="s">
        <v>285</v>
      </c>
      <c r="E2276" t="s">
        <v>432</v>
      </c>
      <c r="F2276">
        <v>12</v>
      </c>
      <c r="P2276" t="s">
        <v>376</v>
      </c>
      <c r="Q2276">
        <v>90</v>
      </c>
      <c r="R2276" t="s">
        <v>297</v>
      </c>
      <c r="S2276" t="s">
        <v>18</v>
      </c>
      <c r="T2276" t="s">
        <v>366</v>
      </c>
    </row>
    <row r="2277" spans="4:20" ht="15.75" customHeight="1" x14ac:dyDescent="0.2">
      <c r="D2277" t="s">
        <v>285</v>
      </c>
      <c r="E2277" t="s">
        <v>432</v>
      </c>
      <c r="F2277">
        <v>12</v>
      </c>
      <c r="P2277" t="s">
        <v>376</v>
      </c>
      <c r="Q2277">
        <v>90</v>
      </c>
      <c r="R2277" t="s">
        <v>298</v>
      </c>
      <c r="S2277" t="s">
        <v>19</v>
      </c>
      <c r="T2277">
        <v>0</v>
      </c>
    </row>
    <row r="2278" spans="4:20" ht="15.75" customHeight="1" x14ac:dyDescent="0.2">
      <c r="D2278" t="s">
        <v>285</v>
      </c>
      <c r="E2278" t="s">
        <v>432</v>
      </c>
      <c r="F2278">
        <v>12</v>
      </c>
      <c r="P2278" t="s">
        <v>376</v>
      </c>
      <c r="Q2278">
        <v>90</v>
      </c>
      <c r="R2278" t="s">
        <v>299</v>
      </c>
      <c r="S2278" t="s">
        <v>20</v>
      </c>
      <c r="T2278">
        <v>0</v>
      </c>
    </row>
    <row r="2279" spans="4:20" ht="15.75" customHeight="1" x14ac:dyDescent="0.2">
      <c r="D2279" t="s">
        <v>285</v>
      </c>
      <c r="E2279" t="s">
        <v>432</v>
      </c>
      <c r="F2279">
        <v>12</v>
      </c>
      <c r="P2279" t="s">
        <v>409</v>
      </c>
      <c r="Q2279">
        <v>91</v>
      </c>
      <c r="R2279" t="s">
        <v>288</v>
      </c>
      <c r="S2279" t="s">
        <v>2</v>
      </c>
      <c r="T2279">
        <v>0</v>
      </c>
    </row>
    <row r="2280" spans="4:20" ht="15.75" customHeight="1" x14ac:dyDescent="0.2">
      <c r="D2280" t="s">
        <v>285</v>
      </c>
      <c r="E2280" t="s">
        <v>432</v>
      </c>
      <c r="F2280">
        <v>12</v>
      </c>
      <c r="P2280" t="s">
        <v>409</v>
      </c>
      <c r="Q2280">
        <v>91</v>
      </c>
      <c r="R2280" t="s">
        <v>289</v>
      </c>
      <c r="S2280" t="s">
        <v>5</v>
      </c>
      <c r="T2280">
        <v>0</v>
      </c>
    </row>
    <row r="2281" spans="4:20" ht="15.75" customHeight="1" x14ac:dyDescent="0.2">
      <c r="D2281" t="s">
        <v>285</v>
      </c>
      <c r="E2281" t="s">
        <v>432</v>
      </c>
      <c r="F2281">
        <v>12</v>
      </c>
      <c r="P2281" t="s">
        <v>409</v>
      </c>
      <c r="Q2281">
        <v>91</v>
      </c>
      <c r="R2281" t="s">
        <v>290</v>
      </c>
      <c r="S2281" t="s">
        <v>3</v>
      </c>
      <c r="T2281">
        <v>0</v>
      </c>
    </row>
    <row r="2282" spans="4:20" ht="15.75" customHeight="1" x14ac:dyDescent="0.2">
      <c r="D2282" t="s">
        <v>285</v>
      </c>
      <c r="E2282" t="s">
        <v>432</v>
      </c>
      <c r="F2282">
        <v>12</v>
      </c>
      <c r="P2282" t="s">
        <v>409</v>
      </c>
      <c r="Q2282">
        <v>91</v>
      </c>
      <c r="R2282" t="s">
        <v>291</v>
      </c>
      <c r="S2282" t="s">
        <v>4</v>
      </c>
      <c r="T2282">
        <v>0</v>
      </c>
    </row>
    <row r="2283" spans="4:20" ht="15.75" customHeight="1" x14ac:dyDescent="0.2">
      <c r="D2283" t="s">
        <v>285</v>
      </c>
      <c r="E2283" t="s">
        <v>432</v>
      </c>
      <c r="F2283">
        <v>12</v>
      </c>
      <c r="P2283" t="s">
        <v>409</v>
      </c>
      <c r="Q2283">
        <v>91</v>
      </c>
      <c r="R2283" t="s">
        <v>292</v>
      </c>
      <c r="S2283" t="s">
        <v>6</v>
      </c>
      <c r="T2283">
        <v>0</v>
      </c>
    </row>
    <row r="2284" spans="4:20" ht="15.75" customHeight="1" x14ac:dyDescent="0.2">
      <c r="D2284" t="s">
        <v>285</v>
      </c>
      <c r="E2284" t="s">
        <v>432</v>
      </c>
      <c r="F2284">
        <v>12</v>
      </c>
      <c r="P2284" t="s">
        <v>409</v>
      </c>
      <c r="Q2284">
        <v>91</v>
      </c>
      <c r="R2284" t="s">
        <v>243</v>
      </c>
      <c r="S2284" t="s">
        <v>7</v>
      </c>
      <c r="T2284">
        <v>0</v>
      </c>
    </row>
    <row r="2285" spans="4:20" ht="15.75" customHeight="1" x14ac:dyDescent="0.2">
      <c r="D2285" t="s">
        <v>285</v>
      </c>
      <c r="E2285" t="s">
        <v>432</v>
      </c>
      <c r="F2285">
        <v>12</v>
      </c>
      <c r="P2285" t="s">
        <v>409</v>
      </c>
      <c r="Q2285">
        <v>91</v>
      </c>
      <c r="R2285" t="s">
        <v>245</v>
      </c>
      <c r="S2285" t="s">
        <v>8</v>
      </c>
      <c r="T2285">
        <v>0</v>
      </c>
    </row>
    <row r="2286" spans="4:20" ht="15.75" customHeight="1" x14ac:dyDescent="0.2">
      <c r="D2286" t="s">
        <v>285</v>
      </c>
      <c r="E2286" t="s">
        <v>432</v>
      </c>
      <c r="F2286">
        <v>12</v>
      </c>
      <c r="P2286" t="s">
        <v>409</v>
      </c>
      <c r="Q2286">
        <v>91</v>
      </c>
      <c r="R2286" t="s">
        <v>247</v>
      </c>
      <c r="S2286" t="s">
        <v>9</v>
      </c>
      <c r="T2286">
        <v>0</v>
      </c>
    </row>
    <row r="2287" spans="4:20" ht="15.75" customHeight="1" x14ac:dyDescent="0.2">
      <c r="D2287" t="s">
        <v>285</v>
      </c>
      <c r="E2287" t="s">
        <v>432</v>
      </c>
      <c r="F2287">
        <v>12</v>
      </c>
      <c r="P2287" t="s">
        <v>409</v>
      </c>
      <c r="Q2287">
        <v>91</v>
      </c>
      <c r="R2287" t="s">
        <v>249</v>
      </c>
      <c r="S2287" t="s">
        <v>10</v>
      </c>
      <c r="T2287">
        <v>1</v>
      </c>
    </row>
    <row r="2288" spans="4:20" ht="15.75" customHeight="1" x14ac:dyDescent="0.2">
      <c r="D2288" t="s">
        <v>285</v>
      </c>
      <c r="E2288" t="s">
        <v>432</v>
      </c>
      <c r="F2288">
        <v>12</v>
      </c>
      <c r="P2288" t="s">
        <v>409</v>
      </c>
      <c r="Q2288">
        <v>91</v>
      </c>
      <c r="R2288" t="s">
        <v>251</v>
      </c>
      <c r="S2288" t="s">
        <v>11</v>
      </c>
      <c r="T2288">
        <v>1</v>
      </c>
    </row>
    <row r="2289" spans="4:20" ht="15.75" customHeight="1" x14ac:dyDescent="0.2">
      <c r="D2289" t="s">
        <v>285</v>
      </c>
      <c r="E2289" t="s">
        <v>432</v>
      </c>
      <c r="F2289">
        <v>12</v>
      </c>
      <c r="P2289" t="s">
        <v>409</v>
      </c>
      <c r="Q2289">
        <v>91</v>
      </c>
      <c r="R2289" t="s">
        <v>253</v>
      </c>
      <c r="S2289" t="s">
        <v>12</v>
      </c>
      <c r="T2289">
        <v>0</v>
      </c>
    </row>
    <row r="2290" spans="4:20" ht="15.75" customHeight="1" x14ac:dyDescent="0.2">
      <c r="D2290" t="s">
        <v>285</v>
      </c>
      <c r="E2290" t="s">
        <v>432</v>
      </c>
      <c r="F2290">
        <v>12</v>
      </c>
      <c r="P2290" t="s">
        <v>409</v>
      </c>
      <c r="Q2290">
        <v>91</v>
      </c>
      <c r="R2290" t="s">
        <v>255</v>
      </c>
      <c r="S2290" t="s">
        <v>15</v>
      </c>
      <c r="T2290">
        <v>0</v>
      </c>
    </row>
    <row r="2291" spans="4:20" ht="15.75" customHeight="1" x14ac:dyDescent="0.2">
      <c r="D2291" t="s">
        <v>285</v>
      </c>
      <c r="E2291" t="s">
        <v>432</v>
      </c>
      <c r="F2291">
        <v>12</v>
      </c>
      <c r="P2291" t="s">
        <v>409</v>
      </c>
      <c r="Q2291">
        <v>91</v>
      </c>
      <c r="R2291" t="s">
        <v>293</v>
      </c>
      <c r="S2291" t="s">
        <v>13</v>
      </c>
      <c r="T2291">
        <v>0</v>
      </c>
    </row>
    <row r="2292" spans="4:20" ht="15.75" customHeight="1" x14ac:dyDescent="0.2">
      <c r="D2292" t="s">
        <v>285</v>
      </c>
      <c r="E2292" t="s">
        <v>432</v>
      </c>
      <c r="F2292">
        <v>12</v>
      </c>
      <c r="P2292" t="s">
        <v>409</v>
      </c>
      <c r="Q2292">
        <v>91</v>
      </c>
      <c r="R2292" t="s">
        <v>294</v>
      </c>
      <c r="S2292" t="s">
        <v>14</v>
      </c>
      <c r="T2292">
        <v>0</v>
      </c>
    </row>
    <row r="2293" spans="4:20" ht="15.75" customHeight="1" x14ac:dyDescent="0.2">
      <c r="D2293" t="s">
        <v>285</v>
      </c>
      <c r="E2293" t="s">
        <v>432</v>
      </c>
      <c r="F2293">
        <v>12</v>
      </c>
      <c r="P2293" t="s">
        <v>409</v>
      </c>
      <c r="Q2293">
        <v>91</v>
      </c>
      <c r="R2293" t="s">
        <v>257</v>
      </c>
      <c r="S2293" t="s">
        <v>16</v>
      </c>
      <c r="T2293">
        <v>0</v>
      </c>
    </row>
    <row r="2294" spans="4:20" ht="15.75" customHeight="1" x14ac:dyDescent="0.2">
      <c r="D2294" t="s">
        <v>285</v>
      </c>
      <c r="E2294" t="s">
        <v>432</v>
      </c>
      <c r="F2294">
        <v>12</v>
      </c>
      <c r="P2294" t="s">
        <v>409</v>
      </c>
      <c r="Q2294">
        <v>91</v>
      </c>
      <c r="R2294" t="s">
        <v>295</v>
      </c>
      <c r="S2294" t="s">
        <v>17</v>
      </c>
      <c r="T2294" t="s">
        <v>366</v>
      </c>
    </row>
    <row r="2295" spans="4:20" ht="15.75" customHeight="1" x14ac:dyDescent="0.2">
      <c r="D2295" t="s">
        <v>285</v>
      </c>
      <c r="E2295" t="s">
        <v>432</v>
      </c>
      <c r="F2295">
        <v>12</v>
      </c>
      <c r="P2295" t="s">
        <v>409</v>
      </c>
      <c r="Q2295">
        <v>91</v>
      </c>
      <c r="R2295" t="s">
        <v>296</v>
      </c>
      <c r="S2295" t="s">
        <v>1</v>
      </c>
      <c r="T2295">
        <v>1</v>
      </c>
    </row>
    <row r="2296" spans="4:20" ht="15.75" customHeight="1" x14ac:dyDescent="0.2">
      <c r="D2296" t="s">
        <v>285</v>
      </c>
      <c r="E2296" t="s">
        <v>432</v>
      </c>
      <c r="F2296">
        <v>12</v>
      </c>
      <c r="P2296" t="s">
        <v>409</v>
      </c>
      <c r="Q2296">
        <v>91</v>
      </c>
      <c r="R2296" t="s">
        <v>297</v>
      </c>
      <c r="S2296" t="s">
        <v>18</v>
      </c>
      <c r="T2296" t="s">
        <v>366</v>
      </c>
    </row>
    <row r="2297" spans="4:20" ht="15.75" customHeight="1" x14ac:dyDescent="0.2">
      <c r="D2297" t="s">
        <v>285</v>
      </c>
      <c r="E2297" t="s">
        <v>432</v>
      </c>
      <c r="F2297">
        <v>12</v>
      </c>
      <c r="P2297" t="s">
        <v>409</v>
      </c>
      <c r="Q2297">
        <v>91</v>
      </c>
      <c r="R2297" t="s">
        <v>298</v>
      </c>
      <c r="S2297" t="s">
        <v>19</v>
      </c>
      <c r="T2297">
        <v>0</v>
      </c>
    </row>
    <row r="2298" spans="4:20" ht="15.75" customHeight="1" x14ac:dyDescent="0.2">
      <c r="D2298" t="s">
        <v>285</v>
      </c>
      <c r="E2298" t="s">
        <v>432</v>
      </c>
      <c r="F2298">
        <v>12</v>
      </c>
      <c r="P2298" t="s">
        <v>409</v>
      </c>
      <c r="Q2298">
        <v>91</v>
      </c>
      <c r="R2298" t="s">
        <v>299</v>
      </c>
      <c r="S2298" t="s">
        <v>20</v>
      </c>
      <c r="T2298">
        <v>0</v>
      </c>
    </row>
    <row r="2299" spans="4:20" ht="15.75" customHeight="1" x14ac:dyDescent="0.2">
      <c r="D2299" t="s">
        <v>285</v>
      </c>
      <c r="E2299" t="s">
        <v>432</v>
      </c>
      <c r="F2299">
        <v>12</v>
      </c>
      <c r="P2299" t="s">
        <v>410</v>
      </c>
      <c r="Q2299">
        <v>92</v>
      </c>
      <c r="R2299" t="s">
        <v>288</v>
      </c>
      <c r="S2299" t="s">
        <v>2</v>
      </c>
      <c r="T2299">
        <v>0</v>
      </c>
    </row>
    <row r="2300" spans="4:20" ht="15.75" customHeight="1" x14ac:dyDescent="0.2">
      <c r="D2300" t="s">
        <v>285</v>
      </c>
      <c r="E2300" t="s">
        <v>432</v>
      </c>
      <c r="F2300">
        <v>12</v>
      </c>
      <c r="P2300" t="s">
        <v>410</v>
      </c>
      <c r="Q2300">
        <v>92</v>
      </c>
      <c r="R2300" t="s">
        <v>289</v>
      </c>
      <c r="S2300" t="s">
        <v>5</v>
      </c>
      <c r="T2300">
        <v>0</v>
      </c>
    </row>
    <row r="2301" spans="4:20" ht="15.75" customHeight="1" x14ac:dyDescent="0.2">
      <c r="D2301" t="s">
        <v>285</v>
      </c>
      <c r="E2301" t="s">
        <v>432</v>
      </c>
      <c r="F2301">
        <v>12</v>
      </c>
      <c r="P2301" t="s">
        <v>410</v>
      </c>
      <c r="Q2301">
        <v>92</v>
      </c>
      <c r="R2301" t="s">
        <v>290</v>
      </c>
      <c r="S2301" t="s">
        <v>3</v>
      </c>
      <c r="T2301">
        <v>0</v>
      </c>
    </row>
    <row r="2302" spans="4:20" ht="15.75" customHeight="1" x14ac:dyDescent="0.2">
      <c r="D2302" t="s">
        <v>285</v>
      </c>
      <c r="E2302" t="s">
        <v>432</v>
      </c>
      <c r="F2302">
        <v>12</v>
      </c>
      <c r="P2302" t="s">
        <v>410</v>
      </c>
      <c r="Q2302">
        <v>92</v>
      </c>
      <c r="R2302" t="s">
        <v>291</v>
      </c>
      <c r="S2302" t="s">
        <v>4</v>
      </c>
      <c r="T2302">
        <v>0</v>
      </c>
    </row>
    <row r="2303" spans="4:20" ht="15.75" customHeight="1" x14ac:dyDescent="0.2">
      <c r="D2303" t="s">
        <v>285</v>
      </c>
      <c r="E2303" t="s">
        <v>432</v>
      </c>
      <c r="F2303">
        <v>12</v>
      </c>
      <c r="P2303" t="s">
        <v>410</v>
      </c>
      <c r="Q2303">
        <v>92</v>
      </c>
      <c r="R2303" t="s">
        <v>292</v>
      </c>
      <c r="S2303" t="s">
        <v>6</v>
      </c>
      <c r="T2303">
        <v>0</v>
      </c>
    </row>
    <row r="2304" spans="4:20" ht="15.75" customHeight="1" x14ac:dyDescent="0.2">
      <c r="D2304" t="s">
        <v>285</v>
      </c>
      <c r="E2304" t="s">
        <v>432</v>
      </c>
      <c r="F2304">
        <v>12</v>
      </c>
      <c r="P2304" t="s">
        <v>410</v>
      </c>
      <c r="Q2304">
        <v>92</v>
      </c>
      <c r="R2304" t="s">
        <v>243</v>
      </c>
      <c r="S2304" t="s">
        <v>7</v>
      </c>
      <c r="T2304">
        <v>0</v>
      </c>
    </row>
    <row r="2305" spans="4:20" ht="15.75" customHeight="1" x14ac:dyDescent="0.2">
      <c r="D2305" t="s">
        <v>285</v>
      </c>
      <c r="E2305" t="s">
        <v>432</v>
      </c>
      <c r="F2305">
        <v>12</v>
      </c>
      <c r="P2305" t="s">
        <v>410</v>
      </c>
      <c r="Q2305">
        <v>92</v>
      </c>
      <c r="R2305" t="s">
        <v>245</v>
      </c>
      <c r="S2305" t="s">
        <v>8</v>
      </c>
      <c r="T2305">
        <v>0</v>
      </c>
    </row>
    <row r="2306" spans="4:20" ht="15.75" customHeight="1" x14ac:dyDescent="0.2">
      <c r="D2306" t="s">
        <v>285</v>
      </c>
      <c r="E2306" t="s">
        <v>432</v>
      </c>
      <c r="F2306">
        <v>12</v>
      </c>
      <c r="P2306" t="s">
        <v>410</v>
      </c>
      <c r="Q2306">
        <v>92</v>
      </c>
      <c r="R2306" t="s">
        <v>247</v>
      </c>
      <c r="S2306" t="s">
        <v>9</v>
      </c>
      <c r="T2306">
        <v>0</v>
      </c>
    </row>
    <row r="2307" spans="4:20" ht="15.75" customHeight="1" x14ac:dyDescent="0.2">
      <c r="D2307" t="s">
        <v>285</v>
      </c>
      <c r="E2307" t="s">
        <v>432</v>
      </c>
      <c r="F2307">
        <v>12</v>
      </c>
      <c r="P2307" t="s">
        <v>410</v>
      </c>
      <c r="Q2307">
        <v>92</v>
      </c>
      <c r="R2307" t="s">
        <v>249</v>
      </c>
      <c r="S2307" t="s">
        <v>10</v>
      </c>
      <c r="T2307">
        <v>3</v>
      </c>
    </row>
    <row r="2308" spans="4:20" ht="15.75" customHeight="1" x14ac:dyDescent="0.2">
      <c r="D2308" t="s">
        <v>285</v>
      </c>
      <c r="E2308" t="s">
        <v>432</v>
      </c>
      <c r="F2308">
        <v>12</v>
      </c>
      <c r="P2308" t="s">
        <v>410</v>
      </c>
      <c r="Q2308">
        <v>92</v>
      </c>
      <c r="R2308" t="s">
        <v>251</v>
      </c>
      <c r="S2308" t="s">
        <v>11</v>
      </c>
      <c r="T2308">
        <v>2</v>
      </c>
    </row>
    <row r="2309" spans="4:20" ht="15.75" customHeight="1" x14ac:dyDescent="0.2">
      <c r="D2309" t="s">
        <v>285</v>
      </c>
      <c r="E2309" t="s">
        <v>432</v>
      </c>
      <c r="F2309">
        <v>12</v>
      </c>
      <c r="P2309" t="s">
        <v>410</v>
      </c>
      <c r="Q2309">
        <v>92</v>
      </c>
      <c r="R2309" t="s">
        <v>253</v>
      </c>
      <c r="S2309" t="s">
        <v>12</v>
      </c>
      <c r="T2309">
        <v>3</v>
      </c>
    </row>
    <row r="2310" spans="4:20" ht="15.75" customHeight="1" x14ac:dyDescent="0.2">
      <c r="D2310" t="s">
        <v>285</v>
      </c>
      <c r="E2310" t="s">
        <v>432</v>
      </c>
      <c r="F2310">
        <v>12</v>
      </c>
      <c r="P2310" t="s">
        <v>410</v>
      </c>
      <c r="Q2310">
        <v>92</v>
      </c>
      <c r="R2310" t="s">
        <v>255</v>
      </c>
      <c r="S2310" t="s">
        <v>15</v>
      </c>
      <c r="T2310">
        <v>0</v>
      </c>
    </row>
    <row r="2311" spans="4:20" ht="15.75" customHeight="1" x14ac:dyDescent="0.2">
      <c r="D2311" t="s">
        <v>285</v>
      </c>
      <c r="E2311" t="s">
        <v>432</v>
      </c>
      <c r="F2311">
        <v>12</v>
      </c>
      <c r="P2311" t="s">
        <v>410</v>
      </c>
      <c r="Q2311">
        <v>92</v>
      </c>
      <c r="R2311" t="s">
        <v>293</v>
      </c>
      <c r="S2311" t="s">
        <v>13</v>
      </c>
      <c r="T2311">
        <v>0</v>
      </c>
    </row>
    <row r="2312" spans="4:20" ht="15.75" customHeight="1" x14ac:dyDescent="0.2">
      <c r="D2312" t="s">
        <v>285</v>
      </c>
      <c r="E2312" t="s">
        <v>432</v>
      </c>
      <c r="F2312">
        <v>12</v>
      </c>
      <c r="P2312" t="s">
        <v>410</v>
      </c>
      <c r="Q2312">
        <v>92</v>
      </c>
      <c r="R2312" t="s">
        <v>294</v>
      </c>
      <c r="S2312" t="s">
        <v>14</v>
      </c>
      <c r="T2312">
        <v>0</v>
      </c>
    </row>
    <row r="2313" spans="4:20" ht="15.75" customHeight="1" x14ac:dyDescent="0.2">
      <c r="D2313" t="s">
        <v>285</v>
      </c>
      <c r="E2313" t="s">
        <v>432</v>
      </c>
      <c r="F2313">
        <v>12</v>
      </c>
      <c r="P2313" t="s">
        <v>410</v>
      </c>
      <c r="Q2313">
        <v>92</v>
      </c>
      <c r="R2313" t="s">
        <v>257</v>
      </c>
      <c r="S2313" t="s">
        <v>16</v>
      </c>
      <c r="T2313">
        <v>0</v>
      </c>
    </row>
    <row r="2314" spans="4:20" ht="15.75" customHeight="1" x14ac:dyDescent="0.2">
      <c r="D2314" t="s">
        <v>285</v>
      </c>
      <c r="E2314" t="s">
        <v>432</v>
      </c>
      <c r="F2314">
        <v>12</v>
      </c>
      <c r="P2314" t="s">
        <v>410</v>
      </c>
      <c r="Q2314">
        <v>92</v>
      </c>
      <c r="R2314" t="s">
        <v>295</v>
      </c>
      <c r="S2314" t="s">
        <v>17</v>
      </c>
      <c r="T2314" t="s">
        <v>366</v>
      </c>
    </row>
    <row r="2315" spans="4:20" ht="15.75" customHeight="1" x14ac:dyDescent="0.2">
      <c r="D2315" t="s">
        <v>285</v>
      </c>
      <c r="E2315" t="s">
        <v>432</v>
      </c>
      <c r="F2315">
        <v>12</v>
      </c>
      <c r="P2315" t="s">
        <v>410</v>
      </c>
      <c r="Q2315">
        <v>92</v>
      </c>
      <c r="R2315" t="s">
        <v>296</v>
      </c>
      <c r="S2315" t="s">
        <v>1</v>
      </c>
      <c r="T2315">
        <v>1</v>
      </c>
    </row>
    <row r="2316" spans="4:20" ht="15.75" customHeight="1" x14ac:dyDescent="0.2">
      <c r="D2316" t="s">
        <v>285</v>
      </c>
      <c r="E2316" t="s">
        <v>432</v>
      </c>
      <c r="F2316">
        <v>12</v>
      </c>
      <c r="P2316" t="s">
        <v>410</v>
      </c>
      <c r="Q2316">
        <v>92</v>
      </c>
      <c r="R2316" t="s">
        <v>297</v>
      </c>
      <c r="S2316" t="s">
        <v>18</v>
      </c>
      <c r="T2316" t="s">
        <v>366</v>
      </c>
    </row>
    <row r="2317" spans="4:20" ht="15.75" customHeight="1" x14ac:dyDescent="0.2">
      <c r="D2317" t="s">
        <v>285</v>
      </c>
      <c r="E2317" t="s">
        <v>432</v>
      </c>
      <c r="F2317">
        <v>12</v>
      </c>
      <c r="P2317" t="s">
        <v>410</v>
      </c>
      <c r="Q2317">
        <v>92</v>
      </c>
      <c r="R2317" t="s">
        <v>298</v>
      </c>
      <c r="S2317" t="s">
        <v>19</v>
      </c>
      <c r="T2317">
        <v>0</v>
      </c>
    </row>
    <row r="2318" spans="4:20" ht="15.75" customHeight="1" x14ac:dyDescent="0.2">
      <c r="D2318" t="s">
        <v>285</v>
      </c>
      <c r="E2318" t="s">
        <v>432</v>
      </c>
      <c r="F2318">
        <v>12</v>
      </c>
      <c r="P2318" t="s">
        <v>410</v>
      </c>
      <c r="Q2318">
        <v>92</v>
      </c>
      <c r="R2318" t="s">
        <v>299</v>
      </c>
      <c r="S2318" t="s">
        <v>20</v>
      </c>
      <c r="T2318">
        <v>2</v>
      </c>
    </row>
    <row r="2319" spans="4:20" ht="15.75" customHeight="1" x14ac:dyDescent="0.2">
      <c r="D2319" t="s">
        <v>285</v>
      </c>
      <c r="E2319" t="s">
        <v>432</v>
      </c>
      <c r="F2319">
        <v>12</v>
      </c>
      <c r="P2319" t="s">
        <v>413</v>
      </c>
      <c r="Q2319">
        <v>93</v>
      </c>
      <c r="R2319" t="s">
        <v>288</v>
      </c>
      <c r="S2319" t="s">
        <v>2</v>
      </c>
      <c r="T2319">
        <v>0</v>
      </c>
    </row>
    <row r="2320" spans="4:20" ht="15.75" customHeight="1" x14ac:dyDescent="0.2">
      <c r="D2320" t="s">
        <v>285</v>
      </c>
      <c r="E2320" t="s">
        <v>432</v>
      </c>
      <c r="F2320">
        <v>12</v>
      </c>
      <c r="P2320" t="s">
        <v>413</v>
      </c>
      <c r="Q2320">
        <v>93</v>
      </c>
      <c r="R2320" t="s">
        <v>289</v>
      </c>
      <c r="S2320" t="s">
        <v>5</v>
      </c>
      <c r="T2320">
        <v>0</v>
      </c>
    </row>
    <row r="2321" spans="4:20" ht="15.75" customHeight="1" x14ac:dyDescent="0.2">
      <c r="D2321" t="s">
        <v>285</v>
      </c>
      <c r="E2321" t="s">
        <v>432</v>
      </c>
      <c r="F2321">
        <v>12</v>
      </c>
      <c r="P2321" t="s">
        <v>413</v>
      </c>
      <c r="Q2321">
        <v>93</v>
      </c>
      <c r="R2321" t="s">
        <v>290</v>
      </c>
      <c r="S2321" t="s">
        <v>3</v>
      </c>
      <c r="T2321">
        <v>0</v>
      </c>
    </row>
    <row r="2322" spans="4:20" ht="15.75" customHeight="1" x14ac:dyDescent="0.2">
      <c r="D2322" t="s">
        <v>285</v>
      </c>
      <c r="E2322" t="s">
        <v>432</v>
      </c>
      <c r="F2322">
        <v>12</v>
      </c>
      <c r="P2322" t="s">
        <v>413</v>
      </c>
      <c r="Q2322">
        <v>93</v>
      </c>
      <c r="R2322" t="s">
        <v>291</v>
      </c>
      <c r="S2322" t="s">
        <v>4</v>
      </c>
      <c r="T2322">
        <v>0</v>
      </c>
    </row>
    <row r="2323" spans="4:20" ht="15.75" customHeight="1" x14ac:dyDescent="0.2">
      <c r="D2323" t="s">
        <v>285</v>
      </c>
      <c r="E2323" t="s">
        <v>432</v>
      </c>
      <c r="F2323">
        <v>12</v>
      </c>
      <c r="P2323" t="s">
        <v>413</v>
      </c>
      <c r="Q2323">
        <v>93</v>
      </c>
      <c r="R2323" t="s">
        <v>292</v>
      </c>
      <c r="S2323" t="s">
        <v>6</v>
      </c>
      <c r="T2323">
        <v>0</v>
      </c>
    </row>
    <row r="2324" spans="4:20" ht="15.75" customHeight="1" x14ac:dyDescent="0.2">
      <c r="D2324" t="s">
        <v>285</v>
      </c>
      <c r="E2324" t="s">
        <v>432</v>
      </c>
      <c r="F2324">
        <v>12</v>
      </c>
      <c r="P2324" t="s">
        <v>413</v>
      </c>
      <c r="Q2324">
        <v>93</v>
      </c>
      <c r="R2324" t="s">
        <v>243</v>
      </c>
      <c r="S2324" t="s">
        <v>7</v>
      </c>
      <c r="T2324">
        <v>0</v>
      </c>
    </row>
    <row r="2325" spans="4:20" ht="15.75" customHeight="1" x14ac:dyDescent="0.2">
      <c r="D2325" t="s">
        <v>285</v>
      </c>
      <c r="E2325" t="s">
        <v>432</v>
      </c>
      <c r="F2325">
        <v>12</v>
      </c>
      <c r="P2325" t="s">
        <v>413</v>
      </c>
      <c r="Q2325">
        <v>93</v>
      </c>
      <c r="R2325" t="s">
        <v>245</v>
      </c>
      <c r="S2325" t="s">
        <v>8</v>
      </c>
      <c r="T2325">
        <v>0</v>
      </c>
    </row>
    <row r="2326" spans="4:20" ht="15.75" customHeight="1" x14ac:dyDescent="0.2">
      <c r="D2326" t="s">
        <v>285</v>
      </c>
      <c r="E2326" t="s">
        <v>432</v>
      </c>
      <c r="F2326">
        <v>12</v>
      </c>
      <c r="P2326" t="s">
        <v>413</v>
      </c>
      <c r="Q2326">
        <v>93</v>
      </c>
      <c r="R2326" t="s">
        <v>247</v>
      </c>
      <c r="S2326" t="s">
        <v>9</v>
      </c>
      <c r="T2326">
        <v>0</v>
      </c>
    </row>
    <row r="2327" spans="4:20" ht="15.75" customHeight="1" x14ac:dyDescent="0.2">
      <c r="D2327" t="s">
        <v>285</v>
      </c>
      <c r="E2327" t="s">
        <v>432</v>
      </c>
      <c r="F2327">
        <v>12</v>
      </c>
      <c r="P2327" t="s">
        <v>413</v>
      </c>
      <c r="Q2327">
        <v>93</v>
      </c>
      <c r="R2327" t="s">
        <v>249</v>
      </c>
      <c r="S2327" t="s">
        <v>10</v>
      </c>
      <c r="T2327">
        <v>3</v>
      </c>
    </row>
    <row r="2328" spans="4:20" ht="15.75" customHeight="1" x14ac:dyDescent="0.2">
      <c r="D2328" t="s">
        <v>285</v>
      </c>
      <c r="E2328" t="s">
        <v>432</v>
      </c>
      <c r="F2328">
        <v>12</v>
      </c>
      <c r="P2328" t="s">
        <v>413</v>
      </c>
      <c r="Q2328">
        <v>93</v>
      </c>
      <c r="R2328" t="s">
        <v>251</v>
      </c>
      <c r="S2328" t="s">
        <v>11</v>
      </c>
      <c r="T2328">
        <v>2</v>
      </c>
    </row>
    <row r="2329" spans="4:20" ht="15.75" customHeight="1" x14ac:dyDescent="0.2">
      <c r="D2329" t="s">
        <v>285</v>
      </c>
      <c r="E2329" t="s">
        <v>432</v>
      </c>
      <c r="F2329">
        <v>12</v>
      </c>
      <c r="P2329" t="s">
        <v>413</v>
      </c>
      <c r="Q2329">
        <v>93</v>
      </c>
      <c r="R2329" t="s">
        <v>253</v>
      </c>
      <c r="S2329" t="s">
        <v>12</v>
      </c>
      <c r="T2329">
        <v>3</v>
      </c>
    </row>
    <row r="2330" spans="4:20" ht="15.75" customHeight="1" x14ac:dyDescent="0.2">
      <c r="D2330" t="s">
        <v>285</v>
      </c>
      <c r="E2330" t="s">
        <v>432</v>
      </c>
      <c r="F2330">
        <v>12</v>
      </c>
      <c r="P2330" t="s">
        <v>413</v>
      </c>
      <c r="Q2330">
        <v>93</v>
      </c>
      <c r="R2330" t="s">
        <v>255</v>
      </c>
      <c r="S2330" t="s">
        <v>15</v>
      </c>
      <c r="T2330">
        <v>0</v>
      </c>
    </row>
    <row r="2331" spans="4:20" ht="15.75" customHeight="1" x14ac:dyDescent="0.2">
      <c r="D2331" t="s">
        <v>285</v>
      </c>
      <c r="E2331" t="s">
        <v>432</v>
      </c>
      <c r="F2331">
        <v>12</v>
      </c>
      <c r="P2331" t="s">
        <v>413</v>
      </c>
      <c r="Q2331">
        <v>93</v>
      </c>
      <c r="R2331" t="s">
        <v>293</v>
      </c>
      <c r="S2331" t="s">
        <v>13</v>
      </c>
      <c r="T2331">
        <v>0</v>
      </c>
    </row>
    <row r="2332" spans="4:20" ht="15.75" customHeight="1" x14ac:dyDescent="0.2">
      <c r="D2332" t="s">
        <v>285</v>
      </c>
      <c r="E2332" t="s">
        <v>432</v>
      </c>
      <c r="F2332">
        <v>12</v>
      </c>
      <c r="P2332" t="s">
        <v>413</v>
      </c>
      <c r="Q2332">
        <v>93</v>
      </c>
      <c r="R2332" t="s">
        <v>294</v>
      </c>
      <c r="S2332" t="s">
        <v>14</v>
      </c>
      <c r="T2332">
        <v>0</v>
      </c>
    </row>
    <row r="2333" spans="4:20" ht="15.75" customHeight="1" x14ac:dyDescent="0.2">
      <c r="D2333" t="s">
        <v>285</v>
      </c>
      <c r="E2333" t="s">
        <v>432</v>
      </c>
      <c r="F2333">
        <v>12</v>
      </c>
      <c r="P2333" t="s">
        <v>413</v>
      </c>
      <c r="Q2333">
        <v>93</v>
      </c>
      <c r="R2333" t="s">
        <v>257</v>
      </c>
      <c r="S2333" t="s">
        <v>16</v>
      </c>
      <c r="T2333">
        <v>0</v>
      </c>
    </row>
    <row r="2334" spans="4:20" ht="15.75" customHeight="1" x14ac:dyDescent="0.2">
      <c r="D2334" t="s">
        <v>285</v>
      </c>
      <c r="E2334" t="s">
        <v>432</v>
      </c>
      <c r="F2334">
        <v>12</v>
      </c>
      <c r="P2334" t="s">
        <v>413</v>
      </c>
      <c r="Q2334">
        <v>93</v>
      </c>
      <c r="R2334" t="s">
        <v>295</v>
      </c>
      <c r="S2334" t="s">
        <v>17</v>
      </c>
      <c r="T2334" t="s">
        <v>366</v>
      </c>
    </row>
    <row r="2335" spans="4:20" ht="15.75" customHeight="1" x14ac:dyDescent="0.2">
      <c r="D2335" t="s">
        <v>285</v>
      </c>
      <c r="E2335" t="s">
        <v>432</v>
      </c>
      <c r="F2335">
        <v>12</v>
      </c>
      <c r="P2335" t="s">
        <v>413</v>
      </c>
      <c r="Q2335">
        <v>93</v>
      </c>
      <c r="R2335" t="s">
        <v>296</v>
      </c>
      <c r="S2335" t="s">
        <v>1</v>
      </c>
      <c r="T2335">
        <v>1</v>
      </c>
    </row>
    <row r="2336" spans="4:20" ht="15.75" customHeight="1" x14ac:dyDescent="0.2">
      <c r="D2336" t="s">
        <v>285</v>
      </c>
      <c r="E2336" t="s">
        <v>432</v>
      </c>
      <c r="F2336">
        <v>12</v>
      </c>
      <c r="P2336" t="s">
        <v>413</v>
      </c>
      <c r="Q2336">
        <v>93</v>
      </c>
      <c r="R2336" t="s">
        <v>297</v>
      </c>
      <c r="S2336" t="s">
        <v>18</v>
      </c>
      <c r="T2336" t="s">
        <v>366</v>
      </c>
    </row>
    <row r="2337" spans="4:20" ht="15.75" customHeight="1" x14ac:dyDescent="0.2">
      <c r="D2337" t="s">
        <v>285</v>
      </c>
      <c r="E2337" t="s">
        <v>432</v>
      </c>
      <c r="F2337">
        <v>12</v>
      </c>
      <c r="P2337" t="s">
        <v>413</v>
      </c>
      <c r="Q2337">
        <v>93</v>
      </c>
      <c r="R2337" t="s">
        <v>298</v>
      </c>
      <c r="S2337" t="s">
        <v>19</v>
      </c>
      <c r="T2337">
        <v>0</v>
      </c>
    </row>
    <row r="2338" spans="4:20" ht="15.75" customHeight="1" x14ac:dyDescent="0.2">
      <c r="D2338" t="s">
        <v>285</v>
      </c>
      <c r="E2338" t="s">
        <v>432</v>
      </c>
      <c r="F2338">
        <v>12</v>
      </c>
      <c r="P2338" t="s">
        <v>413</v>
      </c>
      <c r="Q2338">
        <v>93</v>
      </c>
      <c r="R2338" t="s">
        <v>299</v>
      </c>
      <c r="S2338" t="s">
        <v>20</v>
      </c>
      <c r="T2338">
        <v>2</v>
      </c>
    </row>
    <row r="2339" spans="4:20" ht="15.75" customHeight="1" x14ac:dyDescent="0.2">
      <c r="D2339" t="s">
        <v>285</v>
      </c>
      <c r="E2339" t="s">
        <v>432</v>
      </c>
      <c r="F2339">
        <v>12</v>
      </c>
      <c r="P2339" t="s">
        <v>414</v>
      </c>
      <c r="Q2339">
        <v>94</v>
      </c>
      <c r="R2339" t="s">
        <v>288</v>
      </c>
      <c r="S2339" t="s">
        <v>2</v>
      </c>
      <c r="T2339">
        <v>0</v>
      </c>
    </row>
    <row r="2340" spans="4:20" ht="15.75" customHeight="1" x14ac:dyDescent="0.2">
      <c r="D2340" t="s">
        <v>285</v>
      </c>
      <c r="E2340" t="s">
        <v>432</v>
      </c>
      <c r="F2340">
        <v>12</v>
      </c>
      <c r="P2340" t="s">
        <v>414</v>
      </c>
      <c r="Q2340">
        <v>94</v>
      </c>
      <c r="R2340" t="s">
        <v>289</v>
      </c>
      <c r="S2340" t="s">
        <v>5</v>
      </c>
      <c r="T2340">
        <v>0</v>
      </c>
    </row>
    <row r="2341" spans="4:20" ht="15.75" customHeight="1" x14ac:dyDescent="0.2">
      <c r="D2341" t="s">
        <v>285</v>
      </c>
      <c r="E2341" t="s">
        <v>432</v>
      </c>
      <c r="F2341">
        <v>12</v>
      </c>
      <c r="P2341" t="s">
        <v>414</v>
      </c>
      <c r="Q2341">
        <v>94</v>
      </c>
      <c r="R2341" t="s">
        <v>290</v>
      </c>
      <c r="S2341" t="s">
        <v>3</v>
      </c>
      <c r="T2341">
        <v>0</v>
      </c>
    </row>
    <row r="2342" spans="4:20" ht="15.75" customHeight="1" x14ac:dyDescent="0.2">
      <c r="D2342" t="s">
        <v>285</v>
      </c>
      <c r="E2342" t="s">
        <v>432</v>
      </c>
      <c r="F2342">
        <v>12</v>
      </c>
      <c r="P2342" t="s">
        <v>414</v>
      </c>
      <c r="Q2342">
        <v>94</v>
      </c>
      <c r="R2342" t="s">
        <v>291</v>
      </c>
      <c r="S2342" t="s">
        <v>4</v>
      </c>
      <c r="T2342">
        <v>0</v>
      </c>
    </row>
    <row r="2343" spans="4:20" ht="15.75" customHeight="1" x14ac:dyDescent="0.2">
      <c r="D2343" t="s">
        <v>285</v>
      </c>
      <c r="E2343" t="s">
        <v>432</v>
      </c>
      <c r="F2343">
        <v>12</v>
      </c>
      <c r="P2343" t="s">
        <v>414</v>
      </c>
      <c r="Q2343">
        <v>94</v>
      </c>
      <c r="R2343" t="s">
        <v>292</v>
      </c>
      <c r="S2343" t="s">
        <v>6</v>
      </c>
      <c r="T2343">
        <v>0</v>
      </c>
    </row>
    <row r="2344" spans="4:20" ht="15.75" customHeight="1" x14ac:dyDescent="0.2">
      <c r="D2344" t="s">
        <v>285</v>
      </c>
      <c r="E2344" t="s">
        <v>432</v>
      </c>
      <c r="F2344">
        <v>12</v>
      </c>
      <c r="P2344" t="s">
        <v>414</v>
      </c>
      <c r="Q2344">
        <v>94</v>
      </c>
      <c r="R2344" t="s">
        <v>243</v>
      </c>
      <c r="S2344" t="s">
        <v>7</v>
      </c>
      <c r="T2344">
        <v>0</v>
      </c>
    </row>
    <row r="2345" spans="4:20" ht="15.75" customHeight="1" x14ac:dyDescent="0.2">
      <c r="D2345" t="s">
        <v>285</v>
      </c>
      <c r="E2345" t="s">
        <v>432</v>
      </c>
      <c r="F2345">
        <v>12</v>
      </c>
      <c r="P2345" t="s">
        <v>414</v>
      </c>
      <c r="Q2345">
        <v>94</v>
      </c>
      <c r="R2345" t="s">
        <v>245</v>
      </c>
      <c r="S2345" t="s">
        <v>8</v>
      </c>
      <c r="T2345" t="s">
        <v>364</v>
      </c>
    </row>
    <row r="2346" spans="4:20" ht="15.75" customHeight="1" x14ac:dyDescent="0.2">
      <c r="D2346" t="s">
        <v>285</v>
      </c>
      <c r="E2346" t="s">
        <v>432</v>
      </c>
      <c r="F2346">
        <v>12</v>
      </c>
      <c r="P2346" t="s">
        <v>414</v>
      </c>
      <c r="Q2346">
        <v>94</v>
      </c>
      <c r="R2346" t="s">
        <v>247</v>
      </c>
      <c r="S2346" t="s">
        <v>9</v>
      </c>
      <c r="T2346" t="s">
        <v>364</v>
      </c>
    </row>
    <row r="2347" spans="4:20" ht="15.75" customHeight="1" x14ac:dyDescent="0.2">
      <c r="D2347" t="s">
        <v>285</v>
      </c>
      <c r="E2347" t="s">
        <v>432</v>
      </c>
      <c r="F2347">
        <v>12</v>
      </c>
      <c r="P2347" t="s">
        <v>414</v>
      </c>
      <c r="Q2347">
        <v>94</v>
      </c>
      <c r="R2347" t="s">
        <v>249</v>
      </c>
      <c r="S2347" t="s">
        <v>10</v>
      </c>
      <c r="T2347">
        <v>0</v>
      </c>
    </row>
    <row r="2348" spans="4:20" ht="15.75" customHeight="1" x14ac:dyDescent="0.2">
      <c r="D2348" t="s">
        <v>285</v>
      </c>
      <c r="E2348" t="s">
        <v>432</v>
      </c>
      <c r="F2348">
        <v>12</v>
      </c>
      <c r="P2348" t="s">
        <v>414</v>
      </c>
      <c r="Q2348">
        <v>94</v>
      </c>
      <c r="R2348" t="s">
        <v>251</v>
      </c>
      <c r="S2348" t="s">
        <v>11</v>
      </c>
      <c r="T2348">
        <v>0</v>
      </c>
    </row>
    <row r="2349" spans="4:20" ht="15.75" customHeight="1" x14ac:dyDescent="0.2">
      <c r="D2349" t="s">
        <v>285</v>
      </c>
      <c r="E2349" t="s">
        <v>432</v>
      </c>
      <c r="F2349">
        <v>12</v>
      </c>
      <c r="P2349" t="s">
        <v>414</v>
      </c>
      <c r="Q2349">
        <v>94</v>
      </c>
      <c r="R2349" t="s">
        <v>253</v>
      </c>
      <c r="S2349" t="s">
        <v>12</v>
      </c>
      <c r="T2349" t="s">
        <v>364</v>
      </c>
    </row>
    <row r="2350" spans="4:20" ht="15.75" customHeight="1" x14ac:dyDescent="0.2">
      <c r="D2350" t="s">
        <v>285</v>
      </c>
      <c r="E2350" t="s">
        <v>432</v>
      </c>
      <c r="F2350">
        <v>12</v>
      </c>
      <c r="P2350" t="s">
        <v>414</v>
      </c>
      <c r="Q2350">
        <v>94</v>
      </c>
      <c r="R2350" t="s">
        <v>255</v>
      </c>
      <c r="S2350" t="s">
        <v>15</v>
      </c>
      <c r="T2350">
        <v>0</v>
      </c>
    </row>
    <row r="2351" spans="4:20" ht="15.75" customHeight="1" x14ac:dyDescent="0.2">
      <c r="D2351" t="s">
        <v>285</v>
      </c>
      <c r="E2351" t="s">
        <v>432</v>
      </c>
      <c r="F2351">
        <v>12</v>
      </c>
      <c r="P2351" t="s">
        <v>414</v>
      </c>
      <c r="Q2351">
        <v>94</v>
      </c>
      <c r="R2351" t="s">
        <v>293</v>
      </c>
      <c r="S2351" t="s">
        <v>13</v>
      </c>
      <c r="T2351">
        <v>0</v>
      </c>
    </row>
    <row r="2352" spans="4:20" ht="15.75" customHeight="1" x14ac:dyDescent="0.2">
      <c r="D2352" t="s">
        <v>285</v>
      </c>
      <c r="E2352" t="s">
        <v>432</v>
      </c>
      <c r="F2352">
        <v>12</v>
      </c>
      <c r="P2352" t="s">
        <v>414</v>
      </c>
      <c r="Q2352">
        <v>94</v>
      </c>
      <c r="R2352" t="s">
        <v>294</v>
      </c>
      <c r="S2352" t="s">
        <v>14</v>
      </c>
      <c r="T2352">
        <v>0</v>
      </c>
    </row>
    <row r="2353" spans="4:20" ht="15.75" customHeight="1" x14ac:dyDescent="0.2">
      <c r="D2353" t="s">
        <v>285</v>
      </c>
      <c r="E2353" t="s">
        <v>432</v>
      </c>
      <c r="F2353">
        <v>12</v>
      </c>
      <c r="P2353" t="s">
        <v>414</v>
      </c>
      <c r="Q2353">
        <v>94</v>
      </c>
      <c r="R2353" t="s">
        <v>257</v>
      </c>
      <c r="S2353" t="s">
        <v>16</v>
      </c>
      <c r="T2353">
        <v>0</v>
      </c>
    </row>
    <row r="2354" spans="4:20" ht="15.75" customHeight="1" x14ac:dyDescent="0.2">
      <c r="D2354" t="s">
        <v>285</v>
      </c>
      <c r="E2354" t="s">
        <v>432</v>
      </c>
      <c r="F2354">
        <v>12</v>
      </c>
      <c r="P2354" t="s">
        <v>414</v>
      </c>
      <c r="Q2354">
        <v>94</v>
      </c>
      <c r="R2354" t="s">
        <v>295</v>
      </c>
      <c r="S2354" t="s">
        <v>17</v>
      </c>
      <c r="T2354" t="s">
        <v>366</v>
      </c>
    </row>
    <row r="2355" spans="4:20" ht="15.75" customHeight="1" x14ac:dyDescent="0.2">
      <c r="D2355" t="s">
        <v>285</v>
      </c>
      <c r="E2355" t="s">
        <v>432</v>
      </c>
      <c r="F2355">
        <v>12</v>
      </c>
      <c r="P2355" t="s">
        <v>414</v>
      </c>
      <c r="Q2355">
        <v>94</v>
      </c>
      <c r="R2355" t="s">
        <v>296</v>
      </c>
      <c r="S2355" t="s">
        <v>1</v>
      </c>
      <c r="T2355">
        <v>1</v>
      </c>
    </row>
    <row r="2356" spans="4:20" ht="15.75" customHeight="1" x14ac:dyDescent="0.2">
      <c r="D2356" t="s">
        <v>285</v>
      </c>
      <c r="E2356" t="s">
        <v>432</v>
      </c>
      <c r="F2356">
        <v>12</v>
      </c>
      <c r="P2356" t="s">
        <v>414</v>
      </c>
      <c r="Q2356">
        <v>94</v>
      </c>
      <c r="R2356" t="s">
        <v>297</v>
      </c>
      <c r="S2356" t="s">
        <v>18</v>
      </c>
      <c r="T2356" t="s">
        <v>366</v>
      </c>
    </row>
    <row r="2357" spans="4:20" ht="15.75" customHeight="1" x14ac:dyDescent="0.2">
      <c r="D2357" t="s">
        <v>285</v>
      </c>
      <c r="E2357" t="s">
        <v>432</v>
      </c>
      <c r="F2357">
        <v>12</v>
      </c>
      <c r="P2357" t="s">
        <v>414</v>
      </c>
      <c r="Q2357">
        <v>94</v>
      </c>
      <c r="R2357" t="s">
        <v>298</v>
      </c>
      <c r="S2357" t="s">
        <v>19</v>
      </c>
      <c r="T2357">
        <v>0</v>
      </c>
    </row>
    <row r="2358" spans="4:20" ht="15.75" customHeight="1" x14ac:dyDescent="0.2">
      <c r="D2358" t="s">
        <v>285</v>
      </c>
      <c r="E2358" t="s">
        <v>432</v>
      </c>
      <c r="F2358">
        <v>12</v>
      </c>
      <c r="P2358" t="s">
        <v>414</v>
      </c>
      <c r="Q2358">
        <v>94</v>
      </c>
      <c r="R2358" t="s">
        <v>299</v>
      </c>
      <c r="S2358" t="s">
        <v>20</v>
      </c>
      <c r="T2358">
        <v>0</v>
      </c>
    </row>
    <row r="2359" spans="4:20" ht="15.75" customHeight="1" x14ac:dyDescent="0.2">
      <c r="D2359" t="s">
        <v>285</v>
      </c>
      <c r="E2359" t="s">
        <v>432</v>
      </c>
      <c r="F2359">
        <v>12</v>
      </c>
      <c r="P2359" t="s">
        <v>417</v>
      </c>
      <c r="Q2359">
        <v>95</v>
      </c>
      <c r="R2359" t="s">
        <v>288</v>
      </c>
      <c r="S2359" t="s">
        <v>2</v>
      </c>
      <c r="T2359">
        <v>0</v>
      </c>
    </row>
    <row r="2360" spans="4:20" ht="15.75" customHeight="1" x14ac:dyDescent="0.2">
      <c r="D2360" t="s">
        <v>285</v>
      </c>
      <c r="E2360" t="s">
        <v>432</v>
      </c>
      <c r="F2360">
        <v>12</v>
      </c>
      <c r="P2360" t="s">
        <v>417</v>
      </c>
      <c r="Q2360">
        <v>95</v>
      </c>
      <c r="R2360" t="s">
        <v>289</v>
      </c>
      <c r="S2360" t="s">
        <v>5</v>
      </c>
      <c r="T2360">
        <v>0</v>
      </c>
    </row>
    <row r="2361" spans="4:20" ht="15.75" customHeight="1" x14ac:dyDescent="0.2">
      <c r="D2361" t="s">
        <v>285</v>
      </c>
      <c r="E2361" t="s">
        <v>432</v>
      </c>
      <c r="F2361">
        <v>12</v>
      </c>
      <c r="P2361" t="s">
        <v>417</v>
      </c>
      <c r="Q2361">
        <v>95</v>
      </c>
      <c r="R2361" t="s">
        <v>290</v>
      </c>
      <c r="S2361" t="s">
        <v>3</v>
      </c>
      <c r="T2361">
        <v>0</v>
      </c>
    </row>
    <row r="2362" spans="4:20" ht="15.75" customHeight="1" x14ac:dyDescent="0.2">
      <c r="D2362" t="s">
        <v>285</v>
      </c>
      <c r="E2362" t="s">
        <v>432</v>
      </c>
      <c r="F2362">
        <v>12</v>
      </c>
      <c r="P2362" t="s">
        <v>417</v>
      </c>
      <c r="Q2362">
        <v>95</v>
      </c>
      <c r="R2362" t="s">
        <v>291</v>
      </c>
      <c r="S2362" t="s">
        <v>4</v>
      </c>
      <c r="T2362">
        <v>0</v>
      </c>
    </row>
    <row r="2363" spans="4:20" ht="15.75" customHeight="1" x14ac:dyDescent="0.2">
      <c r="D2363" t="s">
        <v>285</v>
      </c>
      <c r="E2363" t="s">
        <v>432</v>
      </c>
      <c r="F2363">
        <v>12</v>
      </c>
      <c r="P2363" t="s">
        <v>417</v>
      </c>
      <c r="Q2363">
        <v>95</v>
      </c>
      <c r="R2363" t="s">
        <v>292</v>
      </c>
      <c r="S2363" t="s">
        <v>6</v>
      </c>
      <c r="T2363">
        <v>0</v>
      </c>
    </row>
    <row r="2364" spans="4:20" ht="15.75" customHeight="1" x14ac:dyDescent="0.2">
      <c r="D2364" t="s">
        <v>285</v>
      </c>
      <c r="E2364" t="s">
        <v>432</v>
      </c>
      <c r="F2364">
        <v>12</v>
      </c>
      <c r="P2364" t="s">
        <v>417</v>
      </c>
      <c r="Q2364">
        <v>95</v>
      </c>
      <c r="R2364" t="s">
        <v>243</v>
      </c>
      <c r="S2364" t="s">
        <v>7</v>
      </c>
      <c r="T2364">
        <v>0</v>
      </c>
    </row>
    <row r="2365" spans="4:20" ht="15.75" customHeight="1" x14ac:dyDescent="0.2">
      <c r="D2365" t="s">
        <v>285</v>
      </c>
      <c r="E2365" t="s">
        <v>432</v>
      </c>
      <c r="F2365">
        <v>12</v>
      </c>
      <c r="P2365" t="s">
        <v>417</v>
      </c>
      <c r="Q2365">
        <v>95</v>
      </c>
      <c r="R2365" t="s">
        <v>245</v>
      </c>
      <c r="S2365" t="s">
        <v>8</v>
      </c>
      <c r="T2365" t="s">
        <v>364</v>
      </c>
    </row>
    <row r="2366" spans="4:20" ht="15.75" customHeight="1" x14ac:dyDescent="0.2">
      <c r="D2366" t="s">
        <v>285</v>
      </c>
      <c r="E2366" t="s">
        <v>432</v>
      </c>
      <c r="F2366">
        <v>12</v>
      </c>
      <c r="P2366" t="s">
        <v>417</v>
      </c>
      <c r="Q2366">
        <v>95</v>
      </c>
      <c r="R2366" t="s">
        <v>247</v>
      </c>
      <c r="S2366" t="s">
        <v>9</v>
      </c>
      <c r="T2366" t="s">
        <v>364</v>
      </c>
    </row>
    <row r="2367" spans="4:20" ht="15.75" customHeight="1" x14ac:dyDescent="0.2">
      <c r="D2367" t="s">
        <v>285</v>
      </c>
      <c r="E2367" t="s">
        <v>432</v>
      </c>
      <c r="F2367">
        <v>12</v>
      </c>
      <c r="P2367" t="s">
        <v>417</v>
      </c>
      <c r="Q2367">
        <v>95</v>
      </c>
      <c r="R2367" t="s">
        <v>249</v>
      </c>
      <c r="S2367" t="s">
        <v>10</v>
      </c>
      <c r="T2367">
        <v>0</v>
      </c>
    </row>
    <row r="2368" spans="4:20" ht="15.75" customHeight="1" x14ac:dyDescent="0.2">
      <c r="D2368" t="s">
        <v>285</v>
      </c>
      <c r="E2368" t="s">
        <v>432</v>
      </c>
      <c r="F2368">
        <v>12</v>
      </c>
      <c r="P2368" t="s">
        <v>417</v>
      </c>
      <c r="Q2368">
        <v>95</v>
      </c>
      <c r="R2368" t="s">
        <v>251</v>
      </c>
      <c r="S2368" t="s">
        <v>11</v>
      </c>
      <c r="T2368">
        <v>0</v>
      </c>
    </row>
    <row r="2369" spans="4:23" ht="15.75" customHeight="1" x14ac:dyDescent="0.2">
      <c r="D2369" t="s">
        <v>285</v>
      </c>
      <c r="E2369" t="s">
        <v>432</v>
      </c>
      <c r="F2369">
        <v>12</v>
      </c>
      <c r="P2369" t="s">
        <v>417</v>
      </c>
      <c r="Q2369">
        <v>95</v>
      </c>
      <c r="R2369" t="s">
        <v>253</v>
      </c>
      <c r="S2369" t="s">
        <v>12</v>
      </c>
      <c r="T2369" t="s">
        <v>364</v>
      </c>
    </row>
    <row r="2370" spans="4:23" ht="15.75" customHeight="1" x14ac:dyDescent="0.2">
      <c r="D2370" t="s">
        <v>285</v>
      </c>
      <c r="E2370" t="s">
        <v>432</v>
      </c>
      <c r="F2370">
        <v>12</v>
      </c>
      <c r="P2370" t="s">
        <v>417</v>
      </c>
      <c r="Q2370">
        <v>95</v>
      </c>
      <c r="R2370" t="s">
        <v>255</v>
      </c>
      <c r="S2370" t="s">
        <v>15</v>
      </c>
      <c r="T2370">
        <v>0</v>
      </c>
    </row>
    <row r="2371" spans="4:23" ht="15.75" customHeight="1" x14ac:dyDescent="0.2">
      <c r="D2371" t="s">
        <v>285</v>
      </c>
      <c r="E2371" t="s">
        <v>432</v>
      </c>
      <c r="F2371">
        <v>12</v>
      </c>
      <c r="P2371" t="s">
        <v>417</v>
      </c>
      <c r="Q2371">
        <v>95</v>
      </c>
      <c r="R2371" t="s">
        <v>293</v>
      </c>
      <c r="S2371" t="s">
        <v>13</v>
      </c>
      <c r="T2371">
        <v>0</v>
      </c>
    </row>
    <row r="2372" spans="4:23" ht="15.75" customHeight="1" x14ac:dyDescent="0.2">
      <c r="D2372" t="s">
        <v>285</v>
      </c>
      <c r="E2372" t="s">
        <v>432</v>
      </c>
      <c r="F2372">
        <v>12</v>
      </c>
      <c r="P2372" t="s">
        <v>417</v>
      </c>
      <c r="Q2372">
        <v>95</v>
      </c>
      <c r="R2372" t="s">
        <v>294</v>
      </c>
      <c r="S2372" t="s">
        <v>14</v>
      </c>
      <c r="T2372">
        <v>0</v>
      </c>
    </row>
    <row r="2373" spans="4:23" ht="15.75" customHeight="1" x14ac:dyDescent="0.2">
      <c r="D2373" t="s">
        <v>285</v>
      </c>
      <c r="E2373" t="s">
        <v>432</v>
      </c>
      <c r="F2373">
        <v>12</v>
      </c>
      <c r="P2373" t="s">
        <v>417</v>
      </c>
      <c r="Q2373">
        <v>95</v>
      </c>
      <c r="R2373" t="s">
        <v>257</v>
      </c>
      <c r="S2373" t="s">
        <v>16</v>
      </c>
      <c r="T2373">
        <v>0</v>
      </c>
    </row>
    <row r="2374" spans="4:23" ht="15.75" customHeight="1" x14ac:dyDescent="0.2">
      <c r="D2374" t="s">
        <v>285</v>
      </c>
      <c r="E2374" t="s">
        <v>432</v>
      </c>
      <c r="F2374">
        <v>12</v>
      </c>
      <c r="P2374" t="s">
        <v>417</v>
      </c>
      <c r="Q2374">
        <v>95</v>
      </c>
      <c r="R2374" t="s">
        <v>295</v>
      </c>
      <c r="S2374" t="s">
        <v>17</v>
      </c>
      <c r="T2374" t="s">
        <v>366</v>
      </c>
    </row>
    <row r="2375" spans="4:23" ht="15.75" customHeight="1" x14ac:dyDescent="0.2">
      <c r="D2375" t="s">
        <v>285</v>
      </c>
      <c r="E2375" t="s">
        <v>432</v>
      </c>
      <c r="F2375">
        <v>12</v>
      </c>
      <c r="P2375" t="s">
        <v>417</v>
      </c>
      <c r="Q2375">
        <v>95</v>
      </c>
      <c r="R2375" t="s">
        <v>296</v>
      </c>
      <c r="S2375" t="s">
        <v>1</v>
      </c>
      <c r="T2375">
        <v>1</v>
      </c>
    </row>
    <row r="2376" spans="4:23" ht="15.75" customHeight="1" x14ac:dyDescent="0.2">
      <c r="D2376" t="s">
        <v>285</v>
      </c>
      <c r="E2376" t="s">
        <v>432</v>
      </c>
      <c r="F2376">
        <v>12</v>
      </c>
      <c r="P2376" t="s">
        <v>417</v>
      </c>
      <c r="Q2376">
        <v>95</v>
      </c>
      <c r="R2376" t="s">
        <v>297</v>
      </c>
      <c r="S2376" t="s">
        <v>18</v>
      </c>
      <c r="T2376" t="s">
        <v>366</v>
      </c>
    </row>
    <row r="2377" spans="4:23" ht="15.75" customHeight="1" x14ac:dyDescent="0.2">
      <c r="D2377" t="s">
        <v>285</v>
      </c>
      <c r="E2377" t="s">
        <v>432</v>
      </c>
      <c r="F2377">
        <v>12</v>
      </c>
      <c r="P2377" t="s">
        <v>417</v>
      </c>
      <c r="Q2377">
        <v>95</v>
      </c>
      <c r="R2377" t="s">
        <v>298</v>
      </c>
      <c r="S2377" t="s">
        <v>19</v>
      </c>
      <c r="T2377">
        <v>0</v>
      </c>
    </row>
    <row r="2378" spans="4:23" ht="15.75" customHeight="1" x14ac:dyDescent="0.2">
      <c r="D2378" t="s">
        <v>285</v>
      </c>
      <c r="E2378" t="s">
        <v>432</v>
      </c>
      <c r="F2378">
        <v>12</v>
      </c>
      <c r="P2378" t="s">
        <v>417</v>
      </c>
      <c r="Q2378">
        <v>95</v>
      </c>
      <c r="R2378" t="s">
        <v>299</v>
      </c>
      <c r="S2378" t="s">
        <v>20</v>
      </c>
      <c r="T2378">
        <v>1</v>
      </c>
    </row>
    <row r="2379" spans="4:23" ht="15.75" customHeight="1" x14ac:dyDescent="0.2">
      <c r="D2379" t="s">
        <v>285</v>
      </c>
      <c r="E2379" t="s">
        <v>432</v>
      </c>
      <c r="F2379">
        <v>12</v>
      </c>
      <c r="U2379" t="s">
        <v>300</v>
      </c>
      <c r="V2379" t="s">
        <v>301</v>
      </c>
      <c r="W2379">
        <v>0</v>
      </c>
    </row>
    <row r="2380" spans="4:23" ht="15.75" customHeight="1" x14ac:dyDescent="0.2">
      <c r="D2380" t="s">
        <v>285</v>
      </c>
      <c r="E2380" t="s">
        <v>432</v>
      </c>
      <c r="F2380">
        <v>12</v>
      </c>
      <c r="U2380" t="s">
        <v>288</v>
      </c>
      <c r="V2380" t="s">
        <v>302</v>
      </c>
      <c r="W2380">
        <v>0</v>
      </c>
    </row>
    <row r="2381" spans="4:23" ht="15.75" customHeight="1" x14ac:dyDescent="0.2">
      <c r="D2381" t="s">
        <v>285</v>
      </c>
      <c r="E2381" t="s">
        <v>432</v>
      </c>
      <c r="F2381">
        <v>12</v>
      </c>
      <c r="U2381" t="s">
        <v>303</v>
      </c>
      <c r="V2381" t="s">
        <v>304</v>
      </c>
      <c r="W2381">
        <v>9</v>
      </c>
    </row>
    <row r="2382" spans="4:23" ht="15.75" customHeight="1" x14ac:dyDescent="0.2">
      <c r="D2382" t="s">
        <v>285</v>
      </c>
      <c r="E2382" t="s">
        <v>432</v>
      </c>
      <c r="F2382">
        <v>12</v>
      </c>
      <c r="U2382" t="s">
        <v>305</v>
      </c>
      <c r="V2382" t="s">
        <v>306</v>
      </c>
      <c r="W2382" t="s">
        <v>366</v>
      </c>
    </row>
    <row r="2383" spans="4:23" ht="15.75" customHeight="1" x14ac:dyDescent="0.2">
      <c r="D2383" t="s">
        <v>285</v>
      </c>
      <c r="E2383" t="s">
        <v>432</v>
      </c>
      <c r="F2383">
        <v>12</v>
      </c>
      <c r="U2383" t="s">
        <v>307</v>
      </c>
      <c r="V2383" t="s">
        <v>308</v>
      </c>
      <c r="W2383" t="s">
        <v>366</v>
      </c>
    </row>
    <row r="2384" spans="4:23" ht="15.75" customHeight="1" x14ac:dyDescent="0.2">
      <c r="D2384" t="s">
        <v>285</v>
      </c>
      <c r="E2384" t="s">
        <v>432</v>
      </c>
      <c r="F2384">
        <v>12</v>
      </c>
      <c r="U2384" t="s">
        <v>243</v>
      </c>
      <c r="V2384" t="s">
        <v>309</v>
      </c>
      <c r="W2384" t="s">
        <v>366</v>
      </c>
    </row>
    <row r="2385" spans="4:23" ht="15.75" customHeight="1" x14ac:dyDescent="0.2">
      <c r="D2385" t="s">
        <v>285</v>
      </c>
      <c r="E2385" t="s">
        <v>432</v>
      </c>
      <c r="F2385">
        <v>12</v>
      </c>
      <c r="U2385" t="s">
        <v>245</v>
      </c>
      <c r="V2385" t="s">
        <v>310</v>
      </c>
      <c r="W2385" t="s">
        <v>366</v>
      </c>
    </row>
    <row r="2386" spans="4:23" ht="15.75" customHeight="1" x14ac:dyDescent="0.2">
      <c r="D2386" t="s">
        <v>285</v>
      </c>
      <c r="E2386" t="s">
        <v>432</v>
      </c>
      <c r="F2386">
        <v>12</v>
      </c>
      <c r="U2386" t="s">
        <v>247</v>
      </c>
      <c r="V2386" t="s">
        <v>311</v>
      </c>
      <c r="W2386" t="s">
        <v>366</v>
      </c>
    </row>
    <row r="2387" spans="4:23" ht="15.75" customHeight="1" x14ac:dyDescent="0.2">
      <c r="D2387" t="s">
        <v>285</v>
      </c>
      <c r="E2387" t="s">
        <v>432</v>
      </c>
      <c r="F2387">
        <v>12</v>
      </c>
      <c r="U2387" t="s">
        <v>249</v>
      </c>
      <c r="V2387" t="s">
        <v>312</v>
      </c>
      <c r="W2387" t="s">
        <v>366</v>
      </c>
    </row>
    <row r="2388" spans="4:23" ht="15.75" customHeight="1" x14ac:dyDescent="0.2">
      <c r="D2388" t="s">
        <v>285</v>
      </c>
      <c r="E2388" t="s">
        <v>432</v>
      </c>
      <c r="F2388">
        <v>12</v>
      </c>
      <c r="U2388" t="s">
        <v>251</v>
      </c>
      <c r="V2388" t="s">
        <v>313</v>
      </c>
      <c r="W2388" t="s">
        <v>366</v>
      </c>
    </row>
    <row r="2389" spans="4:23" ht="15.75" customHeight="1" x14ac:dyDescent="0.2">
      <c r="D2389" t="s">
        <v>285</v>
      </c>
      <c r="E2389" t="s">
        <v>432</v>
      </c>
      <c r="F2389">
        <v>12</v>
      </c>
      <c r="U2389" t="s">
        <v>253</v>
      </c>
      <c r="V2389" t="s">
        <v>314</v>
      </c>
      <c r="W2389" t="s">
        <v>366</v>
      </c>
    </row>
    <row r="2390" spans="4:23" ht="15.75" customHeight="1" x14ac:dyDescent="0.2">
      <c r="D2390" t="s">
        <v>285</v>
      </c>
      <c r="E2390" t="s">
        <v>432</v>
      </c>
      <c r="F2390">
        <v>12</v>
      </c>
      <c r="U2390" t="s">
        <v>315</v>
      </c>
      <c r="V2390" t="s">
        <v>316</v>
      </c>
      <c r="W2390" t="s">
        <v>366</v>
      </c>
    </row>
    <row r="2391" spans="4:23" ht="15.75" customHeight="1" x14ac:dyDescent="0.2">
      <c r="D2391" t="s">
        <v>285</v>
      </c>
      <c r="E2391" t="s">
        <v>432</v>
      </c>
      <c r="F2391">
        <v>12</v>
      </c>
      <c r="U2391" t="s">
        <v>317</v>
      </c>
      <c r="V2391" t="s">
        <v>318</v>
      </c>
      <c r="W2391">
        <v>0</v>
      </c>
    </row>
    <row r="2392" spans="4:23" ht="15.75" customHeight="1" x14ac:dyDescent="0.2">
      <c r="D2392" t="s">
        <v>285</v>
      </c>
      <c r="E2392" t="s">
        <v>432</v>
      </c>
      <c r="F2392">
        <v>12</v>
      </c>
      <c r="U2392" t="s">
        <v>257</v>
      </c>
      <c r="V2392" t="s">
        <v>319</v>
      </c>
      <c r="W2392">
        <v>0</v>
      </c>
    </row>
    <row r="2393" spans="4:23" ht="15.75" customHeight="1" x14ac:dyDescent="0.2">
      <c r="D2393" t="s">
        <v>285</v>
      </c>
      <c r="E2393" t="s">
        <v>432</v>
      </c>
      <c r="F2393">
        <v>12</v>
      </c>
      <c r="U2393" t="s">
        <v>320</v>
      </c>
      <c r="V2393" t="s">
        <v>321</v>
      </c>
      <c r="W2393" t="s">
        <v>366</v>
      </c>
    </row>
    <row r="2394" spans="4:23" ht="15.75" customHeight="1" x14ac:dyDescent="0.2">
      <c r="D2394" t="s">
        <v>285</v>
      </c>
      <c r="E2394" t="s">
        <v>432</v>
      </c>
      <c r="F2394">
        <v>12</v>
      </c>
      <c r="U2394" t="s">
        <v>263</v>
      </c>
      <c r="V2394" t="s">
        <v>322</v>
      </c>
      <c r="W2394">
        <v>1</v>
      </c>
    </row>
    <row r="2395" spans="4:23" ht="15.75" customHeight="1" x14ac:dyDescent="0.2">
      <c r="D2395" t="s">
        <v>285</v>
      </c>
      <c r="E2395" t="s">
        <v>432</v>
      </c>
      <c r="F2395">
        <v>12</v>
      </c>
      <c r="U2395" t="s">
        <v>323</v>
      </c>
      <c r="V2395" t="s">
        <v>324</v>
      </c>
      <c r="W2395" t="s">
        <v>366</v>
      </c>
    </row>
    <row r="2396" spans="4:23" ht="15.75" customHeight="1" x14ac:dyDescent="0.2">
      <c r="D2396" t="s">
        <v>285</v>
      </c>
      <c r="E2396" t="s">
        <v>432</v>
      </c>
      <c r="F2396">
        <v>12</v>
      </c>
      <c r="U2396" t="s">
        <v>325</v>
      </c>
      <c r="V2396" t="s">
        <v>326</v>
      </c>
      <c r="W2396" t="s">
        <v>366</v>
      </c>
    </row>
    <row r="2397" spans="4:23" ht="15.75" customHeight="1" x14ac:dyDescent="0.2">
      <c r="D2397" t="s">
        <v>285</v>
      </c>
      <c r="E2397" t="s">
        <v>432</v>
      </c>
      <c r="F2397">
        <v>12</v>
      </c>
      <c r="U2397" t="s">
        <v>327</v>
      </c>
      <c r="V2397" t="s">
        <v>328</v>
      </c>
      <c r="W2397" t="s">
        <v>366</v>
      </c>
    </row>
    <row r="2398" spans="4:23" ht="15.75" customHeight="1" x14ac:dyDescent="0.2">
      <c r="D2398" t="s">
        <v>285</v>
      </c>
      <c r="E2398" t="s">
        <v>432</v>
      </c>
      <c r="F2398">
        <v>12</v>
      </c>
      <c r="U2398" t="s">
        <v>329</v>
      </c>
      <c r="V2398" t="s">
        <v>330</v>
      </c>
      <c r="W2398" t="s">
        <v>366</v>
      </c>
    </row>
    <row r="2399" spans="4:23" ht="15.75" customHeight="1" x14ac:dyDescent="0.2">
      <c r="D2399" t="s">
        <v>285</v>
      </c>
      <c r="E2399" t="s">
        <v>432</v>
      </c>
      <c r="F2399">
        <v>12</v>
      </c>
      <c r="U2399" t="s">
        <v>331</v>
      </c>
      <c r="V2399" t="s">
        <v>332</v>
      </c>
      <c r="W2399" t="s">
        <v>366</v>
      </c>
    </row>
    <row r="2400" spans="4:23" ht="15.75" customHeight="1" x14ac:dyDescent="0.2">
      <c r="D2400" t="s">
        <v>285</v>
      </c>
      <c r="E2400" t="s">
        <v>432</v>
      </c>
      <c r="F2400">
        <v>12</v>
      </c>
      <c r="U2400" t="s">
        <v>333</v>
      </c>
      <c r="V2400" t="s">
        <v>334</v>
      </c>
      <c r="W2400" t="s">
        <v>366</v>
      </c>
    </row>
    <row r="2401" spans="4:23" ht="15.75" customHeight="1" x14ac:dyDescent="0.2">
      <c r="D2401" t="s">
        <v>285</v>
      </c>
      <c r="E2401" t="s">
        <v>432</v>
      </c>
      <c r="F2401">
        <v>12</v>
      </c>
      <c r="U2401" t="s">
        <v>335</v>
      </c>
      <c r="V2401" t="s">
        <v>336</v>
      </c>
      <c r="W2401" t="s">
        <v>366</v>
      </c>
    </row>
    <row r="2402" spans="4:23" ht="15.75" customHeight="1" x14ac:dyDescent="0.2">
      <c r="D2402" t="s">
        <v>285</v>
      </c>
      <c r="E2402" t="s">
        <v>432</v>
      </c>
      <c r="F2402">
        <v>12</v>
      </c>
      <c r="U2402" t="s">
        <v>337</v>
      </c>
      <c r="V2402" t="s">
        <v>338</v>
      </c>
      <c r="W2402" t="s">
        <v>366</v>
      </c>
    </row>
    <row r="2403" spans="4:23" ht="15.75" customHeight="1" x14ac:dyDescent="0.2">
      <c r="D2403" t="s">
        <v>285</v>
      </c>
      <c r="E2403" t="s">
        <v>432</v>
      </c>
      <c r="F2403">
        <v>12</v>
      </c>
      <c r="U2403" t="s">
        <v>339</v>
      </c>
      <c r="V2403" t="s">
        <v>340</v>
      </c>
      <c r="W2403" t="s">
        <v>366</v>
      </c>
    </row>
    <row r="2404" spans="4:23" ht="15.75" customHeight="1" x14ac:dyDescent="0.2">
      <c r="D2404" t="s">
        <v>285</v>
      </c>
      <c r="E2404" t="s">
        <v>432</v>
      </c>
      <c r="F2404">
        <v>12</v>
      </c>
      <c r="U2404" t="s">
        <v>341</v>
      </c>
      <c r="V2404" t="s">
        <v>342</v>
      </c>
      <c r="W2404" t="s">
        <v>366</v>
      </c>
    </row>
    <row r="2405" spans="4:23" ht="15.75" customHeight="1" x14ac:dyDescent="0.2">
      <c r="D2405" t="s">
        <v>285</v>
      </c>
      <c r="E2405" t="s">
        <v>432</v>
      </c>
      <c r="F2405">
        <v>12</v>
      </c>
      <c r="U2405" t="s">
        <v>343</v>
      </c>
      <c r="V2405" t="s">
        <v>344</v>
      </c>
      <c r="W2405" t="s">
        <v>366</v>
      </c>
    </row>
    <row r="2406" spans="4:23" ht="15.75" customHeight="1" x14ac:dyDescent="0.2">
      <c r="D2406" t="s">
        <v>285</v>
      </c>
      <c r="E2406" t="s">
        <v>432</v>
      </c>
      <c r="F2406">
        <v>12</v>
      </c>
      <c r="U2406" t="s">
        <v>345</v>
      </c>
      <c r="V2406" t="s">
        <v>346</v>
      </c>
      <c r="W2406" t="s">
        <v>366</v>
      </c>
    </row>
    <row r="2407" spans="4:23" ht="15.75" customHeight="1" x14ac:dyDescent="0.2">
      <c r="D2407" t="s">
        <v>285</v>
      </c>
      <c r="E2407" t="s">
        <v>432</v>
      </c>
      <c r="F2407">
        <v>12</v>
      </c>
      <c r="U2407" t="s">
        <v>347</v>
      </c>
      <c r="V2407" t="s">
        <v>348</v>
      </c>
      <c r="W2407" t="s">
        <v>366</v>
      </c>
    </row>
    <row r="2408" spans="4:23" ht="15.75" customHeight="1" x14ac:dyDescent="0.2">
      <c r="D2408" t="s">
        <v>285</v>
      </c>
      <c r="E2408" t="s">
        <v>439</v>
      </c>
      <c r="F2408">
        <v>13</v>
      </c>
      <c r="P2408" t="s">
        <v>440</v>
      </c>
      <c r="Q2408">
        <v>96</v>
      </c>
      <c r="R2408" t="s">
        <v>288</v>
      </c>
      <c r="S2408" t="s">
        <v>2</v>
      </c>
      <c r="T2408">
        <v>0</v>
      </c>
    </row>
    <row r="2409" spans="4:23" ht="15.75" customHeight="1" x14ac:dyDescent="0.2">
      <c r="D2409" t="s">
        <v>285</v>
      </c>
      <c r="E2409" t="s">
        <v>439</v>
      </c>
      <c r="F2409">
        <v>13</v>
      </c>
      <c r="P2409" t="s">
        <v>440</v>
      </c>
      <c r="Q2409">
        <v>96</v>
      </c>
      <c r="R2409" t="s">
        <v>289</v>
      </c>
      <c r="S2409" t="s">
        <v>5</v>
      </c>
      <c r="T2409">
        <v>0</v>
      </c>
    </row>
    <row r="2410" spans="4:23" ht="15.75" customHeight="1" x14ac:dyDescent="0.2">
      <c r="D2410" t="s">
        <v>285</v>
      </c>
      <c r="E2410" t="s">
        <v>439</v>
      </c>
      <c r="F2410">
        <v>13</v>
      </c>
      <c r="P2410" t="s">
        <v>440</v>
      </c>
      <c r="Q2410">
        <v>96</v>
      </c>
      <c r="R2410" t="s">
        <v>290</v>
      </c>
      <c r="S2410" t="s">
        <v>3</v>
      </c>
      <c r="T2410">
        <v>0</v>
      </c>
    </row>
    <row r="2411" spans="4:23" ht="15.75" customHeight="1" x14ac:dyDescent="0.2">
      <c r="D2411" t="s">
        <v>285</v>
      </c>
      <c r="E2411" t="s">
        <v>439</v>
      </c>
      <c r="F2411">
        <v>13</v>
      </c>
      <c r="P2411" t="s">
        <v>440</v>
      </c>
      <c r="Q2411">
        <v>96</v>
      </c>
      <c r="R2411" t="s">
        <v>291</v>
      </c>
      <c r="S2411" t="s">
        <v>4</v>
      </c>
      <c r="T2411">
        <v>0</v>
      </c>
    </row>
    <row r="2412" spans="4:23" ht="15.75" customHeight="1" x14ac:dyDescent="0.2">
      <c r="D2412" t="s">
        <v>285</v>
      </c>
      <c r="E2412" t="s">
        <v>439</v>
      </c>
      <c r="F2412">
        <v>13</v>
      </c>
      <c r="P2412" t="s">
        <v>440</v>
      </c>
      <c r="Q2412">
        <v>96</v>
      </c>
      <c r="R2412" t="s">
        <v>292</v>
      </c>
      <c r="S2412" t="s">
        <v>6</v>
      </c>
      <c r="T2412">
        <v>0</v>
      </c>
    </row>
    <row r="2413" spans="4:23" ht="15.75" customHeight="1" x14ac:dyDescent="0.2">
      <c r="D2413" t="s">
        <v>285</v>
      </c>
      <c r="E2413" t="s">
        <v>439</v>
      </c>
      <c r="F2413">
        <v>13</v>
      </c>
      <c r="P2413" t="s">
        <v>440</v>
      </c>
      <c r="Q2413">
        <v>96</v>
      </c>
      <c r="R2413" t="s">
        <v>243</v>
      </c>
      <c r="S2413" t="s">
        <v>7</v>
      </c>
      <c r="T2413">
        <v>0</v>
      </c>
    </row>
    <row r="2414" spans="4:23" ht="15.75" customHeight="1" x14ac:dyDescent="0.2">
      <c r="D2414" t="s">
        <v>285</v>
      </c>
      <c r="E2414" t="s">
        <v>439</v>
      </c>
      <c r="F2414">
        <v>13</v>
      </c>
      <c r="P2414" t="s">
        <v>440</v>
      </c>
      <c r="Q2414">
        <v>96</v>
      </c>
      <c r="R2414" t="s">
        <v>245</v>
      </c>
      <c r="S2414" t="s">
        <v>8</v>
      </c>
      <c r="T2414">
        <v>0</v>
      </c>
    </row>
    <row r="2415" spans="4:23" ht="15.75" customHeight="1" x14ac:dyDescent="0.2">
      <c r="D2415" t="s">
        <v>285</v>
      </c>
      <c r="E2415" t="s">
        <v>439</v>
      </c>
      <c r="F2415">
        <v>13</v>
      </c>
      <c r="P2415" t="s">
        <v>440</v>
      </c>
      <c r="Q2415">
        <v>96</v>
      </c>
      <c r="R2415" t="s">
        <v>247</v>
      </c>
      <c r="S2415" t="s">
        <v>9</v>
      </c>
      <c r="T2415">
        <v>0</v>
      </c>
    </row>
    <row r="2416" spans="4:23" ht="15.75" customHeight="1" x14ac:dyDescent="0.2">
      <c r="D2416" t="s">
        <v>285</v>
      </c>
      <c r="E2416" t="s">
        <v>439</v>
      </c>
      <c r="F2416">
        <v>13</v>
      </c>
      <c r="P2416" t="s">
        <v>440</v>
      </c>
      <c r="Q2416">
        <v>96</v>
      </c>
      <c r="R2416" t="s">
        <v>249</v>
      </c>
      <c r="S2416" t="s">
        <v>10</v>
      </c>
      <c r="T2416">
        <v>1</v>
      </c>
    </row>
    <row r="2417" spans="4:20" ht="15.75" customHeight="1" x14ac:dyDescent="0.2">
      <c r="D2417" t="s">
        <v>285</v>
      </c>
      <c r="E2417" t="s">
        <v>439</v>
      </c>
      <c r="F2417">
        <v>13</v>
      </c>
      <c r="P2417" t="s">
        <v>440</v>
      </c>
      <c r="Q2417">
        <v>96</v>
      </c>
      <c r="R2417" t="s">
        <v>251</v>
      </c>
      <c r="S2417" t="s">
        <v>11</v>
      </c>
      <c r="T2417">
        <v>1</v>
      </c>
    </row>
    <row r="2418" spans="4:20" ht="15.75" customHeight="1" x14ac:dyDescent="0.2">
      <c r="D2418" t="s">
        <v>285</v>
      </c>
      <c r="E2418" t="s">
        <v>439</v>
      </c>
      <c r="F2418">
        <v>13</v>
      </c>
      <c r="P2418" t="s">
        <v>440</v>
      </c>
      <c r="Q2418">
        <v>96</v>
      </c>
      <c r="R2418" t="s">
        <v>253</v>
      </c>
      <c r="S2418" t="s">
        <v>12</v>
      </c>
      <c r="T2418">
        <v>0</v>
      </c>
    </row>
    <row r="2419" spans="4:20" ht="15.75" customHeight="1" x14ac:dyDescent="0.2">
      <c r="D2419" t="s">
        <v>285</v>
      </c>
      <c r="E2419" t="s">
        <v>439</v>
      </c>
      <c r="F2419">
        <v>13</v>
      </c>
      <c r="P2419" t="s">
        <v>440</v>
      </c>
      <c r="Q2419">
        <v>96</v>
      </c>
      <c r="R2419" t="s">
        <v>255</v>
      </c>
      <c r="S2419" t="s">
        <v>15</v>
      </c>
      <c r="T2419">
        <v>0</v>
      </c>
    </row>
    <row r="2420" spans="4:20" ht="15.75" customHeight="1" x14ac:dyDescent="0.2">
      <c r="D2420" t="s">
        <v>285</v>
      </c>
      <c r="E2420" t="s">
        <v>439</v>
      </c>
      <c r="F2420">
        <v>13</v>
      </c>
      <c r="P2420" t="s">
        <v>440</v>
      </c>
      <c r="Q2420">
        <v>96</v>
      </c>
      <c r="R2420" t="s">
        <v>293</v>
      </c>
      <c r="S2420" t="s">
        <v>13</v>
      </c>
      <c r="T2420">
        <v>0</v>
      </c>
    </row>
    <row r="2421" spans="4:20" ht="15.75" customHeight="1" x14ac:dyDescent="0.2">
      <c r="D2421" t="s">
        <v>285</v>
      </c>
      <c r="E2421" t="s">
        <v>439</v>
      </c>
      <c r="F2421">
        <v>13</v>
      </c>
      <c r="P2421" t="s">
        <v>440</v>
      </c>
      <c r="Q2421">
        <v>96</v>
      </c>
      <c r="R2421" t="s">
        <v>294</v>
      </c>
      <c r="S2421" t="s">
        <v>14</v>
      </c>
      <c r="T2421">
        <v>1</v>
      </c>
    </row>
    <row r="2422" spans="4:20" ht="15.75" customHeight="1" x14ac:dyDescent="0.2">
      <c r="D2422" t="s">
        <v>285</v>
      </c>
      <c r="E2422" t="s">
        <v>439</v>
      </c>
      <c r="F2422">
        <v>13</v>
      </c>
      <c r="P2422" t="s">
        <v>440</v>
      </c>
      <c r="Q2422">
        <v>96</v>
      </c>
      <c r="R2422" t="s">
        <v>257</v>
      </c>
      <c r="S2422" t="s">
        <v>16</v>
      </c>
      <c r="T2422">
        <v>0</v>
      </c>
    </row>
    <row r="2423" spans="4:20" ht="15.75" customHeight="1" x14ac:dyDescent="0.2">
      <c r="D2423" t="s">
        <v>285</v>
      </c>
      <c r="E2423" t="s">
        <v>439</v>
      </c>
      <c r="F2423">
        <v>13</v>
      </c>
      <c r="P2423" t="s">
        <v>440</v>
      </c>
      <c r="Q2423">
        <v>96</v>
      </c>
      <c r="R2423" t="s">
        <v>295</v>
      </c>
      <c r="S2423" t="s">
        <v>17</v>
      </c>
      <c r="T2423" t="s">
        <v>366</v>
      </c>
    </row>
    <row r="2424" spans="4:20" ht="15.75" customHeight="1" x14ac:dyDescent="0.2">
      <c r="D2424" t="s">
        <v>285</v>
      </c>
      <c r="E2424" t="s">
        <v>439</v>
      </c>
      <c r="F2424">
        <v>13</v>
      </c>
      <c r="P2424" t="s">
        <v>440</v>
      </c>
      <c r="Q2424">
        <v>96</v>
      </c>
      <c r="R2424" t="s">
        <v>296</v>
      </c>
      <c r="S2424" t="s">
        <v>1</v>
      </c>
      <c r="T2424">
        <v>1</v>
      </c>
    </row>
    <row r="2425" spans="4:20" ht="15.75" customHeight="1" x14ac:dyDescent="0.2">
      <c r="D2425" t="s">
        <v>285</v>
      </c>
      <c r="E2425" t="s">
        <v>439</v>
      </c>
      <c r="F2425">
        <v>13</v>
      </c>
      <c r="P2425" t="s">
        <v>440</v>
      </c>
      <c r="Q2425">
        <v>96</v>
      </c>
      <c r="R2425" t="s">
        <v>297</v>
      </c>
      <c r="S2425" t="s">
        <v>18</v>
      </c>
      <c r="T2425" t="s">
        <v>366</v>
      </c>
    </row>
    <row r="2426" spans="4:20" ht="15.75" customHeight="1" x14ac:dyDescent="0.2">
      <c r="D2426" t="s">
        <v>285</v>
      </c>
      <c r="E2426" t="s">
        <v>439</v>
      </c>
      <c r="F2426">
        <v>13</v>
      </c>
      <c r="P2426" t="s">
        <v>440</v>
      </c>
      <c r="Q2426">
        <v>96</v>
      </c>
      <c r="R2426" t="s">
        <v>298</v>
      </c>
      <c r="S2426" t="s">
        <v>19</v>
      </c>
      <c r="T2426">
        <v>1</v>
      </c>
    </row>
    <row r="2427" spans="4:20" ht="15.75" customHeight="1" x14ac:dyDescent="0.2">
      <c r="D2427" t="s">
        <v>285</v>
      </c>
      <c r="E2427" t="s">
        <v>439</v>
      </c>
      <c r="F2427">
        <v>13</v>
      </c>
      <c r="P2427" t="s">
        <v>440</v>
      </c>
      <c r="Q2427">
        <v>96</v>
      </c>
      <c r="R2427" t="s">
        <v>299</v>
      </c>
      <c r="S2427" t="s">
        <v>20</v>
      </c>
      <c r="T2427">
        <v>0</v>
      </c>
    </row>
    <row r="2428" spans="4:20" ht="15.75" customHeight="1" x14ac:dyDescent="0.2">
      <c r="D2428" t="s">
        <v>285</v>
      </c>
      <c r="E2428" t="s">
        <v>439</v>
      </c>
      <c r="F2428">
        <v>13</v>
      </c>
      <c r="P2428" t="s">
        <v>441</v>
      </c>
      <c r="Q2428">
        <v>97</v>
      </c>
      <c r="R2428" t="s">
        <v>288</v>
      </c>
      <c r="S2428" t="s">
        <v>2</v>
      </c>
      <c r="T2428">
        <v>0</v>
      </c>
    </row>
    <row r="2429" spans="4:20" ht="15.75" customHeight="1" x14ac:dyDescent="0.2">
      <c r="D2429" t="s">
        <v>285</v>
      </c>
      <c r="E2429" t="s">
        <v>439</v>
      </c>
      <c r="F2429">
        <v>13</v>
      </c>
      <c r="P2429" t="s">
        <v>441</v>
      </c>
      <c r="Q2429">
        <v>97</v>
      </c>
      <c r="R2429" t="s">
        <v>289</v>
      </c>
      <c r="S2429" t="s">
        <v>5</v>
      </c>
      <c r="T2429">
        <v>0</v>
      </c>
    </row>
    <row r="2430" spans="4:20" ht="15.75" customHeight="1" x14ac:dyDescent="0.2">
      <c r="D2430" t="s">
        <v>285</v>
      </c>
      <c r="E2430" t="s">
        <v>439</v>
      </c>
      <c r="F2430">
        <v>13</v>
      </c>
      <c r="P2430" t="s">
        <v>441</v>
      </c>
      <c r="Q2430">
        <v>97</v>
      </c>
      <c r="R2430" t="s">
        <v>290</v>
      </c>
      <c r="S2430" t="s">
        <v>3</v>
      </c>
      <c r="T2430">
        <v>0</v>
      </c>
    </row>
    <row r="2431" spans="4:20" ht="15.75" customHeight="1" x14ac:dyDescent="0.2">
      <c r="D2431" t="s">
        <v>285</v>
      </c>
      <c r="E2431" t="s">
        <v>439</v>
      </c>
      <c r="F2431">
        <v>13</v>
      </c>
      <c r="P2431" t="s">
        <v>441</v>
      </c>
      <c r="Q2431">
        <v>97</v>
      </c>
      <c r="R2431" t="s">
        <v>291</v>
      </c>
      <c r="S2431" t="s">
        <v>4</v>
      </c>
      <c r="T2431">
        <v>0</v>
      </c>
    </row>
    <row r="2432" spans="4:20" ht="15.75" customHeight="1" x14ac:dyDescent="0.2">
      <c r="D2432" t="s">
        <v>285</v>
      </c>
      <c r="E2432" t="s">
        <v>439</v>
      </c>
      <c r="F2432">
        <v>13</v>
      </c>
      <c r="P2432" t="s">
        <v>441</v>
      </c>
      <c r="Q2432">
        <v>97</v>
      </c>
      <c r="R2432" t="s">
        <v>292</v>
      </c>
      <c r="S2432" t="s">
        <v>6</v>
      </c>
      <c r="T2432">
        <v>0</v>
      </c>
    </row>
    <row r="2433" spans="4:20" ht="15.75" customHeight="1" x14ac:dyDescent="0.2">
      <c r="D2433" t="s">
        <v>285</v>
      </c>
      <c r="E2433" t="s">
        <v>439</v>
      </c>
      <c r="F2433">
        <v>13</v>
      </c>
      <c r="P2433" t="s">
        <v>441</v>
      </c>
      <c r="Q2433">
        <v>97</v>
      </c>
      <c r="R2433" t="s">
        <v>243</v>
      </c>
      <c r="S2433" t="s">
        <v>7</v>
      </c>
      <c r="T2433">
        <v>0</v>
      </c>
    </row>
    <row r="2434" spans="4:20" ht="15.75" customHeight="1" x14ac:dyDescent="0.2">
      <c r="D2434" t="s">
        <v>285</v>
      </c>
      <c r="E2434" t="s">
        <v>439</v>
      </c>
      <c r="F2434">
        <v>13</v>
      </c>
      <c r="P2434" t="s">
        <v>441</v>
      </c>
      <c r="Q2434">
        <v>97</v>
      </c>
      <c r="R2434" t="s">
        <v>245</v>
      </c>
      <c r="S2434" t="s">
        <v>8</v>
      </c>
      <c r="T2434" t="s">
        <v>364</v>
      </c>
    </row>
    <row r="2435" spans="4:20" ht="15.75" customHeight="1" x14ac:dyDescent="0.2">
      <c r="D2435" t="s">
        <v>285</v>
      </c>
      <c r="E2435" t="s">
        <v>439</v>
      </c>
      <c r="F2435">
        <v>13</v>
      </c>
      <c r="P2435" t="s">
        <v>441</v>
      </c>
      <c r="Q2435">
        <v>97</v>
      </c>
      <c r="R2435" t="s">
        <v>247</v>
      </c>
      <c r="S2435" t="s">
        <v>9</v>
      </c>
      <c r="T2435" t="s">
        <v>364</v>
      </c>
    </row>
    <row r="2436" spans="4:20" ht="15.75" customHeight="1" x14ac:dyDescent="0.2">
      <c r="D2436" t="s">
        <v>285</v>
      </c>
      <c r="E2436" t="s">
        <v>439</v>
      </c>
      <c r="F2436">
        <v>13</v>
      </c>
      <c r="P2436" t="s">
        <v>441</v>
      </c>
      <c r="Q2436">
        <v>97</v>
      </c>
      <c r="R2436" t="s">
        <v>249</v>
      </c>
      <c r="S2436" t="s">
        <v>10</v>
      </c>
      <c r="T2436">
        <v>0</v>
      </c>
    </row>
    <row r="2437" spans="4:20" ht="15.75" customHeight="1" x14ac:dyDescent="0.2">
      <c r="D2437" t="s">
        <v>285</v>
      </c>
      <c r="E2437" t="s">
        <v>439</v>
      </c>
      <c r="F2437">
        <v>13</v>
      </c>
      <c r="P2437" t="s">
        <v>441</v>
      </c>
      <c r="Q2437">
        <v>97</v>
      </c>
      <c r="R2437" t="s">
        <v>251</v>
      </c>
      <c r="S2437" t="s">
        <v>11</v>
      </c>
      <c r="T2437">
        <v>0</v>
      </c>
    </row>
    <row r="2438" spans="4:20" ht="15.75" customHeight="1" x14ac:dyDescent="0.2">
      <c r="D2438" t="s">
        <v>285</v>
      </c>
      <c r="E2438" t="s">
        <v>439</v>
      </c>
      <c r="F2438">
        <v>13</v>
      </c>
      <c r="P2438" t="s">
        <v>441</v>
      </c>
      <c r="Q2438">
        <v>97</v>
      </c>
      <c r="R2438" t="s">
        <v>253</v>
      </c>
      <c r="S2438" t="s">
        <v>12</v>
      </c>
      <c r="T2438" t="s">
        <v>364</v>
      </c>
    </row>
    <row r="2439" spans="4:20" ht="15.75" customHeight="1" x14ac:dyDescent="0.2">
      <c r="D2439" t="s">
        <v>285</v>
      </c>
      <c r="E2439" t="s">
        <v>439</v>
      </c>
      <c r="F2439">
        <v>13</v>
      </c>
      <c r="P2439" t="s">
        <v>441</v>
      </c>
      <c r="Q2439">
        <v>97</v>
      </c>
      <c r="R2439" t="s">
        <v>255</v>
      </c>
      <c r="S2439" t="s">
        <v>15</v>
      </c>
      <c r="T2439">
        <v>0</v>
      </c>
    </row>
    <row r="2440" spans="4:20" ht="15.75" customHeight="1" x14ac:dyDescent="0.2">
      <c r="D2440" t="s">
        <v>285</v>
      </c>
      <c r="E2440" t="s">
        <v>439</v>
      </c>
      <c r="F2440">
        <v>13</v>
      </c>
      <c r="P2440" t="s">
        <v>441</v>
      </c>
      <c r="Q2440">
        <v>97</v>
      </c>
      <c r="R2440" t="s">
        <v>293</v>
      </c>
      <c r="S2440" t="s">
        <v>13</v>
      </c>
      <c r="T2440">
        <v>0</v>
      </c>
    </row>
    <row r="2441" spans="4:20" ht="15.75" customHeight="1" x14ac:dyDescent="0.2">
      <c r="D2441" t="s">
        <v>285</v>
      </c>
      <c r="E2441" t="s">
        <v>439</v>
      </c>
      <c r="F2441">
        <v>13</v>
      </c>
      <c r="P2441" t="s">
        <v>441</v>
      </c>
      <c r="Q2441">
        <v>97</v>
      </c>
      <c r="R2441" t="s">
        <v>294</v>
      </c>
      <c r="S2441" t="s">
        <v>14</v>
      </c>
      <c r="T2441">
        <v>1</v>
      </c>
    </row>
    <row r="2442" spans="4:20" ht="15.75" customHeight="1" x14ac:dyDescent="0.2">
      <c r="D2442" t="s">
        <v>285</v>
      </c>
      <c r="E2442" t="s">
        <v>439</v>
      </c>
      <c r="F2442">
        <v>13</v>
      </c>
      <c r="P2442" t="s">
        <v>441</v>
      </c>
      <c r="Q2442">
        <v>97</v>
      </c>
      <c r="R2442" t="s">
        <v>257</v>
      </c>
      <c r="S2442" t="s">
        <v>16</v>
      </c>
      <c r="T2442">
        <v>0</v>
      </c>
    </row>
    <row r="2443" spans="4:20" ht="15.75" customHeight="1" x14ac:dyDescent="0.2">
      <c r="D2443" t="s">
        <v>285</v>
      </c>
      <c r="E2443" t="s">
        <v>439</v>
      </c>
      <c r="F2443">
        <v>13</v>
      </c>
      <c r="P2443" t="s">
        <v>441</v>
      </c>
      <c r="Q2443">
        <v>97</v>
      </c>
      <c r="R2443" t="s">
        <v>295</v>
      </c>
      <c r="S2443" t="s">
        <v>17</v>
      </c>
      <c r="T2443" t="s">
        <v>366</v>
      </c>
    </row>
    <row r="2444" spans="4:20" ht="15.75" customHeight="1" x14ac:dyDescent="0.2">
      <c r="D2444" t="s">
        <v>285</v>
      </c>
      <c r="E2444" t="s">
        <v>439</v>
      </c>
      <c r="F2444">
        <v>13</v>
      </c>
      <c r="P2444" t="s">
        <v>441</v>
      </c>
      <c r="Q2444">
        <v>97</v>
      </c>
      <c r="R2444" t="s">
        <v>296</v>
      </c>
      <c r="S2444" t="s">
        <v>1</v>
      </c>
      <c r="T2444">
        <v>1</v>
      </c>
    </row>
    <row r="2445" spans="4:20" ht="15.75" customHeight="1" x14ac:dyDescent="0.2">
      <c r="D2445" t="s">
        <v>285</v>
      </c>
      <c r="E2445" t="s">
        <v>439</v>
      </c>
      <c r="F2445">
        <v>13</v>
      </c>
      <c r="P2445" t="s">
        <v>441</v>
      </c>
      <c r="Q2445">
        <v>97</v>
      </c>
      <c r="R2445" t="s">
        <v>297</v>
      </c>
      <c r="S2445" t="s">
        <v>18</v>
      </c>
      <c r="T2445" t="s">
        <v>366</v>
      </c>
    </row>
    <row r="2446" spans="4:20" ht="15.75" customHeight="1" x14ac:dyDescent="0.2">
      <c r="D2446" t="s">
        <v>285</v>
      </c>
      <c r="E2446" t="s">
        <v>439</v>
      </c>
      <c r="F2446">
        <v>13</v>
      </c>
      <c r="P2446" t="s">
        <v>441</v>
      </c>
      <c r="Q2446">
        <v>97</v>
      </c>
      <c r="R2446" t="s">
        <v>298</v>
      </c>
      <c r="S2446" t="s">
        <v>19</v>
      </c>
      <c r="T2446">
        <v>1</v>
      </c>
    </row>
    <row r="2447" spans="4:20" ht="15.75" customHeight="1" x14ac:dyDescent="0.2">
      <c r="D2447" t="s">
        <v>285</v>
      </c>
      <c r="E2447" t="s">
        <v>439</v>
      </c>
      <c r="F2447">
        <v>13</v>
      </c>
      <c r="P2447" t="s">
        <v>441</v>
      </c>
      <c r="Q2447">
        <v>97</v>
      </c>
      <c r="R2447" t="s">
        <v>299</v>
      </c>
      <c r="S2447" t="s">
        <v>20</v>
      </c>
      <c r="T2447">
        <v>0</v>
      </c>
    </row>
    <row r="2448" spans="4:20" ht="15.75" customHeight="1" x14ac:dyDescent="0.2">
      <c r="D2448" t="s">
        <v>285</v>
      </c>
      <c r="E2448" t="s">
        <v>439</v>
      </c>
      <c r="F2448">
        <v>13</v>
      </c>
      <c r="P2448" t="s">
        <v>442</v>
      </c>
      <c r="Q2448">
        <v>98</v>
      </c>
      <c r="R2448" t="s">
        <v>288</v>
      </c>
      <c r="S2448" t="s">
        <v>2</v>
      </c>
      <c r="T2448">
        <v>0</v>
      </c>
    </row>
    <row r="2449" spans="4:20" ht="15.75" customHeight="1" x14ac:dyDescent="0.2">
      <c r="D2449" t="s">
        <v>285</v>
      </c>
      <c r="E2449" t="s">
        <v>439</v>
      </c>
      <c r="F2449">
        <v>13</v>
      </c>
      <c r="P2449" t="s">
        <v>442</v>
      </c>
      <c r="Q2449">
        <v>98</v>
      </c>
      <c r="R2449" t="s">
        <v>289</v>
      </c>
      <c r="S2449" t="s">
        <v>5</v>
      </c>
      <c r="T2449">
        <v>0</v>
      </c>
    </row>
    <row r="2450" spans="4:20" ht="15.75" customHeight="1" x14ac:dyDescent="0.2">
      <c r="D2450" t="s">
        <v>285</v>
      </c>
      <c r="E2450" t="s">
        <v>439</v>
      </c>
      <c r="F2450">
        <v>13</v>
      </c>
      <c r="P2450" t="s">
        <v>442</v>
      </c>
      <c r="Q2450">
        <v>98</v>
      </c>
      <c r="R2450" t="s">
        <v>290</v>
      </c>
      <c r="S2450" t="s">
        <v>3</v>
      </c>
      <c r="T2450">
        <v>0</v>
      </c>
    </row>
    <row r="2451" spans="4:20" ht="15.75" customHeight="1" x14ac:dyDescent="0.2">
      <c r="D2451" t="s">
        <v>285</v>
      </c>
      <c r="E2451" t="s">
        <v>439</v>
      </c>
      <c r="F2451">
        <v>13</v>
      </c>
      <c r="P2451" t="s">
        <v>442</v>
      </c>
      <c r="Q2451">
        <v>98</v>
      </c>
      <c r="R2451" t="s">
        <v>291</v>
      </c>
      <c r="S2451" t="s">
        <v>4</v>
      </c>
      <c r="T2451">
        <v>0</v>
      </c>
    </row>
    <row r="2452" spans="4:20" ht="15.75" customHeight="1" x14ac:dyDescent="0.2">
      <c r="D2452" t="s">
        <v>285</v>
      </c>
      <c r="E2452" t="s">
        <v>439</v>
      </c>
      <c r="F2452">
        <v>13</v>
      </c>
      <c r="P2452" t="s">
        <v>442</v>
      </c>
      <c r="Q2452">
        <v>98</v>
      </c>
      <c r="R2452" t="s">
        <v>292</v>
      </c>
      <c r="S2452" t="s">
        <v>6</v>
      </c>
      <c r="T2452">
        <v>0</v>
      </c>
    </row>
    <row r="2453" spans="4:20" ht="15.75" customHeight="1" x14ac:dyDescent="0.2">
      <c r="D2453" t="s">
        <v>285</v>
      </c>
      <c r="E2453" t="s">
        <v>439</v>
      </c>
      <c r="F2453">
        <v>13</v>
      </c>
      <c r="P2453" t="s">
        <v>442</v>
      </c>
      <c r="Q2453">
        <v>98</v>
      </c>
      <c r="R2453" t="s">
        <v>243</v>
      </c>
      <c r="S2453" t="s">
        <v>7</v>
      </c>
      <c r="T2453">
        <v>0</v>
      </c>
    </row>
    <row r="2454" spans="4:20" ht="15.75" customHeight="1" x14ac:dyDescent="0.2">
      <c r="D2454" t="s">
        <v>285</v>
      </c>
      <c r="E2454" t="s">
        <v>439</v>
      </c>
      <c r="F2454">
        <v>13</v>
      </c>
      <c r="P2454" t="s">
        <v>442</v>
      </c>
      <c r="Q2454">
        <v>98</v>
      </c>
      <c r="R2454" t="s">
        <v>245</v>
      </c>
      <c r="S2454" t="s">
        <v>8</v>
      </c>
      <c r="T2454" t="s">
        <v>364</v>
      </c>
    </row>
    <row r="2455" spans="4:20" ht="15.75" customHeight="1" x14ac:dyDescent="0.2">
      <c r="D2455" t="s">
        <v>285</v>
      </c>
      <c r="E2455" t="s">
        <v>439</v>
      </c>
      <c r="F2455">
        <v>13</v>
      </c>
      <c r="P2455" t="s">
        <v>442</v>
      </c>
      <c r="Q2455">
        <v>98</v>
      </c>
      <c r="R2455" t="s">
        <v>247</v>
      </c>
      <c r="S2455" t="s">
        <v>9</v>
      </c>
      <c r="T2455" t="s">
        <v>364</v>
      </c>
    </row>
    <row r="2456" spans="4:20" ht="15.75" customHeight="1" x14ac:dyDescent="0.2">
      <c r="D2456" t="s">
        <v>285</v>
      </c>
      <c r="E2456" t="s">
        <v>439</v>
      </c>
      <c r="F2456">
        <v>13</v>
      </c>
      <c r="P2456" t="s">
        <v>442</v>
      </c>
      <c r="Q2456">
        <v>98</v>
      </c>
      <c r="R2456" t="s">
        <v>249</v>
      </c>
      <c r="S2456" t="s">
        <v>10</v>
      </c>
      <c r="T2456">
        <v>0</v>
      </c>
    </row>
    <row r="2457" spans="4:20" ht="15.75" customHeight="1" x14ac:dyDescent="0.2">
      <c r="D2457" t="s">
        <v>285</v>
      </c>
      <c r="E2457" t="s">
        <v>439</v>
      </c>
      <c r="F2457">
        <v>13</v>
      </c>
      <c r="P2457" t="s">
        <v>442</v>
      </c>
      <c r="Q2457">
        <v>98</v>
      </c>
      <c r="R2457" t="s">
        <v>251</v>
      </c>
      <c r="S2457" t="s">
        <v>11</v>
      </c>
      <c r="T2457">
        <v>0</v>
      </c>
    </row>
    <row r="2458" spans="4:20" ht="15.75" customHeight="1" x14ac:dyDescent="0.2">
      <c r="D2458" t="s">
        <v>285</v>
      </c>
      <c r="E2458" t="s">
        <v>439</v>
      </c>
      <c r="F2458">
        <v>13</v>
      </c>
      <c r="P2458" t="s">
        <v>442</v>
      </c>
      <c r="Q2458">
        <v>98</v>
      </c>
      <c r="R2458" t="s">
        <v>253</v>
      </c>
      <c r="S2458" t="s">
        <v>12</v>
      </c>
      <c r="T2458" t="s">
        <v>364</v>
      </c>
    </row>
    <row r="2459" spans="4:20" ht="15.75" customHeight="1" x14ac:dyDescent="0.2">
      <c r="D2459" t="s">
        <v>285</v>
      </c>
      <c r="E2459" t="s">
        <v>439</v>
      </c>
      <c r="F2459">
        <v>13</v>
      </c>
      <c r="P2459" t="s">
        <v>442</v>
      </c>
      <c r="Q2459">
        <v>98</v>
      </c>
      <c r="R2459" t="s">
        <v>255</v>
      </c>
      <c r="S2459" t="s">
        <v>15</v>
      </c>
      <c r="T2459">
        <v>0</v>
      </c>
    </row>
    <row r="2460" spans="4:20" ht="15.75" customHeight="1" x14ac:dyDescent="0.2">
      <c r="D2460" t="s">
        <v>285</v>
      </c>
      <c r="E2460" t="s">
        <v>439</v>
      </c>
      <c r="F2460">
        <v>13</v>
      </c>
      <c r="P2460" t="s">
        <v>442</v>
      </c>
      <c r="Q2460">
        <v>98</v>
      </c>
      <c r="R2460" t="s">
        <v>293</v>
      </c>
      <c r="S2460" t="s">
        <v>13</v>
      </c>
      <c r="T2460">
        <v>0</v>
      </c>
    </row>
    <row r="2461" spans="4:20" ht="15.75" customHeight="1" x14ac:dyDescent="0.2">
      <c r="D2461" t="s">
        <v>285</v>
      </c>
      <c r="E2461" t="s">
        <v>439</v>
      </c>
      <c r="F2461">
        <v>13</v>
      </c>
      <c r="P2461" t="s">
        <v>442</v>
      </c>
      <c r="Q2461">
        <v>98</v>
      </c>
      <c r="R2461" t="s">
        <v>294</v>
      </c>
      <c r="S2461" t="s">
        <v>14</v>
      </c>
      <c r="T2461">
        <v>1</v>
      </c>
    </row>
    <row r="2462" spans="4:20" ht="15.75" customHeight="1" x14ac:dyDescent="0.2">
      <c r="D2462" t="s">
        <v>285</v>
      </c>
      <c r="E2462" t="s">
        <v>439</v>
      </c>
      <c r="F2462">
        <v>13</v>
      </c>
      <c r="P2462" t="s">
        <v>442</v>
      </c>
      <c r="Q2462">
        <v>98</v>
      </c>
      <c r="R2462" t="s">
        <v>257</v>
      </c>
      <c r="S2462" t="s">
        <v>16</v>
      </c>
      <c r="T2462">
        <v>0</v>
      </c>
    </row>
    <row r="2463" spans="4:20" ht="15.75" customHeight="1" x14ac:dyDescent="0.2">
      <c r="D2463" t="s">
        <v>285</v>
      </c>
      <c r="E2463" t="s">
        <v>439</v>
      </c>
      <c r="F2463">
        <v>13</v>
      </c>
      <c r="P2463" t="s">
        <v>442</v>
      </c>
      <c r="Q2463">
        <v>98</v>
      </c>
      <c r="R2463" t="s">
        <v>295</v>
      </c>
      <c r="S2463" t="s">
        <v>17</v>
      </c>
      <c r="T2463" t="s">
        <v>366</v>
      </c>
    </row>
    <row r="2464" spans="4:20" ht="15.75" customHeight="1" x14ac:dyDescent="0.2">
      <c r="D2464" t="s">
        <v>285</v>
      </c>
      <c r="E2464" t="s">
        <v>439</v>
      </c>
      <c r="F2464">
        <v>13</v>
      </c>
      <c r="P2464" t="s">
        <v>442</v>
      </c>
      <c r="Q2464">
        <v>98</v>
      </c>
      <c r="R2464" t="s">
        <v>296</v>
      </c>
      <c r="S2464" t="s">
        <v>1</v>
      </c>
      <c r="T2464">
        <v>1</v>
      </c>
    </row>
    <row r="2465" spans="4:20" ht="15.75" customHeight="1" x14ac:dyDescent="0.2">
      <c r="D2465" t="s">
        <v>285</v>
      </c>
      <c r="E2465" t="s">
        <v>439</v>
      </c>
      <c r="F2465">
        <v>13</v>
      </c>
      <c r="P2465" t="s">
        <v>442</v>
      </c>
      <c r="Q2465">
        <v>98</v>
      </c>
      <c r="R2465" t="s">
        <v>297</v>
      </c>
      <c r="S2465" t="s">
        <v>18</v>
      </c>
      <c r="T2465" t="s">
        <v>366</v>
      </c>
    </row>
    <row r="2466" spans="4:20" ht="15.75" customHeight="1" x14ac:dyDescent="0.2">
      <c r="D2466" t="s">
        <v>285</v>
      </c>
      <c r="E2466" t="s">
        <v>439</v>
      </c>
      <c r="F2466">
        <v>13</v>
      </c>
      <c r="P2466" t="s">
        <v>442</v>
      </c>
      <c r="Q2466">
        <v>98</v>
      </c>
      <c r="R2466" t="s">
        <v>298</v>
      </c>
      <c r="S2466" t="s">
        <v>19</v>
      </c>
      <c r="T2466">
        <v>1</v>
      </c>
    </row>
    <row r="2467" spans="4:20" ht="15.75" customHeight="1" x14ac:dyDescent="0.2">
      <c r="D2467" t="s">
        <v>285</v>
      </c>
      <c r="E2467" t="s">
        <v>439</v>
      </c>
      <c r="F2467">
        <v>13</v>
      </c>
      <c r="P2467" t="s">
        <v>442</v>
      </c>
      <c r="Q2467">
        <v>98</v>
      </c>
      <c r="R2467" t="s">
        <v>299</v>
      </c>
      <c r="S2467" t="s">
        <v>20</v>
      </c>
      <c r="T2467">
        <v>0</v>
      </c>
    </row>
    <row r="2468" spans="4:20" ht="15.75" customHeight="1" x14ac:dyDescent="0.2">
      <c r="D2468" t="s">
        <v>285</v>
      </c>
      <c r="E2468" t="s">
        <v>439</v>
      </c>
      <c r="F2468">
        <v>13</v>
      </c>
      <c r="P2468" t="s">
        <v>443</v>
      </c>
      <c r="Q2468">
        <v>99</v>
      </c>
      <c r="R2468" t="s">
        <v>288</v>
      </c>
      <c r="S2468" t="s">
        <v>2</v>
      </c>
      <c r="T2468">
        <v>0</v>
      </c>
    </row>
    <row r="2469" spans="4:20" ht="15.75" customHeight="1" x14ac:dyDescent="0.2">
      <c r="D2469" t="s">
        <v>285</v>
      </c>
      <c r="E2469" t="s">
        <v>439</v>
      </c>
      <c r="F2469">
        <v>13</v>
      </c>
      <c r="P2469" t="s">
        <v>443</v>
      </c>
      <c r="Q2469">
        <v>99</v>
      </c>
      <c r="R2469" t="s">
        <v>289</v>
      </c>
      <c r="S2469" t="s">
        <v>5</v>
      </c>
      <c r="T2469">
        <v>0</v>
      </c>
    </row>
    <row r="2470" spans="4:20" ht="15.75" customHeight="1" x14ac:dyDescent="0.2">
      <c r="D2470" t="s">
        <v>285</v>
      </c>
      <c r="E2470" t="s">
        <v>439</v>
      </c>
      <c r="F2470">
        <v>13</v>
      </c>
      <c r="P2470" t="s">
        <v>443</v>
      </c>
      <c r="Q2470">
        <v>99</v>
      </c>
      <c r="R2470" t="s">
        <v>290</v>
      </c>
      <c r="S2470" t="s">
        <v>3</v>
      </c>
      <c r="T2470">
        <v>0</v>
      </c>
    </row>
    <row r="2471" spans="4:20" ht="15.75" customHeight="1" x14ac:dyDescent="0.2">
      <c r="D2471" t="s">
        <v>285</v>
      </c>
      <c r="E2471" t="s">
        <v>439</v>
      </c>
      <c r="F2471">
        <v>13</v>
      </c>
      <c r="P2471" t="s">
        <v>443</v>
      </c>
      <c r="Q2471">
        <v>99</v>
      </c>
      <c r="R2471" t="s">
        <v>291</v>
      </c>
      <c r="S2471" t="s">
        <v>4</v>
      </c>
      <c r="T2471">
        <v>0</v>
      </c>
    </row>
    <row r="2472" spans="4:20" ht="15.75" customHeight="1" x14ac:dyDescent="0.2">
      <c r="D2472" t="s">
        <v>285</v>
      </c>
      <c r="E2472" t="s">
        <v>439</v>
      </c>
      <c r="F2472">
        <v>13</v>
      </c>
      <c r="P2472" t="s">
        <v>443</v>
      </c>
      <c r="Q2472">
        <v>99</v>
      </c>
      <c r="R2472" t="s">
        <v>292</v>
      </c>
      <c r="S2472" t="s">
        <v>6</v>
      </c>
      <c r="T2472">
        <v>0</v>
      </c>
    </row>
    <row r="2473" spans="4:20" ht="15.75" customHeight="1" x14ac:dyDescent="0.2">
      <c r="D2473" t="s">
        <v>285</v>
      </c>
      <c r="E2473" t="s">
        <v>439</v>
      </c>
      <c r="F2473">
        <v>13</v>
      </c>
      <c r="P2473" t="s">
        <v>443</v>
      </c>
      <c r="Q2473">
        <v>99</v>
      </c>
      <c r="R2473" t="s">
        <v>243</v>
      </c>
      <c r="S2473" t="s">
        <v>7</v>
      </c>
      <c r="T2473">
        <v>0</v>
      </c>
    </row>
    <row r="2474" spans="4:20" ht="15.75" customHeight="1" x14ac:dyDescent="0.2">
      <c r="D2474" t="s">
        <v>285</v>
      </c>
      <c r="E2474" t="s">
        <v>439</v>
      </c>
      <c r="F2474">
        <v>13</v>
      </c>
      <c r="P2474" t="s">
        <v>443</v>
      </c>
      <c r="Q2474">
        <v>99</v>
      </c>
      <c r="R2474" t="s">
        <v>245</v>
      </c>
      <c r="S2474" t="s">
        <v>8</v>
      </c>
      <c r="T2474">
        <v>0</v>
      </c>
    </row>
    <row r="2475" spans="4:20" ht="15.75" customHeight="1" x14ac:dyDescent="0.2">
      <c r="D2475" t="s">
        <v>285</v>
      </c>
      <c r="E2475" t="s">
        <v>439</v>
      </c>
      <c r="F2475">
        <v>13</v>
      </c>
      <c r="P2475" t="s">
        <v>443</v>
      </c>
      <c r="Q2475">
        <v>99</v>
      </c>
      <c r="R2475" t="s">
        <v>247</v>
      </c>
      <c r="S2475" t="s">
        <v>9</v>
      </c>
      <c r="T2475">
        <v>0</v>
      </c>
    </row>
    <row r="2476" spans="4:20" ht="15.75" customHeight="1" x14ac:dyDescent="0.2">
      <c r="D2476" t="s">
        <v>285</v>
      </c>
      <c r="E2476" t="s">
        <v>439</v>
      </c>
      <c r="F2476">
        <v>13</v>
      </c>
      <c r="P2476" t="s">
        <v>443</v>
      </c>
      <c r="Q2476">
        <v>99</v>
      </c>
      <c r="R2476" t="s">
        <v>249</v>
      </c>
      <c r="S2476" t="s">
        <v>10</v>
      </c>
      <c r="T2476">
        <v>1</v>
      </c>
    </row>
    <row r="2477" spans="4:20" ht="15.75" customHeight="1" x14ac:dyDescent="0.2">
      <c r="D2477" t="s">
        <v>285</v>
      </c>
      <c r="E2477" t="s">
        <v>439</v>
      </c>
      <c r="F2477">
        <v>13</v>
      </c>
      <c r="P2477" t="s">
        <v>443</v>
      </c>
      <c r="Q2477">
        <v>99</v>
      </c>
      <c r="R2477" t="s">
        <v>251</v>
      </c>
      <c r="S2477" t="s">
        <v>11</v>
      </c>
      <c r="T2477">
        <v>1</v>
      </c>
    </row>
    <row r="2478" spans="4:20" ht="15.75" customHeight="1" x14ac:dyDescent="0.2">
      <c r="D2478" t="s">
        <v>285</v>
      </c>
      <c r="E2478" t="s">
        <v>439</v>
      </c>
      <c r="F2478">
        <v>13</v>
      </c>
      <c r="P2478" t="s">
        <v>443</v>
      </c>
      <c r="Q2478">
        <v>99</v>
      </c>
      <c r="R2478" t="s">
        <v>253</v>
      </c>
      <c r="S2478" t="s">
        <v>12</v>
      </c>
      <c r="T2478">
        <v>0</v>
      </c>
    </row>
    <row r="2479" spans="4:20" ht="15.75" customHeight="1" x14ac:dyDescent="0.2">
      <c r="D2479" t="s">
        <v>285</v>
      </c>
      <c r="E2479" t="s">
        <v>439</v>
      </c>
      <c r="F2479">
        <v>13</v>
      </c>
      <c r="P2479" t="s">
        <v>443</v>
      </c>
      <c r="Q2479">
        <v>99</v>
      </c>
      <c r="R2479" t="s">
        <v>255</v>
      </c>
      <c r="S2479" t="s">
        <v>15</v>
      </c>
      <c r="T2479">
        <v>0</v>
      </c>
    </row>
    <row r="2480" spans="4:20" ht="15.75" customHeight="1" x14ac:dyDescent="0.2">
      <c r="D2480" t="s">
        <v>285</v>
      </c>
      <c r="E2480" t="s">
        <v>439</v>
      </c>
      <c r="F2480">
        <v>13</v>
      </c>
      <c r="P2480" t="s">
        <v>443</v>
      </c>
      <c r="Q2480">
        <v>99</v>
      </c>
      <c r="R2480" t="s">
        <v>293</v>
      </c>
      <c r="S2480" t="s">
        <v>13</v>
      </c>
      <c r="T2480">
        <v>0</v>
      </c>
    </row>
    <row r="2481" spans="4:20" ht="15.75" customHeight="1" x14ac:dyDescent="0.2">
      <c r="D2481" t="s">
        <v>285</v>
      </c>
      <c r="E2481" t="s">
        <v>439</v>
      </c>
      <c r="F2481">
        <v>13</v>
      </c>
      <c r="P2481" t="s">
        <v>443</v>
      </c>
      <c r="Q2481">
        <v>99</v>
      </c>
      <c r="R2481" t="s">
        <v>294</v>
      </c>
      <c r="S2481" t="s">
        <v>14</v>
      </c>
      <c r="T2481">
        <v>1</v>
      </c>
    </row>
    <row r="2482" spans="4:20" ht="15.75" customHeight="1" x14ac:dyDescent="0.2">
      <c r="D2482" t="s">
        <v>285</v>
      </c>
      <c r="E2482" t="s">
        <v>439</v>
      </c>
      <c r="F2482">
        <v>13</v>
      </c>
      <c r="P2482" t="s">
        <v>443</v>
      </c>
      <c r="Q2482">
        <v>99</v>
      </c>
      <c r="R2482" t="s">
        <v>257</v>
      </c>
      <c r="S2482" t="s">
        <v>16</v>
      </c>
      <c r="T2482">
        <v>0</v>
      </c>
    </row>
    <row r="2483" spans="4:20" ht="15.75" customHeight="1" x14ac:dyDescent="0.2">
      <c r="D2483" t="s">
        <v>285</v>
      </c>
      <c r="E2483" t="s">
        <v>439</v>
      </c>
      <c r="F2483">
        <v>13</v>
      </c>
      <c r="P2483" t="s">
        <v>443</v>
      </c>
      <c r="Q2483">
        <v>99</v>
      </c>
      <c r="R2483" t="s">
        <v>295</v>
      </c>
      <c r="S2483" t="s">
        <v>17</v>
      </c>
      <c r="T2483" t="s">
        <v>366</v>
      </c>
    </row>
    <row r="2484" spans="4:20" ht="15.75" customHeight="1" x14ac:dyDescent="0.2">
      <c r="D2484" t="s">
        <v>285</v>
      </c>
      <c r="E2484" t="s">
        <v>439</v>
      </c>
      <c r="F2484">
        <v>13</v>
      </c>
      <c r="P2484" t="s">
        <v>443</v>
      </c>
      <c r="Q2484">
        <v>99</v>
      </c>
      <c r="R2484" t="s">
        <v>296</v>
      </c>
      <c r="S2484" t="s">
        <v>1</v>
      </c>
      <c r="T2484">
        <v>1</v>
      </c>
    </row>
    <row r="2485" spans="4:20" ht="15.75" customHeight="1" x14ac:dyDescent="0.2">
      <c r="D2485" t="s">
        <v>285</v>
      </c>
      <c r="E2485" t="s">
        <v>439</v>
      </c>
      <c r="F2485">
        <v>13</v>
      </c>
      <c r="P2485" t="s">
        <v>443</v>
      </c>
      <c r="Q2485">
        <v>99</v>
      </c>
      <c r="R2485" t="s">
        <v>297</v>
      </c>
      <c r="S2485" t="s">
        <v>18</v>
      </c>
      <c r="T2485" t="s">
        <v>366</v>
      </c>
    </row>
    <row r="2486" spans="4:20" ht="15.75" customHeight="1" x14ac:dyDescent="0.2">
      <c r="D2486" t="s">
        <v>285</v>
      </c>
      <c r="E2486" t="s">
        <v>439</v>
      </c>
      <c r="F2486">
        <v>13</v>
      </c>
      <c r="P2486" t="s">
        <v>443</v>
      </c>
      <c r="Q2486">
        <v>99</v>
      </c>
      <c r="R2486" t="s">
        <v>298</v>
      </c>
      <c r="S2486" t="s">
        <v>19</v>
      </c>
      <c r="T2486">
        <v>1</v>
      </c>
    </row>
    <row r="2487" spans="4:20" ht="15.75" customHeight="1" x14ac:dyDescent="0.2">
      <c r="D2487" t="s">
        <v>285</v>
      </c>
      <c r="E2487" t="s">
        <v>439</v>
      </c>
      <c r="F2487">
        <v>13</v>
      </c>
      <c r="P2487" t="s">
        <v>443</v>
      </c>
      <c r="Q2487">
        <v>99</v>
      </c>
      <c r="R2487" t="s">
        <v>299</v>
      </c>
      <c r="S2487" t="s">
        <v>20</v>
      </c>
      <c r="T2487">
        <v>1</v>
      </c>
    </row>
    <row r="2488" spans="4:20" ht="15.75" customHeight="1" x14ac:dyDescent="0.2">
      <c r="D2488" t="s">
        <v>285</v>
      </c>
      <c r="E2488" t="s">
        <v>439</v>
      </c>
      <c r="F2488">
        <v>13</v>
      </c>
      <c r="P2488" t="s">
        <v>444</v>
      </c>
      <c r="Q2488">
        <v>100</v>
      </c>
      <c r="R2488" t="s">
        <v>288</v>
      </c>
      <c r="S2488" t="s">
        <v>2</v>
      </c>
      <c r="T2488">
        <v>1</v>
      </c>
    </row>
    <row r="2489" spans="4:20" ht="15.75" customHeight="1" x14ac:dyDescent="0.2">
      <c r="D2489" t="s">
        <v>285</v>
      </c>
      <c r="E2489" t="s">
        <v>439</v>
      </c>
      <c r="F2489">
        <v>13</v>
      </c>
      <c r="P2489" t="s">
        <v>444</v>
      </c>
      <c r="Q2489">
        <v>100</v>
      </c>
      <c r="R2489" t="s">
        <v>289</v>
      </c>
      <c r="S2489" t="s">
        <v>5</v>
      </c>
      <c r="T2489">
        <v>0</v>
      </c>
    </row>
    <row r="2490" spans="4:20" ht="15.75" customHeight="1" x14ac:dyDescent="0.2">
      <c r="D2490" t="s">
        <v>285</v>
      </c>
      <c r="E2490" t="s">
        <v>439</v>
      </c>
      <c r="F2490">
        <v>13</v>
      </c>
      <c r="P2490" t="s">
        <v>444</v>
      </c>
      <c r="Q2490">
        <v>100</v>
      </c>
      <c r="R2490" t="s">
        <v>290</v>
      </c>
      <c r="S2490" t="s">
        <v>3</v>
      </c>
      <c r="T2490">
        <v>1</v>
      </c>
    </row>
    <row r="2491" spans="4:20" ht="15.75" customHeight="1" x14ac:dyDescent="0.2">
      <c r="D2491" t="s">
        <v>285</v>
      </c>
      <c r="E2491" t="s">
        <v>439</v>
      </c>
      <c r="F2491">
        <v>13</v>
      </c>
      <c r="P2491" t="s">
        <v>444</v>
      </c>
      <c r="Q2491">
        <v>100</v>
      </c>
      <c r="R2491" t="s">
        <v>291</v>
      </c>
      <c r="S2491" t="s">
        <v>4</v>
      </c>
      <c r="T2491">
        <v>2</v>
      </c>
    </row>
    <row r="2492" spans="4:20" ht="15.75" customHeight="1" x14ac:dyDescent="0.2">
      <c r="D2492" t="s">
        <v>285</v>
      </c>
      <c r="E2492" t="s">
        <v>439</v>
      </c>
      <c r="F2492">
        <v>13</v>
      </c>
      <c r="P2492" t="s">
        <v>444</v>
      </c>
      <c r="Q2492">
        <v>100</v>
      </c>
      <c r="R2492" t="s">
        <v>292</v>
      </c>
      <c r="S2492" t="s">
        <v>6</v>
      </c>
      <c r="T2492">
        <v>0</v>
      </c>
    </row>
    <row r="2493" spans="4:20" ht="15.75" customHeight="1" x14ac:dyDescent="0.2">
      <c r="D2493" t="s">
        <v>285</v>
      </c>
      <c r="E2493" t="s">
        <v>439</v>
      </c>
      <c r="F2493">
        <v>13</v>
      </c>
      <c r="P2493" t="s">
        <v>444</v>
      </c>
      <c r="Q2493">
        <v>100</v>
      </c>
      <c r="R2493" t="s">
        <v>243</v>
      </c>
      <c r="S2493" t="s">
        <v>7</v>
      </c>
      <c r="T2493">
        <v>6.75</v>
      </c>
    </row>
    <row r="2494" spans="4:20" ht="15.75" customHeight="1" x14ac:dyDescent="0.2">
      <c r="D2494" t="s">
        <v>285</v>
      </c>
      <c r="E2494" t="s">
        <v>439</v>
      </c>
      <c r="F2494">
        <v>13</v>
      </c>
      <c r="P2494" t="s">
        <v>444</v>
      </c>
      <c r="Q2494">
        <v>100</v>
      </c>
      <c r="R2494" t="s">
        <v>245</v>
      </c>
      <c r="S2494" t="s">
        <v>8</v>
      </c>
      <c r="T2494">
        <v>827.71119999999996</v>
      </c>
    </row>
    <row r="2495" spans="4:20" ht="15.75" customHeight="1" x14ac:dyDescent="0.2">
      <c r="D2495" t="s">
        <v>285</v>
      </c>
      <c r="E2495" t="s">
        <v>439</v>
      </c>
      <c r="F2495">
        <v>13</v>
      </c>
      <c r="P2495" t="s">
        <v>444</v>
      </c>
      <c r="Q2495">
        <v>100</v>
      </c>
      <c r="R2495" t="s">
        <v>247</v>
      </c>
      <c r="S2495" t="s">
        <v>9</v>
      </c>
      <c r="T2495">
        <v>2.9399999999999999E-2</v>
      </c>
    </row>
    <row r="2496" spans="4:20" ht="15.75" customHeight="1" x14ac:dyDescent="0.2">
      <c r="D2496" t="s">
        <v>285</v>
      </c>
      <c r="E2496" t="s">
        <v>439</v>
      </c>
      <c r="F2496">
        <v>13</v>
      </c>
      <c r="P2496" t="s">
        <v>444</v>
      </c>
      <c r="Q2496">
        <v>100</v>
      </c>
      <c r="R2496" t="s">
        <v>249</v>
      </c>
      <c r="S2496" t="s">
        <v>10</v>
      </c>
      <c r="T2496">
        <v>30</v>
      </c>
    </row>
    <row r="2497" spans="4:20" ht="15.75" customHeight="1" x14ac:dyDescent="0.2">
      <c r="D2497" t="s">
        <v>285</v>
      </c>
      <c r="E2497" t="s">
        <v>439</v>
      </c>
      <c r="F2497">
        <v>13</v>
      </c>
      <c r="P2497" t="s">
        <v>444</v>
      </c>
      <c r="Q2497">
        <v>100</v>
      </c>
      <c r="R2497" t="s">
        <v>251</v>
      </c>
      <c r="S2497" t="s">
        <v>11</v>
      </c>
      <c r="T2497">
        <v>17</v>
      </c>
    </row>
    <row r="2498" spans="4:20" ht="15.75" customHeight="1" x14ac:dyDescent="0.2">
      <c r="D2498" t="s">
        <v>285</v>
      </c>
      <c r="E2498" t="s">
        <v>439</v>
      </c>
      <c r="F2498">
        <v>13</v>
      </c>
      <c r="P2498" t="s">
        <v>444</v>
      </c>
      <c r="Q2498">
        <v>100</v>
      </c>
      <c r="R2498" t="s">
        <v>253</v>
      </c>
      <c r="S2498" t="s">
        <v>12</v>
      </c>
      <c r="T2498">
        <v>122.62390000000001</v>
      </c>
    </row>
    <row r="2499" spans="4:20" ht="15.75" customHeight="1" x14ac:dyDescent="0.2">
      <c r="D2499" t="s">
        <v>285</v>
      </c>
      <c r="E2499" t="s">
        <v>439</v>
      </c>
      <c r="F2499">
        <v>13</v>
      </c>
      <c r="P2499" t="s">
        <v>444</v>
      </c>
      <c r="Q2499">
        <v>100</v>
      </c>
      <c r="R2499" t="s">
        <v>255</v>
      </c>
      <c r="S2499" t="s">
        <v>15</v>
      </c>
      <c r="T2499">
        <v>10</v>
      </c>
    </row>
    <row r="2500" spans="4:20" ht="15.75" customHeight="1" x14ac:dyDescent="0.2">
      <c r="D2500" t="s">
        <v>285</v>
      </c>
      <c r="E2500" t="s">
        <v>439</v>
      </c>
      <c r="F2500">
        <v>13</v>
      </c>
      <c r="P2500" t="s">
        <v>444</v>
      </c>
      <c r="Q2500">
        <v>100</v>
      </c>
      <c r="R2500" t="s">
        <v>293</v>
      </c>
      <c r="S2500" t="s">
        <v>13</v>
      </c>
      <c r="T2500">
        <v>0</v>
      </c>
    </row>
    <row r="2501" spans="4:20" ht="15.75" customHeight="1" x14ac:dyDescent="0.2">
      <c r="D2501" t="s">
        <v>285</v>
      </c>
      <c r="E2501" t="s">
        <v>439</v>
      </c>
      <c r="F2501">
        <v>13</v>
      </c>
      <c r="P2501" t="s">
        <v>444</v>
      </c>
      <c r="Q2501">
        <v>100</v>
      </c>
      <c r="R2501" t="s">
        <v>294</v>
      </c>
      <c r="S2501" t="s">
        <v>14</v>
      </c>
      <c r="T2501">
        <v>1</v>
      </c>
    </row>
    <row r="2502" spans="4:20" ht="15.75" customHeight="1" x14ac:dyDescent="0.2">
      <c r="D2502" t="s">
        <v>285</v>
      </c>
      <c r="E2502" t="s">
        <v>439</v>
      </c>
      <c r="F2502">
        <v>13</v>
      </c>
      <c r="P2502" t="s">
        <v>444</v>
      </c>
      <c r="Q2502">
        <v>100</v>
      </c>
      <c r="R2502" t="s">
        <v>257</v>
      </c>
      <c r="S2502" t="s">
        <v>16</v>
      </c>
      <c r="T2502">
        <v>63.484099999999998</v>
      </c>
    </row>
    <row r="2503" spans="4:20" ht="15.75" customHeight="1" x14ac:dyDescent="0.2">
      <c r="D2503" t="s">
        <v>285</v>
      </c>
      <c r="E2503" t="s">
        <v>439</v>
      </c>
      <c r="F2503">
        <v>13</v>
      </c>
      <c r="P2503" t="s">
        <v>444</v>
      </c>
      <c r="Q2503">
        <v>100</v>
      </c>
      <c r="R2503" t="s">
        <v>295</v>
      </c>
      <c r="S2503" t="s">
        <v>17</v>
      </c>
      <c r="T2503">
        <v>1</v>
      </c>
    </row>
    <row r="2504" spans="4:20" ht="15.75" customHeight="1" x14ac:dyDescent="0.2">
      <c r="D2504" t="s">
        <v>285</v>
      </c>
      <c r="E2504" t="s">
        <v>439</v>
      </c>
      <c r="F2504">
        <v>13</v>
      </c>
      <c r="P2504" t="s">
        <v>444</v>
      </c>
      <c r="Q2504">
        <v>100</v>
      </c>
      <c r="R2504" t="s">
        <v>296</v>
      </c>
      <c r="S2504" t="s">
        <v>1</v>
      </c>
      <c r="T2504">
        <v>2</v>
      </c>
    </row>
    <row r="2505" spans="4:20" ht="15.75" customHeight="1" x14ac:dyDescent="0.2">
      <c r="D2505" t="s">
        <v>285</v>
      </c>
      <c r="E2505" t="s">
        <v>439</v>
      </c>
      <c r="F2505">
        <v>13</v>
      </c>
      <c r="P2505" t="s">
        <v>444</v>
      </c>
      <c r="Q2505">
        <v>100</v>
      </c>
      <c r="R2505" t="s">
        <v>297</v>
      </c>
      <c r="S2505" t="s">
        <v>18</v>
      </c>
      <c r="T2505">
        <v>7</v>
      </c>
    </row>
    <row r="2506" spans="4:20" ht="15.75" customHeight="1" x14ac:dyDescent="0.2">
      <c r="D2506" t="s">
        <v>285</v>
      </c>
      <c r="E2506" t="s">
        <v>439</v>
      </c>
      <c r="F2506">
        <v>13</v>
      </c>
      <c r="P2506" t="s">
        <v>444</v>
      </c>
      <c r="Q2506">
        <v>100</v>
      </c>
      <c r="R2506" t="s">
        <v>298</v>
      </c>
      <c r="S2506" t="s">
        <v>19</v>
      </c>
      <c r="T2506">
        <v>1</v>
      </c>
    </row>
    <row r="2507" spans="4:20" ht="15.75" customHeight="1" x14ac:dyDescent="0.2">
      <c r="D2507" t="s">
        <v>285</v>
      </c>
      <c r="E2507" t="s">
        <v>439</v>
      </c>
      <c r="F2507">
        <v>13</v>
      </c>
      <c r="P2507" t="s">
        <v>444</v>
      </c>
      <c r="Q2507">
        <v>100</v>
      </c>
      <c r="R2507" t="s">
        <v>299</v>
      </c>
      <c r="S2507" t="s">
        <v>20</v>
      </c>
      <c r="T2507">
        <v>2</v>
      </c>
    </row>
    <row r="2508" spans="4:20" ht="15.75" customHeight="1" x14ac:dyDescent="0.2">
      <c r="D2508" t="s">
        <v>285</v>
      </c>
      <c r="E2508" t="s">
        <v>439</v>
      </c>
      <c r="F2508">
        <v>13</v>
      </c>
      <c r="P2508" t="s">
        <v>362</v>
      </c>
      <c r="Q2508">
        <v>101</v>
      </c>
      <c r="R2508" t="s">
        <v>288</v>
      </c>
      <c r="S2508" t="s">
        <v>2</v>
      </c>
      <c r="T2508">
        <v>0</v>
      </c>
    </row>
    <row r="2509" spans="4:20" ht="15.75" customHeight="1" x14ac:dyDescent="0.2">
      <c r="D2509" t="s">
        <v>285</v>
      </c>
      <c r="E2509" t="s">
        <v>439</v>
      </c>
      <c r="F2509">
        <v>13</v>
      </c>
      <c r="P2509" t="s">
        <v>362</v>
      </c>
      <c r="Q2509">
        <v>101</v>
      </c>
      <c r="R2509" t="s">
        <v>289</v>
      </c>
      <c r="S2509" t="s">
        <v>5</v>
      </c>
      <c r="T2509">
        <v>0</v>
      </c>
    </row>
    <row r="2510" spans="4:20" ht="15.75" customHeight="1" x14ac:dyDescent="0.2">
      <c r="D2510" t="s">
        <v>285</v>
      </c>
      <c r="E2510" t="s">
        <v>439</v>
      </c>
      <c r="F2510">
        <v>13</v>
      </c>
      <c r="P2510" t="s">
        <v>362</v>
      </c>
      <c r="Q2510">
        <v>101</v>
      </c>
      <c r="R2510" t="s">
        <v>290</v>
      </c>
      <c r="S2510" t="s">
        <v>3</v>
      </c>
      <c r="T2510">
        <v>0</v>
      </c>
    </row>
    <row r="2511" spans="4:20" ht="15.75" customHeight="1" x14ac:dyDescent="0.2">
      <c r="D2511" t="s">
        <v>285</v>
      </c>
      <c r="E2511" t="s">
        <v>439</v>
      </c>
      <c r="F2511">
        <v>13</v>
      </c>
      <c r="P2511" t="s">
        <v>362</v>
      </c>
      <c r="Q2511">
        <v>101</v>
      </c>
      <c r="R2511" t="s">
        <v>291</v>
      </c>
      <c r="S2511" t="s">
        <v>4</v>
      </c>
      <c r="T2511">
        <v>0</v>
      </c>
    </row>
    <row r="2512" spans="4:20" ht="15.75" customHeight="1" x14ac:dyDescent="0.2">
      <c r="D2512" t="s">
        <v>285</v>
      </c>
      <c r="E2512" t="s">
        <v>439</v>
      </c>
      <c r="F2512">
        <v>13</v>
      </c>
      <c r="P2512" t="s">
        <v>362</v>
      </c>
      <c r="Q2512">
        <v>101</v>
      </c>
      <c r="R2512" t="s">
        <v>292</v>
      </c>
      <c r="S2512" t="s">
        <v>6</v>
      </c>
      <c r="T2512">
        <v>0</v>
      </c>
    </row>
    <row r="2513" spans="4:23" ht="15.75" customHeight="1" x14ac:dyDescent="0.2">
      <c r="D2513" t="s">
        <v>285</v>
      </c>
      <c r="E2513" t="s">
        <v>439</v>
      </c>
      <c r="F2513">
        <v>13</v>
      </c>
      <c r="P2513" t="s">
        <v>362</v>
      </c>
      <c r="Q2513">
        <v>101</v>
      </c>
      <c r="R2513" t="s">
        <v>243</v>
      </c>
      <c r="S2513" t="s">
        <v>7</v>
      </c>
      <c r="T2513">
        <v>0</v>
      </c>
    </row>
    <row r="2514" spans="4:23" ht="15.75" customHeight="1" x14ac:dyDescent="0.2">
      <c r="D2514" t="s">
        <v>285</v>
      </c>
      <c r="E2514" t="s">
        <v>439</v>
      </c>
      <c r="F2514">
        <v>13</v>
      </c>
      <c r="P2514" t="s">
        <v>362</v>
      </c>
      <c r="Q2514">
        <v>101</v>
      </c>
      <c r="R2514" t="s">
        <v>245</v>
      </c>
      <c r="S2514" t="s">
        <v>8</v>
      </c>
      <c r="T2514" t="s">
        <v>364</v>
      </c>
    </row>
    <row r="2515" spans="4:23" ht="15.75" customHeight="1" x14ac:dyDescent="0.2">
      <c r="D2515" t="s">
        <v>285</v>
      </c>
      <c r="E2515" t="s">
        <v>439</v>
      </c>
      <c r="F2515">
        <v>13</v>
      </c>
      <c r="P2515" t="s">
        <v>362</v>
      </c>
      <c r="Q2515">
        <v>101</v>
      </c>
      <c r="R2515" t="s">
        <v>247</v>
      </c>
      <c r="S2515" t="s">
        <v>9</v>
      </c>
      <c r="T2515" t="s">
        <v>364</v>
      </c>
    </row>
    <row r="2516" spans="4:23" ht="15.75" customHeight="1" x14ac:dyDescent="0.2">
      <c r="D2516" t="s">
        <v>285</v>
      </c>
      <c r="E2516" t="s">
        <v>439</v>
      </c>
      <c r="F2516">
        <v>13</v>
      </c>
      <c r="P2516" t="s">
        <v>362</v>
      </c>
      <c r="Q2516">
        <v>101</v>
      </c>
      <c r="R2516" t="s">
        <v>249</v>
      </c>
      <c r="S2516" t="s">
        <v>10</v>
      </c>
      <c r="T2516">
        <v>0</v>
      </c>
    </row>
    <row r="2517" spans="4:23" ht="15.75" customHeight="1" x14ac:dyDescent="0.2">
      <c r="D2517" t="s">
        <v>285</v>
      </c>
      <c r="E2517" t="s">
        <v>439</v>
      </c>
      <c r="F2517">
        <v>13</v>
      </c>
      <c r="P2517" t="s">
        <v>362</v>
      </c>
      <c r="Q2517">
        <v>101</v>
      </c>
      <c r="R2517" t="s">
        <v>251</v>
      </c>
      <c r="S2517" t="s">
        <v>11</v>
      </c>
      <c r="T2517">
        <v>0</v>
      </c>
    </row>
    <row r="2518" spans="4:23" ht="15.75" customHeight="1" x14ac:dyDescent="0.2">
      <c r="D2518" t="s">
        <v>285</v>
      </c>
      <c r="E2518" t="s">
        <v>439</v>
      </c>
      <c r="F2518">
        <v>13</v>
      </c>
      <c r="P2518" t="s">
        <v>362</v>
      </c>
      <c r="Q2518">
        <v>101</v>
      </c>
      <c r="R2518" t="s">
        <v>253</v>
      </c>
      <c r="S2518" t="s">
        <v>12</v>
      </c>
      <c r="T2518" t="s">
        <v>364</v>
      </c>
    </row>
    <row r="2519" spans="4:23" ht="15.75" customHeight="1" x14ac:dyDescent="0.2">
      <c r="D2519" t="s">
        <v>285</v>
      </c>
      <c r="E2519" t="s">
        <v>439</v>
      </c>
      <c r="F2519">
        <v>13</v>
      </c>
      <c r="P2519" t="s">
        <v>362</v>
      </c>
      <c r="Q2519">
        <v>101</v>
      </c>
      <c r="R2519" t="s">
        <v>255</v>
      </c>
      <c r="S2519" t="s">
        <v>15</v>
      </c>
      <c r="T2519">
        <v>0</v>
      </c>
    </row>
    <row r="2520" spans="4:23" ht="15.75" customHeight="1" x14ac:dyDescent="0.2">
      <c r="D2520" t="s">
        <v>285</v>
      </c>
      <c r="E2520" t="s">
        <v>439</v>
      </c>
      <c r="F2520">
        <v>13</v>
      </c>
      <c r="P2520" t="s">
        <v>362</v>
      </c>
      <c r="Q2520">
        <v>101</v>
      </c>
      <c r="R2520" t="s">
        <v>293</v>
      </c>
      <c r="S2520" t="s">
        <v>13</v>
      </c>
      <c r="T2520">
        <v>0</v>
      </c>
    </row>
    <row r="2521" spans="4:23" ht="15.75" customHeight="1" x14ac:dyDescent="0.2">
      <c r="D2521" t="s">
        <v>285</v>
      </c>
      <c r="E2521" t="s">
        <v>439</v>
      </c>
      <c r="F2521">
        <v>13</v>
      </c>
      <c r="P2521" t="s">
        <v>362</v>
      </c>
      <c r="Q2521">
        <v>101</v>
      </c>
      <c r="R2521" t="s">
        <v>294</v>
      </c>
      <c r="S2521" t="s">
        <v>14</v>
      </c>
      <c r="T2521">
        <v>1</v>
      </c>
    </row>
    <row r="2522" spans="4:23" ht="15.75" customHeight="1" x14ac:dyDescent="0.2">
      <c r="D2522" t="s">
        <v>285</v>
      </c>
      <c r="E2522" t="s">
        <v>439</v>
      </c>
      <c r="F2522">
        <v>13</v>
      </c>
      <c r="P2522" t="s">
        <v>362</v>
      </c>
      <c r="Q2522">
        <v>101</v>
      </c>
      <c r="R2522" t="s">
        <v>257</v>
      </c>
      <c r="S2522" t="s">
        <v>16</v>
      </c>
      <c r="T2522">
        <v>0</v>
      </c>
    </row>
    <row r="2523" spans="4:23" ht="15.75" customHeight="1" x14ac:dyDescent="0.2">
      <c r="D2523" t="s">
        <v>285</v>
      </c>
      <c r="E2523" t="s">
        <v>439</v>
      </c>
      <c r="F2523">
        <v>13</v>
      </c>
      <c r="P2523" t="s">
        <v>362</v>
      </c>
      <c r="Q2523">
        <v>101</v>
      </c>
      <c r="R2523" t="s">
        <v>295</v>
      </c>
      <c r="S2523" t="s">
        <v>17</v>
      </c>
      <c r="T2523" t="s">
        <v>366</v>
      </c>
    </row>
    <row r="2524" spans="4:23" ht="15.75" customHeight="1" x14ac:dyDescent="0.2">
      <c r="D2524" t="s">
        <v>285</v>
      </c>
      <c r="E2524" t="s">
        <v>439</v>
      </c>
      <c r="F2524">
        <v>13</v>
      </c>
      <c r="P2524" t="s">
        <v>362</v>
      </c>
      <c r="Q2524">
        <v>101</v>
      </c>
      <c r="R2524" t="s">
        <v>296</v>
      </c>
      <c r="S2524" t="s">
        <v>1</v>
      </c>
      <c r="T2524">
        <v>1</v>
      </c>
    </row>
    <row r="2525" spans="4:23" ht="15.75" customHeight="1" x14ac:dyDescent="0.2">
      <c r="D2525" t="s">
        <v>285</v>
      </c>
      <c r="E2525" t="s">
        <v>439</v>
      </c>
      <c r="F2525">
        <v>13</v>
      </c>
      <c r="P2525" t="s">
        <v>362</v>
      </c>
      <c r="Q2525">
        <v>101</v>
      </c>
      <c r="R2525" t="s">
        <v>297</v>
      </c>
      <c r="S2525" t="s">
        <v>18</v>
      </c>
      <c r="T2525" t="s">
        <v>366</v>
      </c>
    </row>
    <row r="2526" spans="4:23" ht="15.75" customHeight="1" x14ac:dyDescent="0.2">
      <c r="D2526" t="s">
        <v>285</v>
      </c>
      <c r="E2526" t="s">
        <v>439</v>
      </c>
      <c r="F2526">
        <v>13</v>
      </c>
      <c r="P2526" t="s">
        <v>362</v>
      </c>
      <c r="Q2526">
        <v>101</v>
      </c>
      <c r="R2526" t="s">
        <v>298</v>
      </c>
      <c r="S2526" t="s">
        <v>19</v>
      </c>
      <c r="T2526">
        <v>1</v>
      </c>
    </row>
    <row r="2527" spans="4:23" ht="15.75" customHeight="1" x14ac:dyDescent="0.2">
      <c r="D2527" t="s">
        <v>285</v>
      </c>
      <c r="E2527" t="s">
        <v>439</v>
      </c>
      <c r="F2527">
        <v>13</v>
      </c>
      <c r="P2527" t="s">
        <v>362</v>
      </c>
      <c r="Q2527">
        <v>101</v>
      </c>
      <c r="R2527" t="s">
        <v>299</v>
      </c>
      <c r="S2527" t="s">
        <v>20</v>
      </c>
      <c r="T2527">
        <v>0</v>
      </c>
    </row>
    <row r="2528" spans="4:23" ht="15.75" customHeight="1" x14ac:dyDescent="0.2">
      <c r="D2528" t="s">
        <v>285</v>
      </c>
      <c r="E2528" t="s">
        <v>439</v>
      </c>
      <c r="F2528">
        <v>13</v>
      </c>
      <c r="U2528" t="s">
        <v>300</v>
      </c>
      <c r="V2528" t="s">
        <v>301</v>
      </c>
      <c r="W2528">
        <v>0</v>
      </c>
    </row>
    <row r="2529" spans="4:23" ht="15.75" customHeight="1" x14ac:dyDescent="0.2">
      <c r="D2529" t="s">
        <v>285</v>
      </c>
      <c r="E2529" t="s">
        <v>439</v>
      </c>
      <c r="F2529">
        <v>13</v>
      </c>
      <c r="U2529" t="s">
        <v>288</v>
      </c>
      <c r="V2529" t="s">
        <v>302</v>
      </c>
      <c r="W2529">
        <v>1</v>
      </c>
    </row>
    <row r="2530" spans="4:23" ht="15.75" customHeight="1" x14ac:dyDescent="0.2">
      <c r="D2530" t="s">
        <v>285</v>
      </c>
      <c r="E2530" t="s">
        <v>439</v>
      </c>
      <c r="F2530">
        <v>13</v>
      </c>
      <c r="U2530" t="s">
        <v>303</v>
      </c>
      <c r="V2530" t="s">
        <v>304</v>
      </c>
      <c r="W2530">
        <v>11</v>
      </c>
    </row>
    <row r="2531" spans="4:23" ht="15.75" customHeight="1" x14ac:dyDescent="0.2">
      <c r="D2531" t="s">
        <v>285</v>
      </c>
      <c r="E2531" t="s">
        <v>439</v>
      </c>
      <c r="F2531">
        <v>13</v>
      </c>
      <c r="U2531" t="s">
        <v>305</v>
      </c>
      <c r="V2531" t="s">
        <v>306</v>
      </c>
      <c r="W2531" t="s">
        <v>366</v>
      </c>
    </row>
    <row r="2532" spans="4:23" ht="15.75" customHeight="1" x14ac:dyDescent="0.2">
      <c r="D2532" t="s">
        <v>285</v>
      </c>
      <c r="E2532" t="s">
        <v>439</v>
      </c>
      <c r="F2532">
        <v>13</v>
      </c>
      <c r="U2532" t="s">
        <v>307</v>
      </c>
      <c r="V2532" t="s">
        <v>308</v>
      </c>
      <c r="W2532" t="s">
        <v>366</v>
      </c>
    </row>
    <row r="2533" spans="4:23" ht="15.75" customHeight="1" x14ac:dyDescent="0.2">
      <c r="D2533" t="s">
        <v>285</v>
      </c>
      <c r="E2533" t="s">
        <v>439</v>
      </c>
      <c r="F2533">
        <v>13</v>
      </c>
      <c r="U2533" t="s">
        <v>243</v>
      </c>
      <c r="V2533" t="s">
        <v>309</v>
      </c>
      <c r="W2533" t="s">
        <v>366</v>
      </c>
    </row>
    <row r="2534" spans="4:23" ht="15.75" customHeight="1" x14ac:dyDescent="0.2">
      <c r="D2534" t="s">
        <v>285</v>
      </c>
      <c r="E2534" t="s">
        <v>439</v>
      </c>
      <c r="F2534">
        <v>13</v>
      </c>
      <c r="U2534" t="s">
        <v>245</v>
      </c>
      <c r="V2534" t="s">
        <v>310</v>
      </c>
      <c r="W2534" t="s">
        <v>366</v>
      </c>
    </row>
    <row r="2535" spans="4:23" ht="15.75" customHeight="1" x14ac:dyDescent="0.2">
      <c r="D2535" t="s">
        <v>285</v>
      </c>
      <c r="E2535" t="s">
        <v>439</v>
      </c>
      <c r="F2535">
        <v>13</v>
      </c>
      <c r="U2535" t="s">
        <v>247</v>
      </c>
      <c r="V2535" t="s">
        <v>311</v>
      </c>
      <c r="W2535" t="s">
        <v>366</v>
      </c>
    </row>
    <row r="2536" spans="4:23" ht="15.75" customHeight="1" x14ac:dyDescent="0.2">
      <c r="D2536" t="s">
        <v>285</v>
      </c>
      <c r="E2536" t="s">
        <v>439</v>
      </c>
      <c r="F2536">
        <v>13</v>
      </c>
      <c r="U2536" t="s">
        <v>249</v>
      </c>
      <c r="V2536" t="s">
        <v>312</v>
      </c>
      <c r="W2536" t="s">
        <v>366</v>
      </c>
    </row>
    <row r="2537" spans="4:23" ht="15.75" customHeight="1" x14ac:dyDescent="0.2">
      <c r="D2537" t="s">
        <v>285</v>
      </c>
      <c r="E2537" t="s">
        <v>439</v>
      </c>
      <c r="F2537">
        <v>13</v>
      </c>
      <c r="U2537" t="s">
        <v>251</v>
      </c>
      <c r="V2537" t="s">
        <v>313</v>
      </c>
      <c r="W2537" t="s">
        <v>366</v>
      </c>
    </row>
    <row r="2538" spans="4:23" ht="15.75" customHeight="1" x14ac:dyDescent="0.2">
      <c r="D2538" t="s">
        <v>285</v>
      </c>
      <c r="E2538" t="s">
        <v>439</v>
      </c>
      <c r="F2538">
        <v>13</v>
      </c>
      <c r="U2538" t="s">
        <v>253</v>
      </c>
      <c r="V2538" t="s">
        <v>314</v>
      </c>
      <c r="W2538" t="s">
        <v>366</v>
      </c>
    </row>
    <row r="2539" spans="4:23" ht="15.75" customHeight="1" x14ac:dyDescent="0.2">
      <c r="D2539" t="s">
        <v>285</v>
      </c>
      <c r="E2539" t="s">
        <v>439</v>
      </c>
      <c r="F2539">
        <v>13</v>
      </c>
      <c r="U2539" t="s">
        <v>315</v>
      </c>
      <c r="V2539" t="s">
        <v>316</v>
      </c>
      <c r="W2539" t="s">
        <v>366</v>
      </c>
    </row>
    <row r="2540" spans="4:23" ht="15.75" customHeight="1" x14ac:dyDescent="0.2">
      <c r="D2540" t="s">
        <v>285</v>
      </c>
      <c r="E2540" t="s">
        <v>439</v>
      </c>
      <c r="F2540">
        <v>13</v>
      </c>
      <c r="U2540" t="s">
        <v>317</v>
      </c>
      <c r="V2540" t="s">
        <v>318</v>
      </c>
      <c r="W2540">
        <v>10</v>
      </c>
    </row>
    <row r="2541" spans="4:23" ht="15.75" customHeight="1" x14ac:dyDescent="0.2">
      <c r="D2541" t="s">
        <v>285</v>
      </c>
      <c r="E2541" t="s">
        <v>439</v>
      </c>
      <c r="F2541">
        <v>13</v>
      </c>
      <c r="U2541" t="s">
        <v>257</v>
      </c>
      <c r="V2541" t="s">
        <v>319</v>
      </c>
      <c r="W2541" t="s">
        <v>367</v>
      </c>
    </row>
    <row r="2542" spans="4:23" ht="15.75" customHeight="1" x14ac:dyDescent="0.2">
      <c r="D2542" t="s">
        <v>285</v>
      </c>
      <c r="E2542" t="s">
        <v>439</v>
      </c>
      <c r="F2542">
        <v>13</v>
      </c>
      <c r="U2542" t="s">
        <v>320</v>
      </c>
      <c r="V2542" t="s">
        <v>321</v>
      </c>
      <c r="W2542" t="s">
        <v>366</v>
      </c>
    </row>
    <row r="2543" spans="4:23" ht="15.75" customHeight="1" x14ac:dyDescent="0.2">
      <c r="D2543" t="s">
        <v>285</v>
      </c>
      <c r="E2543" t="s">
        <v>439</v>
      </c>
      <c r="F2543">
        <v>13</v>
      </c>
      <c r="U2543" t="s">
        <v>263</v>
      </c>
      <c r="V2543" t="s">
        <v>322</v>
      </c>
      <c r="W2543" t="s">
        <v>366</v>
      </c>
    </row>
    <row r="2544" spans="4:23" ht="15.75" customHeight="1" x14ac:dyDescent="0.2">
      <c r="D2544" t="s">
        <v>285</v>
      </c>
      <c r="E2544" t="s">
        <v>439</v>
      </c>
      <c r="F2544">
        <v>13</v>
      </c>
      <c r="U2544" t="s">
        <v>323</v>
      </c>
      <c r="V2544" t="s">
        <v>324</v>
      </c>
      <c r="W2544" t="s">
        <v>366</v>
      </c>
    </row>
    <row r="2545" spans="4:23" ht="15.75" customHeight="1" x14ac:dyDescent="0.2">
      <c r="D2545" t="s">
        <v>285</v>
      </c>
      <c r="E2545" t="s">
        <v>439</v>
      </c>
      <c r="F2545">
        <v>13</v>
      </c>
      <c r="U2545" t="s">
        <v>325</v>
      </c>
      <c r="V2545" t="s">
        <v>326</v>
      </c>
      <c r="W2545" t="s">
        <v>366</v>
      </c>
    </row>
    <row r="2546" spans="4:23" ht="15.75" customHeight="1" x14ac:dyDescent="0.2">
      <c r="D2546" t="s">
        <v>285</v>
      </c>
      <c r="E2546" t="s">
        <v>439</v>
      </c>
      <c r="F2546">
        <v>13</v>
      </c>
      <c r="U2546" t="s">
        <v>327</v>
      </c>
      <c r="V2546" t="s">
        <v>328</v>
      </c>
      <c r="W2546" t="s">
        <v>366</v>
      </c>
    </row>
    <row r="2547" spans="4:23" ht="15.75" customHeight="1" x14ac:dyDescent="0.2">
      <c r="D2547" t="s">
        <v>285</v>
      </c>
      <c r="E2547" t="s">
        <v>439</v>
      </c>
      <c r="F2547">
        <v>13</v>
      </c>
      <c r="U2547" t="s">
        <v>329</v>
      </c>
      <c r="V2547" t="s">
        <v>330</v>
      </c>
      <c r="W2547" t="s">
        <v>366</v>
      </c>
    </row>
    <row r="2548" spans="4:23" ht="15.75" customHeight="1" x14ac:dyDescent="0.2">
      <c r="D2548" t="s">
        <v>285</v>
      </c>
      <c r="E2548" t="s">
        <v>439</v>
      </c>
      <c r="F2548">
        <v>13</v>
      </c>
      <c r="U2548" t="s">
        <v>331</v>
      </c>
      <c r="V2548" t="s">
        <v>332</v>
      </c>
      <c r="W2548" t="s">
        <v>366</v>
      </c>
    </row>
    <row r="2549" spans="4:23" ht="15.75" customHeight="1" x14ac:dyDescent="0.2">
      <c r="D2549" t="s">
        <v>285</v>
      </c>
      <c r="E2549" t="s">
        <v>439</v>
      </c>
      <c r="F2549">
        <v>13</v>
      </c>
      <c r="U2549" t="s">
        <v>333</v>
      </c>
      <c r="V2549" t="s">
        <v>334</v>
      </c>
      <c r="W2549" t="s">
        <v>366</v>
      </c>
    </row>
    <row r="2550" spans="4:23" ht="15.75" customHeight="1" x14ac:dyDescent="0.2">
      <c r="D2550" t="s">
        <v>285</v>
      </c>
      <c r="E2550" t="s">
        <v>439</v>
      </c>
      <c r="F2550">
        <v>13</v>
      </c>
      <c r="U2550" t="s">
        <v>335</v>
      </c>
      <c r="V2550" t="s">
        <v>336</v>
      </c>
      <c r="W2550" t="s">
        <v>366</v>
      </c>
    </row>
    <row r="2551" spans="4:23" ht="15.75" customHeight="1" x14ac:dyDescent="0.2">
      <c r="D2551" t="s">
        <v>285</v>
      </c>
      <c r="E2551" t="s">
        <v>439</v>
      </c>
      <c r="F2551">
        <v>13</v>
      </c>
      <c r="U2551" t="s">
        <v>337</v>
      </c>
      <c r="V2551" t="s">
        <v>338</v>
      </c>
      <c r="W2551" t="s">
        <v>366</v>
      </c>
    </row>
    <row r="2552" spans="4:23" ht="15.75" customHeight="1" x14ac:dyDescent="0.2">
      <c r="D2552" t="s">
        <v>285</v>
      </c>
      <c r="E2552" t="s">
        <v>439</v>
      </c>
      <c r="F2552">
        <v>13</v>
      </c>
      <c r="U2552" t="s">
        <v>339</v>
      </c>
      <c r="V2552" t="s">
        <v>340</v>
      </c>
      <c r="W2552" t="s">
        <v>366</v>
      </c>
    </row>
    <row r="2553" spans="4:23" ht="15.75" customHeight="1" x14ac:dyDescent="0.2">
      <c r="D2553" t="s">
        <v>285</v>
      </c>
      <c r="E2553" t="s">
        <v>439</v>
      </c>
      <c r="F2553">
        <v>13</v>
      </c>
      <c r="U2553" t="s">
        <v>341</v>
      </c>
      <c r="V2553" t="s">
        <v>342</v>
      </c>
      <c r="W2553" t="s">
        <v>366</v>
      </c>
    </row>
    <row r="2554" spans="4:23" ht="15.75" customHeight="1" x14ac:dyDescent="0.2">
      <c r="D2554" t="s">
        <v>285</v>
      </c>
      <c r="E2554" t="s">
        <v>439</v>
      </c>
      <c r="F2554">
        <v>13</v>
      </c>
      <c r="U2554" t="s">
        <v>343</v>
      </c>
      <c r="V2554" t="s">
        <v>344</v>
      </c>
      <c r="W2554" t="s">
        <v>366</v>
      </c>
    </row>
    <row r="2555" spans="4:23" ht="15.75" customHeight="1" x14ac:dyDescent="0.2">
      <c r="D2555" t="s">
        <v>285</v>
      </c>
      <c r="E2555" t="s">
        <v>439</v>
      </c>
      <c r="F2555">
        <v>13</v>
      </c>
      <c r="U2555" t="s">
        <v>345</v>
      </c>
      <c r="V2555" t="s">
        <v>346</v>
      </c>
      <c r="W2555" t="s">
        <v>366</v>
      </c>
    </row>
    <row r="2556" spans="4:23" ht="15.75" customHeight="1" x14ac:dyDescent="0.2">
      <c r="D2556" t="s">
        <v>285</v>
      </c>
      <c r="E2556" t="s">
        <v>439</v>
      </c>
      <c r="F2556">
        <v>13</v>
      </c>
      <c r="U2556" t="s">
        <v>347</v>
      </c>
      <c r="V2556" t="s">
        <v>348</v>
      </c>
      <c r="W2556" t="s">
        <v>366</v>
      </c>
    </row>
    <row r="2557" spans="4:23" ht="15.75" customHeight="1" x14ac:dyDescent="0.2">
      <c r="D2557" t="s">
        <v>285</v>
      </c>
      <c r="E2557" t="s">
        <v>445</v>
      </c>
      <c r="F2557">
        <v>14</v>
      </c>
      <c r="P2557" t="s">
        <v>446</v>
      </c>
      <c r="Q2557">
        <v>102</v>
      </c>
      <c r="R2557" t="s">
        <v>288</v>
      </c>
      <c r="S2557" t="s">
        <v>2</v>
      </c>
      <c r="T2557">
        <v>0</v>
      </c>
    </row>
    <row r="2558" spans="4:23" ht="15.75" customHeight="1" x14ac:dyDescent="0.2">
      <c r="D2558" t="s">
        <v>285</v>
      </c>
      <c r="E2558" t="s">
        <v>445</v>
      </c>
      <c r="F2558">
        <v>14</v>
      </c>
      <c r="P2558" t="s">
        <v>446</v>
      </c>
      <c r="Q2558">
        <v>102</v>
      </c>
      <c r="R2558" t="s">
        <v>289</v>
      </c>
      <c r="S2558" t="s">
        <v>5</v>
      </c>
      <c r="T2558">
        <v>0</v>
      </c>
    </row>
    <row r="2559" spans="4:23" ht="15.75" customHeight="1" x14ac:dyDescent="0.2">
      <c r="D2559" t="s">
        <v>285</v>
      </c>
      <c r="E2559" t="s">
        <v>445</v>
      </c>
      <c r="F2559">
        <v>14</v>
      </c>
      <c r="P2559" t="s">
        <v>446</v>
      </c>
      <c r="Q2559">
        <v>102</v>
      </c>
      <c r="R2559" t="s">
        <v>290</v>
      </c>
      <c r="S2559" t="s">
        <v>3</v>
      </c>
      <c r="T2559">
        <v>0</v>
      </c>
    </row>
    <row r="2560" spans="4:23" ht="15.75" customHeight="1" x14ac:dyDescent="0.2">
      <c r="D2560" t="s">
        <v>285</v>
      </c>
      <c r="E2560" t="s">
        <v>445</v>
      </c>
      <c r="F2560">
        <v>14</v>
      </c>
      <c r="P2560" t="s">
        <v>446</v>
      </c>
      <c r="Q2560">
        <v>102</v>
      </c>
      <c r="R2560" t="s">
        <v>291</v>
      </c>
      <c r="S2560" t="s">
        <v>4</v>
      </c>
      <c r="T2560">
        <v>0</v>
      </c>
    </row>
    <row r="2561" spans="4:20" ht="15.75" customHeight="1" x14ac:dyDescent="0.2">
      <c r="D2561" t="s">
        <v>285</v>
      </c>
      <c r="E2561" t="s">
        <v>445</v>
      </c>
      <c r="F2561">
        <v>14</v>
      </c>
      <c r="P2561" t="s">
        <v>446</v>
      </c>
      <c r="Q2561">
        <v>102</v>
      </c>
      <c r="R2561" t="s">
        <v>292</v>
      </c>
      <c r="S2561" t="s">
        <v>6</v>
      </c>
      <c r="T2561">
        <v>0</v>
      </c>
    </row>
    <row r="2562" spans="4:20" ht="15.75" customHeight="1" x14ac:dyDescent="0.2">
      <c r="D2562" t="s">
        <v>285</v>
      </c>
      <c r="E2562" t="s">
        <v>445</v>
      </c>
      <c r="F2562">
        <v>14</v>
      </c>
      <c r="P2562" t="s">
        <v>446</v>
      </c>
      <c r="Q2562">
        <v>102</v>
      </c>
      <c r="R2562" t="s">
        <v>243</v>
      </c>
      <c r="S2562" t="s">
        <v>7</v>
      </c>
      <c r="T2562">
        <v>0</v>
      </c>
    </row>
    <row r="2563" spans="4:20" ht="15.75" customHeight="1" x14ac:dyDescent="0.2">
      <c r="D2563" t="s">
        <v>285</v>
      </c>
      <c r="E2563" t="s">
        <v>445</v>
      </c>
      <c r="F2563">
        <v>14</v>
      </c>
      <c r="P2563" t="s">
        <v>446</v>
      </c>
      <c r="Q2563">
        <v>102</v>
      </c>
      <c r="R2563" t="s">
        <v>245</v>
      </c>
      <c r="S2563" t="s">
        <v>8</v>
      </c>
      <c r="T2563" t="s">
        <v>364</v>
      </c>
    </row>
    <row r="2564" spans="4:20" ht="15.75" customHeight="1" x14ac:dyDescent="0.2">
      <c r="D2564" t="s">
        <v>285</v>
      </c>
      <c r="E2564" t="s">
        <v>445</v>
      </c>
      <c r="F2564">
        <v>14</v>
      </c>
      <c r="P2564" t="s">
        <v>446</v>
      </c>
      <c r="Q2564">
        <v>102</v>
      </c>
      <c r="R2564" t="s">
        <v>247</v>
      </c>
      <c r="S2564" t="s">
        <v>9</v>
      </c>
      <c r="T2564" t="s">
        <v>364</v>
      </c>
    </row>
    <row r="2565" spans="4:20" ht="15.75" customHeight="1" x14ac:dyDescent="0.2">
      <c r="D2565" t="s">
        <v>285</v>
      </c>
      <c r="E2565" t="s">
        <v>445</v>
      </c>
      <c r="F2565">
        <v>14</v>
      </c>
      <c r="P2565" t="s">
        <v>446</v>
      </c>
      <c r="Q2565">
        <v>102</v>
      </c>
      <c r="R2565" t="s">
        <v>249</v>
      </c>
      <c r="S2565" t="s">
        <v>10</v>
      </c>
      <c r="T2565">
        <v>0</v>
      </c>
    </row>
    <row r="2566" spans="4:20" ht="15.75" customHeight="1" x14ac:dyDescent="0.2">
      <c r="D2566" t="s">
        <v>285</v>
      </c>
      <c r="E2566" t="s">
        <v>445</v>
      </c>
      <c r="F2566">
        <v>14</v>
      </c>
      <c r="P2566" t="s">
        <v>446</v>
      </c>
      <c r="Q2566">
        <v>102</v>
      </c>
      <c r="R2566" t="s">
        <v>251</v>
      </c>
      <c r="S2566" t="s">
        <v>11</v>
      </c>
      <c r="T2566">
        <v>0</v>
      </c>
    </row>
    <row r="2567" spans="4:20" ht="15.75" customHeight="1" x14ac:dyDescent="0.2">
      <c r="D2567" t="s">
        <v>285</v>
      </c>
      <c r="E2567" t="s">
        <v>445</v>
      </c>
      <c r="F2567">
        <v>14</v>
      </c>
      <c r="P2567" t="s">
        <v>446</v>
      </c>
      <c r="Q2567">
        <v>102</v>
      </c>
      <c r="R2567" t="s">
        <v>253</v>
      </c>
      <c r="S2567" t="s">
        <v>12</v>
      </c>
      <c r="T2567" t="s">
        <v>364</v>
      </c>
    </row>
    <row r="2568" spans="4:20" ht="15.75" customHeight="1" x14ac:dyDescent="0.2">
      <c r="D2568" t="s">
        <v>285</v>
      </c>
      <c r="E2568" t="s">
        <v>445</v>
      </c>
      <c r="F2568">
        <v>14</v>
      </c>
      <c r="P2568" t="s">
        <v>446</v>
      </c>
      <c r="Q2568">
        <v>102</v>
      </c>
      <c r="R2568" t="s">
        <v>255</v>
      </c>
      <c r="S2568" t="s">
        <v>15</v>
      </c>
      <c r="T2568">
        <v>0</v>
      </c>
    </row>
    <row r="2569" spans="4:20" ht="15.75" customHeight="1" x14ac:dyDescent="0.2">
      <c r="D2569" t="s">
        <v>285</v>
      </c>
      <c r="E2569" t="s">
        <v>445</v>
      </c>
      <c r="F2569">
        <v>14</v>
      </c>
      <c r="P2569" t="s">
        <v>446</v>
      </c>
      <c r="Q2569">
        <v>102</v>
      </c>
      <c r="R2569" t="s">
        <v>293</v>
      </c>
      <c r="S2569" t="s">
        <v>13</v>
      </c>
      <c r="T2569">
        <v>0</v>
      </c>
    </row>
    <row r="2570" spans="4:20" ht="15.75" customHeight="1" x14ac:dyDescent="0.2">
      <c r="D2570" t="s">
        <v>285</v>
      </c>
      <c r="E2570" t="s">
        <v>445</v>
      </c>
      <c r="F2570">
        <v>14</v>
      </c>
      <c r="P2570" t="s">
        <v>446</v>
      </c>
      <c r="Q2570">
        <v>102</v>
      </c>
      <c r="R2570" t="s">
        <v>294</v>
      </c>
      <c r="S2570" t="s">
        <v>14</v>
      </c>
      <c r="T2570">
        <v>0</v>
      </c>
    </row>
    <row r="2571" spans="4:20" ht="15.75" customHeight="1" x14ac:dyDescent="0.2">
      <c r="D2571" t="s">
        <v>285</v>
      </c>
      <c r="E2571" t="s">
        <v>445</v>
      </c>
      <c r="F2571">
        <v>14</v>
      </c>
      <c r="P2571" t="s">
        <v>446</v>
      </c>
      <c r="Q2571">
        <v>102</v>
      </c>
      <c r="R2571" t="s">
        <v>257</v>
      </c>
      <c r="S2571" t="s">
        <v>16</v>
      </c>
      <c r="T2571">
        <v>0</v>
      </c>
    </row>
    <row r="2572" spans="4:20" ht="15.75" customHeight="1" x14ac:dyDescent="0.2">
      <c r="D2572" t="s">
        <v>285</v>
      </c>
      <c r="E2572" t="s">
        <v>445</v>
      </c>
      <c r="F2572">
        <v>14</v>
      </c>
      <c r="P2572" t="s">
        <v>446</v>
      </c>
      <c r="Q2572">
        <v>102</v>
      </c>
      <c r="R2572" t="s">
        <v>295</v>
      </c>
      <c r="S2572" t="s">
        <v>17</v>
      </c>
      <c r="T2572" t="s">
        <v>366</v>
      </c>
    </row>
    <row r="2573" spans="4:20" ht="15.75" customHeight="1" x14ac:dyDescent="0.2">
      <c r="D2573" t="s">
        <v>285</v>
      </c>
      <c r="E2573" t="s">
        <v>445</v>
      </c>
      <c r="F2573">
        <v>14</v>
      </c>
      <c r="P2573" t="s">
        <v>446</v>
      </c>
      <c r="Q2573">
        <v>102</v>
      </c>
      <c r="R2573" t="s">
        <v>296</v>
      </c>
      <c r="S2573" t="s">
        <v>1</v>
      </c>
      <c r="T2573">
        <v>1</v>
      </c>
    </row>
    <row r="2574" spans="4:20" ht="15.75" customHeight="1" x14ac:dyDescent="0.2">
      <c r="D2574" t="s">
        <v>285</v>
      </c>
      <c r="E2574" t="s">
        <v>445</v>
      </c>
      <c r="F2574">
        <v>14</v>
      </c>
      <c r="P2574" t="s">
        <v>446</v>
      </c>
      <c r="Q2574">
        <v>102</v>
      </c>
      <c r="R2574" t="s">
        <v>297</v>
      </c>
      <c r="S2574" t="s">
        <v>18</v>
      </c>
      <c r="T2574" t="s">
        <v>366</v>
      </c>
    </row>
    <row r="2575" spans="4:20" ht="15.75" customHeight="1" x14ac:dyDescent="0.2">
      <c r="D2575" t="s">
        <v>285</v>
      </c>
      <c r="E2575" t="s">
        <v>445</v>
      </c>
      <c r="F2575">
        <v>14</v>
      </c>
      <c r="P2575" t="s">
        <v>446</v>
      </c>
      <c r="Q2575">
        <v>102</v>
      </c>
      <c r="R2575" t="s">
        <v>298</v>
      </c>
      <c r="S2575" t="s">
        <v>19</v>
      </c>
      <c r="T2575">
        <v>0</v>
      </c>
    </row>
    <row r="2576" spans="4:20" ht="15.75" customHeight="1" x14ac:dyDescent="0.2">
      <c r="D2576" t="s">
        <v>285</v>
      </c>
      <c r="E2576" t="s">
        <v>445</v>
      </c>
      <c r="F2576">
        <v>14</v>
      </c>
      <c r="P2576" t="s">
        <v>446</v>
      </c>
      <c r="Q2576">
        <v>102</v>
      </c>
      <c r="R2576" t="s">
        <v>299</v>
      </c>
      <c r="S2576" t="s">
        <v>20</v>
      </c>
      <c r="T2576">
        <v>0</v>
      </c>
    </row>
    <row r="2577" spans="4:20" ht="15.75" customHeight="1" x14ac:dyDescent="0.2">
      <c r="D2577" t="s">
        <v>285</v>
      </c>
      <c r="E2577" t="s">
        <v>445</v>
      </c>
      <c r="F2577">
        <v>14</v>
      </c>
      <c r="P2577" t="s">
        <v>447</v>
      </c>
      <c r="Q2577">
        <v>103</v>
      </c>
      <c r="R2577" t="s">
        <v>288</v>
      </c>
      <c r="S2577" t="s">
        <v>2</v>
      </c>
      <c r="T2577">
        <v>0</v>
      </c>
    </row>
    <row r="2578" spans="4:20" ht="15.75" customHeight="1" x14ac:dyDescent="0.2">
      <c r="D2578" t="s">
        <v>285</v>
      </c>
      <c r="E2578" t="s">
        <v>445</v>
      </c>
      <c r="F2578">
        <v>14</v>
      </c>
      <c r="P2578" t="s">
        <v>447</v>
      </c>
      <c r="Q2578">
        <v>103</v>
      </c>
      <c r="R2578" t="s">
        <v>289</v>
      </c>
      <c r="S2578" t="s">
        <v>5</v>
      </c>
      <c r="T2578">
        <v>0</v>
      </c>
    </row>
    <row r="2579" spans="4:20" ht="15.75" customHeight="1" x14ac:dyDescent="0.2">
      <c r="D2579" t="s">
        <v>285</v>
      </c>
      <c r="E2579" t="s">
        <v>445</v>
      </c>
      <c r="F2579">
        <v>14</v>
      </c>
      <c r="P2579" t="s">
        <v>447</v>
      </c>
      <c r="Q2579">
        <v>103</v>
      </c>
      <c r="R2579" t="s">
        <v>290</v>
      </c>
      <c r="S2579" t="s">
        <v>3</v>
      </c>
      <c r="T2579">
        <v>0</v>
      </c>
    </row>
    <row r="2580" spans="4:20" ht="15.75" customHeight="1" x14ac:dyDescent="0.2">
      <c r="D2580" t="s">
        <v>285</v>
      </c>
      <c r="E2580" t="s">
        <v>445</v>
      </c>
      <c r="F2580">
        <v>14</v>
      </c>
      <c r="P2580" t="s">
        <v>447</v>
      </c>
      <c r="Q2580">
        <v>103</v>
      </c>
      <c r="R2580" t="s">
        <v>291</v>
      </c>
      <c r="S2580" t="s">
        <v>4</v>
      </c>
      <c r="T2580">
        <v>0</v>
      </c>
    </row>
    <row r="2581" spans="4:20" ht="15.75" customHeight="1" x14ac:dyDescent="0.2">
      <c r="D2581" t="s">
        <v>285</v>
      </c>
      <c r="E2581" t="s">
        <v>445</v>
      </c>
      <c r="F2581">
        <v>14</v>
      </c>
      <c r="P2581" t="s">
        <v>447</v>
      </c>
      <c r="Q2581">
        <v>103</v>
      </c>
      <c r="R2581" t="s">
        <v>292</v>
      </c>
      <c r="S2581" t="s">
        <v>6</v>
      </c>
      <c r="T2581">
        <v>0</v>
      </c>
    </row>
    <row r="2582" spans="4:20" ht="15.75" customHeight="1" x14ac:dyDescent="0.2">
      <c r="D2582" t="s">
        <v>285</v>
      </c>
      <c r="E2582" t="s">
        <v>445</v>
      </c>
      <c r="F2582">
        <v>14</v>
      </c>
      <c r="P2582" t="s">
        <v>447</v>
      </c>
      <c r="Q2582">
        <v>103</v>
      </c>
      <c r="R2582" t="s">
        <v>243</v>
      </c>
      <c r="S2582" t="s">
        <v>7</v>
      </c>
      <c r="T2582">
        <v>0</v>
      </c>
    </row>
    <row r="2583" spans="4:20" ht="15.75" customHeight="1" x14ac:dyDescent="0.2">
      <c r="D2583" t="s">
        <v>285</v>
      </c>
      <c r="E2583" t="s">
        <v>445</v>
      </c>
      <c r="F2583">
        <v>14</v>
      </c>
      <c r="P2583" t="s">
        <v>447</v>
      </c>
      <c r="Q2583">
        <v>103</v>
      </c>
      <c r="R2583" t="s">
        <v>245</v>
      </c>
      <c r="S2583" t="s">
        <v>8</v>
      </c>
      <c r="T2583">
        <v>0</v>
      </c>
    </row>
    <row r="2584" spans="4:20" ht="15.75" customHeight="1" x14ac:dyDescent="0.2">
      <c r="D2584" t="s">
        <v>285</v>
      </c>
      <c r="E2584" t="s">
        <v>445</v>
      </c>
      <c r="F2584">
        <v>14</v>
      </c>
      <c r="P2584" t="s">
        <v>447</v>
      </c>
      <c r="Q2584">
        <v>103</v>
      </c>
      <c r="R2584" t="s">
        <v>247</v>
      </c>
      <c r="S2584" t="s">
        <v>9</v>
      </c>
      <c r="T2584">
        <v>0</v>
      </c>
    </row>
    <row r="2585" spans="4:20" ht="15.75" customHeight="1" x14ac:dyDescent="0.2">
      <c r="D2585" t="s">
        <v>285</v>
      </c>
      <c r="E2585" t="s">
        <v>445</v>
      </c>
      <c r="F2585">
        <v>14</v>
      </c>
      <c r="P2585" t="s">
        <v>447</v>
      </c>
      <c r="Q2585">
        <v>103</v>
      </c>
      <c r="R2585" t="s">
        <v>249</v>
      </c>
      <c r="S2585" t="s">
        <v>10</v>
      </c>
      <c r="T2585">
        <v>1</v>
      </c>
    </row>
    <row r="2586" spans="4:20" ht="15.75" customHeight="1" x14ac:dyDescent="0.2">
      <c r="D2586" t="s">
        <v>285</v>
      </c>
      <c r="E2586" t="s">
        <v>445</v>
      </c>
      <c r="F2586">
        <v>14</v>
      </c>
      <c r="P2586" t="s">
        <v>447</v>
      </c>
      <c r="Q2586">
        <v>103</v>
      </c>
      <c r="R2586" t="s">
        <v>251</v>
      </c>
      <c r="S2586" t="s">
        <v>11</v>
      </c>
      <c r="T2586">
        <v>1</v>
      </c>
    </row>
    <row r="2587" spans="4:20" ht="15.75" customHeight="1" x14ac:dyDescent="0.2">
      <c r="D2587" t="s">
        <v>285</v>
      </c>
      <c r="E2587" t="s">
        <v>445</v>
      </c>
      <c r="F2587">
        <v>14</v>
      </c>
      <c r="P2587" t="s">
        <v>447</v>
      </c>
      <c r="Q2587">
        <v>103</v>
      </c>
      <c r="R2587" t="s">
        <v>253</v>
      </c>
      <c r="S2587" t="s">
        <v>12</v>
      </c>
      <c r="T2587">
        <v>0</v>
      </c>
    </row>
    <row r="2588" spans="4:20" ht="15.75" customHeight="1" x14ac:dyDescent="0.2">
      <c r="D2588" t="s">
        <v>285</v>
      </c>
      <c r="E2588" t="s">
        <v>445</v>
      </c>
      <c r="F2588">
        <v>14</v>
      </c>
      <c r="P2588" t="s">
        <v>447</v>
      </c>
      <c r="Q2588">
        <v>103</v>
      </c>
      <c r="R2588" t="s">
        <v>255</v>
      </c>
      <c r="S2588" t="s">
        <v>15</v>
      </c>
      <c r="T2588">
        <v>0</v>
      </c>
    </row>
    <row r="2589" spans="4:20" ht="15.75" customHeight="1" x14ac:dyDescent="0.2">
      <c r="D2589" t="s">
        <v>285</v>
      </c>
      <c r="E2589" t="s">
        <v>445</v>
      </c>
      <c r="F2589">
        <v>14</v>
      </c>
      <c r="P2589" t="s">
        <v>447</v>
      </c>
      <c r="Q2589">
        <v>103</v>
      </c>
      <c r="R2589" t="s">
        <v>293</v>
      </c>
      <c r="S2589" t="s">
        <v>13</v>
      </c>
      <c r="T2589">
        <v>0</v>
      </c>
    </row>
    <row r="2590" spans="4:20" ht="15.75" customHeight="1" x14ac:dyDescent="0.2">
      <c r="D2590" t="s">
        <v>285</v>
      </c>
      <c r="E2590" t="s">
        <v>445</v>
      </c>
      <c r="F2590">
        <v>14</v>
      </c>
      <c r="P2590" t="s">
        <v>447</v>
      </c>
      <c r="Q2590">
        <v>103</v>
      </c>
      <c r="R2590" t="s">
        <v>294</v>
      </c>
      <c r="S2590" t="s">
        <v>14</v>
      </c>
      <c r="T2590">
        <v>0</v>
      </c>
    </row>
    <row r="2591" spans="4:20" ht="15.75" customHeight="1" x14ac:dyDescent="0.2">
      <c r="D2591" t="s">
        <v>285</v>
      </c>
      <c r="E2591" t="s">
        <v>445</v>
      </c>
      <c r="F2591">
        <v>14</v>
      </c>
      <c r="P2591" t="s">
        <v>447</v>
      </c>
      <c r="Q2591">
        <v>103</v>
      </c>
      <c r="R2591" t="s">
        <v>257</v>
      </c>
      <c r="S2591" t="s">
        <v>16</v>
      </c>
      <c r="T2591">
        <v>0</v>
      </c>
    </row>
    <row r="2592" spans="4:20" ht="15.75" customHeight="1" x14ac:dyDescent="0.2">
      <c r="D2592" t="s">
        <v>285</v>
      </c>
      <c r="E2592" t="s">
        <v>445</v>
      </c>
      <c r="F2592">
        <v>14</v>
      </c>
      <c r="P2592" t="s">
        <v>447</v>
      </c>
      <c r="Q2592">
        <v>103</v>
      </c>
      <c r="R2592" t="s">
        <v>295</v>
      </c>
      <c r="S2592" t="s">
        <v>17</v>
      </c>
      <c r="T2592" t="s">
        <v>366</v>
      </c>
    </row>
    <row r="2593" spans="4:20" ht="15.75" customHeight="1" x14ac:dyDescent="0.2">
      <c r="D2593" t="s">
        <v>285</v>
      </c>
      <c r="E2593" t="s">
        <v>445</v>
      </c>
      <c r="F2593">
        <v>14</v>
      </c>
      <c r="P2593" t="s">
        <v>447</v>
      </c>
      <c r="Q2593">
        <v>103</v>
      </c>
      <c r="R2593" t="s">
        <v>296</v>
      </c>
      <c r="S2593" t="s">
        <v>1</v>
      </c>
      <c r="T2593">
        <v>1</v>
      </c>
    </row>
    <row r="2594" spans="4:20" ht="15.75" customHeight="1" x14ac:dyDescent="0.2">
      <c r="D2594" t="s">
        <v>285</v>
      </c>
      <c r="E2594" t="s">
        <v>445</v>
      </c>
      <c r="F2594">
        <v>14</v>
      </c>
      <c r="P2594" t="s">
        <v>447</v>
      </c>
      <c r="Q2594">
        <v>103</v>
      </c>
      <c r="R2594" t="s">
        <v>297</v>
      </c>
      <c r="S2594" t="s">
        <v>18</v>
      </c>
      <c r="T2594" t="s">
        <v>366</v>
      </c>
    </row>
    <row r="2595" spans="4:20" ht="15.75" customHeight="1" x14ac:dyDescent="0.2">
      <c r="D2595" t="s">
        <v>285</v>
      </c>
      <c r="E2595" t="s">
        <v>445</v>
      </c>
      <c r="F2595">
        <v>14</v>
      </c>
      <c r="P2595" t="s">
        <v>447</v>
      </c>
      <c r="Q2595">
        <v>103</v>
      </c>
      <c r="R2595" t="s">
        <v>298</v>
      </c>
      <c r="S2595" t="s">
        <v>19</v>
      </c>
      <c r="T2595">
        <v>0</v>
      </c>
    </row>
    <row r="2596" spans="4:20" ht="15.75" customHeight="1" x14ac:dyDescent="0.2">
      <c r="D2596" t="s">
        <v>285</v>
      </c>
      <c r="E2596" t="s">
        <v>445</v>
      </c>
      <c r="F2596">
        <v>14</v>
      </c>
      <c r="P2596" t="s">
        <v>447</v>
      </c>
      <c r="Q2596">
        <v>103</v>
      </c>
      <c r="R2596" t="s">
        <v>299</v>
      </c>
      <c r="S2596" t="s">
        <v>20</v>
      </c>
      <c r="T2596">
        <v>1</v>
      </c>
    </row>
    <row r="2597" spans="4:20" ht="15.75" customHeight="1" x14ac:dyDescent="0.2">
      <c r="D2597" t="s">
        <v>285</v>
      </c>
      <c r="E2597" t="s">
        <v>445</v>
      </c>
      <c r="F2597">
        <v>14</v>
      </c>
      <c r="P2597" t="s">
        <v>448</v>
      </c>
      <c r="Q2597">
        <v>104</v>
      </c>
      <c r="R2597" t="s">
        <v>288</v>
      </c>
      <c r="S2597" t="s">
        <v>2</v>
      </c>
      <c r="T2597">
        <v>0</v>
      </c>
    </row>
    <row r="2598" spans="4:20" ht="15.75" customHeight="1" x14ac:dyDescent="0.2">
      <c r="D2598" t="s">
        <v>285</v>
      </c>
      <c r="E2598" t="s">
        <v>445</v>
      </c>
      <c r="F2598">
        <v>14</v>
      </c>
      <c r="P2598" t="s">
        <v>448</v>
      </c>
      <c r="Q2598">
        <v>104</v>
      </c>
      <c r="R2598" t="s">
        <v>289</v>
      </c>
      <c r="S2598" t="s">
        <v>5</v>
      </c>
      <c r="T2598">
        <v>0</v>
      </c>
    </row>
    <row r="2599" spans="4:20" ht="15.75" customHeight="1" x14ac:dyDescent="0.2">
      <c r="D2599" t="s">
        <v>285</v>
      </c>
      <c r="E2599" t="s">
        <v>445</v>
      </c>
      <c r="F2599">
        <v>14</v>
      </c>
      <c r="P2599" t="s">
        <v>448</v>
      </c>
      <c r="Q2599">
        <v>104</v>
      </c>
      <c r="R2599" t="s">
        <v>290</v>
      </c>
      <c r="S2599" t="s">
        <v>3</v>
      </c>
      <c r="T2599">
        <v>0</v>
      </c>
    </row>
    <row r="2600" spans="4:20" ht="15.75" customHeight="1" x14ac:dyDescent="0.2">
      <c r="D2600" t="s">
        <v>285</v>
      </c>
      <c r="E2600" t="s">
        <v>445</v>
      </c>
      <c r="F2600">
        <v>14</v>
      </c>
      <c r="P2600" t="s">
        <v>448</v>
      </c>
      <c r="Q2600">
        <v>104</v>
      </c>
      <c r="R2600" t="s">
        <v>291</v>
      </c>
      <c r="S2600" t="s">
        <v>4</v>
      </c>
      <c r="T2600">
        <v>0</v>
      </c>
    </row>
    <row r="2601" spans="4:20" ht="15.75" customHeight="1" x14ac:dyDescent="0.2">
      <c r="D2601" t="s">
        <v>285</v>
      </c>
      <c r="E2601" t="s">
        <v>445</v>
      </c>
      <c r="F2601">
        <v>14</v>
      </c>
      <c r="P2601" t="s">
        <v>448</v>
      </c>
      <c r="Q2601">
        <v>104</v>
      </c>
      <c r="R2601" t="s">
        <v>292</v>
      </c>
      <c r="S2601" t="s">
        <v>6</v>
      </c>
      <c r="T2601">
        <v>0</v>
      </c>
    </row>
    <row r="2602" spans="4:20" ht="15.75" customHeight="1" x14ac:dyDescent="0.2">
      <c r="D2602" t="s">
        <v>285</v>
      </c>
      <c r="E2602" t="s">
        <v>445</v>
      </c>
      <c r="F2602">
        <v>14</v>
      </c>
      <c r="P2602" t="s">
        <v>448</v>
      </c>
      <c r="Q2602">
        <v>104</v>
      </c>
      <c r="R2602" t="s">
        <v>243</v>
      </c>
      <c r="S2602" t="s">
        <v>7</v>
      </c>
      <c r="T2602">
        <v>0</v>
      </c>
    </row>
    <row r="2603" spans="4:20" ht="15.75" customHeight="1" x14ac:dyDescent="0.2">
      <c r="D2603" t="s">
        <v>285</v>
      </c>
      <c r="E2603" t="s">
        <v>445</v>
      </c>
      <c r="F2603">
        <v>14</v>
      </c>
      <c r="P2603" t="s">
        <v>448</v>
      </c>
      <c r="Q2603">
        <v>104</v>
      </c>
      <c r="R2603" t="s">
        <v>245</v>
      </c>
      <c r="S2603" t="s">
        <v>8</v>
      </c>
      <c r="T2603">
        <v>0</v>
      </c>
    </row>
    <row r="2604" spans="4:20" ht="15.75" customHeight="1" x14ac:dyDescent="0.2">
      <c r="D2604" t="s">
        <v>285</v>
      </c>
      <c r="E2604" t="s">
        <v>445</v>
      </c>
      <c r="F2604">
        <v>14</v>
      </c>
      <c r="P2604" t="s">
        <v>448</v>
      </c>
      <c r="Q2604">
        <v>104</v>
      </c>
      <c r="R2604" t="s">
        <v>247</v>
      </c>
      <c r="S2604" t="s">
        <v>9</v>
      </c>
      <c r="T2604">
        <v>0</v>
      </c>
    </row>
    <row r="2605" spans="4:20" ht="15.75" customHeight="1" x14ac:dyDescent="0.2">
      <c r="D2605" t="s">
        <v>285</v>
      </c>
      <c r="E2605" t="s">
        <v>445</v>
      </c>
      <c r="F2605">
        <v>14</v>
      </c>
      <c r="P2605" t="s">
        <v>448</v>
      </c>
      <c r="Q2605">
        <v>104</v>
      </c>
      <c r="R2605" t="s">
        <v>249</v>
      </c>
      <c r="S2605" t="s">
        <v>10</v>
      </c>
      <c r="T2605">
        <v>1</v>
      </c>
    </row>
    <row r="2606" spans="4:20" ht="15.75" customHeight="1" x14ac:dyDescent="0.2">
      <c r="D2606" t="s">
        <v>285</v>
      </c>
      <c r="E2606" t="s">
        <v>445</v>
      </c>
      <c r="F2606">
        <v>14</v>
      </c>
      <c r="P2606" t="s">
        <v>448</v>
      </c>
      <c r="Q2606">
        <v>104</v>
      </c>
      <c r="R2606" t="s">
        <v>251</v>
      </c>
      <c r="S2606" t="s">
        <v>11</v>
      </c>
      <c r="T2606">
        <v>1</v>
      </c>
    </row>
    <row r="2607" spans="4:20" ht="15.75" customHeight="1" x14ac:dyDescent="0.2">
      <c r="D2607" t="s">
        <v>285</v>
      </c>
      <c r="E2607" t="s">
        <v>445</v>
      </c>
      <c r="F2607">
        <v>14</v>
      </c>
      <c r="P2607" t="s">
        <v>448</v>
      </c>
      <c r="Q2607">
        <v>104</v>
      </c>
      <c r="R2607" t="s">
        <v>253</v>
      </c>
      <c r="S2607" t="s">
        <v>12</v>
      </c>
      <c r="T2607">
        <v>0</v>
      </c>
    </row>
    <row r="2608" spans="4:20" ht="15.75" customHeight="1" x14ac:dyDescent="0.2">
      <c r="D2608" t="s">
        <v>285</v>
      </c>
      <c r="E2608" t="s">
        <v>445</v>
      </c>
      <c r="F2608">
        <v>14</v>
      </c>
      <c r="P2608" t="s">
        <v>448</v>
      </c>
      <c r="Q2608">
        <v>104</v>
      </c>
      <c r="R2608" t="s">
        <v>255</v>
      </c>
      <c r="S2608" t="s">
        <v>15</v>
      </c>
      <c r="T2608">
        <v>0</v>
      </c>
    </row>
    <row r="2609" spans="4:20" ht="15.75" customHeight="1" x14ac:dyDescent="0.2">
      <c r="D2609" t="s">
        <v>285</v>
      </c>
      <c r="E2609" t="s">
        <v>445</v>
      </c>
      <c r="F2609">
        <v>14</v>
      </c>
      <c r="P2609" t="s">
        <v>448</v>
      </c>
      <c r="Q2609">
        <v>104</v>
      </c>
      <c r="R2609" t="s">
        <v>293</v>
      </c>
      <c r="S2609" t="s">
        <v>13</v>
      </c>
      <c r="T2609">
        <v>0</v>
      </c>
    </row>
    <row r="2610" spans="4:20" ht="15.75" customHeight="1" x14ac:dyDescent="0.2">
      <c r="D2610" t="s">
        <v>285</v>
      </c>
      <c r="E2610" t="s">
        <v>445</v>
      </c>
      <c r="F2610">
        <v>14</v>
      </c>
      <c r="P2610" t="s">
        <v>448</v>
      </c>
      <c r="Q2610">
        <v>104</v>
      </c>
      <c r="R2610" t="s">
        <v>294</v>
      </c>
      <c r="S2610" t="s">
        <v>14</v>
      </c>
      <c r="T2610">
        <v>0</v>
      </c>
    </row>
    <row r="2611" spans="4:20" ht="15.75" customHeight="1" x14ac:dyDescent="0.2">
      <c r="D2611" t="s">
        <v>285</v>
      </c>
      <c r="E2611" t="s">
        <v>445</v>
      </c>
      <c r="F2611">
        <v>14</v>
      </c>
      <c r="P2611" t="s">
        <v>448</v>
      </c>
      <c r="Q2611">
        <v>104</v>
      </c>
      <c r="R2611" t="s">
        <v>257</v>
      </c>
      <c r="S2611" t="s">
        <v>16</v>
      </c>
      <c r="T2611">
        <v>0</v>
      </c>
    </row>
    <row r="2612" spans="4:20" ht="15.75" customHeight="1" x14ac:dyDescent="0.2">
      <c r="D2612" t="s">
        <v>285</v>
      </c>
      <c r="E2612" t="s">
        <v>445</v>
      </c>
      <c r="F2612">
        <v>14</v>
      </c>
      <c r="P2612" t="s">
        <v>448</v>
      </c>
      <c r="Q2612">
        <v>104</v>
      </c>
      <c r="R2612" t="s">
        <v>295</v>
      </c>
      <c r="S2612" t="s">
        <v>17</v>
      </c>
      <c r="T2612" t="s">
        <v>366</v>
      </c>
    </row>
    <row r="2613" spans="4:20" ht="15.75" customHeight="1" x14ac:dyDescent="0.2">
      <c r="D2613" t="s">
        <v>285</v>
      </c>
      <c r="E2613" t="s">
        <v>445</v>
      </c>
      <c r="F2613">
        <v>14</v>
      </c>
      <c r="P2613" t="s">
        <v>448</v>
      </c>
      <c r="Q2613">
        <v>104</v>
      </c>
      <c r="R2613" t="s">
        <v>296</v>
      </c>
      <c r="S2613" t="s">
        <v>1</v>
      </c>
      <c r="T2613">
        <v>1</v>
      </c>
    </row>
    <row r="2614" spans="4:20" ht="15.75" customHeight="1" x14ac:dyDescent="0.2">
      <c r="D2614" t="s">
        <v>285</v>
      </c>
      <c r="E2614" t="s">
        <v>445</v>
      </c>
      <c r="F2614">
        <v>14</v>
      </c>
      <c r="P2614" t="s">
        <v>448</v>
      </c>
      <c r="Q2614">
        <v>104</v>
      </c>
      <c r="R2614" t="s">
        <v>297</v>
      </c>
      <c r="S2614" t="s">
        <v>18</v>
      </c>
      <c r="T2614" t="s">
        <v>366</v>
      </c>
    </row>
    <row r="2615" spans="4:20" ht="15.75" customHeight="1" x14ac:dyDescent="0.2">
      <c r="D2615" t="s">
        <v>285</v>
      </c>
      <c r="E2615" t="s">
        <v>445</v>
      </c>
      <c r="F2615">
        <v>14</v>
      </c>
      <c r="P2615" t="s">
        <v>448</v>
      </c>
      <c r="Q2615">
        <v>104</v>
      </c>
      <c r="R2615" t="s">
        <v>298</v>
      </c>
      <c r="S2615" t="s">
        <v>19</v>
      </c>
      <c r="T2615">
        <v>0</v>
      </c>
    </row>
    <row r="2616" spans="4:20" ht="15.75" customHeight="1" x14ac:dyDescent="0.2">
      <c r="D2616" t="s">
        <v>285</v>
      </c>
      <c r="E2616" t="s">
        <v>445</v>
      </c>
      <c r="F2616">
        <v>14</v>
      </c>
      <c r="P2616" t="s">
        <v>448</v>
      </c>
      <c r="Q2616">
        <v>104</v>
      </c>
      <c r="R2616" t="s">
        <v>299</v>
      </c>
      <c r="S2616" t="s">
        <v>20</v>
      </c>
      <c r="T2616">
        <v>0</v>
      </c>
    </row>
    <row r="2617" spans="4:20" ht="15.75" customHeight="1" x14ac:dyDescent="0.2">
      <c r="D2617" t="s">
        <v>285</v>
      </c>
      <c r="E2617" t="s">
        <v>445</v>
      </c>
      <c r="F2617">
        <v>14</v>
      </c>
      <c r="P2617" t="s">
        <v>449</v>
      </c>
      <c r="Q2617">
        <v>105</v>
      </c>
      <c r="R2617" t="s">
        <v>288</v>
      </c>
      <c r="S2617" t="s">
        <v>2</v>
      </c>
      <c r="T2617">
        <v>0</v>
      </c>
    </row>
    <row r="2618" spans="4:20" ht="15.75" customHeight="1" x14ac:dyDescent="0.2">
      <c r="D2618" t="s">
        <v>285</v>
      </c>
      <c r="E2618" t="s">
        <v>445</v>
      </c>
      <c r="F2618">
        <v>14</v>
      </c>
      <c r="P2618" t="s">
        <v>449</v>
      </c>
      <c r="Q2618">
        <v>105</v>
      </c>
      <c r="R2618" t="s">
        <v>289</v>
      </c>
      <c r="S2618" t="s">
        <v>5</v>
      </c>
      <c r="T2618">
        <v>0</v>
      </c>
    </row>
    <row r="2619" spans="4:20" ht="15.75" customHeight="1" x14ac:dyDescent="0.2">
      <c r="D2619" t="s">
        <v>285</v>
      </c>
      <c r="E2619" t="s">
        <v>445</v>
      </c>
      <c r="F2619">
        <v>14</v>
      </c>
      <c r="P2619" t="s">
        <v>449</v>
      </c>
      <c r="Q2619">
        <v>105</v>
      </c>
      <c r="R2619" t="s">
        <v>290</v>
      </c>
      <c r="S2619" t="s">
        <v>3</v>
      </c>
      <c r="T2619">
        <v>0</v>
      </c>
    </row>
    <row r="2620" spans="4:20" ht="15.75" customHeight="1" x14ac:dyDescent="0.2">
      <c r="D2620" t="s">
        <v>285</v>
      </c>
      <c r="E2620" t="s">
        <v>445</v>
      </c>
      <c r="F2620">
        <v>14</v>
      </c>
      <c r="P2620" t="s">
        <v>449</v>
      </c>
      <c r="Q2620">
        <v>105</v>
      </c>
      <c r="R2620" t="s">
        <v>291</v>
      </c>
      <c r="S2620" t="s">
        <v>4</v>
      </c>
      <c r="T2620">
        <v>0</v>
      </c>
    </row>
    <row r="2621" spans="4:20" ht="15.75" customHeight="1" x14ac:dyDescent="0.2">
      <c r="D2621" t="s">
        <v>285</v>
      </c>
      <c r="E2621" t="s">
        <v>445</v>
      </c>
      <c r="F2621">
        <v>14</v>
      </c>
      <c r="P2621" t="s">
        <v>449</v>
      </c>
      <c r="Q2621">
        <v>105</v>
      </c>
      <c r="R2621" t="s">
        <v>292</v>
      </c>
      <c r="S2621" t="s">
        <v>6</v>
      </c>
      <c r="T2621">
        <v>0</v>
      </c>
    </row>
    <row r="2622" spans="4:20" ht="15.75" customHeight="1" x14ac:dyDescent="0.2">
      <c r="D2622" t="s">
        <v>285</v>
      </c>
      <c r="E2622" t="s">
        <v>445</v>
      </c>
      <c r="F2622">
        <v>14</v>
      </c>
      <c r="P2622" t="s">
        <v>449</v>
      </c>
      <c r="Q2622">
        <v>105</v>
      </c>
      <c r="R2622" t="s">
        <v>243</v>
      </c>
      <c r="S2622" t="s">
        <v>7</v>
      </c>
      <c r="T2622">
        <v>0</v>
      </c>
    </row>
    <row r="2623" spans="4:20" ht="15.75" customHeight="1" x14ac:dyDescent="0.2">
      <c r="D2623" t="s">
        <v>285</v>
      </c>
      <c r="E2623" t="s">
        <v>445</v>
      </c>
      <c r="F2623">
        <v>14</v>
      </c>
      <c r="P2623" t="s">
        <v>449</v>
      </c>
      <c r="Q2623">
        <v>105</v>
      </c>
      <c r="R2623" t="s">
        <v>245</v>
      </c>
      <c r="S2623" t="s">
        <v>8</v>
      </c>
      <c r="T2623">
        <v>0</v>
      </c>
    </row>
    <row r="2624" spans="4:20" ht="15.75" customHeight="1" x14ac:dyDescent="0.2">
      <c r="D2624" t="s">
        <v>285</v>
      </c>
      <c r="E2624" t="s">
        <v>445</v>
      </c>
      <c r="F2624">
        <v>14</v>
      </c>
      <c r="P2624" t="s">
        <v>449</v>
      </c>
      <c r="Q2624">
        <v>105</v>
      </c>
      <c r="R2624" t="s">
        <v>247</v>
      </c>
      <c r="S2624" t="s">
        <v>9</v>
      </c>
      <c r="T2624">
        <v>0</v>
      </c>
    </row>
    <row r="2625" spans="4:20" ht="15.75" customHeight="1" x14ac:dyDescent="0.2">
      <c r="D2625" t="s">
        <v>285</v>
      </c>
      <c r="E2625" t="s">
        <v>445</v>
      </c>
      <c r="F2625">
        <v>14</v>
      </c>
      <c r="P2625" t="s">
        <v>449</v>
      </c>
      <c r="Q2625">
        <v>105</v>
      </c>
      <c r="R2625" t="s">
        <v>249</v>
      </c>
      <c r="S2625" t="s">
        <v>10</v>
      </c>
      <c r="T2625">
        <v>1</v>
      </c>
    </row>
    <row r="2626" spans="4:20" ht="15.75" customHeight="1" x14ac:dyDescent="0.2">
      <c r="D2626" t="s">
        <v>285</v>
      </c>
      <c r="E2626" t="s">
        <v>445</v>
      </c>
      <c r="F2626">
        <v>14</v>
      </c>
      <c r="P2626" t="s">
        <v>449</v>
      </c>
      <c r="Q2626">
        <v>105</v>
      </c>
      <c r="R2626" t="s">
        <v>251</v>
      </c>
      <c r="S2626" t="s">
        <v>11</v>
      </c>
      <c r="T2626">
        <v>1</v>
      </c>
    </row>
    <row r="2627" spans="4:20" ht="15.75" customHeight="1" x14ac:dyDescent="0.2">
      <c r="D2627" t="s">
        <v>285</v>
      </c>
      <c r="E2627" t="s">
        <v>445</v>
      </c>
      <c r="F2627">
        <v>14</v>
      </c>
      <c r="P2627" t="s">
        <v>449</v>
      </c>
      <c r="Q2627">
        <v>105</v>
      </c>
      <c r="R2627" t="s">
        <v>253</v>
      </c>
      <c r="S2627" t="s">
        <v>12</v>
      </c>
      <c r="T2627">
        <v>0</v>
      </c>
    </row>
    <row r="2628" spans="4:20" ht="15.75" customHeight="1" x14ac:dyDescent="0.2">
      <c r="D2628" t="s">
        <v>285</v>
      </c>
      <c r="E2628" t="s">
        <v>445</v>
      </c>
      <c r="F2628">
        <v>14</v>
      </c>
      <c r="P2628" t="s">
        <v>449</v>
      </c>
      <c r="Q2628">
        <v>105</v>
      </c>
      <c r="R2628" t="s">
        <v>255</v>
      </c>
      <c r="S2628" t="s">
        <v>15</v>
      </c>
      <c r="T2628">
        <v>0</v>
      </c>
    </row>
    <row r="2629" spans="4:20" ht="15.75" customHeight="1" x14ac:dyDescent="0.2">
      <c r="D2629" t="s">
        <v>285</v>
      </c>
      <c r="E2629" t="s">
        <v>445</v>
      </c>
      <c r="F2629">
        <v>14</v>
      </c>
      <c r="P2629" t="s">
        <v>449</v>
      </c>
      <c r="Q2629">
        <v>105</v>
      </c>
      <c r="R2629" t="s">
        <v>293</v>
      </c>
      <c r="S2629" t="s">
        <v>13</v>
      </c>
      <c r="T2629">
        <v>0</v>
      </c>
    </row>
    <row r="2630" spans="4:20" ht="15.75" customHeight="1" x14ac:dyDescent="0.2">
      <c r="D2630" t="s">
        <v>285</v>
      </c>
      <c r="E2630" t="s">
        <v>445</v>
      </c>
      <c r="F2630">
        <v>14</v>
      </c>
      <c r="P2630" t="s">
        <v>449</v>
      </c>
      <c r="Q2630">
        <v>105</v>
      </c>
      <c r="R2630" t="s">
        <v>294</v>
      </c>
      <c r="S2630" t="s">
        <v>14</v>
      </c>
      <c r="T2630">
        <v>0</v>
      </c>
    </row>
    <row r="2631" spans="4:20" ht="15.75" customHeight="1" x14ac:dyDescent="0.2">
      <c r="D2631" t="s">
        <v>285</v>
      </c>
      <c r="E2631" t="s">
        <v>445</v>
      </c>
      <c r="F2631">
        <v>14</v>
      </c>
      <c r="P2631" t="s">
        <v>449</v>
      </c>
      <c r="Q2631">
        <v>105</v>
      </c>
      <c r="R2631" t="s">
        <v>257</v>
      </c>
      <c r="S2631" t="s">
        <v>16</v>
      </c>
      <c r="T2631">
        <v>0</v>
      </c>
    </row>
    <row r="2632" spans="4:20" ht="15.75" customHeight="1" x14ac:dyDescent="0.2">
      <c r="D2632" t="s">
        <v>285</v>
      </c>
      <c r="E2632" t="s">
        <v>445</v>
      </c>
      <c r="F2632">
        <v>14</v>
      </c>
      <c r="P2632" t="s">
        <v>449</v>
      </c>
      <c r="Q2632">
        <v>105</v>
      </c>
      <c r="R2632" t="s">
        <v>295</v>
      </c>
      <c r="S2632" t="s">
        <v>17</v>
      </c>
      <c r="T2632" t="s">
        <v>366</v>
      </c>
    </row>
    <row r="2633" spans="4:20" ht="15.75" customHeight="1" x14ac:dyDescent="0.2">
      <c r="D2633" t="s">
        <v>285</v>
      </c>
      <c r="E2633" t="s">
        <v>445</v>
      </c>
      <c r="F2633">
        <v>14</v>
      </c>
      <c r="P2633" t="s">
        <v>449</v>
      </c>
      <c r="Q2633">
        <v>105</v>
      </c>
      <c r="R2633" t="s">
        <v>296</v>
      </c>
      <c r="S2633" t="s">
        <v>1</v>
      </c>
      <c r="T2633">
        <v>1</v>
      </c>
    </row>
    <row r="2634" spans="4:20" ht="15.75" customHeight="1" x14ac:dyDescent="0.2">
      <c r="D2634" t="s">
        <v>285</v>
      </c>
      <c r="E2634" t="s">
        <v>445</v>
      </c>
      <c r="F2634">
        <v>14</v>
      </c>
      <c r="P2634" t="s">
        <v>449</v>
      </c>
      <c r="Q2634">
        <v>105</v>
      </c>
      <c r="R2634" t="s">
        <v>297</v>
      </c>
      <c r="S2634" t="s">
        <v>18</v>
      </c>
      <c r="T2634" t="s">
        <v>366</v>
      </c>
    </row>
    <row r="2635" spans="4:20" ht="15.75" customHeight="1" x14ac:dyDescent="0.2">
      <c r="D2635" t="s">
        <v>285</v>
      </c>
      <c r="E2635" t="s">
        <v>445</v>
      </c>
      <c r="F2635">
        <v>14</v>
      </c>
      <c r="P2635" t="s">
        <v>449</v>
      </c>
      <c r="Q2635">
        <v>105</v>
      </c>
      <c r="R2635" t="s">
        <v>298</v>
      </c>
      <c r="S2635" t="s">
        <v>19</v>
      </c>
      <c r="T2635">
        <v>0</v>
      </c>
    </row>
    <row r="2636" spans="4:20" ht="15.75" customHeight="1" x14ac:dyDescent="0.2">
      <c r="D2636" t="s">
        <v>285</v>
      </c>
      <c r="E2636" t="s">
        <v>445</v>
      </c>
      <c r="F2636">
        <v>14</v>
      </c>
      <c r="P2636" t="s">
        <v>449</v>
      </c>
      <c r="Q2636">
        <v>105</v>
      </c>
      <c r="R2636" t="s">
        <v>299</v>
      </c>
      <c r="S2636" t="s">
        <v>20</v>
      </c>
      <c r="T2636">
        <v>0</v>
      </c>
    </row>
    <row r="2637" spans="4:20" ht="15.75" customHeight="1" x14ac:dyDescent="0.2">
      <c r="D2637" t="s">
        <v>285</v>
      </c>
      <c r="E2637" t="s">
        <v>445</v>
      </c>
      <c r="F2637">
        <v>14</v>
      </c>
      <c r="P2637" t="s">
        <v>450</v>
      </c>
      <c r="Q2637">
        <v>106</v>
      </c>
      <c r="R2637" t="s">
        <v>288</v>
      </c>
      <c r="S2637" t="s">
        <v>2</v>
      </c>
      <c r="T2637">
        <v>0</v>
      </c>
    </row>
    <row r="2638" spans="4:20" ht="15.75" customHeight="1" x14ac:dyDescent="0.2">
      <c r="D2638" t="s">
        <v>285</v>
      </c>
      <c r="E2638" t="s">
        <v>445</v>
      </c>
      <c r="F2638">
        <v>14</v>
      </c>
      <c r="P2638" t="s">
        <v>450</v>
      </c>
      <c r="Q2638">
        <v>106</v>
      </c>
      <c r="R2638" t="s">
        <v>289</v>
      </c>
      <c r="S2638" t="s">
        <v>5</v>
      </c>
      <c r="T2638">
        <v>0</v>
      </c>
    </row>
    <row r="2639" spans="4:20" ht="15.75" customHeight="1" x14ac:dyDescent="0.2">
      <c r="D2639" t="s">
        <v>285</v>
      </c>
      <c r="E2639" t="s">
        <v>445</v>
      </c>
      <c r="F2639">
        <v>14</v>
      </c>
      <c r="P2639" t="s">
        <v>450</v>
      </c>
      <c r="Q2639">
        <v>106</v>
      </c>
      <c r="R2639" t="s">
        <v>290</v>
      </c>
      <c r="S2639" t="s">
        <v>3</v>
      </c>
      <c r="T2639">
        <v>0</v>
      </c>
    </row>
    <row r="2640" spans="4:20" ht="15.75" customHeight="1" x14ac:dyDescent="0.2">
      <c r="D2640" t="s">
        <v>285</v>
      </c>
      <c r="E2640" t="s">
        <v>445</v>
      </c>
      <c r="F2640">
        <v>14</v>
      </c>
      <c r="P2640" t="s">
        <v>450</v>
      </c>
      <c r="Q2640">
        <v>106</v>
      </c>
      <c r="R2640" t="s">
        <v>291</v>
      </c>
      <c r="S2640" t="s">
        <v>4</v>
      </c>
      <c r="T2640">
        <v>0</v>
      </c>
    </row>
    <row r="2641" spans="4:20" ht="15.75" customHeight="1" x14ac:dyDescent="0.2">
      <c r="D2641" t="s">
        <v>285</v>
      </c>
      <c r="E2641" t="s">
        <v>445</v>
      </c>
      <c r="F2641">
        <v>14</v>
      </c>
      <c r="P2641" t="s">
        <v>450</v>
      </c>
      <c r="Q2641">
        <v>106</v>
      </c>
      <c r="R2641" t="s">
        <v>292</v>
      </c>
      <c r="S2641" t="s">
        <v>6</v>
      </c>
      <c r="T2641">
        <v>0</v>
      </c>
    </row>
    <row r="2642" spans="4:20" ht="15.75" customHeight="1" x14ac:dyDescent="0.2">
      <c r="D2642" t="s">
        <v>285</v>
      </c>
      <c r="E2642" t="s">
        <v>445</v>
      </c>
      <c r="F2642">
        <v>14</v>
      </c>
      <c r="P2642" t="s">
        <v>450</v>
      </c>
      <c r="Q2642">
        <v>106</v>
      </c>
      <c r="R2642" t="s">
        <v>243</v>
      </c>
      <c r="S2642" t="s">
        <v>7</v>
      </c>
      <c r="T2642">
        <v>0</v>
      </c>
    </row>
    <row r="2643" spans="4:20" ht="15.75" customHeight="1" x14ac:dyDescent="0.2">
      <c r="D2643" t="s">
        <v>285</v>
      </c>
      <c r="E2643" t="s">
        <v>445</v>
      </c>
      <c r="F2643">
        <v>14</v>
      </c>
      <c r="P2643" t="s">
        <v>450</v>
      </c>
      <c r="Q2643">
        <v>106</v>
      </c>
      <c r="R2643" t="s">
        <v>245</v>
      </c>
      <c r="S2643" t="s">
        <v>8</v>
      </c>
      <c r="T2643">
        <v>0</v>
      </c>
    </row>
    <row r="2644" spans="4:20" ht="15.75" customHeight="1" x14ac:dyDescent="0.2">
      <c r="D2644" t="s">
        <v>285</v>
      </c>
      <c r="E2644" t="s">
        <v>445</v>
      </c>
      <c r="F2644">
        <v>14</v>
      </c>
      <c r="P2644" t="s">
        <v>450</v>
      </c>
      <c r="Q2644">
        <v>106</v>
      </c>
      <c r="R2644" t="s">
        <v>247</v>
      </c>
      <c r="S2644" t="s">
        <v>9</v>
      </c>
      <c r="T2644">
        <v>0</v>
      </c>
    </row>
    <row r="2645" spans="4:20" ht="15.75" customHeight="1" x14ac:dyDescent="0.2">
      <c r="D2645" t="s">
        <v>285</v>
      </c>
      <c r="E2645" t="s">
        <v>445</v>
      </c>
      <c r="F2645">
        <v>14</v>
      </c>
      <c r="P2645" t="s">
        <v>450</v>
      </c>
      <c r="Q2645">
        <v>106</v>
      </c>
      <c r="R2645" t="s">
        <v>249</v>
      </c>
      <c r="S2645" t="s">
        <v>10</v>
      </c>
      <c r="T2645">
        <v>1</v>
      </c>
    </row>
    <row r="2646" spans="4:20" ht="15.75" customHeight="1" x14ac:dyDescent="0.2">
      <c r="D2646" t="s">
        <v>285</v>
      </c>
      <c r="E2646" t="s">
        <v>445</v>
      </c>
      <c r="F2646">
        <v>14</v>
      </c>
      <c r="P2646" t="s">
        <v>450</v>
      </c>
      <c r="Q2646">
        <v>106</v>
      </c>
      <c r="R2646" t="s">
        <v>251</v>
      </c>
      <c r="S2646" t="s">
        <v>11</v>
      </c>
      <c r="T2646">
        <v>1</v>
      </c>
    </row>
    <row r="2647" spans="4:20" ht="15.75" customHeight="1" x14ac:dyDescent="0.2">
      <c r="D2647" t="s">
        <v>285</v>
      </c>
      <c r="E2647" t="s">
        <v>445</v>
      </c>
      <c r="F2647">
        <v>14</v>
      </c>
      <c r="P2647" t="s">
        <v>450</v>
      </c>
      <c r="Q2647">
        <v>106</v>
      </c>
      <c r="R2647" t="s">
        <v>253</v>
      </c>
      <c r="S2647" t="s">
        <v>12</v>
      </c>
      <c r="T2647">
        <v>0</v>
      </c>
    </row>
    <row r="2648" spans="4:20" ht="15.75" customHeight="1" x14ac:dyDescent="0.2">
      <c r="D2648" t="s">
        <v>285</v>
      </c>
      <c r="E2648" t="s">
        <v>445</v>
      </c>
      <c r="F2648">
        <v>14</v>
      </c>
      <c r="P2648" t="s">
        <v>450</v>
      </c>
      <c r="Q2648">
        <v>106</v>
      </c>
      <c r="R2648" t="s">
        <v>255</v>
      </c>
      <c r="S2648" t="s">
        <v>15</v>
      </c>
      <c r="T2648">
        <v>0</v>
      </c>
    </row>
    <row r="2649" spans="4:20" ht="15.75" customHeight="1" x14ac:dyDescent="0.2">
      <c r="D2649" t="s">
        <v>285</v>
      </c>
      <c r="E2649" t="s">
        <v>445</v>
      </c>
      <c r="F2649">
        <v>14</v>
      </c>
      <c r="P2649" t="s">
        <v>450</v>
      </c>
      <c r="Q2649">
        <v>106</v>
      </c>
      <c r="R2649" t="s">
        <v>293</v>
      </c>
      <c r="S2649" t="s">
        <v>13</v>
      </c>
      <c r="T2649">
        <v>0</v>
      </c>
    </row>
    <row r="2650" spans="4:20" ht="15.75" customHeight="1" x14ac:dyDescent="0.2">
      <c r="D2650" t="s">
        <v>285</v>
      </c>
      <c r="E2650" t="s">
        <v>445</v>
      </c>
      <c r="F2650">
        <v>14</v>
      </c>
      <c r="P2650" t="s">
        <v>450</v>
      </c>
      <c r="Q2650">
        <v>106</v>
      </c>
      <c r="R2650" t="s">
        <v>294</v>
      </c>
      <c r="S2650" t="s">
        <v>14</v>
      </c>
      <c r="T2650">
        <v>0</v>
      </c>
    </row>
    <row r="2651" spans="4:20" ht="15.75" customHeight="1" x14ac:dyDescent="0.2">
      <c r="D2651" t="s">
        <v>285</v>
      </c>
      <c r="E2651" t="s">
        <v>445</v>
      </c>
      <c r="F2651">
        <v>14</v>
      </c>
      <c r="P2651" t="s">
        <v>450</v>
      </c>
      <c r="Q2651">
        <v>106</v>
      </c>
      <c r="R2651" t="s">
        <v>257</v>
      </c>
      <c r="S2651" t="s">
        <v>16</v>
      </c>
      <c r="T2651">
        <v>0</v>
      </c>
    </row>
    <row r="2652" spans="4:20" ht="15.75" customHeight="1" x14ac:dyDescent="0.2">
      <c r="D2652" t="s">
        <v>285</v>
      </c>
      <c r="E2652" t="s">
        <v>445</v>
      </c>
      <c r="F2652">
        <v>14</v>
      </c>
      <c r="P2652" t="s">
        <v>450</v>
      </c>
      <c r="Q2652">
        <v>106</v>
      </c>
      <c r="R2652" t="s">
        <v>295</v>
      </c>
      <c r="S2652" t="s">
        <v>17</v>
      </c>
      <c r="T2652" t="s">
        <v>366</v>
      </c>
    </row>
    <row r="2653" spans="4:20" ht="15.75" customHeight="1" x14ac:dyDescent="0.2">
      <c r="D2653" t="s">
        <v>285</v>
      </c>
      <c r="E2653" t="s">
        <v>445</v>
      </c>
      <c r="F2653">
        <v>14</v>
      </c>
      <c r="P2653" t="s">
        <v>450</v>
      </c>
      <c r="Q2653">
        <v>106</v>
      </c>
      <c r="R2653" t="s">
        <v>296</v>
      </c>
      <c r="S2653" t="s">
        <v>1</v>
      </c>
      <c r="T2653">
        <v>1</v>
      </c>
    </row>
    <row r="2654" spans="4:20" ht="15.75" customHeight="1" x14ac:dyDescent="0.2">
      <c r="D2654" t="s">
        <v>285</v>
      </c>
      <c r="E2654" t="s">
        <v>445</v>
      </c>
      <c r="F2654">
        <v>14</v>
      </c>
      <c r="P2654" t="s">
        <v>450</v>
      </c>
      <c r="Q2654">
        <v>106</v>
      </c>
      <c r="R2654" t="s">
        <v>297</v>
      </c>
      <c r="S2654" t="s">
        <v>18</v>
      </c>
      <c r="T2654" t="s">
        <v>366</v>
      </c>
    </row>
    <row r="2655" spans="4:20" ht="15.75" customHeight="1" x14ac:dyDescent="0.2">
      <c r="D2655" t="s">
        <v>285</v>
      </c>
      <c r="E2655" t="s">
        <v>445</v>
      </c>
      <c r="F2655">
        <v>14</v>
      </c>
      <c r="P2655" t="s">
        <v>450</v>
      </c>
      <c r="Q2655">
        <v>106</v>
      </c>
      <c r="R2655" t="s">
        <v>298</v>
      </c>
      <c r="S2655" t="s">
        <v>19</v>
      </c>
      <c r="T2655">
        <v>0</v>
      </c>
    </row>
    <row r="2656" spans="4:20" ht="15.75" customHeight="1" x14ac:dyDescent="0.2">
      <c r="D2656" t="s">
        <v>285</v>
      </c>
      <c r="E2656" t="s">
        <v>445</v>
      </c>
      <c r="F2656">
        <v>14</v>
      </c>
      <c r="P2656" t="s">
        <v>450</v>
      </c>
      <c r="Q2656">
        <v>106</v>
      </c>
      <c r="R2656" t="s">
        <v>299</v>
      </c>
      <c r="S2656" t="s">
        <v>20</v>
      </c>
      <c r="T2656">
        <v>0</v>
      </c>
    </row>
    <row r="2657" spans="4:20" ht="15.75" customHeight="1" x14ac:dyDescent="0.2">
      <c r="D2657" t="s">
        <v>285</v>
      </c>
      <c r="E2657" t="s">
        <v>445</v>
      </c>
      <c r="F2657">
        <v>14</v>
      </c>
      <c r="P2657" t="s">
        <v>451</v>
      </c>
      <c r="Q2657">
        <v>107</v>
      </c>
      <c r="R2657" t="s">
        <v>288</v>
      </c>
      <c r="S2657" t="s">
        <v>2</v>
      </c>
      <c r="T2657">
        <v>0</v>
      </c>
    </row>
    <row r="2658" spans="4:20" ht="15.75" customHeight="1" x14ac:dyDescent="0.2">
      <c r="D2658" t="s">
        <v>285</v>
      </c>
      <c r="E2658" t="s">
        <v>445</v>
      </c>
      <c r="F2658">
        <v>14</v>
      </c>
      <c r="P2658" t="s">
        <v>451</v>
      </c>
      <c r="Q2658">
        <v>107</v>
      </c>
      <c r="R2658" t="s">
        <v>289</v>
      </c>
      <c r="S2658" t="s">
        <v>5</v>
      </c>
      <c r="T2658">
        <v>0</v>
      </c>
    </row>
    <row r="2659" spans="4:20" ht="15.75" customHeight="1" x14ac:dyDescent="0.2">
      <c r="D2659" t="s">
        <v>285</v>
      </c>
      <c r="E2659" t="s">
        <v>445</v>
      </c>
      <c r="F2659">
        <v>14</v>
      </c>
      <c r="P2659" t="s">
        <v>451</v>
      </c>
      <c r="Q2659">
        <v>107</v>
      </c>
      <c r="R2659" t="s">
        <v>290</v>
      </c>
      <c r="S2659" t="s">
        <v>3</v>
      </c>
      <c r="T2659">
        <v>0</v>
      </c>
    </row>
    <row r="2660" spans="4:20" ht="15.75" customHeight="1" x14ac:dyDescent="0.2">
      <c r="D2660" t="s">
        <v>285</v>
      </c>
      <c r="E2660" t="s">
        <v>445</v>
      </c>
      <c r="F2660">
        <v>14</v>
      </c>
      <c r="P2660" t="s">
        <v>451</v>
      </c>
      <c r="Q2660">
        <v>107</v>
      </c>
      <c r="R2660" t="s">
        <v>291</v>
      </c>
      <c r="S2660" t="s">
        <v>4</v>
      </c>
      <c r="T2660">
        <v>0</v>
      </c>
    </row>
    <row r="2661" spans="4:20" ht="15.75" customHeight="1" x14ac:dyDescent="0.2">
      <c r="D2661" t="s">
        <v>285</v>
      </c>
      <c r="E2661" t="s">
        <v>445</v>
      </c>
      <c r="F2661">
        <v>14</v>
      </c>
      <c r="P2661" t="s">
        <v>451</v>
      </c>
      <c r="Q2661">
        <v>107</v>
      </c>
      <c r="R2661" t="s">
        <v>292</v>
      </c>
      <c r="S2661" t="s">
        <v>6</v>
      </c>
      <c r="T2661">
        <v>0</v>
      </c>
    </row>
    <row r="2662" spans="4:20" ht="15.75" customHeight="1" x14ac:dyDescent="0.2">
      <c r="D2662" t="s">
        <v>285</v>
      </c>
      <c r="E2662" t="s">
        <v>445</v>
      </c>
      <c r="F2662">
        <v>14</v>
      </c>
      <c r="P2662" t="s">
        <v>451</v>
      </c>
      <c r="Q2662">
        <v>107</v>
      </c>
      <c r="R2662" t="s">
        <v>243</v>
      </c>
      <c r="S2662" t="s">
        <v>7</v>
      </c>
      <c r="T2662">
        <v>0</v>
      </c>
    </row>
    <row r="2663" spans="4:20" ht="15.75" customHeight="1" x14ac:dyDescent="0.2">
      <c r="D2663" t="s">
        <v>285</v>
      </c>
      <c r="E2663" t="s">
        <v>445</v>
      </c>
      <c r="F2663">
        <v>14</v>
      </c>
      <c r="P2663" t="s">
        <v>451</v>
      </c>
      <c r="Q2663">
        <v>107</v>
      </c>
      <c r="R2663" t="s">
        <v>245</v>
      </c>
      <c r="S2663" t="s">
        <v>8</v>
      </c>
      <c r="T2663">
        <v>0</v>
      </c>
    </row>
    <row r="2664" spans="4:20" ht="15.75" customHeight="1" x14ac:dyDescent="0.2">
      <c r="D2664" t="s">
        <v>285</v>
      </c>
      <c r="E2664" t="s">
        <v>445</v>
      </c>
      <c r="F2664">
        <v>14</v>
      </c>
      <c r="P2664" t="s">
        <v>451</v>
      </c>
      <c r="Q2664">
        <v>107</v>
      </c>
      <c r="R2664" t="s">
        <v>247</v>
      </c>
      <c r="S2664" t="s">
        <v>9</v>
      </c>
      <c r="T2664">
        <v>0</v>
      </c>
    </row>
    <row r="2665" spans="4:20" ht="15.75" customHeight="1" x14ac:dyDescent="0.2">
      <c r="D2665" t="s">
        <v>285</v>
      </c>
      <c r="E2665" t="s">
        <v>445</v>
      </c>
      <c r="F2665">
        <v>14</v>
      </c>
      <c r="P2665" t="s">
        <v>451</v>
      </c>
      <c r="Q2665">
        <v>107</v>
      </c>
      <c r="R2665" t="s">
        <v>249</v>
      </c>
      <c r="S2665" t="s">
        <v>10</v>
      </c>
      <c r="T2665">
        <v>1</v>
      </c>
    </row>
    <row r="2666" spans="4:20" ht="15.75" customHeight="1" x14ac:dyDescent="0.2">
      <c r="D2666" t="s">
        <v>285</v>
      </c>
      <c r="E2666" t="s">
        <v>445</v>
      </c>
      <c r="F2666">
        <v>14</v>
      </c>
      <c r="P2666" t="s">
        <v>451</v>
      </c>
      <c r="Q2666">
        <v>107</v>
      </c>
      <c r="R2666" t="s">
        <v>251</v>
      </c>
      <c r="S2666" t="s">
        <v>11</v>
      </c>
      <c r="T2666">
        <v>1</v>
      </c>
    </row>
    <row r="2667" spans="4:20" ht="15.75" customHeight="1" x14ac:dyDescent="0.2">
      <c r="D2667" t="s">
        <v>285</v>
      </c>
      <c r="E2667" t="s">
        <v>445</v>
      </c>
      <c r="F2667">
        <v>14</v>
      </c>
      <c r="P2667" t="s">
        <v>451</v>
      </c>
      <c r="Q2667">
        <v>107</v>
      </c>
      <c r="R2667" t="s">
        <v>253</v>
      </c>
      <c r="S2667" t="s">
        <v>12</v>
      </c>
      <c r="T2667">
        <v>0</v>
      </c>
    </row>
    <row r="2668" spans="4:20" ht="15.75" customHeight="1" x14ac:dyDescent="0.2">
      <c r="D2668" t="s">
        <v>285</v>
      </c>
      <c r="E2668" t="s">
        <v>445</v>
      </c>
      <c r="F2668">
        <v>14</v>
      </c>
      <c r="P2668" t="s">
        <v>451</v>
      </c>
      <c r="Q2668">
        <v>107</v>
      </c>
      <c r="R2668" t="s">
        <v>255</v>
      </c>
      <c r="S2668" t="s">
        <v>15</v>
      </c>
      <c r="T2668">
        <v>0</v>
      </c>
    </row>
    <row r="2669" spans="4:20" ht="15.75" customHeight="1" x14ac:dyDescent="0.2">
      <c r="D2669" t="s">
        <v>285</v>
      </c>
      <c r="E2669" t="s">
        <v>445</v>
      </c>
      <c r="F2669">
        <v>14</v>
      </c>
      <c r="P2669" t="s">
        <v>451</v>
      </c>
      <c r="Q2669">
        <v>107</v>
      </c>
      <c r="R2669" t="s">
        <v>293</v>
      </c>
      <c r="S2669" t="s">
        <v>13</v>
      </c>
      <c r="T2669">
        <v>0</v>
      </c>
    </row>
    <row r="2670" spans="4:20" ht="15.75" customHeight="1" x14ac:dyDescent="0.2">
      <c r="D2670" t="s">
        <v>285</v>
      </c>
      <c r="E2670" t="s">
        <v>445</v>
      </c>
      <c r="F2670">
        <v>14</v>
      </c>
      <c r="P2670" t="s">
        <v>451</v>
      </c>
      <c r="Q2670">
        <v>107</v>
      </c>
      <c r="R2670" t="s">
        <v>294</v>
      </c>
      <c r="S2670" t="s">
        <v>14</v>
      </c>
      <c r="T2670">
        <v>0</v>
      </c>
    </row>
    <row r="2671" spans="4:20" ht="15.75" customHeight="1" x14ac:dyDescent="0.2">
      <c r="D2671" t="s">
        <v>285</v>
      </c>
      <c r="E2671" t="s">
        <v>445</v>
      </c>
      <c r="F2671">
        <v>14</v>
      </c>
      <c r="P2671" t="s">
        <v>451</v>
      </c>
      <c r="Q2671">
        <v>107</v>
      </c>
      <c r="R2671" t="s">
        <v>257</v>
      </c>
      <c r="S2671" t="s">
        <v>16</v>
      </c>
      <c r="T2671">
        <v>0</v>
      </c>
    </row>
    <row r="2672" spans="4:20" ht="15.75" customHeight="1" x14ac:dyDescent="0.2">
      <c r="D2672" t="s">
        <v>285</v>
      </c>
      <c r="E2672" t="s">
        <v>445</v>
      </c>
      <c r="F2672">
        <v>14</v>
      </c>
      <c r="P2672" t="s">
        <v>451</v>
      </c>
      <c r="Q2672">
        <v>107</v>
      </c>
      <c r="R2672" t="s">
        <v>295</v>
      </c>
      <c r="S2672" t="s">
        <v>17</v>
      </c>
      <c r="T2672" t="s">
        <v>366</v>
      </c>
    </row>
    <row r="2673" spans="4:20" ht="15.75" customHeight="1" x14ac:dyDescent="0.2">
      <c r="D2673" t="s">
        <v>285</v>
      </c>
      <c r="E2673" t="s">
        <v>445</v>
      </c>
      <c r="F2673">
        <v>14</v>
      </c>
      <c r="P2673" t="s">
        <v>451</v>
      </c>
      <c r="Q2673">
        <v>107</v>
      </c>
      <c r="R2673" t="s">
        <v>296</v>
      </c>
      <c r="S2673" t="s">
        <v>1</v>
      </c>
      <c r="T2673">
        <v>1</v>
      </c>
    </row>
    <row r="2674" spans="4:20" ht="15.75" customHeight="1" x14ac:dyDescent="0.2">
      <c r="D2674" t="s">
        <v>285</v>
      </c>
      <c r="E2674" t="s">
        <v>445</v>
      </c>
      <c r="F2674">
        <v>14</v>
      </c>
      <c r="P2674" t="s">
        <v>451</v>
      </c>
      <c r="Q2674">
        <v>107</v>
      </c>
      <c r="R2674" t="s">
        <v>297</v>
      </c>
      <c r="S2674" t="s">
        <v>18</v>
      </c>
      <c r="T2674" t="s">
        <v>366</v>
      </c>
    </row>
    <row r="2675" spans="4:20" ht="15.75" customHeight="1" x14ac:dyDescent="0.2">
      <c r="D2675" t="s">
        <v>285</v>
      </c>
      <c r="E2675" t="s">
        <v>445</v>
      </c>
      <c r="F2675">
        <v>14</v>
      </c>
      <c r="P2675" t="s">
        <v>451</v>
      </c>
      <c r="Q2675">
        <v>107</v>
      </c>
      <c r="R2675" t="s">
        <v>298</v>
      </c>
      <c r="S2675" t="s">
        <v>19</v>
      </c>
      <c r="T2675">
        <v>0</v>
      </c>
    </row>
    <row r="2676" spans="4:20" ht="15.75" customHeight="1" x14ac:dyDescent="0.2">
      <c r="D2676" t="s">
        <v>285</v>
      </c>
      <c r="E2676" t="s">
        <v>445</v>
      </c>
      <c r="F2676">
        <v>14</v>
      </c>
      <c r="P2676" t="s">
        <v>451</v>
      </c>
      <c r="Q2676">
        <v>107</v>
      </c>
      <c r="R2676" t="s">
        <v>299</v>
      </c>
      <c r="S2676" t="s">
        <v>20</v>
      </c>
      <c r="T2676">
        <v>0</v>
      </c>
    </row>
    <row r="2677" spans="4:20" ht="15.75" customHeight="1" x14ac:dyDescent="0.2">
      <c r="D2677" t="s">
        <v>285</v>
      </c>
      <c r="E2677" t="s">
        <v>445</v>
      </c>
      <c r="F2677">
        <v>14</v>
      </c>
      <c r="P2677" t="s">
        <v>452</v>
      </c>
      <c r="Q2677">
        <v>108</v>
      </c>
      <c r="R2677" t="s">
        <v>288</v>
      </c>
      <c r="S2677" t="s">
        <v>2</v>
      </c>
      <c r="T2677">
        <v>0</v>
      </c>
    </row>
    <row r="2678" spans="4:20" ht="15.75" customHeight="1" x14ac:dyDescent="0.2">
      <c r="D2678" t="s">
        <v>285</v>
      </c>
      <c r="E2678" t="s">
        <v>445</v>
      </c>
      <c r="F2678">
        <v>14</v>
      </c>
      <c r="P2678" t="s">
        <v>452</v>
      </c>
      <c r="Q2678">
        <v>108</v>
      </c>
      <c r="R2678" t="s">
        <v>289</v>
      </c>
      <c r="S2678" t="s">
        <v>5</v>
      </c>
      <c r="T2678">
        <v>0</v>
      </c>
    </row>
    <row r="2679" spans="4:20" ht="15.75" customHeight="1" x14ac:dyDescent="0.2">
      <c r="D2679" t="s">
        <v>285</v>
      </c>
      <c r="E2679" t="s">
        <v>445</v>
      </c>
      <c r="F2679">
        <v>14</v>
      </c>
      <c r="P2679" t="s">
        <v>452</v>
      </c>
      <c r="Q2679">
        <v>108</v>
      </c>
      <c r="R2679" t="s">
        <v>290</v>
      </c>
      <c r="S2679" t="s">
        <v>3</v>
      </c>
      <c r="T2679">
        <v>0</v>
      </c>
    </row>
    <row r="2680" spans="4:20" ht="15.75" customHeight="1" x14ac:dyDescent="0.2">
      <c r="D2680" t="s">
        <v>285</v>
      </c>
      <c r="E2680" t="s">
        <v>445</v>
      </c>
      <c r="F2680">
        <v>14</v>
      </c>
      <c r="P2680" t="s">
        <v>452</v>
      </c>
      <c r="Q2680">
        <v>108</v>
      </c>
      <c r="R2680" t="s">
        <v>291</v>
      </c>
      <c r="S2680" t="s">
        <v>4</v>
      </c>
      <c r="T2680">
        <v>0</v>
      </c>
    </row>
    <row r="2681" spans="4:20" ht="15.75" customHeight="1" x14ac:dyDescent="0.2">
      <c r="D2681" t="s">
        <v>285</v>
      </c>
      <c r="E2681" t="s">
        <v>445</v>
      </c>
      <c r="F2681">
        <v>14</v>
      </c>
      <c r="P2681" t="s">
        <v>452</v>
      </c>
      <c r="Q2681">
        <v>108</v>
      </c>
      <c r="R2681" t="s">
        <v>292</v>
      </c>
      <c r="S2681" t="s">
        <v>6</v>
      </c>
      <c r="T2681">
        <v>0</v>
      </c>
    </row>
    <row r="2682" spans="4:20" ht="15.75" customHeight="1" x14ac:dyDescent="0.2">
      <c r="D2682" t="s">
        <v>285</v>
      </c>
      <c r="E2682" t="s">
        <v>445</v>
      </c>
      <c r="F2682">
        <v>14</v>
      </c>
      <c r="P2682" t="s">
        <v>452</v>
      </c>
      <c r="Q2682">
        <v>108</v>
      </c>
      <c r="R2682" t="s">
        <v>243</v>
      </c>
      <c r="S2682" t="s">
        <v>7</v>
      </c>
      <c r="T2682">
        <v>0</v>
      </c>
    </row>
    <row r="2683" spans="4:20" ht="15.75" customHeight="1" x14ac:dyDescent="0.2">
      <c r="D2683" t="s">
        <v>285</v>
      </c>
      <c r="E2683" t="s">
        <v>445</v>
      </c>
      <c r="F2683">
        <v>14</v>
      </c>
      <c r="P2683" t="s">
        <v>452</v>
      </c>
      <c r="Q2683">
        <v>108</v>
      </c>
      <c r="R2683" t="s">
        <v>245</v>
      </c>
      <c r="S2683" t="s">
        <v>8</v>
      </c>
      <c r="T2683">
        <v>0</v>
      </c>
    </row>
    <row r="2684" spans="4:20" ht="15.75" customHeight="1" x14ac:dyDescent="0.2">
      <c r="D2684" t="s">
        <v>285</v>
      </c>
      <c r="E2684" t="s">
        <v>445</v>
      </c>
      <c r="F2684">
        <v>14</v>
      </c>
      <c r="P2684" t="s">
        <v>452</v>
      </c>
      <c r="Q2684">
        <v>108</v>
      </c>
      <c r="R2684" t="s">
        <v>247</v>
      </c>
      <c r="S2684" t="s">
        <v>9</v>
      </c>
      <c r="T2684">
        <v>0</v>
      </c>
    </row>
    <row r="2685" spans="4:20" ht="15.75" customHeight="1" x14ac:dyDescent="0.2">
      <c r="D2685" t="s">
        <v>285</v>
      </c>
      <c r="E2685" t="s">
        <v>445</v>
      </c>
      <c r="F2685">
        <v>14</v>
      </c>
      <c r="P2685" t="s">
        <v>452</v>
      </c>
      <c r="Q2685">
        <v>108</v>
      </c>
      <c r="R2685" t="s">
        <v>249</v>
      </c>
      <c r="S2685" t="s">
        <v>10</v>
      </c>
      <c r="T2685">
        <v>1</v>
      </c>
    </row>
    <row r="2686" spans="4:20" ht="15.75" customHeight="1" x14ac:dyDescent="0.2">
      <c r="D2686" t="s">
        <v>285</v>
      </c>
      <c r="E2686" t="s">
        <v>445</v>
      </c>
      <c r="F2686">
        <v>14</v>
      </c>
      <c r="P2686" t="s">
        <v>452</v>
      </c>
      <c r="Q2686">
        <v>108</v>
      </c>
      <c r="R2686" t="s">
        <v>251</v>
      </c>
      <c r="S2686" t="s">
        <v>11</v>
      </c>
      <c r="T2686">
        <v>1</v>
      </c>
    </row>
    <row r="2687" spans="4:20" ht="15.75" customHeight="1" x14ac:dyDescent="0.2">
      <c r="D2687" t="s">
        <v>285</v>
      </c>
      <c r="E2687" t="s">
        <v>445</v>
      </c>
      <c r="F2687">
        <v>14</v>
      </c>
      <c r="P2687" t="s">
        <v>452</v>
      </c>
      <c r="Q2687">
        <v>108</v>
      </c>
      <c r="R2687" t="s">
        <v>253</v>
      </c>
      <c r="S2687" t="s">
        <v>12</v>
      </c>
      <c r="T2687">
        <v>0</v>
      </c>
    </row>
    <row r="2688" spans="4:20" ht="15.75" customHeight="1" x14ac:dyDescent="0.2">
      <c r="D2688" t="s">
        <v>285</v>
      </c>
      <c r="E2688" t="s">
        <v>445</v>
      </c>
      <c r="F2688">
        <v>14</v>
      </c>
      <c r="P2688" t="s">
        <v>452</v>
      </c>
      <c r="Q2688">
        <v>108</v>
      </c>
      <c r="R2688" t="s">
        <v>255</v>
      </c>
      <c r="S2688" t="s">
        <v>15</v>
      </c>
      <c r="T2688">
        <v>0</v>
      </c>
    </row>
    <row r="2689" spans="4:20" ht="15.75" customHeight="1" x14ac:dyDescent="0.2">
      <c r="D2689" t="s">
        <v>285</v>
      </c>
      <c r="E2689" t="s">
        <v>445</v>
      </c>
      <c r="F2689">
        <v>14</v>
      </c>
      <c r="P2689" t="s">
        <v>452</v>
      </c>
      <c r="Q2689">
        <v>108</v>
      </c>
      <c r="R2689" t="s">
        <v>293</v>
      </c>
      <c r="S2689" t="s">
        <v>13</v>
      </c>
      <c r="T2689">
        <v>0</v>
      </c>
    </row>
    <row r="2690" spans="4:20" ht="15.75" customHeight="1" x14ac:dyDescent="0.2">
      <c r="D2690" t="s">
        <v>285</v>
      </c>
      <c r="E2690" t="s">
        <v>445</v>
      </c>
      <c r="F2690">
        <v>14</v>
      </c>
      <c r="P2690" t="s">
        <v>452</v>
      </c>
      <c r="Q2690">
        <v>108</v>
      </c>
      <c r="R2690" t="s">
        <v>294</v>
      </c>
      <c r="S2690" t="s">
        <v>14</v>
      </c>
      <c r="T2690">
        <v>0</v>
      </c>
    </row>
    <row r="2691" spans="4:20" ht="15.75" customHeight="1" x14ac:dyDescent="0.2">
      <c r="D2691" t="s">
        <v>285</v>
      </c>
      <c r="E2691" t="s">
        <v>445</v>
      </c>
      <c r="F2691">
        <v>14</v>
      </c>
      <c r="P2691" t="s">
        <v>452</v>
      </c>
      <c r="Q2691">
        <v>108</v>
      </c>
      <c r="R2691" t="s">
        <v>257</v>
      </c>
      <c r="S2691" t="s">
        <v>16</v>
      </c>
      <c r="T2691">
        <v>0</v>
      </c>
    </row>
    <row r="2692" spans="4:20" ht="15.75" customHeight="1" x14ac:dyDescent="0.2">
      <c r="D2692" t="s">
        <v>285</v>
      </c>
      <c r="E2692" t="s">
        <v>445</v>
      </c>
      <c r="F2692">
        <v>14</v>
      </c>
      <c r="P2692" t="s">
        <v>452</v>
      </c>
      <c r="Q2692">
        <v>108</v>
      </c>
      <c r="R2692" t="s">
        <v>295</v>
      </c>
      <c r="S2692" t="s">
        <v>17</v>
      </c>
      <c r="T2692" t="s">
        <v>366</v>
      </c>
    </row>
    <row r="2693" spans="4:20" ht="15.75" customHeight="1" x14ac:dyDescent="0.2">
      <c r="D2693" t="s">
        <v>285</v>
      </c>
      <c r="E2693" t="s">
        <v>445</v>
      </c>
      <c r="F2693">
        <v>14</v>
      </c>
      <c r="P2693" t="s">
        <v>452</v>
      </c>
      <c r="Q2693">
        <v>108</v>
      </c>
      <c r="R2693" t="s">
        <v>296</v>
      </c>
      <c r="S2693" t="s">
        <v>1</v>
      </c>
      <c r="T2693">
        <v>1</v>
      </c>
    </row>
    <row r="2694" spans="4:20" ht="15.75" customHeight="1" x14ac:dyDescent="0.2">
      <c r="D2694" t="s">
        <v>285</v>
      </c>
      <c r="E2694" t="s">
        <v>445</v>
      </c>
      <c r="F2694">
        <v>14</v>
      </c>
      <c r="P2694" t="s">
        <v>452</v>
      </c>
      <c r="Q2694">
        <v>108</v>
      </c>
      <c r="R2694" t="s">
        <v>297</v>
      </c>
      <c r="S2694" t="s">
        <v>18</v>
      </c>
      <c r="T2694" t="s">
        <v>366</v>
      </c>
    </row>
    <row r="2695" spans="4:20" ht="15.75" customHeight="1" x14ac:dyDescent="0.2">
      <c r="D2695" t="s">
        <v>285</v>
      </c>
      <c r="E2695" t="s">
        <v>445</v>
      </c>
      <c r="F2695">
        <v>14</v>
      </c>
      <c r="P2695" t="s">
        <v>452</v>
      </c>
      <c r="Q2695">
        <v>108</v>
      </c>
      <c r="R2695" t="s">
        <v>298</v>
      </c>
      <c r="S2695" t="s">
        <v>19</v>
      </c>
      <c r="T2695">
        <v>0</v>
      </c>
    </row>
    <row r="2696" spans="4:20" ht="15.75" customHeight="1" x14ac:dyDescent="0.2">
      <c r="D2696" t="s">
        <v>285</v>
      </c>
      <c r="E2696" t="s">
        <v>445</v>
      </c>
      <c r="F2696">
        <v>14</v>
      </c>
      <c r="P2696" t="s">
        <v>452</v>
      </c>
      <c r="Q2696">
        <v>108</v>
      </c>
      <c r="R2696" t="s">
        <v>299</v>
      </c>
      <c r="S2696" t="s">
        <v>20</v>
      </c>
      <c r="T2696">
        <v>1</v>
      </c>
    </row>
    <row r="2697" spans="4:20" ht="15.75" customHeight="1" x14ac:dyDescent="0.2">
      <c r="D2697" t="s">
        <v>285</v>
      </c>
      <c r="E2697" t="s">
        <v>445</v>
      </c>
      <c r="F2697">
        <v>14</v>
      </c>
      <c r="P2697" t="s">
        <v>453</v>
      </c>
      <c r="Q2697">
        <v>109</v>
      </c>
      <c r="R2697" t="s">
        <v>288</v>
      </c>
      <c r="S2697" t="s">
        <v>2</v>
      </c>
      <c r="T2697">
        <v>0</v>
      </c>
    </row>
    <row r="2698" spans="4:20" ht="15.75" customHeight="1" x14ac:dyDescent="0.2">
      <c r="D2698" t="s">
        <v>285</v>
      </c>
      <c r="E2698" t="s">
        <v>445</v>
      </c>
      <c r="F2698">
        <v>14</v>
      </c>
      <c r="P2698" t="s">
        <v>453</v>
      </c>
      <c r="Q2698">
        <v>109</v>
      </c>
      <c r="R2698" t="s">
        <v>289</v>
      </c>
      <c r="S2698" t="s">
        <v>5</v>
      </c>
      <c r="T2698">
        <v>0</v>
      </c>
    </row>
    <row r="2699" spans="4:20" ht="15.75" customHeight="1" x14ac:dyDescent="0.2">
      <c r="D2699" t="s">
        <v>285</v>
      </c>
      <c r="E2699" t="s">
        <v>445</v>
      </c>
      <c r="F2699">
        <v>14</v>
      </c>
      <c r="P2699" t="s">
        <v>453</v>
      </c>
      <c r="Q2699">
        <v>109</v>
      </c>
      <c r="R2699" t="s">
        <v>290</v>
      </c>
      <c r="S2699" t="s">
        <v>3</v>
      </c>
      <c r="T2699">
        <v>0</v>
      </c>
    </row>
    <row r="2700" spans="4:20" ht="15.75" customHeight="1" x14ac:dyDescent="0.2">
      <c r="D2700" t="s">
        <v>285</v>
      </c>
      <c r="E2700" t="s">
        <v>445</v>
      </c>
      <c r="F2700">
        <v>14</v>
      </c>
      <c r="P2700" t="s">
        <v>453</v>
      </c>
      <c r="Q2700">
        <v>109</v>
      </c>
      <c r="R2700" t="s">
        <v>291</v>
      </c>
      <c r="S2700" t="s">
        <v>4</v>
      </c>
      <c r="T2700">
        <v>0</v>
      </c>
    </row>
    <row r="2701" spans="4:20" ht="15.75" customHeight="1" x14ac:dyDescent="0.2">
      <c r="D2701" t="s">
        <v>285</v>
      </c>
      <c r="E2701" t="s">
        <v>445</v>
      </c>
      <c r="F2701">
        <v>14</v>
      </c>
      <c r="P2701" t="s">
        <v>453</v>
      </c>
      <c r="Q2701">
        <v>109</v>
      </c>
      <c r="R2701" t="s">
        <v>292</v>
      </c>
      <c r="S2701" t="s">
        <v>6</v>
      </c>
      <c r="T2701">
        <v>0</v>
      </c>
    </row>
    <row r="2702" spans="4:20" ht="15.75" customHeight="1" x14ac:dyDescent="0.2">
      <c r="D2702" t="s">
        <v>285</v>
      </c>
      <c r="E2702" t="s">
        <v>445</v>
      </c>
      <c r="F2702">
        <v>14</v>
      </c>
      <c r="P2702" t="s">
        <v>453</v>
      </c>
      <c r="Q2702">
        <v>109</v>
      </c>
      <c r="R2702" t="s">
        <v>243</v>
      </c>
      <c r="S2702" t="s">
        <v>7</v>
      </c>
      <c r="T2702">
        <v>0</v>
      </c>
    </row>
    <row r="2703" spans="4:20" ht="15.75" customHeight="1" x14ac:dyDescent="0.2">
      <c r="D2703" t="s">
        <v>285</v>
      </c>
      <c r="E2703" t="s">
        <v>445</v>
      </c>
      <c r="F2703">
        <v>14</v>
      </c>
      <c r="P2703" t="s">
        <v>453</v>
      </c>
      <c r="Q2703">
        <v>109</v>
      </c>
      <c r="R2703" t="s">
        <v>245</v>
      </c>
      <c r="S2703" t="s">
        <v>8</v>
      </c>
      <c r="T2703">
        <v>0</v>
      </c>
    </row>
    <row r="2704" spans="4:20" ht="15.75" customHeight="1" x14ac:dyDescent="0.2">
      <c r="D2704" t="s">
        <v>285</v>
      </c>
      <c r="E2704" t="s">
        <v>445</v>
      </c>
      <c r="F2704">
        <v>14</v>
      </c>
      <c r="P2704" t="s">
        <v>453</v>
      </c>
      <c r="Q2704">
        <v>109</v>
      </c>
      <c r="R2704" t="s">
        <v>247</v>
      </c>
      <c r="S2704" t="s">
        <v>9</v>
      </c>
      <c r="T2704">
        <v>0</v>
      </c>
    </row>
    <row r="2705" spans="4:20" ht="15.75" customHeight="1" x14ac:dyDescent="0.2">
      <c r="D2705" t="s">
        <v>285</v>
      </c>
      <c r="E2705" t="s">
        <v>445</v>
      </c>
      <c r="F2705">
        <v>14</v>
      </c>
      <c r="P2705" t="s">
        <v>453</v>
      </c>
      <c r="Q2705">
        <v>109</v>
      </c>
      <c r="R2705" t="s">
        <v>249</v>
      </c>
      <c r="S2705" t="s">
        <v>10</v>
      </c>
      <c r="T2705">
        <v>1</v>
      </c>
    </row>
    <row r="2706" spans="4:20" ht="15.75" customHeight="1" x14ac:dyDescent="0.2">
      <c r="D2706" t="s">
        <v>285</v>
      </c>
      <c r="E2706" t="s">
        <v>445</v>
      </c>
      <c r="F2706">
        <v>14</v>
      </c>
      <c r="P2706" t="s">
        <v>453</v>
      </c>
      <c r="Q2706">
        <v>109</v>
      </c>
      <c r="R2706" t="s">
        <v>251</v>
      </c>
      <c r="S2706" t="s">
        <v>11</v>
      </c>
      <c r="T2706">
        <v>1</v>
      </c>
    </row>
    <row r="2707" spans="4:20" ht="15.75" customHeight="1" x14ac:dyDescent="0.2">
      <c r="D2707" t="s">
        <v>285</v>
      </c>
      <c r="E2707" t="s">
        <v>445</v>
      </c>
      <c r="F2707">
        <v>14</v>
      </c>
      <c r="P2707" t="s">
        <v>453</v>
      </c>
      <c r="Q2707">
        <v>109</v>
      </c>
      <c r="R2707" t="s">
        <v>253</v>
      </c>
      <c r="S2707" t="s">
        <v>12</v>
      </c>
      <c r="T2707">
        <v>0</v>
      </c>
    </row>
    <row r="2708" spans="4:20" ht="15.75" customHeight="1" x14ac:dyDescent="0.2">
      <c r="D2708" t="s">
        <v>285</v>
      </c>
      <c r="E2708" t="s">
        <v>445</v>
      </c>
      <c r="F2708">
        <v>14</v>
      </c>
      <c r="P2708" t="s">
        <v>453</v>
      </c>
      <c r="Q2708">
        <v>109</v>
      </c>
      <c r="R2708" t="s">
        <v>255</v>
      </c>
      <c r="S2708" t="s">
        <v>15</v>
      </c>
      <c r="T2708">
        <v>0</v>
      </c>
    </row>
    <row r="2709" spans="4:20" ht="15.75" customHeight="1" x14ac:dyDescent="0.2">
      <c r="D2709" t="s">
        <v>285</v>
      </c>
      <c r="E2709" t="s">
        <v>445</v>
      </c>
      <c r="F2709">
        <v>14</v>
      </c>
      <c r="P2709" t="s">
        <v>453</v>
      </c>
      <c r="Q2709">
        <v>109</v>
      </c>
      <c r="R2709" t="s">
        <v>293</v>
      </c>
      <c r="S2709" t="s">
        <v>13</v>
      </c>
      <c r="T2709">
        <v>0</v>
      </c>
    </row>
    <row r="2710" spans="4:20" ht="15.75" customHeight="1" x14ac:dyDescent="0.2">
      <c r="D2710" t="s">
        <v>285</v>
      </c>
      <c r="E2710" t="s">
        <v>445</v>
      </c>
      <c r="F2710">
        <v>14</v>
      </c>
      <c r="P2710" t="s">
        <v>453</v>
      </c>
      <c r="Q2710">
        <v>109</v>
      </c>
      <c r="R2710" t="s">
        <v>294</v>
      </c>
      <c r="S2710" t="s">
        <v>14</v>
      </c>
      <c r="T2710">
        <v>0</v>
      </c>
    </row>
    <row r="2711" spans="4:20" ht="15.75" customHeight="1" x14ac:dyDescent="0.2">
      <c r="D2711" t="s">
        <v>285</v>
      </c>
      <c r="E2711" t="s">
        <v>445</v>
      </c>
      <c r="F2711">
        <v>14</v>
      </c>
      <c r="P2711" t="s">
        <v>453</v>
      </c>
      <c r="Q2711">
        <v>109</v>
      </c>
      <c r="R2711" t="s">
        <v>257</v>
      </c>
      <c r="S2711" t="s">
        <v>16</v>
      </c>
      <c r="T2711">
        <v>0</v>
      </c>
    </row>
    <row r="2712" spans="4:20" ht="15.75" customHeight="1" x14ac:dyDescent="0.2">
      <c r="D2712" t="s">
        <v>285</v>
      </c>
      <c r="E2712" t="s">
        <v>445</v>
      </c>
      <c r="F2712">
        <v>14</v>
      </c>
      <c r="P2712" t="s">
        <v>453</v>
      </c>
      <c r="Q2712">
        <v>109</v>
      </c>
      <c r="R2712" t="s">
        <v>295</v>
      </c>
      <c r="S2712" t="s">
        <v>17</v>
      </c>
      <c r="T2712" t="s">
        <v>366</v>
      </c>
    </row>
    <row r="2713" spans="4:20" ht="15.75" customHeight="1" x14ac:dyDescent="0.2">
      <c r="D2713" t="s">
        <v>285</v>
      </c>
      <c r="E2713" t="s">
        <v>445</v>
      </c>
      <c r="F2713">
        <v>14</v>
      </c>
      <c r="P2713" t="s">
        <v>453</v>
      </c>
      <c r="Q2713">
        <v>109</v>
      </c>
      <c r="R2713" t="s">
        <v>296</v>
      </c>
      <c r="S2713" t="s">
        <v>1</v>
      </c>
      <c r="T2713">
        <v>1</v>
      </c>
    </row>
    <row r="2714" spans="4:20" ht="15.75" customHeight="1" x14ac:dyDescent="0.2">
      <c r="D2714" t="s">
        <v>285</v>
      </c>
      <c r="E2714" t="s">
        <v>445</v>
      </c>
      <c r="F2714">
        <v>14</v>
      </c>
      <c r="P2714" t="s">
        <v>453</v>
      </c>
      <c r="Q2714">
        <v>109</v>
      </c>
      <c r="R2714" t="s">
        <v>297</v>
      </c>
      <c r="S2714" t="s">
        <v>18</v>
      </c>
      <c r="T2714" t="s">
        <v>366</v>
      </c>
    </row>
    <row r="2715" spans="4:20" ht="15.75" customHeight="1" x14ac:dyDescent="0.2">
      <c r="D2715" t="s">
        <v>285</v>
      </c>
      <c r="E2715" t="s">
        <v>445</v>
      </c>
      <c r="F2715">
        <v>14</v>
      </c>
      <c r="P2715" t="s">
        <v>453</v>
      </c>
      <c r="Q2715">
        <v>109</v>
      </c>
      <c r="R2715" t="s">
        <v>298</v>
      </c>
      <c r="S2715" t="s">
        <v>19</v>
      </c>
      <c r="T2715">
        <v>0</v>
      </c>
    </row>
    <row r="2716" spans="4:20" ht="15.75" customHeight="1" x14ac:dyDescent="0.2">
      <c r="D2716" t="s">
        <v>285</v>
      </c>
      <c r="E2716" t="s">
        <v>445</v>
      </c>
      <c r="F2716">
        <v>14</v>
      </c>
      <c r="P2716" t="s">
        <v>453</v>
      </c>
      <c r="Q2716">
        <v>109</v>
      </c>
      <c r="R2716" t="s">
        <v>299</v>
      </c>
      <c r="S2716" t="s">
        <v>20</v>
      </c>
      <c r="T2716">
        <v>0</v>
      </c>
    </row>
    <row r="2717" spans="4:20" ht="15.75" customHeight="1" x14ac:dyDescent="0.2">
      <c r="D2717" t="s">
        <v>285</v>
      </c>
      <c r="E2717" t="s">
        <v>445</v>
      </c>
      <c r="F2717">
        <v>14</v>
      </c>
      <c r="P2717" t="s">
        <v>454</v>
      </c>
      <c r="Q2717">
        <v>110</v>
      </c>
      <c r="R2717" t="s">
        <v>288</v>
      </c>
      <c r="S2717" t="s">
        <v>2</v>
      </c>
      <c r="T2717">
        <v>0</v>
      </c>
    </row>
    <row r="2718" spans="4:20" ht="15.75" customHeight="1" x14ac:dyDescent="0.2">
      <c r="D2718" t="s">
        <v>285</v>
      </c>
      <c r="E2718" t="s">
        <v>445</v>
      </c>
      <c r="F2718">
        <v>14</v>
      </c>
      <c r="P2718" t="s">
        <v>454</v>
      </c>
      <c r="Q2718">
        <v>110</v>
      </c>
      <c r="R2718" t="s">
        <v>289</v>
      </c>
      <c r="S2718" t="s">
        <v>5</v>
      </c>
      <c r="T2718">
        <v>0</v>
      </c>
    </row>
    <row r="2719" spans="4:20" ht="15.75" customHeight="1" x14ac:dyDescent="0.2">
      <c r="D2719" t="s">
        <v>285</v>
      </c>
      <c r="E2719" t="s">
        <v>445</v>
      </c>
      <c r="F2719">
        <v>14</v>
      </c>
      <c r="P2719" t="s">
        <v>454</v>
      </c>
      <c r="Q2719">
        <v>110</v>
      </c>
      <c r="R2719" t="s">
        <v>290</v>
      </c>
      <c r="S2719" t="s">
        <v>3</v>
      </c>
      <c r="T2719">
        <v>0</v>
      </c>
    </row>
    <row r="2720" spans="4:20" ht="15.75" customHeight="1" x14ac:dyDescent="0.2">
      <c r="D2720" t="s">
        <v>285</v>
      </c>
      <c r="E2720" t="s">
        <v>445</v>
      </c>
      <c r="F2720">
        <v>14</v>
      </c>
      <c r="P2720" t="s">
        <v>454</v>
      </c>
      <c r="Q2720">
        <v>110</v>
      </c>
      <c r="R2720" t="s">
        <v>291</v>
      </c>
      <c r="S2720" t="s">
        <v>4</v>
      </c>
      <c r="T2720">
        <v>0</v>
      </c>
    </row>
    <row r="2721" spans="4:20" ht="15.75" customHeight="1" x14ac:dyDescent="0.2">
      <c r="D2721" t="s">
        <v>285</v>
      </c>
      <c r="E2721" t="s">
        <v>445</v>
      </c>
      <c r="F2721">
        <v>14</v>
      </c>
      <c r="P2721" t="s">
        <v>454</v>
      </c>
      <c r="Q2721">
        <v>110</v>
      </c>
      <c r="R2721" t="s">
        <v>292</v>
      </c>
      <c r="S2721" t="s">
        <v>6</v>
      </c>
      <c r="T2721">
        <v>0</v>
      </c>
    </row>
    <row r="2722" spans="4:20" ht="15.75" customHeight="1" x14ac:dyDescent="0.2">
      <c r="D2722" t="s">
        <v>285</v>
      </c>
      <c r="E2722" t="s">
        <v>445</v>
      </c>
      <c r="F2722">
        <v>14</v>
      </c>
      <c r="P2722" t="s">
        <v>454</v>
      </c>
      <c r="Q2722">
        <v>110</v>
      </c>
      <c r="R2722" t="s">
        <v>243</v>
      </c>
      <c r="S2722" t="s">
        <v>7</v>
      </c>
      <c r="T2722">
        <v>0</v>
      </c>
    </row>
    <row r="2723" spans="4:20" ht="15.75" customHeight="1" x14ac:dyDescent="0.2">
      <c r="D2723" t="s">
        <v>285</v>
      </c>
      <c r="E2723" t="s">
        <v>445</v>
      </c>
      <c r="F2723">
        <v>14</v>
      </c>
      <c r="P2723" t="s">
        <v>454</v>
      </c>
      <c r="Q2723">
        <v>110</v>
      </c>
      <c r="R2723" t="s">
        <v>245</v>
      </c>
      <c r="S2723" t="s">
        <v>8</v>
      </c>
      <c r="T2723">
        <v>0</v>
      </c>
    </row>
    <row r="2724" spans="4:20" ht="15.75" customHeight="1" x14ac:dyDescent="0.2">
      <c r="D2724" t="s">
        <v>285</v>
      </c>
      <c r="E2724" t="s">
        <v>445</v>
      </c>
      <c r="F2724">
        <v>14</v>
      </c>
      <c r="P2724" t="s">
        <v>454</v>
      </c>
      <c r="Q2724">
        <v>110</v>
      </c>
      <c r="R2724" t="s">
        <v>247</v>
      </c>
      <c r="S2724" t="s">
        <v>9</v>
      </c>
      <c r="T2724">
        <v>0</v>
      </c>
    </row>
    <row r="2725" spans="4:20" ht="15.75" customHeight="1" x14ac:dyDescent="0.2">
      <c r="D2725" t="s">
        <v>285</v>
      </c>
      <c r="E2725" t="s">
        <v>445</v>
      </c>
      <c r="F2725">
        <v>14</v>
      </c>
      <c r="P2725" t="s">
        <v>454</v>
      </c>
      <c r="Q2725">
        <v>110</v>
      </c>
      <c r="R2725" t="s">
        <v>249</v>
      </c>
      <c r="S2725" t="s">
        <v>10</v>
      </c>
      <c r="T2725">
        <v>1</v>
      </c>
    </row>
    <row r="2726" spans="4:20" ht="15.75" customHeight="1" x14ac:dyDescent="0.2">
      <c r="D2726" t="s">
        <v>285</v>
      </c>
      <c r="E2726" t="s">
        <v>445</v>
      </c>
      <c r="F2726">
        <v>14</v>
      </c>
      <c r="P2726" t="s">
        <v>454</v>
      </c>
      <c r="Q2726">
        <v>110</v>
      </c>
      <c r="R2726" t="s">
        <v>251</v>
      </c>
      <c r="S2726" t="s">
        <v>11</v>
      </c>
      <c r="T2726">
        <v>1</v>
      </c>
    </row>
    <row r="2727" spans="4:20" ht="15.75" customHeight="1" x14ac:dyDescent="0.2">
      <c r="D2727" t="s">
        <v>285</v>
      </c>
      <c r="E2727" t="s">
        <v>445</v>
      </c>
      <c r="F2727">
        <v>14</v>
      </c>
      <c r="P2727" t="s">
        <v>454</v>
      </c>
      <c r="Q2727">
        <v>110</v>
      </c>
      <c r="R2727" t="s">
        <v>253</v>
      </c>
      <c r="S2727" t="s">
        <v>12</v>
      </c>
      <c r="T2727">
        <v>0</v>
      </c>
    </row>
    <row r="2728" spans="4:20" ht="15.75" customHeight="1" x14ac:dyDescent="0.2">
      <c r="D2728" t="s">
        <v>285</v>
      </c>
      <c r="E2728" t="s">
        <v>445</v>
      </c>
      <c r="F2728">
        <v>14</v>
      </c>
      <c r="P2728" t="s">
        <v>454</v>
      </c>
      <c r="Q2728">
        <v>110</v>
      </c>
      <c r="R2728" t="s">
        <v>255</v>
      </c>
      <c r="S2728" t="s">
        <v>15</v>
      </c>
      <c r="T2728">
        <v>0</v>
      </c>
    </row>
    <row r="2729" spans="4:20" ht="15.75" customHeight="1" x14ac:dyDescent="0.2">
      <c r="D2729" t="s">
        <v>285</v>
      </c>
      <c r="E2729" t="s">
        <v>445</v>
      </c>
      <c r="F2729">
        <v>14</v>
      </c>
      <c r="P2729" t="s">
        <v>454</v>
      </c>
      <c r="Q2729">
        <v>110</v>
      </c>
      <c r="R2729" t="s">
        <v>293</v>
      </c>
      <c r="S2729" t="s">
        <v>13</v>
      </c>
      <c r="T2729">
        <v>0</v>
      </c>
    </row>
    <row r="2730" spans="4:20" ht="15.75" customHeight="1" x14ac:dyDescent="0.2">
      <c r="D2730" t="s">
        <v>285</v>
      </c>
      <c r="E2730" t="s">
        <v>445</v>
      </c>
      <c r="F2730">
        <v>14</v>
      </c>
      <c r="P2730" t="s">
        <v>454</v>
      </c>
      <c r="Q2730">
        <v>110</v>
      </c>
      <c r="R2730" t="s">
        <v>294</v>
      </c>
      <c r="S2730" t="s">
        <v>14</v>
      </c>
      <c r="T2730">
        <v>0</v>
      </c>
    </row>
    <row r="2731" spans="4:20" ht="15.75" customHeight="1" x14ac:dyDescent="0.2">
      <c r="D2731" t="s">
        <v>285</v>
      </c>
      <c r="E2731" t="s">
        <v>445</v>
      </c>
      <c r="F2731">
        <v>14</v>
      </c>
      <c r="P2731" t="s">
        <v>454</v>
      </c>
      <c r="Q2731">
        <v>110</v>
      </c>
      <c r="R2731" t="s">
        <v>257</v>
      </c>
      <c r="S2731" t="s">
        <v>16</v>
      </c>
      <c r="T2731">
        <v>0</v>
      </c>
    </row>
    <row r="2732" spans="4:20" ht="15.75" customHeight="1" x14ac:dyDescent="0.2">
      <c r="D2732" t="s">
        <v>285</v>
      </c>
      <c r="E2732" t="s">
        <v>445</v>
      </c>
      <c r="F2732">
        <v>14</v>
      </c>
      <c r="P2732" t="s">
        <v>454</v>
      </c>
      <c r="Q2732">
        <v>110</v>
      </c>
      <c r="R2732" t="s">
        <v>295</v>
      </c>
      <c r="S2732" t="s">
        <v>17</v>
      </c>
      <c r="T2732" t="s">
        <v>366</v>
      </c>
    </row>
    <row r="2733" spans="4:20" ht="15.75" customHeight="1" x14ac:dyDescent="0.2">
      <c r="D2733" t="s">
        <v>285</v>
      </c>
      <c r="E2733" t="s">
        <v>445</v>
      </c>
      <c r="F2733">
        <v>14</v>
      </c>
      <c r="P2733" t="s">
        <v>454</v>
      </c>
      <c r="Q2733">
        <v>110</v>
      </c>
      <c r="R2733" t="s">
        <v>296</v>
      </c>
      <c r="S2733" t="s">
        <v>1</v>
      </c>
      <c r="T2733">
        <v>1</v>
      </c>
    </row>
    <row r="2734" spans="4:20" ht="15.75" customHeight="1" x14ac:dyDescent="0.2">
      <c r="D2734" t="s">
        <v>285</v>
      </c>
      <c r="E2734" t="s">
        <v>445</v>
      </c>
      <c r="F2734">
        <v>14</v>
      </c>
      <c r="P2734" t="s">
        <v>454</v>
      </c>
      <c r="Q2734">
        <v>110</v>
      </c>
      <c r="R2734" t="s">
        <v>297</v>
      </c>
      <c r="S2734" t="s">
        <v>18</v>
      </c>
      <c r="T2734" t="s">
        <v>366</v>
      </c>
    </row>
    <row r="2735" spans="4:20" ht="15.75" customHeight="1" x14ac:dyDescent="0.2">
      <c r="D2735" t="s">
        <v>285</v>
      </c>
      <c r="E2735" t="s">
        <v>445</v>
      </c>
      <c r="F2735">
        <v>14</v>
      </c>
      <c r="P2735" t="s">
        <v>454</v>
      </c>
      <c r="Q2735">
        <v>110</v>
      </c>
      <c r="R2735" t="s">
        <v>298</v>
      </c>
      <c r="S2735" t="s">
        <v>19</v>
      </c>
      <c r="T2735">
        <v>0</v>
      </c>
    </row>
    <row r="2736" spans="4:20" ht="15.75" customHeight="1" x14ac:dyDescent="0.2">
      <c r="D2736" t="s">
        <v>285</v>
      </c>
      <c r="E2736" t="s">
        <v>445</v>
      </c>
      <c r="F2736">
        <v>14</v>
      </c>
      <c r="P2736" t="s">
        <v>454</v>
      </c>
      <c r="Q2736">
        <v>110</v>
      </c>
      <c r="R2736" t="s">
        <v>299</v>
      </c>
      <c r="S2736" t="s">
        <v>20</v>
      </c>
      <c r="T2736">
        <v>0</v>
      </c>
    </row>
    <row r="2737" spans="4:20" ht="15.75" customHeight="1" x14ac:dyDescent="0.2">
      <c r="D2737" t="s">
        <v>285</v>
      </c>
      <c r="E2737" t="s">
        <v>445</v>
      </c>
      <c r="F2737">
        <v>14</v>
      </c>
      <c r="P2737" t="s">
        <v>455</v>
      </c>
      <c r="Q2737">
        <v>111</v>
      </c>
      <c r="R2737" t="s">
        <v>288</v>
      </c>
      <c r="S2737" t="s">
        <v>2</v>
      </c>
      <c r="T2737">
        <v>0</v>
      </c>
    </row>
    <row r="2738" spans="4:20" ht="15.75" customHeight="1" x14ac:dyDescent="0.2">
      <c r="D2738" t="s">
        <v>285</v>
      </c>
      <c r="E2738" t="s">
        <v>445</v>
      </c>
      <c r="F2738">
        <v>14</v>
      </c>
      <c r="P2738" t="s">
        <v>455</v>
      </c>
      <c r="Q2738">
        <v>111</v>
      </c>
      <c r="R2738" t="s">
        <v>289</v>
      </c>
      <c r="S2738" t="s">
        <v>5</v>
      </c>
      <c r="T2738">
        <v>0</v>
      </c>
    </row>
    <row r="2739" spans="4:20" ht="15.75" customHeight="1" x14ac:dyDescent="0.2">
      <c r="D2739" t="s">
        <v>285</v>
      </c>
      <c r="E2739" t="s">
        <v>445</v>
      </c>
      <c r="F2739">
        <v>14</v>
      </c>
      <c r="P2739" t="s">
        <v>455</v>
      </c>
      <c r="Q2739">
        <v>111</v>
      </c>
      <c r="R2739" t="s">
        <v>290</v>
      </c>
      <c r="S2739" t="s">
        <v>3</v>
      </c>
      <c r="T2739">
        <v>0</v>
      </c>
    </row>
    <row r="2740" spans="4:20" ht="15.75" customHeight="1" x14ac:dyDescent="0.2">
      <c r="D2740" t="s">
        <v>285</v>
      </c>
      <c r="E2740" t="s">
        <v>445</v>
      </c>
      <c r="F2740">
        <v>14</v>
      </c>
      <c r="P2740" t="s">
        <v>455</v>
      </c>
      <c r="Q2740">
        <v>111</v>
      </c>
      <c r="R2740" t="s">
        <v>291</v>
      </c>
      <c r="S2740" t="s">
        <v>4</v>
      </c>
      <c r="T2740">
        <v>0</v>
      </c>
    </row>
    <row r="2741" spans="4:20" ht="15.75" customHeight="1" x14ac:dyDescent="0.2">
      <c r="D2741" t="s">
        <v>285</v>
      </c>
      <c r="E2741" t="s">
        <v>445</v>
      </c>
      <c r="F2741">
        <v>14</v>
      </c>
      <c r="P2741" t="s">
        <v>455</v>
      </c>
      <c r="Q2741">
        <v>111</v>
      </c>
      <c r="R2741" t="s">
        <v>292</v>
      </c>
      <c r="S2741" t="s">
        <v>6</v>
      </c>
      <c r="T2741">
        <v>0</v>
      </c>
    </row>
    <row r="2742" spans="4:20" ht="15.75" customHeight="1" x14ac:dyDescent="0.2">
      <c r="D2742" t="s">
        <v>285</v>
      </c>
      <c r="E2742" t="s">
        <v>445</v>
      </c>
      <c r="F2742">
        <v>14</v>
      </c>
      <c r="P2742" t="s">
        <v>455</v>
      </c>
      <c r="Q2742">
        <v>111</v>
      </c>
      <c r="R2742" t="s">
        <v>243</v>
      </c>
      <c r="S2742" t="s">
        <v>7</v>
      </c>
      <c r="T2742">
        <v>0</v>
      </c>
    </row>
    <row r="2743" spans="4:20" ht="15.75" customHeight="1" x14ac:dyDescent="0.2">
      <c r="D2743" t="s">
        <v>285</v>
      </c>
      <c r="E2743" t="s">
        <v>445</v>
      </c>
      <c r="F2743">
        <v>14</v>
      </c>
      <c r="P2743" t="s">
        <v>455</v>
      </c>
      <c r="Q2743">
        <v>111</v>
      </c>
      <c r="R2743" t="s">
        <v>245</v>
      </c>
      <c r="S2743" t="s">
        <v>8</v>
      </c>
      <c r="T2743">
        <v>0</v>
      </c>
    </row>
    <row r="2744" spans="4:20" ht="15.75" customHeight="1" x14ac:dyDescent="0.2">
      <c r="D2744" t="s">
        <v>285</v>
      </c>
      <c r="E2744" t="s">
        <v>445</v>
      </c>
      <c r="F2744">
        <v>14</v>
      </c>
      <c r="P2744" t="s">
        <v>455</v>
      </c>
      <c r="Q2744">
        <v>111</v>
      </c>
      <c r="R2744" t="s">
        <v>247</v>
      </c>
      <c r="S2744" t="s">
        <v>9</v>
      </c>
      <c r="T2744">
        <v>0</v>
      </c>
    </row>
    <row r="2745" spans="4:20" ht="15.75" customHeight="1" x14ac:dyDescent="0.2">
      <c r="D2745" t="s">
        <v>285</v>
      </c>
      <c r="E2745" t="s">
        <v>445</v>
      </c>
      <c r="F2745">
        <v>14</v>
      </c>
      <c r="P2745" t="s">
        <v>455</v>
      </c>
      <c r="Q2745">
        <v>111</v>
      </c>
      <c r="R2745" t="s">
        <v>249</v>
      </c>
      <c r="S2745" t="s">
        <v>10</v>
      </c>
      <c r="T2745">
        <v>1</v>
      </c>
    </row>
    <row r="2746" spans="4:20" ht="15.75" customHeight="1" x14ac:dyDescent="0.2">
      <c r="D2746" t="s">
        <v>285</v>
      </c>
      <c r="E2746" t="s">
        <v>445</v>
      </c>
      <c r="F2746">
        <v>14</v>
      </c>
      <c r="P2746" t="s">
        <v>455</v>
      </c>
      <c r="Q2746">
        <v>111</v>
      </c>
      <c r="R2746" t="s">
        <v>251</v>
      </c>
      <c r="S2746" t="s">
        <v>11</v>
      </c>
      <c r="T2746">
        <v>1</v>
      </c>
    </row>
    <row r="2747" spans="4:20" ht="15.75" customHeight="1" x14ac:dyDescent="0.2">
      <c r="D2747" t="s">
        <v>285</v>
      </c>
      <c r="E2747" t="s">
        <v>445</v>
      </c>
      <c r="F2747">
        <v>14</v>
      </c>
      <c r="P2747" t="s">
        <v>455</v>
      </c>
      <c r="Q2747">
        <v>111</v>
      </c>
      <c r="R2747" t="s">
        <v>253</v>
      </c>
      <c r="S2747" t="s">
        <v>12</v>
      </c>
      <c r="T2747">
        <v>0</v>
      </c>
    </row>
    <row r="2748" spans="4:20" ht="15.75" customHeight="1" x14ac:dyDescent="0.2">
      <c r="D2748" t="s">
        <v>285</v>
      </c>
      <c r="E2748" t="s">
        <v>445</v>
      </c>
      <c r="F2748">
        <v>14</v>
      </c>
      <c r="P2748" t="s">
        <v>455</v>
      </c>
      <c r="Q2748">
        <v>111</v>
      </c>
      <c r="R2748" t="s">
        <v>255</v>
      </c>
      <c r="S2748" t="s">
        <v>15</v>
      </c>
      <c r="T2748">
        <v>0</v>
      </c>
    </row>
    <row r="2749" spans="4:20" ht="15.75" customHeight="1" x14ac:dyDescent="0.2">
      <c r="D2749" t="s">
        <v>285</v>
      </c>
      <c r="E2749" t="s">
        <v>445</v>
      </c>
      <c r="F2749">
        <v>14</v>
      </c>
      <c r="P2749" t="s">
        <v>455</v>
      </c>
      <c r="Q2749">
        <v>111</v>
      </c>
      <c r="R2749" t="s">
        <v>293</v>
      </c>
      <c r="S2749" t="s">
        <v>13</v>
      </c>
      <c r="T2749">
        <v>0</v>
      </c>
    </row>
    <row r="2750" spans="4:20" ht="15.75" customHeight="1" x14ac:dyDescent="0.2">
      <c r="D2750" t="s">
        <v>285</v>
      </c>
      <c r="E2750" t="s">
        <v>445</v>
      </c>
      <c r="F2750">
        <v>14</v>
      </c>
      <c r="P2750" t="s">
        <v>455</v>
      </c>
      <c r="Q2750">
        <v>111</v>
      </c>
      <c r="R2750" t="s">
        <v>294</v>
      </c>
      <c r="S2750" t="s">
        <v>14</v>
      </c>
      <c r="T2750">
        <v>0</v>
      </c>
    </row>
    <row r="2751" spans="4:20" ht="15.75" customHeight="1" x14ac:dyDescent="0.2">
      <c r="D2751" t="s">
        <v>285</v>
      </c>
      <c r="E2751" t="s">
        <v>445</v>
      </c>
      <c r="F2751">
        <v>14</v>
      </c>
      <c r="P2751" t="s">
        <v>455</v>
      </c>
      <c r="Q2751">
        <v>111</v>
      </c>
      <c r="R2751" t="s">
        <v>257</v>
      </c>
      <c r="S2751" t="s">
        <v>16</v>
      </c>
      <c r="T2751">
        <v>0</v>
      </c>
    </row>
    <row r="2752" spans="4:20" ht="15.75" customHeight="1" x14ac:dyDescent="0.2">
      <c r="D2752" t="s">
        <v>285</v>
      </c>
      <c r="E2752" t="s">
        <v>445</v>
      </c>
      <c r="F2752">
        <v>14</v>
      </c>
      <c r="P2752" t="s">
        <v>455</v>
      </c>
      <c r="Q2752">
        <v>111</v>
      </c>
      <c r="R2752" t="s">
        <v>295</v>
      </c>
      <c r="S2752" t="s">
        <v>17</v>
      </c>
      <c r="T2752" t="s">
        <v>366</v>
      </c>
    </row>
    <row r="2753" spans="4:20" ht="15.75" customHeight="1" x14ac:dyDescent="0.2">
      <c r="D2753" t="s">
        <v>285</v>
      </c>
      <c r="E2753" t="s">
        <v>445</v>
      </c>
      <c r="F2753">
        <v>14</v>
      </c>
      <c r="P2753" t="s">
        <v>455</v>
      </c>
      <c r="Q2753">
        <v>111</v>
      </c>
      <c r="R2753" t="s">
        <v>296</v>
      </c>
      <c r="S2753" t="s">
        <v>1</v>
      </c>
      <c r="T2753">
        <v>1</v>
      </c>
    </row>
    <row r="2754" spans="4:20" ht="15.75" customHeight="1" x14ac:dyDescent="0.2">
      <c r="D2754" t="s">
        <v>285</v>
      </c>
      <c r="E2754" t="s">
        <v>445</v>
      </c>
      <c r="F2754">
        <v>14</v>
      </c>
      <c r="P2754" t="s">
        <v>455</v>
      </c>
      <c r="Q2754">
        <v>111</v>
      </c>
      <c r="R2754" t="s">
        <v>297</v>
      </c>
      <c r="S2754" t="s">
        <v>18</v>
      </c>
      <c r="T2754" t="s">
        <v>366</v>
      </c>
    </row>
    <row r="2755" spans="4:20" ht="15.75" customHeight="1" x14ac:dyDescent="0.2">
      <c r="D2755" t="s">
        <v>285</v>
      </c>
      <c r="E2755" t="s">
        <v>445</v>
      </c>
      <c r="F2755">
        <v>14</v>
      </c>
      <c r="P2755" t="s">
        <v>455</v>
      </c>
      <c r="Q2755">
        <v>111</v>
      </c>
      <c r="R2755" t="s">
        <v>298</v>
      </c>
      <c r="S2755" t="s">
        <v>19</v>
      </c>
      <c r="T2755">
        <v>0</v>
      </c>
    </row>
    <row r="2756" spans="4:20" ht="15.75" customHeight="1" x14ac:dyDescent="0.2">
      <c r="D2756" t="s">
        <v>285</v>
      </c>
      <c r="E2756" t="s">
        <v>445</v>
      </c>
      <c r="F2756">
        <v>14</v>
      </c>
      <c r="P2756" t="s">
        <v>455</v>
      </c>
      <c r="Q2756">
        <v>111</v>
      </c>
      <c r="R2756" t="s">
        <v>299</v>
      </c>
      <c r="S2756" t="s">
        <v>20</v>
      </c>
      <c r="T2756">
        <v>0</v>
      </c>
    </row>
    <row r="2757" spans="4:20" ht="15.75" customHeight="1" x14ac:dyDescent="0.2">
      <c r="D2757" t="s">
        <v>285</v>
      </c>
      <c r="E2757" t="s">
        <v>445</v>
      </c>
      <c r="F2757">
        <v>14</v>
      </c>
      <c r="P2757" t="s">
        <v>456</v>
      </c>
      <c r="Q2757">
        <v>112</v>
      </c>
      <c r="R2757" t="s">
        <v>288</v>
      </c>
      <c r="S2757" t="s">
        <v>2</v>
      </c>
      <c r="T2757">
        <v>0</v>
      </c>
    </row>
    <row r="2758" spans="4:20" ht="15.75" customHeight="1" x14ac:dyDescent="0.2">
      <c r="D2758" t="s">
        <v>285</v>
      </c>
      <c r="E2758" t="s">
        <v>445</v>
      </c>
      <c r="F2758">
        <v>14</v>
      </c>
      <c r="P2758" t="s">
        <v>456</v>
      </c>
      <c r="Q2758">
        <v>112</v>
      </c>
      <c r="R2758" t="s">
        <v>289</v>
      </c>
      <c r="S2758" t="s">
        <v>5</v>
      </c>
      <c r="T2758">
        <v>0</v>
      </c>
    </row>
    <row r="2759" spans="4:20" ht="15.75" customHeight="1" x14ac:dyDescent="0.2">
      <c r="D2759" t="s">
        <v>285</v>
      </c>
      <c r="E2759" t="s">
        <v>445</v>
      </c>
      <c r="F2759">
        <v>14</v>
      </c>
      <c r="P2759" t="s">
        <v>456</v>
      </c>
      <c r="Q2759">
        <v>112</v>
      </c>
      <c r="R2759" t="s">
        <v>290</v>
      </c>
      <c r="S2759" t="s">
        <v>3</v>
      </c>
      <c r="T2759">
        <v>0</v>
      </c>
    </row>
    <row r="2760" spans="4:20" ht="15.75" customHeight="1" x14ac:dyDescent="0.2">
      <c r="D2760" t="s">
        <v>285</v>
      </c>
      <c r="E2760" t="s">
        <v>445</v>
      </c>
      <c r="F2760">
        <v>14</v>
      </c>
      <c r="P2760" t="s">
        <v>456</v>
      </c>
      <c r="Q2760">
        <v>112</v>
      </c>
      <c r="R2760" t="s">
        <v>291</v>
      </c>
      <c r="S2760" t="s">
        <v>4</v>
      </c>
      <c r="T2760">
        <v>0</v>
      </c>
    </row>
    <row r="2761" spans="4:20" ht="15.75" customHeight="1" x14ac:dyDescent="0.2">
      <c r="D2761" t="s">
        <v>285</v>
      </c>
      <c r="E2761" t="s">
        <v>445</v>
      </c>
      <c r="F2761">
        <v>14</v>
      </c>
      <c r="P2761" t="s">
        <v>456</v>
      </c>
      <c r="Q2761">
        <v>112</v>
      </c>
      <c r="R2761" t="s">
        <v>292</v>
      </c>
      <c r="S2761" t="s">
        <v>6</v>
      </c>
      <c r="T2761">
        <v>0</v>
      </c>
    </row>
    <row r="2762" spans="4:20" ht="15.75" customHeight="1" x14ac:dyDescent="0.2">
      <c r="D2762" t="s">
        <v>285</v>
      </c>
      <c r="E2762" t="s">
        <v>445</v>
      </c>
      <c r="F2762">
        <v>14</v>
      </c>
      <c r="P2762" t="s">
        <v>456</v>
      </c>
      <c r="Q2762">
        <v>112</v>
      </c>
      <c r="R2762" t="s">
        <v>243</v>
      </c>
      <c r="S2762" t="s">
        <v>7</v>
      </c>
      <c r="T2762">
        <v>0</v>
      </c>
    </row>
    <row r="2763" spans="4:20" ht="15.75" customHeight="1" x14ac:dyDescent="0.2">
      <c r="D2763" t="s">
        <v>285</v>
      </c>
      <c r="E2763" t="s">
        <v>445</v>
      </c>
      <c r="F2763">
        <v>14</v>
      </c>
      <c r="P2763" t="s">
        <v>456</v>
      </c>
      <c r="Q2763">
        <v>112</v>
      </c>
      <c r="R2763" t="s">
        <v>245</v>
      </c>
      <c r="S2763" t="s">
        <v>8</v>
      </c>
      <c r="T2763">
        <v>0</v>
      </c>
    </row>
    <row r="2764" spans="4:20" ht="15.75" customHeight="1" x14ac:dyDescent="0.2">
      <c r="D2764" t="s">
        <v>285</v>
      </c>
      <c r="E2764" t="s">
        <v>445</v>
      </c>
      <c r="F2764">
        <v>14</v>
      </c>
      <c r="P2764" t="s">
        <v>456</v>
      </c>
      <c r="Q2764">
        <v>112</v>
      </c>
      <c r="R2764" t="s">
        <v>247</v>
      </c>
      <c r="S2764" t="s">
        <v>9</v>
      </c>
      <c r="T2764">
        <v>0</v>
      </c>
    </row>
    <row r="2765" spans="4:20" ht="15.75" customHeight="1" x14ac:dyDescent="0.2">
      <c r="D2765" t="s">
        <v>285</v>
      </c>
      <c r="E2765" t="s">
        <v>445</v>
      </c>
      <c r="F2765">
        <v>14</v>
      </c>
      <c r="P2765" t="s">
        <v>456</v>
      </c>
      <c r="Q2765">
        <v>112</v>
      </c>
      <c r="R2765" t="s">
        <v>249</v>
      </c>
      <c r="S2765" t="s">
        <v>10</v>
      </c>
      <c r="T2765">
        <v>1</v>
      </c>
    </row>
    <row r="2766" spans="4:20" ht="15.75" customHeight="1" x14ac:dyDescent="0.2">
      <c r="D2766" t="s">
        <v>285</v>
      </c>
      <c r="E2766" t="s">
        <v>445</v>
      </c>
      <c r="F2766">
        <v>14</v>
      </c>
      <c r="P2766" t="s">
        <v>456</v>
      </c>
      <c r="Q2766">
        <v>112</v>
      </c>
      <c r="R2766" t="s">
        <v>251</v>
      </c>
      <c r="S2766" t="s">
        <v>11</v>
      </c>
      <c r="T2766">
        <v>1</v>
      </c>
    </row>
    <row r="2767" spans="4:20" ht="15.75" customHeight="1" x14ac:dyDescent="0.2">
      <c r="D2767" t="s">
        <v>285</v>
      </c>
      <c r="E2767" t="s">
        <v>445</v>
      </c>
      <c r="F2767">
        <v>14</v>
      </c>
      <c r="P2767" t="s">
        <v>456</v>
      </c>
      <c r="Q2767">
        <v>112</v>
      </c>
      <c r="R2767" t="s">
        <v>253</v>
      </c>
      <c r="S2767" t="s">
        <v>12</v>
      </c>
      <c r="T2767">
        <v>0</v>
      </c>
    </row>
    <row r="2768" spans="4:20" ht="15.75" customHeight="1" x14ac:dyDescent="0.2">
      <c r="D2768" t="s">
        <v>285</v>
      </c>
      <c r="E2768" t="s">
        <v>445</v>
      </c>
      <c r="F2768">
        <v>14</v>
      </c>
      <c r="P2768" t="s">
        <v>456</v>
      </c>
      <c r="Q2768">
        <v>112</v>
      </c>
      <c r="R2768" t="s">
        <v>255</v>
      </c>
      <c r="S2768" t="s">
        <v>15</v>
      </c>
      <c r="T2768">
        <v>0</v>
      </c>
    </row>
    <row r="2769" spans="4:20" ht="15.75" customHeight="1" x14ac:dyDescent="0.2">
      <c r="D2769" t="s">
        <v>285</v>
      </c>
      <c r="E2769" t="s">
        <v>445</v>
      </c>
      <c r="F2769">
        <v>14</v>
      </c>
      <c r="P2769" t="s">
        <v>456</v>
      </c>
      <c r="Q2769">
        <v>112</v>
      </c>
      <c r="R2769" t="s">
        <v>293</v>
      </c>
      <c r="S2769" t="s">
        <v>13</v>
      </c>
      <c r="T2769">
        <v>0</v>
      </c>
    </row>
    <row r="2770" spans="4:20" ht="15.75" customHeight="1" x14ac:dyDescent="0.2">
      <c r="D2770" t="s">
        <v>285</v>
      </c>
      <c r="E2770" t="s">
        <v>445</v>
      </c>
      <c r="F2770">
        <v>14</v>
      </c>
      <c r="P2770" t="s">
        <v>456</v>
      </c>
      <c r="Q2770">
        <v>112</v>
      </c>
      <c r="R2770" t="s">
        <v>294</v>
      </c>
      <c r="S2770" t="s">
        <v>14</v>
      </c>
      <c r="T2770">
        <v>0</v>
      </c>
    </row>
    <row r="2771" spans="4:20" ht="15.75" customHeight="1" x14ac:dyDescent="0.2">
      <c r="D2771" t="s">
        <v>285</v>
      </c>
      <c r="E2771" t="s">
        <v>445</v>
      </c>
      <c r="F2771">
        <v>14</v>
      </c>
      <c r="P2771" t="s">
        <v>456</v>
      </c>
      <c r="Q2771">
        <v>112</v>
      </c>
      <c r="R2771" t="s">
        <v>257</v>
      </c>
      <c r="S2771" t="s">
        <v>16</v>
      </c>
      <c r="T2771">
        <v>0</v>
      </c>
    </row>
    <row r="2772" spans="4:20" ht="15.75" customHeight="1" x14ac:dyDescent="0.2">
      <c r="D2772" t="s">
        <v>285</v>
      </c>
      <c r="E2772" t="s">
        <v>445</v>
      </c>
      <c r="F2772">
        <v>14</v>
      </c>
      <c r="P2772" t="s">
        <v>456</v>
      </c>
      <c r="Q2772">
        <v>112</v>
      </c>
      <c r="R2772" t="s">
        <v>295</v>
      </c>
      <c r="S2772" t="s">
        <v>17</v>
      </c>
      <c r="T2772" t="s">
        <v>366</v>
      </c>
    </row>
    <row r="2773" spans="4:20" ht="15.75" customHeight="1" x14ac:dyDescent="0.2">
      <c r="D2773" t="s">
        <v>285</v>
      </c>
      <c r="E2773" t="s">
        <v>445</v>
      </c>
      <c r="F2773">
        <v>14</v>
      </c>
      <c r="P2773" t="s">
        <v>456</v>
      </c>
      <c r="Q2773">
        <v>112</v>
      </c>
      <c r="R2773" t="s">
        <v>296</v>
      </c>
      <c r="S2773" t="s">
        <v>1</v>
      </c>
      <c r="T2773">
        <v>1</v>
      </c>
    </row>
    <row r="2774" spans="4:20" ht="15.75" customHeight="1" x14ac:dyDescent="0.2">
      <c r="D2774" t="s">
        <v>285</v>
      </c>
      <c r="E2774" t="s">
        <v>445</v>
      </c>
      <c r="F2774">
        <v>14</v>
      </c>
      <c r="P2774" t="s">
        <v>456</v>
      </c>
      <c r="Q2774">
        <v>112</v>
      </c>
      <c r="R2774" t="s">
        <v>297</v>
      </c>
      <c r="S2774" t="s">
        <v>18</v>
      </c>
      <c r="T2774" t="s">
        <v>366</v>
      </c>
    </row>
    <row r="2775" spans="4:20" ht="15.75" customHeight="1" x14ac:dyDescent="0.2">
      <c r="D2775" t="s">
        <v>285</v>
      </c>
      <c r="E2775" t="s">
        <v>445</v>
      </c>
      <c r="F2775">
        <v>14</v>
      </c>
      <c r="P2775" t="s">
        <v>456</v>
      </c>
      <c r="Q2775">
        <v>112</v>
      </c>
      <c r="R2775" t="s">
        <v>298</v>
      </c>
      <c r="S2775" t="s">
        <v>19</v>
      </c>
      <c r="T2775">
        <v>0</v>
      </c>
    </row>
    <row r="2776" spans="4:20" ht="15.75" customHeight="1" x14ac:dyDescent="0.2">
      <c r="D2776" t="s">
        <v>285</v>
      </c>
      <c r="E2776" t="s">
        <v>445</v>
      </c>
      <c r="F2776">
        <v>14</v>
      </c>
      <c r="P2776" t="s">
        <v>456</v>
      </c>
      <c r="Q2776">
        <v>112</v>
      </c>
      <c r="R2776" t="s">
        <v>299</v>
      </c>
      <c r="S2776" t="s">
        <v>20</v>
      </c>
      <c r="T2776">
        <v>0</v>
      </c>
    </row>
    <row r="2777" spans="4:20" ht="15.75" customHeight="1" x14ac:dyDescent="0.2">
      <c r="D2777" t="s">
        <v>285</v>
      </c>
      <c r="E2777" t="s">
        <v>445</v>
      </c>
      <c r="F2777">
        <v>14</v>
      </c>
      <c r="P2777" t="s">
        <v>457</v>
      </c>
      <c r="Q2777">
        <v>113</v>
      </c>
      <c r="R2777" t="s">
        <v>288</v>
      </c>
      <c r="S2777" t="s">
        <v>2</v>
      </c>
      <c r="T2777">
        <v>0</v>
      </c>
    </row>
    <row r="2778" spans="4:20" ht="15.75" customHeight="1" x14ac:dyDescent="0.2">
      <c r="D2778" t="s">
        <v>285</v>
      </c>
      <c r="E2778" t="s">
        <v>445</v>
      </c>
      <c r="F2778">
        <v>14</v>
      </c>
      <c r="P2778" t="s">
        <v>457</v>
      </c>
      <c r="Q2778">
        <v>113</v>
      </c>
      <c r="R2778" t="s">
        <v>289</v>
      </c>
      <c r="S2778" t="s">
        <v>5</v>
      </c>
      <c r="T2778">
        <v>0</v>
      </c>
    </row>
    <row r="2779" spans="4:20" ht="15.75" customHeight="1" x14ac:dyDescent="0.2">
      <c r="D2779" t="s">
        <v>285</v>
      </c>
      <c r="E2779" t="s">
        <v>445</v>
      </c>
      <c r="F2779">
        <v>14</v>
      </c>
      <c r="P2779" t="s">
        <v>457</v>
      </c>
      <c r="Q2779">
        <v>113</v>
      </c>
      <c r="R2779" t="s">
        <v>290</v>
      </c>
      <c r="S2779" t="s">
        <v>3</v>
      </c>
      <c r="T2779">
        <v>0</v>
      </c>
    </row>
    <row r="2780" spans="4:20" ht="15.75" customHeight="1" x14ac:dyDescent="0.2">
      <c r="D2780" t="s">
        <v>285</v>
      </c>
      <c r="E2780" t="s">
        <v>445</v>
      </c>
      <c r="F2780">
        <v>14</v>
      </c>
      <c r="P2780" t="s">
        <v>457</v>
      </c>
      <c r="Q2780">
        <v>113</v>
      </c>
      <c r="R2780" t="s">
        <v>291</v>
      </c>
      <c r="S2780" t="s">
        <v>4</v>
      </c>
      <c r="T2780">
        <v>0</v>
      </c>
    </row>
    <row r="2781" spans="4:20" ht="15.75" customHeight="1" x14ac:dyDescent="0.2">
      <c r="D2781" t="s">
        <v>285</v>
      </c>
      <c r="E2781" t="s">
        <v>445</v>
      </c>
      <c r="F2781">
        <v>14</v>
      </c>
      <c r="P2781" t="s">
        <v>457</v>
      </c>
      <c r="Q2781">
        <v>113</v>
      </c>
      <c r="R2781" t="s">
        <v>292</v>
      </c>
      <c r="S2781" t="s">
        <v>6</v>
      </c>
      <c r="T2781">
        <v>0</v>
      </c>
    </row>
    <row r="2782" spans="4:20" ht="15.75" customHeight="1" x14ac:dyDescent="0.2">
      <c r="D2782" t="s">
        <v>285</v>
      </c>
      <c r="E2782" t="s">
        <v>445</v>
      </c>
      <c r="F2782">
        <v>14</v>
      </c>
      <c r="P2782" t="s">
        <v>457</v>
      </c>
      <c r="Q2782">
        <v>113</v>
      </c>
      <c r="R2782" t="s">
        <v>243</v>
      </c>
      <c r="S2782" t="s">
        <v>7</v>
      </c>
      <c r="T2782">
        <v>0</v>
      </c>
    </row>
    <row r="2783" spans="4:20" ht="15.75" customHeight="1" x14ac:dyDescent="0.2">
      <c r="D2783" t="s">
        <v>285</v>
      </c>
      <c r="E2783" t="s">
        <v>445</v>
      </c>
      <c r="F2783">
        <v>14</v>
      </c>
      <c r="P2783" t="s">
        <v>457</v>
      </c>
      <c r="Q2783">
        <v>113</v>
      </c>
      <c r="R2783" t="s">
        <v>245</v>
      </c>
      <c r="S2783" t="s">
        <v>8</v>
      </c>
      <c r="T2783">
        <v>0</v>
      </c>
    </row>
    <row r="2784" spans="4:20" ht="15.75" customHeight="1" x14ac:dyDescent="0.2">
      <c r="D2784" t="s">
        <v>285</v>
      </c>
      <c r="E2784" t="s">
        <v>445</v>
      </c>
      <c r="F2784">
        <v>14</v>
      </c>
      <c r="P2784" t="s">
        <v>457</v>
      </c>
      <c r="Q2784">
        <v>113</v>
      </c>
      <c r="R2784" t="s">
        <v>247</v>
      </c>
      <c r="S2784" t="s">
        <v>9</v>
      </c>
      <c r="T2784">
        <v>0</v>
      </c>
    </row>
    <row r="2785" spans="4:23" ht="15.75" customHeight="1" x14ac:dyDescent="0.2">
      <c r="D2785" t="s">
        <v>285</v>
      </c>
      <c r="E2785" t="s">
        <v>445</v>
      </c>
      <c r="F2785">
        <v>14</v>
      </c>
      <c r="P2785" t="s">
        <v>457</v>
      </c>
      <c r="Q2785">
        <v>113</v>
      </c>
      <c r="R2785" t="s">
        <v>249</v>
      </c>
      <c r="S2785" t="s">
        <v>10</v>
      </c>
      <c r="T2785">
        <v>1</v>
      </c>
    </row>
    <row r="2786" spans="4:23" ht="15.75" customHeight="1" x14ac:dyDescent="0.2">
      <c r="D2786" t="s">
        <v>285</v>
      </c>
      <c r="E2786" t="s">
        <v>445</v>
      </c>
      <c r="F2786">
        <v>14</v>
      </c>
      <c r="P2786" t="s">
        <v>457</v>
      </c>
      <c r="Q2786">
        <v>113</v>
      </c>
      <c r="R2786" t="s">
        <v>251</v>
      </c>
      <c r="S2786" t="s">
        <v>11</v>
      </c>
      <c r="T2786">
        <v>1</v>
      </c>
    </row>
    <row r="2787" spans="4:23" ht="15.75" customHeight="1" x14ac:dyDescent="0.2">
      <c r="D2787" t="s">
        <v>285</v>
      </c>
      <c r="E2787" t="s">
        <v>445</v>
      </c>
      <c r="F2787">
        <v>14</v>
      </c>
      <c r="P2787" t="s">
        <v>457</v>
      </c>
      <c r="Q2787">
        <v>113</v>
      </c>
      <c r="R2787" t="s">
        <v>253</v>
      </c>
      <c r="S2787" t="s">
        <v>12</v>
      </c>
      <c r="T2787">
        <v>0</v>
      </c>
    </row>
    <row r="2788" spans="4:23" ht="15.75" customHeight="1" x14ac:dyDescent="0.2">
      <c r="D2788" t="s">
        <v>285</v>
      </c>
      <c r="E2788" t="s">
        <v>445</v>
      </c>
      <c r="F2788">
        <v>14</v>
      </c>
      <c r="P2788" t="s">
        <v>457</v>
      </c>
      <c r="Q2788">
        <v>113</v>
      </c>
      <c r="R2788" t="s">
        <v>255</v>
      </c>
      <c r="S2788" t="s">
        <v>15</v>
      </c>
      <c r="T2788">
        <v>0</v>
      </c>
    </row>
    <row r="2789" spans="4:23" ht="15.75" customHeight="1" x14ac:dyDescent="0.2">
      <c r="D2789" t="s">
        <v>285</v>
      </c>
      <c r="E2789" t="s">
        <v>445</v>
      </c>
      <c r="F2789">
        <v>14</v>
      </c>
      <c r="P2789" t="s">
        <v>457</v>
      </c>
      <c r="Q2789">
        <v>113</v>
      </c>
      <c r="R2789" t="s">
        <v>293</v>
      </c>
      <c r="S2789" t="s">
        <v>13</v>
      </c>
      <c r="T2789">
        <v>0</v>
      </c>
    </row>
    <row r="2790" spans="4:23" ht="15.75" customHeight="1" x14ac:dyDescent="0.2">
      <c r="D2790" t="s">
        <v>285</v>
      </c>
      <c r="E2790" t="s">
        <v>445</v>
      </c>
      <c r="F2790">
        <v>14</v>
      </c>
      <c r="P2790" t="s">
        <v>457</v>
      </c>
      <c r="Q2790">
        <v>113</v>
      </c>
      <c r="R2790" t="s">
        <v>294</v>
      </c>
      <c r="S2790" t="s">
        <v>14</v>
      </c>
      <c r="T2790">
        <v>0</v>
      </c>
    </row>
    <row r="2791" spans="4:23" ht="15.75" customHeight="1" x14ac:dyDescent="0.2">
      <c r="D2791" t="s">
        <v>285</v>
      </c>
      <c r="E2791" t="s">
        <v>445</v>
      </c>
      <c r="F2791">
        <v>14</v>
      </c>
      <c r="P2791" t="s">
        <v>457</v>
      </c>
      <c r="Q2791">
        <v>113</v>
      </c>
      <c r="R2791" t="s">
        <v>257</v>
      </c>
      <c r="S2791" t="s">
        <v>16</v>
      </c>
      <c r="T2791">
        <v>0</v>
      </c>
    </row>
    <row r="2792" spans="4:23" ht="15.75" customHeight="1" x14ac:dyDescent="0.2">
      <c r="D2792" t="s">
        <v>285</v>
      </c>
      <c r="E2792" t="s">
        <v>445</v>
      </c>
      <c r="F2792">
        <v>14</v>
      </c>
      <c r="P2792" t="s">
        <v>457</v>
      </c>
      <c r="Q2792">
        <v>113</v>
      </c>
      <c r="R2792" t="s">
        <v>295</v>
      </c>
      <c r="S2792" t="s">
        <v>17</v>
      </c>
      <c r="T2792" t="s">
        <v>366</v>
      </c>
    </row>
    <row r="2793" spans="4:23" ht="15.75" customHeight="1" x14ac:dyDescent="0.2">
      <c r="D2793" t="s">
        <v>285</v>
      </c>
      <c r="E2793" t="s">
        <v>445</v>
      </c>
      <c r="F2793">
        <v>14</v>
      </c>
      <c r="P2793" t="s">
        <v>457</v>
      </c>
      <c r="Q2793">
        <v>113</v>
      </c>
      <c r="R2793" t="s">
        <v>296</v>
      </c>
      <c r="S2793" t="s">
        <v>1</v>
      </c>
      <c r="T2793">
        <v>1</v>
      </c>
    </row>
    <row r="2794" spans="4:23" ht="15.75" customHeight="1" x14ac:dyDescent="0.2">
      <c r="D2794" t="s">
        <v>285</v>
      </c>
      <c r="E2794" t="s">
        <v>445</v>
      </c>
      <c r="F2794">
        <v>14</v>
      </c>
      <c r="P2794" t="s">
        <v>457</v>
      </c>
      <c r="Q2794">
        <v>113</v>
      </c>
      <c r="R2794" t="s">
        <v>297</v>
      </c>
      <c r="S2794" t="s">
        <v>18</v>
      </c>
      <c r="T2794" t="s">
        <v>366</v>
      </c>
    </row>
    <row r="2795" spans="4:23" ht="15.75" customHeight="1" x14ac:dyDescent="0.2">
      <c r="D2795" t="s">
        <v>285</v>
      </c>
      <c r="E2795" t="s">
        <v>445</v>
      </c>
      <c r="F2795">
        <v>14</v>
      </c>
      <c r="P2795" t="s">
        <v>457</v>
      </c>
      <c r="Q2795">
        <v>113</v>
      </c>
      <c r="R2795" t="s">
        <v>298</v>
      </c>
      <c r="S2795" t="s">
        <v>19</v>
      </c>
      <c r="T2795">
        <v>0</v>
      </c>
    </row>
    <row r="2796" spans="4:23" ht="15.75" customHeight="1" x14ac:dyDescent="0.2">
      <c r="D2796" t="s">
        <v>285</v>
      </c>
      <c r="E2796" t="s">
        <v>445</v>
      </c>
      <c r="F2796">
        <v>14</v>
      </c>
      <c r="P2796" t="s">
        <v>457</v>
      </c>
      <c r="Q2796">
        <v>113</v>
      </c>
      <c r="R2796" t="s">
        <v>299</v>
      </c>
      <c r="S2796" t="s">
        <v>20</v>
      </c>
      <c r="T2796">
        <v>0</v>
      </c>
    </row>
    <row r="2797" spans="4:23" ht="15.75" customHeight="1" x14ac:dyDescent="0.2">
      <c r="D2797" t="s">
        <v>285</v>
      </c>
      <c r="E2797" t="s">
        <v>445</v>
      </c>
      <c r="F2797">
        <v>14</v>
      </c>
      <c r="U2797" t="s">
        <v>300</v>
      </c>
      <c r="V2797" t="s">
        <v>301</v>
      </c>
      <c r="W2797">
        <v>0</v>
      </c>
    </row>
    <row r="2798" spans="4:23" ht="15.75" customHeight="1" x14ac:dyDescent="0.2">
      <c r="D2798" t="s">
        <v>285</v>
      </c>
      <c r="E2798" t="s">
        <v>445</v>
      </c>
      <c r="F2798">
        <v>14</v>
      </c>
      <c r="U2798" t="s">
        <v>288</v>
      </c>
      <c r="V2798" t="s">
        <v>302</v>
      </c>
      <c r="W2798">
        <v>0</v>
      </c>
    </row>
    <row r="2799" spans="4:23" ht="15.75" customHeight="1" x14ac:dyDescent="0.2">
      <c r="D2799" t="s">
        <v>285</v>
      </c>
      <c r="E2799" t="s">
        <v>445</v>
      </c>
      <c r="F2799">
        <v>14</v>
      </c>
      <c r="U2799" t="s">
        <v>303</v>
      </c>
      <c r="V2799" t="s">
        <v>304</v>
      </c>
      <c r="W2799">
        <v>2</v>
      </c>
    </row>
    <row r="2800" spans="4:23" ht="15.75" customHeight="1" x14ac:dyDescent="0.2">
      <c r="D2800" t="s">
        <v>285</v>
      </c>
      <c r="E2800" t="s">
        <v>445</v>
      </c>
      <c r="F2800">
        <v>14</v>
      </c>
      <c r="U2800" t="s">
        <v>305</v>
      </c>
      <c r="V2800" t="s">
        <v>306</v>
      </c>
      <c r="W2800" t="s">
        <v>366</v>
      </c>
    </row>
    <row r="2801" spans="4:23" ht="15.75" customHeight="1" x14ac:dyDescent="0.2">
      <c r="D2801" t="s">
        <v>285</v>
      </c>
      <c r="E2801" t="s">
        <v>445</v>
      </c>
      <c r="F2801">
        <v>14</v>
      </c>
      <c r="U2801" t="s">
        <v>307</v>
      </c>
      <c r="V2801" t="s">
        <v>308</v>
      </c>
      <c r="W2801" t="s">
        <v>366</v>
      </c>
    </row>
    <row r="2802" spans="4:23" ht="15.75" customHeight="1" x14ac:dyDescent="0.2">
      <c r="D2802" t="s">
        <v>285</v>
      </c>
      <c r="E2802" t="s">
        <v>445</v>
      </c>
      <c r="F2802">
        <v>14</v>
      </c>
      <c r="U2802" t="s">
        <v>243</v>
      </c>
      <c r="V2802" t="s">
        <v>309</v>
      </c>
      <c r="W2802" t="s">
        <v>366</v>
      </c>
    </row>
    <row r="2803" spans="4:23" ht="15.75" customHeight="1" x14ac:dyDescent="0.2">
      <c r="D2803" t="s">
        <v>285</v>
      </c>
      <c r="E2803" t="s">
        <v>445</v>
      </c>
      <c r="F2803">
        <v>14</v>
      </c>
      <c r="U2803" t="s">
        <v>245</v>
      </c>
      <c r="V2803" t="s">
        <v>310</v>
      </c>
      <c r="W2803" t="s">
        <v>366</v>
      </c>
    </row>
    <row r="2804" spans="4:23" ht="15.75" customHeight="1" x14ac:dyDescent="0.2">
      <c r="D2804" t="s">
        <v>285</v>
      </c>
      <c r="E2804" t="s">
        <v>445</v>
      </c>
      <c r="F2804">
        <v>14</v>
      </c>
      <c r="U2804" t="s">
        <v>247</v>
      </c>
      <c r="V2804" t="s">
        <v>311</v>
      </c>
      <c r="W2804" t="s">
        <v>366</v>
      </c>
    </row>
    <row r="2805" spans="4:23" ht="15.75" customHeight="1" x14ac:dyDescent="0.2">
      <c r="D2805" t="s">
        <v>285</v>
      </c>
      <c r="E2805" t="s">
        <v>445</v>
      </c>
      <c r="F2805">
        <v>14</v>
      </c>
      <c r="U2805" t="s">
        <v>249</v>
      </c>
      <c r="V2805" t="s">
        <v>312</v>
      </c>
      <c r="W2805" t="s">
        <v>366</v>
      </c>
    </row>
    <row r="2806" spans="4:23" ht="15.75" customHeight="1" x14ac:dyDescent="0.2">
      <c r="D2806" t="s">
        <v>285</v>
      </c>
      <c r="E2806" t="s">
        <v>445</v>
      </c>
      <c r="F2806">
        <v>14</v>
      </c>
      <c r="U2806" t="s">
        <v>251</v>
      </c>
      <c r="V2806" t="s">
        <v>313</v>
      </c>
      <c r="W2806" t="s">
        <v>366</v>
      </c>
    </row>
    <row r="2807" spans="4:23" ht="15.75" customHeight="1" x14ac:dyDescent="0.2">
      <c r="D2807" t="s">
        <v>285</v>
      </c>
      <c r="E2807" t="s">
        <v>445</v>
      </c>
      <c r="F2807">
        <v>14</v>
      </c>
      <c r="U2807" t="s">
        <v>253</v>
      </c>
      <c r="V2807" t="s">
        <v>314</v>
      </c>
      <c r="W2807" t="s">
        <v>366</v>
      </c>
    </row>
    <row r="2808" spans="4:23" ht="15.75" customHeight="1" x14ac:dyDescent="0.2">
      <c r="D2808" t="s">
        <v>285</v>
      </c>
      <c r="E2808" t="s">
        <v>445</v>
      </c>
      <c r="F2808">
        <v>14</v>
      </c>
      <c r="U2808" t="s">
        <v>315</v>
      </c>
      <c r="V2808" t="s">
        <v>316</v>
      </c>
      <c r="W2808" t="s">
        <v>366</v>
      </c>
    </row>
    <row r="2809" spans="4:23" ht="15.75" customHeight="1" x14ac:dyDescent="0.2">
      <c r="D2809" t="s">
        <v>285</v>
      </c>
      <c r="E2809" t="s">
        <v>445</v>
      </c>
      <c r="F2809">
        <v>14</v>
      </c>
      <c r="U2809" t="s">
        <v>317</v>
      </c>
      <c r="V2809" t="s">
        <v>318</v>
      </c>
      <c r="W2809">
        <v>0</v>
      </c>
    </row>
    <row r="2810" spans="4:23" ht="15.75" customHeight="1" x14ac:dyDescent="0.2">
      <c r="D2810" t="s">
        <v>285</v>
      </c>
      <c r="E2810" t="s">
        <v>445</v>
      </c>
      <c r="F2810">
        <v>14</v>
      </c>
      <c r="U2810" t="s">
        <v>257</v>
      </c>
      <c r="V2810" t="s">
        <v>319</v>
      </c>
      <c r="W2810">
        <v>0</v>
      </c>
    </row>
    <row r="2811" spans="4:23" ht="15.75" customHeight="1" x14ac:dyDescent="0.2">
      <c r="D2811" t="s">
        <v>285</v>
      </c>
      <c r="E2811" t="s">
        <v>445</v>
      </c>
      <c r="F2811">
        <v>14</v>
      </c>
      <c r="U2811" t="s">
        <v>320</v>
      </c>
      <c r="V2811" t="s">
        <v>321</v>
      </c>
      <c r="W2811" t="s">
        <v>366</v>
      </c>
    </row>
    <row r="2812" spans="4:23" ht="15.75" customHeight="1" x14ac:dyDescent="0.2">
      <c r="D2812" t="s">
        <v>285</v>
      </c>
      <c r="E2812" t="s">
        <v>445</v>
      </c>
      <c r="F2812">
        <v>14</v>
      </c>
      <c r="U2812" t="s">
        <v>263</v>
      </c>
      <c r="V2812" t="s">
        <v>322</v>
      </c>
      <c r="W2812" t="s">
        <v>366</v>
      </c>
    </row>
    <row r="2813" spans="4:23" ht="15.75" customHeight="1" x14ac:dyDescent="0.2">
      <c r="D2813" t="s">
        <v>285</v>
      </c>
      <c r="E2813" t="s">
        <v>445</v>
      </c>
      <c r="F2813">
        <v>14</v>
      </c>
      <c r="U2813" t="s">
        <v>323</v>
      </c>
      <c r="V2813" t="s">
        <v>324</v>
      </c>
      <c r="W2813" t="s">
        <v>366</v>
      </c>
    </row>
    <row r="2814" spans="4:23" ht="15.75" customHeight="1" x14ac:dyDescent="0.2">
      <c r="D2814" t="s">
        <v>285</v>
      </c>
      <c r="E2814" t="s">
        <v>445</v>
      </c>
      <c r="F2814">
        <v>14</v>
      </c>
      <c r="U2814" t="s">
        <v>325</v>
      </c>
      <c r="V2814" t="s">
        <v>326</v>
      </c>
      <c r="W2814" t="s">
        <v>366</v>
      </c>
    </row>
    <row r="2815" spans="4:23" ht="15.75" customHeight="1" x14ac:dyDescent="0.2">
      <c r="D2815" t="s">
        <v>285</v>
      </c>
      <c r="E2815" t="s">
        <v>445</v>
      </c>
      <c r="F2815">
        <v>14</v>
      </c>
      <c r="U2815" t="s">
        <v>327</v>
      </c>
      <c r="V2815" t="s">
        <v>328</v>
      </c>
      <c r="W2815" t="s">
        <v>366</v>
      </c>
    </row>
    <row r="2816" spans="4:23" ht="15.75" customHeight="1" x14ac:dyDescent="0.2">
      <c r="D2816" t="s">
        <v>285</v>
      </c>
      <c r="E2816" t="s">
        <v>445</v>
      </c>
      <c r="F2816">
        <v>14</v>
      </c>
      <c r="U2816" t="s">
        <v>329</v>
      </c>
      <c r="V2816" t="s">
        <v>330</v>
      </c>
      <c r="W2816" t="s">
        <v>366</v>
      </c>
    </row>
    <row r="2817" spans="4:23" ht="15.75" customHeight="1" x14ac:dyDescent="0.2">
      <c r="D2817" t="s">
        <v>285</v>
      </c>
      <c r="E2817" t="s">
        <v>445</v>
      </c>
      <c r="F2817">
        <v>14</v>
      </c>
      <c r="U2817" t="s">
        <v>331</v>
      </c>
      <c r="V2817" t="s">
        <v>332</v>
      </c>
      <c r="W2817" t="s">
        <v>366</v>
      </c>
    </row>
    <row r="2818" spans="4:23" ht="15.75" customHeight="1" x14ac:dyDescent="0.2">
      <c r="D2818" t="s">
        <v>285</v>
      </c>
      <c r="E2818" t="s">
        <v>445</v>
      </c>
      <c r="F2818">
        <v>14</v>
      </c>
      <c r="U2818" t="s">
        <v>333</v>
      </c>
      <c r="V2818" t="s">
        <v>334</v>
      </c>
      <c r="W2818" t="s">
        <v>366</v>
      </c>
    </row>
    <row r="2819" spans="4:23" ht="15.75" customHeight="1" x14ac:dyDescent="0.2">
      <c r="D2819" t="s">
        <v>285</v>
      </c>
      <c r="E2819" t="s">
        <v>445</v>
      </c>
      <c r="F2819">
        <v>14</v>
      </c>
      <c r="U2819" t="s">
        <v>335</v>
      </c>
      <c r="V2819" t="s">
        <v>336</v>
      </c>
      <c r="W2819" t="s">
        <v>366</v>
      </c>
    </row>
    <row r="2820" spans="4:23" ht="15.75" customHeight="1" x14ac:dyDescent="0.2">
      <c r="D2820" t="s">
        <v>285</v>
      </c>
      <c r="E2820" t="s">
        <v>445</v>
      </c>
      <c r="F2820">
        <v>14</v>
      </c>
      <c r="U2820" t="s">
        <v>337</v>
      </c>
      <c r="V2820" t="s">
        <v>338</v>
      </c>
      <c r="W2820" t="s">
        <v>366</v>
      </c>
    </row>
    <row r="2821" spans="4:23" ht="15.75" customHeight="1" x14ac:dyDescent="0.2">
      <c r="D2821" t="s">
        <v>285</v>
      </c>
      <c r="E2821" t="s">
        <v>445</v>
      </c>
      <c r="F2821">
        <v>14</v>
      </c>
      <c r="U2821" t="s">
        <v>339</v>
      </c>
      <c r="V2821" t="s">
        <v>340</v>
      </c>
      <c r="W2821" t="s">
        <v>366</v>
      </c>
    </row>
    <row r="2822" spans="4:23" ht="15.75" customHeight="1" x14ac:dyDescent="0.2">
      <c r="D2822" t="s">
        <v>285</v>
      </c>
      <c r="E2822" t="s">
        <v>445</v>
      </c>
      <c r="F2822">
        <v>14</v>
      </c>
      <c r="U2822" t="s">
        <v>341</v>
      </c>
      <c r="V2822" t="s">
        <v>342</v>
      </c>
      <c r="W2822" t="s">
        <v>366</v>
      </c>
    </row>
    <row r="2823" spans="4:23" ht="15.75" customHeight="1" x14ac:dyDescent="0.2">
      <c r="D2823" t="s">
        <v>285</v>
      </c>
      <c r="E2823" t="s">
        <v>445</v>
      </c>
      <c r="F2823">
        <v>14</v>
      </c>
      <c r="U2823" t="s">
        <v>343</v>
      </c>
      <c r="V2823" t="s">
        <v>344</v>
      </c>
      <c r="W2823" t="s">
        <v>366</v>
      </c>
    </row>
    <row r="2824" spans="4:23" ht="15.75" customHeight="1" x14ac:dyDescent="0.2">
      <c r="D2824" t="s">
        <v>285</v>
      </c>
      <c r="E2824" t="s">
        <v>445</v>
      </c>
      <c r="F2824">
        <v>14</v>
      </c>
      <c r="U2824" t="s">
        <v>345</v>
      </c>
      <c r="V2824" t="s">
        <v>346</v>
      </c>
      <c r="W2824" t="s">
        <v>366</v>
      </c>
    </row>
    <row r="2825" spans="4:23" ht="15.75" customHeight="1" x14ac:dyDescent="0.2">
      <c r="D2825" t="s">
        <v>285</v>
      </c>
      <c r="E2825" t="s">
        <v>445</v>
      </c>
      <c r="F2825">
        <v>14</v>
      </c>
      <c r="U2825" t="s">
        <v>347</v>
      </c>
      <c r="V2825" t="s">
        <v>348</v>
      </c>
      <c r="W2825" t="s">
        <v>366</v>
      </c>
    </row>
    <row r="2826" spans="4:23" ht="15.75" customHeight="1" x14ac:dyDescent="0.2">
      <c r="D2826" t="s">
        <v>285</v>
      </c>
      <c r="E2826" t="s">
        <v>458</v>
      </c>
      <c r="F2826">
        <v>15</v>
      </c>
      <c r="P2826" t="s">
        <v>459</v>
      </c>
      <c r="Q2826">
        <v>114</v>
      </c>
      <c r="R2826" t="s">
        <v>288</v>
      </c>
      <c r="S2826" t="s">
        <v>2</v>
      </c>
      <c r="T2826">
        <v>0</v>
      </c>
    </row>
    <row r="2827" spans="4:23" ht="15.75" customHeight="1" x14ac:dyDescent="0.2">
      <c r="D2827" t="s">
        <v>285</v>
      </c>
      <c r="E2827" t="s">
        <v>458</v>
      </c>
      <c r="F2827">
        <v>15</v>
      </c>
      <c r="P2827" t="s">
        <v>459</v>
      </c>
      <c r="Q2827">
        <v>114</v>
      </c>
      <c r="R2827" t="s">
        <v>289</v>
      </c>
      <c r="S2827" t="s">
        <v>5</v>
      </c>
      <c r="T2827">
        <v>0</v>
      </c>
    </row>
    <row r="2828" spans="4:23" ht="15.75" customHeight="1" x14ac:dyDescent="0.2">
      <c r="D2828" t="s">
        <v>285</v>
      </c>
      <c r="E2828" t="s">
        <v>458</v>
      </c>
      <c r="F2828">
        <v>15</v>
      </c>
      <c r="P2828" t="s">
        <v>459</v>
      </c>
      <c r="Q2828">
        <v>114</v>
      </c>
      <c r="R2828" t="s">
        <v>290</v>
      </c>
      <c r="S2828" t="s">
        <v>3</v>
      </c>
      <c r="T2828">
        <v>0</v>
      </c>
    </row>
    <row r="2829" spans="4:23" ht="15.75" customHeight="1" x14ac:dyDescent="0.2">
      <c r="D2829" t="s">
        <v>285</v>
      </c>
      <c r="E2829" t="s">
        <v>458</v>
      </c>
      <c r="F2829">
        <v>15</v>
      </c>
      <c r="P2829" t="s">
        <v>459</v>
      </c>
      <c r="Q2829">
        <v>114</v>
      </c>
      <c r="R2829" t="s">
        <v>291</v>
      </c>
      <c r="S2829" t="s">
        <v>4</v>
      </c>
      <c r="T2829">
        <v>0</v>
      </c>
    </row>
    <row r="2830" spans="4:23" ht="15.75" customHeight="1" x14ac:dyDescent="0.2">
      <c r="D2830" t="s">
        <v>285</v>
      </c>
      <c r="E2830" t="s">
        <v>458</v>
      </c>
      <c r="F2830">
        <v>15</v>
      </c>
      <c r="P2830" t="s">
        <v>459</v>
      </c>
      <c r="Q2830">
        <v>114</v>
      </c>
      <c r="R2830" t="s">
        <v>292</v>
      </c>
      <c r="S2830" t="s">
        <v>6</v>
      </c>
      <c r="T2830">
        <v>0</v>
      </c>
    </row>
    <row r="2831" spans="4:23" ht="15.75" customHeight="1" x14ac:dyDescent="0.2">
      <c r="D2831" t="s">
        <v>285</v>
      </c>
      <c r="E2831" t="s">
        <v>458</v>
      </c>
      <c r="F2831">
        <v>15</v>
      </c>
      <c r="P2831" t="s">
        <v>459</v>
      </c>
      <c r="Q2831">
        <v>114</v>
      </c>
      <c r="R2831" t="s">
        <v>243</v>
      </c>
      <c r="S2831" t="s">
        <v>7</v>
      </c>
      <c r="T2831">
        <v>0</v>
      </c>
    </row>
    <row r="2832" spans="4:23" ht="15.75" customHeight="1" x14ac:dyDescent="0.2">
      <c r="D2832" t="s">
        <v>285</v>
      </c>
      <c r="E2832" t="s">
        <v>458</v>
      </c>
      <c r="F2832">
        <v>15</v>
      </c>
      <c r="P2832" t="s">
        <v>459</v>
      </c>
      <c r="Q2832">
        <v>114</v>
      </c>
      <c r="R2832" t="s">
        <v>245</v>
      </c>
      <c r="S2832" t="s">
        <v>8</v>
      </c>
      <c r="T2832" t="s">
        <v>364</v>
      </c>
    </row>
    <row r="2833" spans="4:20" ht="15.75" customHeight="1" x14ac:dyDescent="0.2">
      <c r="D2833" t="s">
        <v>285</v>
      </c>
      <c r="E2833" t="s">
        <v>458</v>
      </c>
      <c r="F2833">
        <v>15</v>
      </c>
      <c r="P2833" t="s">
        <v>459</v>
      </c>
      <c r="Q2833">
        <v>114</v>
      </c>
      <c r="R2833" t="s">
        <v>247</v>
      </c>
      <c r="S2833" t="s">
        <v>9</v>
      </c>
      <c r="T2833" t="s">
        <v>364</v>
      </c>
    </row>
    <row r="2834" spans="4:20" ht="15.75" customHeight="1" x14ac:dyDescent="0.2">
      <c r="D2834" t="s">
        <v>285</v>
      </c>
      <c r="E2834" t="s">
        <v>458</v>
      </c>
      <c r="F2834">
        <v>15</v>
      </c>
      <c r="P2834" t="s">
        <v>459</v>
      </c>
      <c r="Q2834">
        <v>114</v>
      </c>
      <c r="R2834" t="s">
        <v>249</v>
      </c>
      <c r="S2834" t="s">
        <v>10</v>
      </c>
      <c r="T2834">
        <v>0</v>
      </c>
    </row>
    <row r="2835" spans="4:20" ht="15.75" customHeight="1" x14ac:dyDescent="0.2">
      <c r="D2835" t="s">
        <v>285</v>
      </c>
      <c r="E2835" t="s">
        <v>458</v>
      </c>
      <c r="F2835">
        <v>15</v>
      </c>
      <c r="P2835" t="s">
        <v>459</v>
      </c>
      <c r="Q2835">
        <v>114</v>
      </c>
      <c r="R2835" t="s">
        <v>251</v>
      </c>
      <c r="S2835" t="s">
        <v>11</v>
      </c>
      <c r="T2835">
        <v>0</v>
      </c>
    </row>
    <row r="2836" spans="4:20" ht="15.75" customHeight="1" x14ac:dyDescent="0.2">
      <c r="D2836" t="s">
        <v>285</v>
      </c>
      <c r="E2836" t="s">
        <v>458</v>
      </c>
      <c r="F2836">
        <v>15</v>
      </c>
      <c r="P2836" t="s">
        <v>459</v>
      </c>
      <c r="Q2836">
        <v>114</v>
      </c>
      <c r="R2836" t="s">
        <v>253</v>
      </c>
      <c r="S2836" t="s">
        <v>12</v>
      </c>
      <c r="T2836" t="s">
        <v>364</v>
      </c>
    </row>
    <row r="2837" spans="4:20" ht="15.75" customHeight="1" x14ac:dyDescent="0.2">
      <c r="D2837" t="s">
        <v>285</v>
      </c>
      <c r="E2837" t="s">
        <v>458</v>
      </c>
      <c r="F2837">
        <v>15</v>
      </c>
      <c r="P2837" t="s">
        <v>459</v>
      </c>
      <c r="Q2837">
        <v>114</v>
      </c>
      <c r="R2837" t="s">
        <v>255</v>
      </c>
      <c r="S2837" t="s">
        <v>15</v>
      </c>
      <c r="T2837">
        <v>0</v>
      </c>
    </row>
    <row r="2838" spans="4:20" ht="15.75" customHeight="1" x14ac:dyDescent="0.2">
      <c r="D2838" t="s">
        <v>285</v>
      </c>
      <c r="E2838" t="s">
        <v>458</v>
      </c>
      <c r="F2838">
        <v>15</v>
      </c>
      <c r="P2838" t="s">
        <v>459</v>
      </c>
      <c r="Q2838">
        <v>114</v>
      </c>
      <c r="R2838" t="s">
        <v>293</v>
      </c>
      <c r="S2838" t="s">
        <v>13</v>
      </c>
      <c r="T2838">
        <v>0</v>
      </c>
    </row>
    <row r="2839" spans="4:20" ht="15.75" customHeight="1" x14ac:dyDescent="0.2">
      <c r="D2839" t="s">
        <v>285</v>
      </c>
      <c r="E2839" t="s">
        <v>458</v>
      </c>
      <c r="F2839">
        <v>15</v>
      </c>
      <c r="P2839" t="s">
        <v>459</v>
      </c>
      <c r="Q2839">
        <v>114</v>
      </c>
      <c r="R2839" t="s">
        <v>294</v>
      </c>
      <c r="S2839" t="s">
        <v>14</v>
      </c>
      <c r="T2839">
        <v>1</v>
      </c>
    </row>
    <row r="2840" spans="4:20" ht="15.75" customHeight="1" x14ac:dyDescent="0.2">
      <c r="D2840" t="s">
        <v>285</v>
      </c>
      <c r="E2840" t="s">
        <v>458</v>
      </c>
      <c r="F2840">
        <v>15</v>
      </c>
      <c r="P2840" t="s">
        <v>459</v>
      </c>
      <c r="Q2840">
        <v>114</v>
      </c>
      <c r="R2840" t="s">
        <v>257</v>
      </c>
      <c r="S2840" t="s">
        <v>16</v>
      </c>
      <c r="T2840">
        <v>0</v>
      </c>
    </row>
    <row r="2841" spans="4:20" ht="15.75" customHeight="1" x14ac:dyDescent="0.2">
      <c r="D2841" t="s">
        <v>285</v>
      </c>
      <c r="E2841" t="s">
        <v>458</v>
      </c>
      <c r="F2841">
        <v>15</v>
      </c>
      <c r="P2841" t="s">
        <v>459</v>
      </c>
      <c r="Q2841">
        <v>114</v>
      </c>
      <c r="R2841" t="s">
        <v>295</v>
      </c>
      <c r="S2841" t="s">
        <v>17</v>
      </c>
      <c r="T2841" t="s">
        <v>366</v>
      </c>
    </row>
    <row r="2842" spans="4:20" ht="15.75" customHeight="1" x14ac:dyDescent="0.2">
      <c r="D2842" t="s">
        <v>285</v>
      </c>
      <c r="E2842" t="s">
        <v>458</v>
      </c>
      <c r="F2842">
        <v>15</v>
      </c>
      <c r="P2842" t="s">
        <v>459</v>
      </c>
      <c r="Q2842">
        <v>114</v>
      </c>
      <c r="R2842" t="s">
        <v>296</v>
      </c>
      <c r="S2842" t="s">
        <v>1</v>
      </c>
      <c r="T2842">
        <v>1</v>
      </c>
    </row>
    <row r="2843" spans="4:20" ht="15.75" customHeight="1" x14ac:dyDescent="0.2">
      <c r="D2843" t="s">
        <v>285</v>
      </c>
      <c r="E2843" t="s">
        <v>458</v>
      </c>
      <c r="F2843">
        <v>15</v>
      </c>
      <c r="P2843" t="s">
        <v>459</v>
      </c>
      <c r="Q2843">
        <v>114</v>
      </c>
      <c r="R2843" t="s">
        <v>297</v>
      </c>
      <c r="S2843" t="s">
        <v>18</v>
      </c>
      <c r="T2843" t="s">
        <v>366</v>
      </c>
    </row>
    <row r="2844" spans="4:20" ht="15.75" customHeight="1" x14ac:dyDescent="0.2">
      <c r="D2844" t="s">
        <v>285</v>
      </c>
      <c r="E2844" t="s">
        <v>458</v>
      </c>
      <c r="F2844">
        <v>15</v>
      </c>
      <c r="P2844" t="s">
        <v>459</v>
      </c>
      <c r="Q2844">
        <v>114</v>
      </c>
      <c r="R2844" t="s">
        <v>298</v>
      </c>
      <c r="S2844" t="s">
        <v>19</v>
      </c>
      <c r="T2844">
        <v>4</v>
      </c>
    </row>
    <row r="2845" spans="4:20" ht="15.75" customHeight="1" x14ac:dyDescent="0.2">
      <c r="D2845" t="s">
        <v>285</v>
      </c>
      <c r="E2845" t="s">
        <v>458</v>
      </c>
      <c r="F2845">
        <v>15</v>
      </c>
      <c r="P2845" t="s">
        <v>459</v>
      </c>
      <c r="Q2845">
        <v>114</v>
      </c>
      <c r="R2845" t="s">
        <v>299</v>
      </c>
      <c r="S2845" t="s">
        <v>20</v>
      </c>
      <c r="T2845">
        <v>0</v>
      </c>
    </row>
    <row r="2846" spans="4:20" ht="15.75" customHeight="1" x14ac:dyDescent="0.2">
      <c r="D2846" t="s">
        <v>285</v>
      </c>
      <c r="E2846" t="s">
        <v>458</v>
      </c>
      <c r="F2846">
        <v>15</v>
      </c>
      <c r="P2846" t="s">
        <v>460</v>
      </c>
      <c r="Q2846">
        <v>115</v>
      </c>
      <c r="R2846" t="s">
        <v>288</v>
      </c>
      <c r="S2846" t="s">
        <v>2</v>
      </c>
      <c r="T2846">
        <v>0</v>
      </c>
    </row>
    <row r="2847" spans="4:20" ht="15.75" customHeight="1" x14ac:dyDescent="0.2">
      <c r="D2847" t="s">
        <v>285</v>
      </c>
      <c r="E2847" t="s">
        <v>458</v>
      </c>
      <c r="F2847">
        <v>15</v>
      </c>
      <c r="P2847" t="s">
        <v>460</v>
      </c>
      <c r="Q2847">
        <v>115</v>
      </c>
      <c r="R2847" t="s">
        <v>289</v>
      </c>
      <c r="S2847" t="s">
        <v>5</v>
      </c>
      <c r="T2847">
        <v>0</v>
      </c>
    </row>
    <row r="2848" spans="4:20" ht="15.75" customHeight="1" x14ac:dyDescent="0.2">
      <c r="D2848" t="s">
        <v>285</v>
      </c>
      <c r="E2848" t="s">
        <v>458</v>
      </c>
      <c r="F2848">
        <v>15</v>
      </c>
      <c r="P2848" t="s">
        <v>460</v>
      </c>
      <c r="Q2848">
        <v>115</v>
      </c>
      <c r="R2848" t="s">
        <v>290</v>
      </c>
      <c r="S2848" t="s">
        <v>3</v>
      </c>
      <c r="T2848">
        <v>0</v>
      </c>
    </row>
    <row r="2849" spans="4:20" ht="15.75" customHeight="1" x14ac:dyDescent="0.2">
      <c r="D2849" t="s">
        <v>285</v>
      </c>
      <c r="E2849" t="s">
        <v>458</v>
      </c>
      <c r="F2849">
        <v>15</v>
      </c>
      <c r="P2849" t="s">
        <v>460</v>
      </c>
      <c r="Q2849">
        <v>115</v>
      </c>
      <c r="R2849" t="s">
        <v>291</v>
      </c>
      <c r="S2849" t="s">
        <v>4</v>
      </c>
      <c r="T2849">
        <v>0</v>
      </c>
    </row>
    <row r="2850" spans="4:20" ht="15.75" customHeight="1" x14ac:dyDescent="0.2">
      <c r="D2850" t="s">
        <v>285</v>
      </c>
      <c r="E2850" t="s">
        <v>458</v>
      </c>
      <c r="F2850">
        <v>15</v>
      </c>
      <c r="P2850" t="s">
        <v>460</v>
      </c>
      <c r="Q2850">
        <v>115</v>
      </c>
      <c r="R2850" t="s">
        <v>292</v>
      </c>
      <c r="S2850" t="s">
        <v>6</v>
      </c>
      <c r="T2850">
        <v>0</v>
      </c>
    </row>
    <row r="2851" spans="4:20" ht="15.75" customHeight="1" x14ac:dyDescent="0.2">
      <c r="D2851" t="s">
        <v>285</v>
      </c>
      <c r="E2851" t="s">
        <v>458</v>
      </c>
      <c r="F2851">
        <v>15</v>
      </c>
      <c r="P2851" t="s">
        <v>460</v>
      </c>
      <c r="Q2851">
        <v>115</v>
      </c>
      <c r="R2851" t="s">
        <v>243</v>
      </c>
      <c r="S2851" t="s">
        <v>7</v>
      </c>
      <c r="T2851">
        <v>0</v>
      </c>
    </row>
    <row r="2852" spans="4:20" ht="15.75" customHeight="1" x14ac:dyDescent="0.2">
      <c r="D2852" t="s">
        <v>285</v>
      </c>
      <c r="E2852" t="s">
        <v>458</v>
      </c>
      <c r="F2852">
        <v>15</v>
      </c>
      <c r="P2852" t="s">
        <v>460</v>
      </c>
      <c r="Q2852">
        <v>115</v>
      </c>
      <c r="R2852" t="s">
        <v>245</v>
      </c>
      <c r="S2852" t="s">
        <v>8</v>
      </c>
      <c r="T2852" t="s">
        <v>364</v>
      </c>
    </row>
    <row r="2853" spans="4:20" ht="15.75" customHeight="1" x14ac:dyDescent="0.2">
      <c r="D2853" t="s">
        <v>285</v>
      </c>
      <c r="E2853" t="s">
        <v>458</v>
      </c>
      <c r="F2853">
        <v>15</v>
      </c>
      <c r="P2853" t="s">
        <v>460</v>
      </c>
      <c r="Q2853">
        <v>115</v>
      </c>
      <c r="R2853" t="s">
        <v>247</v>
      </c>
      <c r="S2853" t="s">
        <v>9</v>
      </c>
      <c r="T2853" t="s">
        <v>364</v>
      </c>
    </row>
    <row r="2854" spans="4:20" ht="15.75" customHeight="1" x14ac:dyDescent="0.2">
      <c r="D2854" t="s">
        <v>285</v>
      </c>
      <c r="E2854" t="s">
        <v>458</v>
      </c>
      <c r="F2854">
        <v>15</v>
      </c>
      <c r="P2854" t="s">
        <v>460</v>
      </c>
      <c r="Q2854">
        <v>115</v>
      </c>
      <c r="R2854" t="s">
        <v>249</v>
      </c>
      <c r="S2854" t="s">
        <v>10</v>
      </c>
      <c r="T2854">
        <v>0</v>
      </c>
    </row>
    <row r="2855" spans="4:20" ht="15.75" customHeight="1" x14ac:dyDescent="0.2">
      <c r="D2855" t="s">
        <v>285</v>
      </c>
      <c r="E2855" t="s">
        <v>458</v>
      </c>
      <c r="F2855">
        <v>15</v>
      </c>
      <c r="P2855" t="s">
        <v>460</v>
      </c>
      <c r="Q2855">
        <v>115</v>
      </c>
      <c r="R2855" t="s">
        <v>251</v>
      </c>
      <c r="S2855" t="s">
        <v>11</v>
      </c>
      <c r="T2855">
        <v>0</v>
      </c>
    </row>
    <row r="2856" spans="4:20" ht="15.75" customHeight="1" x14ac:dyDescent="0.2">
      <c r="D2856" t="s">
        <v>285</v>
      </c>
      <c r="E2856" t="s">
        <v>458</v>
      </c>
      <c r="F2856">
        <v>15</v>
      </c>
      <c r="P2856" t="s">
        <v>460</v>
      </c>
      <c r="Q2856">
        <v>115</v>
      </c>
      <c r="R2856" t="s">
        <v>253</v>
      </c>
      <c r="S2856" t="s">
        <v>12</v>
      </c>
      <c r="T2856" t="s">
        <v>364</v>
      </c>
    </row>
    <row r="2857" spans="4:20" ht="15.75" customHeight="1" x14ac:dyDescent="0.2">
      <c r="D2857" t="s">
        <v>285</v>
      </c>
      <c r="E2857" t="s">
        <v>458</v>
      </c>
      <c r="F2857">
        <v>15</v>
      </c>
      <c r="P2857" t="s">
        <v>460</v>
      </c>
      <c r="Q2857">
        <v>115</v>
      </c>
      <c r="R2857" t="s">
        <v>255</v>
      </c>
      <c r="S2857" t="s">
        <v>15</v>
      </c>
      <c r="T2857">
        <v>0</v>
      </c>
    </row>
    <row r="2858" spans="4:20" ht="15.75" customHeight="1" x14ac:dyDescent="0.2">
      <c r="D2858" t="s">
        <v>285</v>
      </c>
      <c r="E2858" t="s">
        <v>458</v>
      </c>
      <c r="F2858">
        <v>15</v>
      </c>
      <c r="P2858" t="s">
        <v>460</v>
      </c>
      <c r="Q2858">
        <v>115</v>
      </c>
      <c r="R2858" t="s">
        <v>293</v>
      </c>
      <c r="S2858" t="s">
        <v>13</v>
      </c>
      <c r="T2858">
        <v>0</v>
      </c>
    </row>
    <row r="2859" spans="4:20" ht="15.75" customHeight="1" x14ac:dyDescent="0.2">
      <c r="D2859" t="s">
        <v>285</v>
      </c>
      <c r="E2859" t="s">
        <v>458</v>
      </c>
      <c r="F2859">
        <v>15</v>
      </c>
      <c r="P2859" t="s">
        <v>460</v>
      </c>
      <c r="Q2859">
        <v>115</v>
      </c>
      <c r="R2859" t="s">
        <v>294</v>
      </c>
      <c r="S2859" t="s">
        <v>14</v>
      </c>
      <c r="T2859">
        <v>1</v>
      </c>
    </row>
    <row r="2860" spans="4:20" ht="15.75" customHeight="1" x14ac:dyDescent="0.2">
      <c r="D2860" t="s">
        <v>285</v>
      </c>
      <c r="E2860" t="s">
        <v>458</v>
      </c>
      <c r="F2860">
        <v>15</v>
      </c>
      <c r="P2860" t="s">
        <v>460</v>
      </c>
      <c r="Q2860">
        <v>115</v>
      </c>
      <c r="R2860" t="s">
        <v>257</v>
      </c>
      <c r="S2860" t="s">
        <v>16</v>
      </c>
      <c r="T2860">
        <v>0</v>
      </c>
    </row>
    <row r="2861" spans="4:20" ht="15.75" customHeight="1" x14ac:dyDescent="0.2">
      <c r="D2861" t="s">
        <v>285</v>
      </c>
      <c r="E2861" t="s">
        <v>458</v>
      </c>
      <c r="F2861">
        <v>15</v>
      </c>
      <c r="P2861" t="s">
        <v>460</v>
      </c>
      <c r="Q2861">
        <v>115</v>
      </c>
      <c r="R2861" t="s">
        <v>295</v>
      </c>
      <c r="S2861" t="s">
        <v>17</v>
      </c>
      <c r="T2861" t="s">
        <v>366</v>
      </c>
    </row>
    <row r="2862" spans="4:20" ht="15.75" customHeight="1" x14ac:dyDescent="0.2">
      <c r="D2862" t="s">
        <v>285</v>
      </c>
      <c r="E2862" t="s">
        <v>458</v>
      </c>
      <c r="F2862">
        <v>15</v>
      </c>
      <c r="P2862" t="s">
        <v>460</v>
      </c>
      <c r="Q2862">
        <v>115</v>
      </c>
      <c r="R2862" t="s">
        <v>296</v>
      </c>
      <c r="S2862" t="s">
        <v>1</v>
      </c>
      <c r="T2862">
        <v>1</v>
      </c>
    </row>
    <row r="2863" spans="4:20" ht="15.75" customHeight="1" x14ac:dyDescent="0.2">
      <c r="D2863" t="s">
        <v>285</v>
      </c>
      <c r="E2863" t="s">
        <v>458</v>
      </c>
      <c r="F2863">
        <v>15</v>
      </c>
      <c r="P2863" t="s">
        <v>460</v>
      </c>
      <c r="Q2863">
        <v>115</v>
      </c>
      <c r="R2863" t="s">
        <v>297</v>
      </c>
      <c r="S2863" t="s">
        <v>18</v>
      </c>
      <c r="T2863" t="s">
        <v>366</v>
      </c>
    </row>
    <row r="2864" spans="4:20" ht="15.75" customHeight="1" x14ac:dyDescent="0.2">
      <c r="D2864" t="s">
        <v>285</v>
      </c>
      <c r="E2864" t="s">
        <v>458</v>
      </c>
      <c r="F2864">
        <v>15</v>
      </c>
      <c r="P2864" t="s">
        <v>460</v>
      </c>
      <c r="Q2864">
        <v>115</v>
      </c>
      <c r="R2864" t="s">
        <v>298</v>
      </c>
      <c r="S2864" t="s">
        <v>19</v>
      </c>
      <c r="T2864">
        <v>4</v>
      </c>
    </row>
    <row r="2865" spans="4:20" ht="15.75" customHeight="1" x14ac:dyDescent="0.2">
      <c r="D2865" t="s">
        <v>285</v>
      </c>
      <c r="E2865" t="s">
        <v>458</v>
      </c>
      <c r="F2865">
        <v>15</v>
      </c>
      <c r="P2865" t="s">
        <v>460</v>
      </c>
      <c r="Q2865">
        <v>115</v>
      </c>
      <c r="R2865" t="s">
        <v>299</v>
      </c>
      <c r="S2865" t="s">
        <v>20</v>
      </c>
      <c r="T2865">
        <v>0</v>
      </c>
    </row>
    <row r="2866" spans="4:20" ht="15.75" customHeight="1" x14ac:dyDescent="0.2">
      <c r="D2866" t="s">
        <v>285</v>
      </c>
      <c r="E2866" t="s">
        <v>458</v>
      </c>
      <c r="F2866">
        <v>15</v>
      </c>
      <c r="P2866" t="s">
        <v>461</v>
      </c>
      <c r="Q2866">
        <v>116</v>
      </c>
      <c r="R2866" t="s">
        <v>288</v>
      </c>
      <c r="S2866" t="s">
        <v>2</v>
      </c>
      <c r="T2866">
        <v>0</v>
      </c>
    </row>
    <row r="2867" spans="4:20" ht="15.75" customHeight="1" x14ac:dyDescent="0.2">
      <c r="D2867" t="s">
        <v>285</v>
      </c>
      <c r="E2867" t="s">
        <v>458</v>
      </c>
      <c r="F2867">
        <v>15</v>
      </c>
      <c r="P2867" t="s">
        <v>461</v>
      </c>
      <c r="Q2867">
        <v>116</v>
      </c>
      <c r="R2867" t="s">
        <v>289</v>
      </c>
      <c r="S2867" t="s">
        <v>5</v>
      </c>
      <c r="T2867">
        <v>0</v>
      </c>
    </row>
    <row r="2868" spans="4:20" ht="15.75" customHeight="1" x14ac:dyDescent="0.2">
      <c r="D2868" t="s">
        <v>285</v>
      </c>
      <c r="E2868" t="s">
        <v>458</v>
      </c>
      <c r="F2868">
        <v>15</v>
      </c>
      <c r="P2868" t="s">
        <v>461</v>
      </c>
      <c r="Q2868">
        <v>116</v>
      </c>
      <c r="R2868" t="s">
        <v>290</v>
      </c>
      <c r="S2868" t="s">
        <v>3</v>
      </c>
      <c r="T2868">
        <v>0</v>
      </c>
    </row>
    <row r="2869" spans="4:20" ht="15.75" customHeight="1" x14ac:dyDescent="0.2">
      <c r="D2869" t="s">
        <v>285</v>
      </c>
      <c r="E2869" t="s">
        <v>458</v>
      </c>
      <c r="F2869">
        <v>15</v>
      </c>
      <c r="P2869" t="s">
        <v>461</v>
      </c>
      <c r="Q2869">
        <v>116</v>
      </c>
      <c r="R2869" t="s">
        <v>291</v>
      </c>
      <c r="S2869" t="s">
        <v>4</v>
      </c>
      <c r="T2869">
        <v>0</v>
      </c>
    </row>
    <row r="2870" spans="4:20" ht="15.75" customHeight="1" x14ac:dyDescent="0.2">
      <c r="D2870" t="s">
        <v>285</v>
      </c>
      <c r="E2870" t="s">
        <v>458</v>
      </c>
      <c r="F2870">
        <v>15</v>
      </c>
      <c r="P2870" t="s">
        <v>461</v>
      </c>
      <c r="Q2870">
        <v>116</v>
      </c>
      <c r="R2870" t="s">
        <v>292</v>
      </c>
      <c r="S2870" t="s">
        <v>6</v>
      </c>
      <c r="T2870">
        <v>0</v>
      </c>
    </row>
    <row r="2871" spans="4:20" ht="15.75" customHeight="1" x14ac:dyDescent="0.2">
      <c r="D2871" t="s">
        <v>285</v>
      </c>
      <c r="E2871" t="s">
        <v>458</v>
      </c>
      <c r="F2871">
        <v>15</v>
      </c>
      <c r="P2871" t="s">
        <v>461</v>
      </c>
      <c r="Q2871">
        <v>116</v>
      </c>
      <c r="R2871" t="s">
        <v>243</v>
      </c>
      <c r="S2871" t="s">
        <v>7</v>
      </c>
      <c r="T2871">
        <v>0</v>
      </c>
    </row>
    <row r="2872" spans="4:20" ht="15.75" customHeight="1" x14ac:dyDescent="0.2">
      <c r="D2872" t="s">
        <v>285</v>
      </c>
      <c r="E2872" t="s">
        <v>458</v>
      </c>
      <c r="F2872">
        <v>15</v>
      </c>
      <c r="P2872" t="s">
        <v>461</v>
      </c>
      <c r="Q2872">
        <v>116</v>
      </c>
      <c r="R2872" t="s">
        <v>245</v>
      </c>
      <c r="S2872" t="s">
        <v>8</v>
      </c>
      <c r="T2872">
        <v>0</v>
      </c>
    </row>
    <row r="2873" spans="4:20" ht="15.75" customHeight="1" x14ac:dyDescent="0.2">
      <c r="D2873" t="s">
        <v>285</v>
      </c>
      <c r="E2873" t="s">
        <v>458</v>
      </c>
      <c r="F2873">
        <v>15</v>
      </c>
      <c r="P2873" t="s">
        <v>461</v>
      </c>
      <c r="Q2873">
        <v>116</v>
      </c>
      <c r="R2873" t="s">
        <v>247</v>
      </c>
      <c r="S2873" t="s">
        <v>9</v>
      </c>
      <c r="T2873">
        <v>0</v>
      </c>
    </row>
    <row r="2874" spans="4:20" ht="15.75" customHeight="1" x14ac:dyDescent="0.2">
      <c r="D2874" t="s">
        <v>285</v>
      </c>
      <c r="E2874" t="s">
        <v>458</v>
      </c>
      <c r="F2874">
        <v>15</v>
      </c>
      <c r="P2874" t="s">
        <v>461</v>
      </c>
      <c r="Q2874">
        <v>116</v>
      </c>
      <c r="R2874" t="s">
        <v>249</v>
      </c>
      <c r="S2874" t="s">
        <v>10</v>
      </c>
      <c r="T2874">
        <v>1</v>
      </c>
    </row>
    <row r="2875" spans="4:20" ht="15.75" customHeight="1" x14ac:dyDescent="0.2">
      <c r="D2875" t="s">
        <v>285</v>
      </c>
      <c r="E2875" t="s">
        <v>458</v>
      </c>
      <c r="F2875">
        <v>15</v>
      </c>
      <c r="P2875" t="s">
        <v>461</v>
      </c>
      <c r="Q2875">
        <v>116</v>
      </c>
      <c r="R2875" t="s">
        <v>251</v>
      </c>
      <c r="S2875" t="s">
        <v>11</v>
      </c>
      <c r="T2875">
        <v>1</v>
      </c>
    </row>
    <row r="2876" spans="4:20" ht="15.75" customHeight="1" x14ac:dyDescent="0.2">
      <c r="D2876" t="s">
        <v>285</v>
      </c>
      <c r="E2876" t="s">
        <v>458</v>
      </c>
      <c r="F2876">
        <v>15</v>
      </c>
      <c r="P2876" t="s">
        <v>461</v>
      </c>
      <c r="Q2876">
        <v>116</v>
      </c>
      <c r="R2876" t="s">
        <v>253</v>
      </c>
      <c r="S2876" t="s">
        <v>12</v>
      </c>
      <c r="T2876">
        <v>0</v>
      </c>
    </row>
    <row r="2877" spans="4:20" ht="15.75" customHeight="1" x14ac:dyDescent="0.2">
      <c r="D2877" t="s">
        <v>285</v>
      </c>
      <c r="E2877" t="s">
        <v>458</v>
      </c>
      <c r="F2877">
        <v>15</v>
      </c>
      <c r="P2877" t="s">
        <v>461</v>
      </c>
      <c r="Q2877">
        <v>116</v>
      </c>
      <c r="R2877" t="s">
        <v>255</v>
      </c>
      <c r="S2877" t="s">
        <v>15</v>
      </c>
      <c r="T2877">
        <v>0</v>
      </c>
    </row>
    <row r="2878" spans="4:20" ht="15.75" customHeight="1" x14ac:dyDescent="0.2">
      <c r="D2878" t="s">
        <v>285</v>
      </c>
      <c r="E2878" t="s">
        <v>458</v>
      </c>
      <c r="F2878">
        <v>15</v>
      </c>
      <c r="P2878" t="s">
        <v>461</v>
      </c>
      <c r="Q2878">
        <v>116</v>
      </c>
      <c r="R2878" t="s">
        <v>293</v>
      </c>
      <c r="S2878" t="s">
        <v>13</v>
      </c>
      <c r="T2878">
        <v>0</v>
      </c>
    </row>
    <row r="2879" spans="4:20" ht="15.75" customHeight="1" x14ac:dyDescent="0.2">
      <c r="D2879" t="s">
        <v>285</v>
      </c>
      <c r="E2879" t="s">
        <v>458</v>
      </c>
      <c r="F2879">
        <v>15</v>
      </c>
      <c r="P2879" t="s">
        <v>461</v>
      </c>
      <c r="Q2879">
        <v>116</v>
      </c>
      <c r="R2879" t="s">
        <v>294</v>
      </c>
      <c r="S2879" t="s">
        <v>14</v>
      </c>
      <c r="T2879">
        <v>1</v>
      </c>
    </row>
    <row r="2880" spans="4:20" ht="15.75" customHeight="1" x14ac:dyDescent="0.2">
      <c r="D2880" t="s">
        <v>285</v>
      </c>
      <c r="E2880" t="s">
        <v>458</v>
      </c>
      <c r="F2880">
        <v>15</v>
      </c>
      <c r="P2880" t="s">
        <v>461</v>
      </c>
      <c r="Q2880">
        <v>116</v>
      </c>
      <c r="R2880" t="s">
        <v>257</v>
      </c>
      <c r="S2880" t="s">
        <v>16</v>
      </c>
      <c r="T2880">
        <v>0</v>
      </c>
    </row>
    <row r="2881" spans="4:20" ht="15.75" customHeight="1" x14ac:dyDescent="0.2">
      <c r="D2881" t="s">
        <v>285</v>
      </c>
      <c r="E2881" t="s">
        <v>458</v>
      </c>
      <c r="F2881">
        <v>15</v>
      </c>
      <c r="P2881" t="s">
        <v>461</v>
      </c>
      <c r="Q2881">
        <v>116</v>
      </c>
      <c r="R2881" t="s">
        <v>295</v>
      </c>
      <c r="S2881" t="s">
        <v>17</v>
      </c>
      <c r="T2881" t="s">
        <v>366</v>
      </c>
    </row>
    <row r="2882" spans="4:20" ht="15.75" customHeight="1" x14ac:dyDescent="0.2">
      <c r="D2882" t="s">
        <v>285</v>
      </c>
      <c r="E2882" t="s">
        <v>458</v>
      </c>
      <c r="F2882">
        <v>15</v>
      </c>
      <c r="P2882" t="s">
        <v>461</v>
      </c>
      <c r="Q2882">
        <v>116</v>
      </c>
      <c r="R2882" t="s">
        <v>296</v>
      </c>
      <c r="S2882" t="s">
        <v>1</v>
      </c>
      <c r="T2882">
        <v>1</v>
      </c>
    </row>
    <row r="2883" spans="4:20" ht="15.75" customHeight="1" x14ac:dyDescent="0.2">
      <c r="D2883" t="s">
        <v>285</v>
      </c>
      <c r="E2883" t="s">
        <v>458</v>
      </c>
      <c r="F2883">
        <v>15</v>
      </c>
      <c r="P2883" t="s">
        <v>461</v>
      </c>
      <c r="Q2883">
        <v>116</v>
      </c>
      <c r="R2883" t="s">
        <v>297</v>
      </c>
      <c r="S2883" t="s">
        <v>18</v>
      </c>
      <c r="T2883" t="s">
        <v>366</v>
      </c>
    </row>
    <row r="2884" spans="4:20" ht="15.75" customHeight="1" x14ac:dyDescent="0.2">
      <c r="D2884" t="s">
        <v>285</v>
      </c>
      <c r="E2884" t="s">
        <v>458</v>
      </c>
      <c r="F2884">
        <v>15</v>
      </c>
      <c r="P2884" t="s">
        <v>461</v>
      </c>
      <c r="Q2884">
        <v>116</v>
      </c>
      <c r="R2884" t="s">
        <v>298</v>
      </c>
      <c r="S2884" t="s">
        <v>19</v>
      </c>
      <c r="T2884">
        <v>4</v>
      </c>
    </row>
    <row r="2885" spans="4:20" ht="15.75" customHeight="1" x14ac:dyDescent="0.2">
      <c r="D2885" t="s">
        <v>285</v>
      </c>
      <c r="E2885" t="s">
        <v>458</v>
      </c>
      <c r="F2885">
        <v>15</v>
      </c>
      <c r="P2885" t="s">
        <v>461</v>
      </c>
      <c r="Q2885">
        <v>116</v>
      </c>
      <c r="R2885" t="s">
        <v>299</v>
      </c>
      <c r="S2885" t="s">
        <v>20</v>
      </c>
      <c r="T2885">
        <v>0</v>
      </c>
    </row>
    <row r="2886" spans="4:20" ht="15.75" customHeight="1" x14ac:dyDescent="0.2">
      <c r="D2886" t="s">
        <v>285</v>
      </c>
      <c r="E2886" t="s">
        <v>458</v>
      </c>
      <c r="F2886">
        <v>15</v>
      </c>
      <c r="P2886" t="s">
        <v>462</v>
      </c>
      <c r="Q2886">
        <v>117</v>
      </c>
      <c r="R2886" t="s">
        <v>288</v>
      </c>
      <c r="S2886" t="s">
        <v>2</v>
      </c>
      <c r="T2886">
        <v>0</v>
      </c>
    </row>
    <row r="2887" spans="4:20" ht="15.75" customHeight="1" x14ac:dyDescent="0.2">
      <c r="D2887" t="s">
        <v>285</v>
      </c>
      <c r="E2887" t="s">
        <v>458</v>
      </c>
      <c r="F2887">
        <v>15</v>
      </c>
      <c r="P2887" t="s">
        <v>462</v>
      </c>
      <c r="Q2887">
        <v>117</v>
      </c>
      <c r="R2887" t="s">
        <v>289</v>
      </c>
      <c r="S2887" t="s">
        <v>5</v>
      </c>
      <c r="T2887">
        <v>0</v>
      </c>
    </row>
    <row r="2888" spans="4:20" ht="15.75" customHeight="1" x14ac:dyDescent="0.2">
      <c r="D2888" t="s">
        <v>285</v>
      </c>
      <c r="E2888" t="s">
        <v>458</v>
      </c>
      <c r="F2888">
        <v>15</v>
      </c>
      <c r="P2888" t="s">
        <v>462</v>
      </c>
      <c r="Q2888">
        <v>117</v>
      </c>
      <c r="R2888" t="s">
        <v>290</v>
      </c>
      <c r="S2888" t="s">
        <v>3</v>
      </c>
      <c r="T2888">
        <v>0</v>
      </c>
    </row>
    <row r="2889" spans="4:20" ht="15.75" customHeight="1" x14ac:dyDescent="0.2">
      <c r="D2889" t="s">
        <v>285</v>
      </c>
      <c r="E2889" t="s">
        <v>458</v>
      </c>
      <c r="F2889">
        <v>15</v>
      </c>
      <c r="P2889" t="s">
        <v>462</v>
      </c>
      <c r="Q2889">
        <v>117</v>
      </c>
      <c r="R2889" t="s">
        <v>291</v>
      </c>
      <c r="S2889" t="s">
        <v>4</v>
      </c>
      <c r="T2889">
        <v>0</v>
      </c>
    </row>
    <row r="2890" spans="4:20" ht="15.75" customHeight="1" x14ac:dyDescent="0.2">
      <c r="D2890" t="s">
        <v>285</v>
      </c>
      <c r="E2890" t="s">
        <v>458</v>
      </c>
      <c r="F2890">
        <v>15</v>
      </c>
      <c r="P2890" t="s">
        <v>462</v>
      </c>
      <c r="Q2890">
        <v>117</v>
      </c>
      <c r="R2890" t="s">
        <v>292</v>
      </c>
      <c r="S2890" t="s">
        <v>6</v>
      </c>
      <c r="T2890">
        <v>0</v>
      </c>
    </row>
    <row r="2891" spans="4:20" ht="15.75" customHeight="1" x14ac:dyDescent="0.2">
      <c r="D2891" t="s">
        <v>285</v>
      </c>
      <c r="E2891" t="s">
        <v>458</v>
      </c>
      <c r="F2891">
        <v>15</v>
      </c>
      <c r="P2891" t="s">
        <v>462</v>
      </c>
      <c r="Q2891">
        <v>117</v>
      </c>
      <c r="R2891" t="s">
        <v>243</v>
      </c>
      <c r="S2891" t="s">
        <v>7</v>
      </c>
      <c r="T2891">
        <v>0</v>
      </c>
    </row>
    <row r="2892" spans="4:20" ht="15.75" customHeight="1" x14ac:dyDescent="0.2">
      <c r="D2892" t="s">
        <v>285</v>
      </c>
      <c r="E2892" t="s">
        <v>458</v>
      </c>
      <c r="F2892">
        <v>15</v>
      </c>
      <c r="P2892" t="s">
        <v>462</v>
      </c>
      <c r="Q2892">
        <v>117</v>
      </c>
      <c r="R2892" t="s">
        <v>245</v>
      </c>
      <c r="S2892" t="s">
        <v>8</v>
      </c>
      <c r="T2892" t="s">
        <v>364</v>
      </c>
    </row>
    <row r="2893" spans="4:20" ht="15.75" customHeight="1" x14ac:dyDescent="0.2">
      <c r="D2893" t="s">
        <v>285</v>
      </c>
      <c r="E2893" t="s">
        <v>458</v>
      </c>
      <c r="F2893">
        <v>15</v>
      </c>
      <c r="P2893" t="s">
        <v>462</v>
      </c>
      <c r="Q2893">
        <v>117</v>
      </c>
      <c r="R2893" t="s">
        <v>247</v>
      </c>
      <c r="S2893" t="s">
        <v>9</v>
      </c>
      <c r="T2893" t="s">
        <v>364</v>
      </c>
    </row>
    <row r="2894" spans="4:20" ht="15.75" customHeight="1" x14ac:dyDescent="0.2">
      <c r="D2894" t="s">
        <v>285</v>
      </c>
      <c r="E2894" t="s">
        <v>458</v>
      </c>
      <c r="F2894">
        <v>15</v>
      </c>
      <c r="P2894" t="s">
        <v>462</v>
      </c>
      <c r="Q2894">
        <v>117</v>
      </c>
      <c r="R2894" t="s">
        <v>249</v>
      </c>
      <c r="S2894" t="s">
        <v>10</v>
      </c>
      <c r="T2894">
        <v>0</v>
      </c>
    </row>
    <row r="2895" spans="4:20" ht="15.75" customHeight="1" x14ac:dyDescent="0.2">
      <c r="D2895" t="s">
        <v>285</v>
      </c>
      <c r="E2895" t="s">
        <v>458</v>
      </c>
      <c r="F2895">
        <v>15</v>
      </c>
      <c r="P2895" t="s">
        <v>462</v>
      </c>
      <c r="Q2895">
        <v>117</v>
      </c>
      <c r="R2895" t="s">
        <v>251</v>
      </c>
      <c r="S2895" t="s">
        <v>11</v>
      </c>
      <c r="T2895">
        <v>0</v>
      </c>
    </row>
    <row r="2896" spans="4:20" ht="15.75" customHeight="1" x14ac:dyDescent="0.2">
      <c r="D2896" t="s">
        <v>285</v>
      </c>
      <c r="E2896" t="s">
        <v>458</v>
      </c>
      <c r="F2896">
        <v>15</v>
      </c>
      <c r="P2896" t="s">
        <v>462</v>
      </c>
      <c r="Q2896">
        <v>117</v>
      </c>
      <c r="R2896" t="s">
        <v>253</v>
      </c>
      <c r="S2896" t="s">
        <v>12</v>
      </c>
      <c r="T2896" t="s">
        <v>364</v>
      </c>
    </row>
    <row r="2897" spans="4:20" ht="15.75" customHeight="1" x14ac:dyDescent="0.2">
      <c r="D2897" t="s">
        <v>285</v>
      </c>
      <c r="E2897" t="s">
        <v>458</v>
      </c>
      <c r="F2897">
        <v>15</v>
      </c>
      <c r="P2897" t="s">
        <v>462</v>
      </c>
      <c r="Q2897">
        <v>117</v>
      </c>
      <c r="R2897" t="s">
        <v>255</v>
      </c>
      <c r="S2897" t="s">
        <v>15</v>
      </c>
      <c r="T2897">
        <v>0</v>
      </c>
    </row>
    <row r="2898" spans="4:20" ht="15.75" customHeight="1" x14ac:dyDescent="0.2">
      <c r="D2898" t="s">
        <v>285</v>
      </c>
      <c r="E2898" t="s">
        <v>458</v>
      </c>
      <c r="F2898">
        <v>15</v>
      </c>
      <c r="P2898" t="s">
        <v>462</v>
      </c>
      <c r="Q2898">
        <v>117</v>
      </c>
      <c r="R2898" t="s">
        <v>293</v>
      </c>
      <c r="S2898" t="s">
        <v>13</v>
      </c>
      <c r="T2898">
        <v>0</v>
      </c>
    </row>
    <row r="2899" spans="4:20" ht="15.75" customHeight="1" x14ac:dyDescent="0.2">
      <c r="D2899" t="s">
        <v>285</v>
      </c>
      <c r="E2899" t="s">
        <v>458</v>
      </c>
      <c r="F2899">
        <v>15</v>
      </c>
      <c r="P2899" t="s">
        <v>462</v>
      </c>
      <c r="Q2899">
        <v>117</v>
      </c>
      <c r="R2899" t="s">
        <v>294</v>
      </c>
      <c r="S2899" t="s">
        <v>14</v>
      </c>
      <c r="T2899">
        <v>1</v>
      </c>
    </row>
    <row r="2900" spans="4:20" ht="15.75" customHeight="1" x14ac:dyDescent="0.2">
      <c r="D2900" t="s">
        <v>285</v>
      </c>
      <c r="E2900" t="s">
        <v>458</v>
      </c>
      <c r="F2900">
        <v>15</v>
      </c>
      <c r="P2900" t="s">
        <v>462</v>
      </c>
      <c r="Q2900">
        <v>117</v>
      </c>
      <c r="R2900" t="s">
        <v>257</v>
      </c>
      <c r="S2900" t="s">
        <v>16</v>
      </c>
      <c r="T2900">
        <v>0</v>
      </c>
    </row>
    <row r="2901" spans="4:20" ht="15.75" customHeight="1" x14ac:dyDescent="0.2">
      <c r="D2901" t="s">
        <v>285</v>
      </c>
      <c r="E2901" t="s">
        <v>458</v>
      </c>
      <c r="F2901">
        <v>15</v>
      </c>
      <c r="P2901" t="s">
        <v>462</v>
      </c>
      <c r="Q2901">
        <v>117</v>
      </c>
      <c r="R2901" t="s">
        <v>295</v>
      </c>
      <c r="S2901" t="s">
        <v>17</v>
      </c>
      <c r="T2901" t="s">
        <v>366</v>
      </c>
    </row>
    <row r="2902" spans="4:20" ht="15.75" customHeight="1" x14ac:dyDescent="0.2">
      <c r="D2902" t="s">
        <v>285</v>
      </c>
      <c r="E2902" t="s">
        <v>458</v>
      </c>
      <c r="F2902">
        <v>15</v>
      </c>
      <c r="P2902" t="s">
        <v>462</v>
      </c>
      <c r="Q2902">
        <v>117</v>
      </c>
      <c r="R2902" t="s">
        <v>296</v>
      </c>
      <c r="S2902" t="s">
        <v>1</v>
      </c>
      <c r="T2902">
        <v>1</v>
      </c>
    </row>
    <row r="2903" spans="4:20" ht="15.75" customHeight="1" x14ac:dyDescent="0.2">
      <c r="D2903" t="s">
        <v>285</v>
      </c>
      <c r="E2903" t="s">
        <v>458</v>
      </c>
      <c r="F2903">
        <v>15</v>
      </c>
      <c r="P2903" t="s">
        <v>462</v>
      </c>
      <c r="Q2903">
        <v>117</v>
      </c>
      <c r="R2903" t="s">
        <v>297</v>
      </c>
      <c r="S2903" t="s">
        <v>18</v>
      </c>
      <c r="T2903" t="s">
        <v>366</v>
      </c>
    </row>
    <row r="2904" spans="4:20" ht="15.75" customHeight="1" x14ac:dyDescent="0.2">
      <c r="D2904" t="s">
        <v>285</v>
      </c>
      <c r="E2904" t="s">
        <v>458</v>
      </c>
      <c r="F2904">
        <v>15</v>
      </c>
      <c r="P2904" t="s">
        <v>462</v>
      </c>
      <c r="Q2904">
        <v>117</v>
      </c>
      <c r="R2904" t="s">
        <v>298</v>
      </c>
      <c r="S2904" t="s">
        <v>19</v>
      </c>
      <c r="T2904">
        <v>4</v>
      </c>
    </row>
    <row r="2905" spans="4:20" ht="15.75" customHeight="1" x14ac:dyDescent="0.2">
      <c r="D2905" t="s">
        <v>285</v>
      </c>
      <c r="E2905" t="s">
        <v>458</v>
      </c>
      <c r="F2905">
        <v>15</v>
      </c>
      <c r="P2905" t="s">
        <v>462</v>
      </c>
      <c r="Q2905">
        <v>117</v>
      </c>
      <c r="R2905" t="s">
        <v>299</v>
      </c>
      <c r="S2905" t="s">
        <v>20</v>
      </c>
      <c r="T2905">
        <v>0</v>
      </c>
    </row>
    <row r="2906" spans="4:20" ht="15.75" customHeight="1" x14ac:dyDescent="0.2">
      <c r="D2906" t="s">
        <v>285</v>
      </c>
      <c r="E2906" t="s">
        <v>458</v>
      </c>
      <c r="F2906">
        <v>15</v>
      </c>
      <c r="P2906" t="s">
        <v>463</v>
      </c>
      <c r="Q2906">
        <v>118</v>
      </c>
      <c r="R2906" t="s">
        <v>288</v>
      </c>
      <c r="S2906" t="s">
        <v>2</v>
      </c>
      <c r="T2906">
        <v>0</v>
      </c>
    </row>
    <row r="2907" spans="4:20" ht="15.75" customHeight="1" x14ac:dyDescent="0.2">
      <c r="D2907" t="s">
        <v>285</v>
      </c>
      <c r="E2907" t="s">
        <v>458</v>
      </c>
      <c r="F2907">
        <v>15</v>
      </c>
      <c r="P2907" t="s">
        <v>463</v>
      </c>
      <c r="Q2907">
        <v>118</v>
      </c>
      <c r="R2907" t="s">
        <v>289</v>
      </c>
      <c r="S2907" t="s">
        <v>5</v>
      </c>
      <c r="T2907">
        <v>0</v>
      </c>
    </row>
    <row r="2908" spans="4:20" ht="15.75" customHeight="1" x14ac:dyDescent="0.2">
      <c r="D2908" t="s">
        <v>285</v>
      </c>
      <c r="E2908" t="s">
        <v>458</v>
      </c>
      <c r="F2908">
        <v>15</v>
      </c>
      <c r="P2908" t="s">
        <v>463</v>
      </c>
      <c r="Q2908">
        <v>118</v>
      </c>
      <c r="R2908" t="s">
        <v>290</v>
      </c>
      <c r="S2908" t="s">
        <v>3</v>
      </c>
      <c r="T2908">
        <v>0</v>
      </c>
    </row>
    <row r="2909" spans="4:20" ht="15.75" customHeight="1" x14ac:dyDescent="0.2">
      <c r="D2909" t="s">
        <v>285</v>
      </c>
      <c r="E2909" t="s">
        <v>458</v>
      </c>
      <c r="F2909">
        <v>15</v>
      </c>
      <c r="P2909" t="s">
        <v>463</v>
      </c>
      <c r="Q2909">
        <v>118</v>
      </c>
      <c r="R2909" t="s">
        <v>291</v>
      </c>
      <c r="S2909" t="s">
        <v>4</v>
      </c>
      <c r="T2909">
        <v>0</v>
      </c>
    </row>
    <row r="2910" spans="4:20" ht="15.75" customHeight="1" x14ac:dyDescent="0.2">
      <c r="D2910" t="s">
        <v>285</v>
      </c>
      <c r="E2910" t="s">
        <v>458</v>
      </c>
      <c r="F2910">
        <v>15</v>
      </c>
      <c r="P2910" t="s">
        <v>463</v>
      </c>
      <c r="Q2910">
        <v>118</v>
      </c>
      <c r="R2910" t="s">
        <v>292</v>
      </c>
      <c r="S2910" t="s">
        <v>6</v>
      </c>
      <c r="T2910">
        <v>0</v>
      </c>
    </row>
    <row r="2911" spans="4:20" ht="15.75" customHeight="1" x14ac:dyDescent="0.2">
      <c r="D2911" t="s">
        <v>285</v>
      </c>
      <c r="E2911" t="s">
        <v>458</v>
      </c>
      <c r="F2911">
        <v>15</v>
      </c>
      <c r="P2911" t="s">
        <v>463</v>
      </c>
      <c r="Q2911">
        <v>118</v>
      </c>
      <c r="R2911" t="s">
        <v>243</v>
      </c>
      <c r="S2911" t="s">
        <v>7</v>
      </c>
      <c r="T2911">
        <v>0</v>
      </c>
    </row>
    <row r="2912" spans="4:20" ht="15.75" customHeight="1" x14ac:dyDescent="0.2">
      <c r="D2912" t="s">
        <v>285</v>
      </c>
      <c r="E2912" t="s">
        <v>458</v>
      </c>
      <c r="F2912">
        <v>15</v>
      </c>
      <c r="P2912" t="s">
        <v>463</v>
      </c>
      <c r="Q2912">
        <v>118</v>
      </c>
      <c r="R2912" t="s">
        <v>245</v>
      </c>
      <c r="S2912" t="s">
        <v>8</v>
      </c>
      <c r="T2912">
        <v>0</v>
      </c>
    </row>
    <row r="2913" spans="4:20" ht="15.75" customHeight="1" x14ac:dyDescent="0.2">
      <c r="D2913" t="s">
        <v>285</v>
      </c>
      <c r="E2913" t="s">
        <v>458</v>
      </c>
      <c r="F2913">
        <v>15</v>
      </c>
      <c r="P2913" t="s">
        <v>463</v>
      </c>
      <c r="Q2913">
        <v>118</v>
      </c>
      <c r="R2913" t="s">
        <v>247</v>
      </c>
      <c r="S2913" t="s">
        <v>9</v>
      </c>
      <c r="T2913">
        <v>0</v>
      </c>
    </row>
    <row r="2914" spans="4:20" ht="15.75" customHeight="1" x14ac:dyDescent="0.2">
      <c r="D2914" t="s">
        <v>285</v>
      </c>
      <c r="E2914" t="s">
        <v>458</v>
      </c>
      <c r="F2914">
        <v>15</v>
      </c>
      <c r="P2914" t="s">
        <v>463</v>
      </c>
      <c r="Q2914">
        <v>118</v>
      </c>
      <c r="R2914" t="s">
        <v>249</v>
      </c>
      <c r="S2914" t="s">
        <v>10</v>
      </c>
      <c r="T2914">
        <v>1</v>
      </c>
    </row>
    <row r="2915" spans="4:20" ht="15.75" customHeight="1" x14ac:dyDescent="0.2">
      <c r="D2915" t="s">
        <v>285</v>
      </c>
      <c r="E2915" t="s">
        <v>458</v>
      </c>
      <c r="F2915">
        <v>15</v>
      </c>
      <c r="P2915" t="s">
        <v>463</v>
      </c>
      <c r="Q2915">
        <v>118</v>
      </c>
      <c r="R2915" t="s">
        <v>251</v>
      </c>
      <c r="S2915" t="s">
        <v>11</v>
      </c>
      <c r="T2915">
        <v>1</v>
      </c>
    </row>
    <row r="2916" spans="4:20" ht="15.75" customHeight="1" x14ac:dyDescent="0.2">
      <c r="D2916" t="s">
        <v>285</v>
      </c>
      <c r="E2916" t="s">
        <v>458</v>
      </c>
      <c r="F2916">
        <v>15</v>
      </c>
      <c r="P2916" t="s">
        <v>463</v>
      </c>
      <c r="Q2916">
        <v>118</v>
      </c>
      <c r="R2916" t="s">
        <v>253</v>
      </c>
      <c r="S2916" t="s">
        <v>12</v>
      </c>
      <c r="T2916">
        <v>0</v>
      </c>
    </row>
    <row r="2917" spans="4:20" ht="15.75" customHeight="1" x14ac:dyDescent="0.2">
      <c r="D2917" t="s">
        <v>285</v>
      </c>
      <c r="E2917" t="s">
        <v>458</v>
      </c>
      <c r="F2917">
        <v>15</v>
      </c>
      <c r="P2917" t="s">
        <v>463</v>
      </c>
      <c r="Q2917">
        <v>118</v>
      </c>
      <c r="R2917" t="s">
        <v>255</v>
      </c>
      <c r="S2917" t="s">
        <v>15</v>
      </c>
      <c r="T2917">
        <v>0</v>
      </c>
    </row>
    <row r="2918" spans="4:20" ht="15.75" customHeight="1" x14ac:dyDescent="0.2">
      <c r="D2918" t="s">
        <v>285</v>
      </c>
      <c r="E2918" t="s">
        <v>458</v>
      </c>
      <c r="F2918">
        <v>15</v>
      </c>
      <c r="P2918" t="s">
        <v>463</v>
      </c>
      <c r="Q2918">
        <v>118</v>
      </c>
      <c r="R2918" t="s">
        <v>293</v>
      </c>
      <c r="S2918" t="s">
        <v>13</v>
      </c>
      <c r="T2918">
        <v>0</v>
      </c>
    </row>
    <row r="2919" spans="4:20" ht="15.75" customHeight="1" x14ac:dyDescent="0.2">
      <c r="D2919" t="s">
        <v>285</v>
      </c>
      <c r="E2919" t="s">
        <v>458</v>
      </c>
      <c r="F2919">
        <v>15</v>
      </c>
      <c r="P2919" t="s">
        <v>463</v>
      </c>
      <c r="Q2919">
        <v>118</v>
      </c>
      <c r="R2919" t="s">
        <v>294</v>
      </c>
      <c r="S2919" t="s">
        <v>14</v>
      </c>
      <c r="T2919">
        <v>1</v>
      </c>
    </row>
    <row r="2920" spans="4:20" ht="15.75" customHeight="1" x14ac:dyDescent="0.2">
      <c r="D2920" t="s">
        <v>285</v>
      </c>
      <c r="E2920" t="s">
        <v>458</v>
      </c>
      <c r="F2920">
        <v>15</v>
      </c>
      <c r="P2920" t="s">
        <v>463</v>
      </c>
      <c r="Q2920">
        <v>118</v>
      </c>
      <c r="R2920" t="s">
        <v>257</v>
      </c>
      <c r="S2920" t="s">
        <v>16</v>
      </c>
      <c r="T2920">
        <v>0</v>
      </c>
    </row>
    <row r="2921" spans="4:20" ht="15.75" customHeight="1" x14ac:dyDescent="0.2">
      <c r="D2921" t="s">
        <v>285</v>
      </c>
      <c r="E2921" t="s">
        <v>458</v>
      </c>
      <c r="F2921">
        <v>15</v>
      </c>
      <c r="P2921" t="s">
        <v>463</v>
      </c>
      <c r="Q2921">
        <v>118</v>
      </c>
      <c r="R2921" t="s">
        <v>295</v>
      </c>
      <c r="S2921" t="s">
        <v>17</v>
      </c>
      <c r="T2921" t="s">
        <v>366</v>
      </c>
    </row>
    <row r="2922" spans="4:20" ht="15.75" customHeight="1" x14ac:dyDescent="0.2">
      <c r="D2922" t="s">
        <v>285</v>
      </c>
      <c r="E2922" t="s">
        <v>458</v>
      </c>
      <c r="F2922">
        <v>15</v>
      </c>
      <c r="P2922" t="s">
        <v>463</v>
      </c>
      <c r="Q2922">
        <v>118</v>
      </c>
      <c r="R2922" t="s">
        <v>296</v>
      </c>
      <c r="S2922" t="s">
        <v>1</v>
      </c>
      <c r="T2922">
        <v>1</v>
      </c>
    </row>
    <row r="2923" spans="4:20" ht="15.75" customHeight="1" x14ac:dyDescent="0.2">
      <c r="D2923" t="s">
        <v>285</v>
      </c>
      <c r="E2923" t="s">
        <v>458</v>
      </c>
      <c r="F2923">
        <v>15</v>
      </c>
      <c r="P2923" t="s">
        <v>463</v>
      </c>
      <c r="Q2923">
        <v>118</v>
      </c>
      <c r="R2923" t="s">
        <v>297</v>
      </c>
      <c r="S2923" t="s">
        <v>18</v>
      </c>
      <c r="T2923" t="s">
        <v>366</v>
      </c>
    </row>
    <row r="2924" spans="4:20" ht="15.75" customHeight="1" x14ac:dyDescent="0.2">
      <c r="D2924" t="s">
        <v>285</v>
      </c>
      <c r="E2924" t="s">
        <v>458</v>
      </c>
      <c r="F2924">
        <v>15</v>
      </c>
      <c r="P2924" t="s">
        <v>463</v>
      </c>
      <c r="Q2924">
        <v>118</v>
      </c>
      <c r="R2924" t="s">
        <v>298</v>
      </c>
      <c r="S2924" t="s">
        <v>19</v>
      </c>
      <c r="T2924">
        <v>4</v>
      </c>
    </row>
    <row r="2925" spans="4:20" ht="15.75" customHeight="1" x14ac:dyDescent="0.2">
      <c r="D2925" t="s">
        <v>285</v>
      </c>
      <c r="E2925" t="s">
        <v>458</v>
      </c>
      <c r="F2925">
        <v>15</v>
      </c>
      <c r="P2925" t="s">
        <v>463</v>
      </c>
      <c r="Q2925">
        <v>118</v>
      </c>
      <c r="R2925" t="s">
        <v>299</v>
      </c>
      <c r="S2925" t="s">
        <v>20</v>
      </c>
      <c r="T2925">
        <v>0</v>
      </c>
    </row>
    <row r="2926" spans="4:20" ht="15.75" customHeight="1" x14ac:dyDescent="0.2">
      <c r="D2926" t="s">
        <v>285</v>
      </c>
      <c r="E2926" t="s">
        <v>458</v>
      </c>
      <c r="F2926">
        <v>15</v>
      </c>
      <c r="P2926" t="s">
        <v>464</v>
      </c>
      <c r="Q2926">
        <v>119</v>
      </c>
      <c r="R2926" t="s">
        <v>288</v>
      </c>
      <c r="S2926" t="s">
        <v>2</v>
      </c>
      <c r="T2926">
        <v>0</v>
      </c>
    </row>
    <row r="2927" spans="4:20" ht="15.75" customHeight="1" x14ac:dyDescent="0.2">
      <c r="D2927" t="s">
        <v>285</v>
      </c>
      <c r="E2927" t="s">
        <v>458</v>
      </c>
      <c r="F2927">
        <v>15</v>
      </c>
      <c r="P2927" t="s">
        <v>464</v>
      </c>
      <c r="Q2927">
        <v>119</v>
      </c>
      <c r="R2927" t="s">
        <v>289</v>
      </c>
      <c r="S2927" t="s">
        <v>5</v>
      </c>
      <c r="T2927">
        <v>0</v>
      </c>
    </row>
    <row r="2928" spans="4:20" ht="15.75" customHeight="1" x14ac:dyDescent="0.2">
      <c r="D2928" t="s">
        <v>285</v>
      </c>
      <c r="E2928" t="s">
        <v>458</v>
      </c>
      <c r="F2928">
        <v>15</v>
      </c>
      <c r="P2928" t="s">
        <v>464</v>
      </c>
      <c r="Q2928">
        <v>119</v>
      </c>
      <c r="R2928" t="s">
        <v>290</v>
      </c>
      <c r="S2928" t="s">
        <v>3</v>
      </c>
      <c r="T2928">
        <v>0</v>
      </c>
    </row>
    <row r="2929" spans="4:20" ht="15.75" customHeight="1" x14ac:dyDescent="0.2">
      <c r="D2929" t="s">
        <v>285</v>
      </c>
      <c r="E2929" t="s">
        <v>458</v>
      </c>
      <c r="F2929">
        <v>15</v>
      </c>
      <c r="P2929" t="s">
        <v>464</v>
      </c>
      <c r="Q2929">
        <v>119</v>
      </c>
      <c r="R2929" t="s">
        <v>291</v>
      </c>
      <c r="S2929" t="s">
        <v>4</v>
      </c>
      <c r="T2929">
        <v>0</v>
      </c>
    </row>
    <row r="2930" spans="4:20" ht="15.75" customHeight="1" x14ac:dyDescent="0.2">
      <c r="D2930" t="s">
        <v>285</v>
      </c>
      <c r="E2930" t="s">
        <v>458</v>
      </c>
      <c r="F2930">
        <v>15</v>
      </c>
      <c r="P2930" t="s">
        <v>464</v>
      </c>
      <c r="Q2930">
        <v>119</v>
      </c>
      <c r="R2930" t="s">
        <v>292</v>
      </c>
      <c r="S2930" t="s">
        <v>6</v>
      </c>
      <c r="T2930">
        <v>0</v>
      </c>
    </row>
    <row r="2931" spans="4:20" ht="15.75" customHeight="1" x14ac:dyDescent="0.2">
      <c r="D2931" t="s">
        <v>285</v>
      </c>
      <c r="E2931" t="s">
        <v>458</v>
      </c>
      <c r="F2931">
        <v>15</v>
      </c>
      <c r="P2931" t="s">
        <v>464</v>
      </c>
      <c r="Q2931">
        <v>119</v>
      </c>
      <c r="R2931" t="s">
        <v>243</v>
      </c>
      <c r="S2931" t="s">
        <v>7</v>
      </c>
      <c r="T2931">
        <v>0</v>
      </c>
    </row>
    <row r="2932" spans="4:20" ht="15.75" customHeight="1" x14ac:dyDescent="0.2">
      <c r="D2932" t="s">
        <v>285</v>
      </c>
      <c r="E2932" t="s">
        <v>458</v>
      </c>
      <c r="F2932">
        <v>15</v>
      </c>
      <c r="P2932" t="s">
        <v>464</v>
      </c>
      <c r="Q2932">
        <v>119</v>
      </c>
      <c r="R2932" t="s">
        <v>245</v>
      </c>
      <c r="S2932" t="s">
        <v>8</v>
      </c>
      <c r="T2932" t="s">
        <v>364</v>
      </c>
    </row>
    <row r="2933" spans="4:20" ht="15.75" customHeight="1" x14ac:dyDescent="0.2">
      <c r="D2933" t="s">
        <v>285</v>
      </c>
      <c r="E2933" t="s">
        <v>458</v>
      </c>
      <c r="F2933">
        <v>15</v>
      </c>
      <c r="P2933" t="s">
        <v>464</v>
      </c>
      <c r="Q2933">
        <v>119</v>
      </c>
      <c r="R2933" t="s">
        <v>247</v>
      </c>
      <c r="S2933" t="s">
        <v>9</v>
      </c>
      <c r="T2933" t="s">
        <v>364</v>
      </c>
    </row>
    <row r="2934" spans="4:20" ht="15.75" customHeight="1" x14ac:dyDescent="0.2">
      <c r="D2934" t="s">
        <v>285</v>
      </c>
      <c r="E2934" t="s">
        <v>458</v>
      </c>
      <c r="F2934">
        <v>15</v>
      </c>
      <c r="P2934" t="s">
        <v>464</v>
      </c>
      <c r="Q2934">
        <v>119</v>
      </c>
      <c r="R2934" t="s">
        <v>249</v>
      </c>
      <c r="S2934" t="s">
        <v>10</v>
      </c>
      <c r="T2934">
        <v>0</v>
      </c>
    </row>
    <row r="2935" spans="4:20" ht="15.75" customHeight="1" x14ac:dyDescent="0.2">
      <c r="D2935" t="s">
        <v>285</v>
      </c>
      <c r="E2935" t="s">
        <v>458</v>
      </c>
      <c r="F2935">
        <v>15</v>
      </c>
      <c r="P2935" t="s">
        <v>464</v>
      </c>
      <c r="Q2935">
        <v>119</v>
      </c>
      <c r="R2935" t="s">
        <v>251</v>
      </c>
      <c r="S2935" t="s">
        <v>11</v>
      </c>
      <c r="T2935">
        <v>0</v>
      </c>
    </row>
    <row r="2936" spans="4:20" ht="15.75" customHeight="1" x14ac:dyDescent="0.2">
      <c r="D2936" t="s">
        <v>285</v>
      </c>
      <c r="E2936" t="s">
        <v>458</v>
      </c>
      <c r="F2936">
        <v>15</v>
      </c>
      <c r="P2936" t="s">
        <v>464</v>
      </c>
      <c r="Q2936">
        <v>119</v>
      </c>
      <c r="R2936" t="s">
        <v>253</v>
      </c>
      <c r="S2936" t="s">
        <v>12</v>
      </c>
      <c r="T2936" t="s">
        <v>364</v>
      </c>
    </row>
    <row r="2937" spans="4:20" ht="15.75" customHeight="1" x14ac:dyDescent="0.2">
      <c r="D2937" t="s">
        <v>285</v>
      </c>
      <c r="E2937" t="s">
        <v>458</v>
      </c>
      <c r="F2937">
        <v>15</v>
      </c>
      <c r="P2937" t="s">
        <v>464</v>
      </c>
      <c r="Q2937">
        <v>119</v>
      </c>
      <c r="R2937" t="s">
        <v>255</v>
      </c>
      <c r="S2937" t="s">
        <v>15</v>
      </c>
      <c r="T2937">
        <v>0</v>
      </c>
    </row>
    <row r="2938" spans="4:20" ht="15.75" customHeight="1" x14ac:dyDescent="0.2">
      <c r="D2938" t="s">
        <v>285</v>
      </c>
      <c r="E2938" t="s">
        <v>458</v>
      </c>
      <c r="F2938">
        <v>15</v>
      </c>
      <c r="P2938" t="s">
        <v>464</v>
      </c>
      <c r="Q2938">
        <v>119</v>
      </c>
      <c r="R2938" t="s">
        <v>293</v>
      </c>
      <c r="S2938" t="s">
        <v>13</v>
      </c>
      <c r="T2938">
        <v>0</v>
      </c>
    </row>
    <row r="2939" spans="4:20" ht="15.75" customHeight="1" x14ac:dyDescent="0.2">
      <c r="D2939" t="s">
        <v>285</v>
      </c>
      <c r="E2939" t="s">
        <v>458</v>
      </c>
      <c r="F2939">
        <v>15</v>
      </c>
      <c r="P2939" t="s">
        <v>464</v>
      </c>
      <c r="Q2939">
        <v>119</v>
      </c>
      <c r="R2939" t="s">
        <v>294</v>
      </c>
      <c r="S2939" t="s">
        <v>14</v>
      </c>
      <c r="T2939">
        <v>1</v>
      </c>
    </row>
    <row r="2940" spans="4:20" ht="15.75" customHeight="1" x14ac:dyDescent="0.2">
      <c r="D2940" t="s">
        <v>285</v>
      </c>
      <c r="E2940" t="s">
        <v>458</v>
      </c>
      <c r="F2940">
        <v>15</v>
      </c>
      <c r="P2940" t="s">
        <v>464</v>
      </c>
      <c r="Q2940">
        <v>119</v>
      </c>
      <c r="R2940" t="s">
        <v>257</v>
      </c>
      <c r="S2940" t="s">
        <v>16</v>
      </c>
      <c r="T2940">
        <v>0</v>
      </c>
    </row>
    <row r="2941" spans="4:20" ht="15.75" customHeight="1" x14ac:dyDescent="0.2">
      <c r="D2941" t="s">
        <v>285</v>
      </c>
      <c r="E2941" t="s">
        <v>458</v>
      </c>
      <c r="F2941">
        <v>15</v>
      </c>
      <c r="P2941" t="s">
        <v>464</v>
      </c>
      <c r="Q2941">
        <v>119</v>
      </c>
      <c r="R2941" t="s">
        <v>295</v>
      </c>
      <c r="S2941" t="s">
        <v>17</v>
      </c>
      <c r="T2941" t="s">
        <v>366</v>
      </c>
    </row>
    <row r="2942" spans="4:20" ht="15.75" customHeight="1" x14ac:dyDescent="0.2">
      <c r="D2942" t="s">
        <v>285</v>
      </c>
      <c r="E2942" t="s">
        <v>458</v>
      </c>
      <c r="F2942">
        <v>15</v>
      </c>
      <c r="P2942" t="s">
        <v>464</v>
      </c>
      <c r="Q2942">
        <v>119</v>
      </c>
      <c r="R2942" t="s">
        <v>296</v>
      </c>
      <c r="S2942" t="s">
        <v>1</v>
      </c>
      <c r="T2942">
        <v>1</v>
      </c>
    </row>
    <row r="2943" spans="4:20" ht="15.75" customHeight="1" x14ac:dyDescent="0.2">
      <c r="D2943" t="s">
        <v>285</v>
      </c>
      <c r="E2943" t="s">
        <v>458</v>
      </c>
      <c r="F2943">
        <v>15</v>
      </c>
      <c r="P2943" t="s">
        <v>464</v>
      </c>
      <c r="Q2943">
        <v>119</v>
      </c>
      <c r="R2943" t="s">
        <v>297</v>
      </c>
      <c r="S2943" t="s">
        <v>18</v>
      </c>
      <c r="T2943" t="s">
        <v>366</v>
      </c>
    </row>
    <row r="2944" spans="4:20" ht="15.75" customHeight="1" x14ac:dyDescent="0.2">
      <c r="D2944" t="s">
        <v>285</v>
      </c>
      <c r="E2944" t="s">
        <v>458</v>
      </c>
      <c r="F2944">
        <v>15</v>
      </c>
      <c r="P2944" t="s">
        <v>464</v>
      </c>
      <c r="Q2944">
        <v>119</v>
      </c>
      <c r="R2944" t="s">
        <v>298</v>
      </c>
      <c r="S2944" t="s">
        <v>19</v>
      </c>
      <c r="T2944">
        <v>4</v>
      </c>
    </row>
    <row r="2945" spans="4:20" ht="15.75" customHeight="1" x14ac:dyDescent="0.2">
      <c r="D2945" t="s">
        <v>285</v>
      </c>
      <c r="E2945" t="s">
        <v>458</v>
      </c>
      <c r="F2945">
        <v>15</v>
      </c>
      <c r="P2945" t="s">
        <v>464</v>
      </c>
      <c r="Q2945">
        <v>119</v>
      </c>
      <c r="R2945" t="s">
        <v>299</v>
      </c>
      <c r="S2945" t="s">
        <v>20</v>
      </c>
      <c r="T2945">
        <v>0</v>
      </c>
    </row>
    <row r="2946" spans="4:20" ht="15.75" customHeight="1" x14ac:dyDescent="0.2">
      <c r="D2946" t="s">
        <v>285</v>
      </c>
      <c r="E2946" t="s">
        <v>458</v>
      </c>
      <c r="F2946">
        <v>15</v>
      </c>
      <c r="P2946" t="s">
        <v>465</v>
      </c>
      <c r="Q2946">
        <v>120</v>
      </c>
      <c r="R2946" t="s">
        <v>288</v>
      </c>
      <c r="S2946" t="s">
        <v>2</v>
      </c>
      <c r="T2946">
        <v>0</v>
      </c>
    </row>
    <row r="2947" spans="4:20" ht="15.75" customHeight="1" x14ac:dyDescent="0.2">
      <c r="D2947" t="s">
        <v>285</v>
      </c>
      <c r="E2947" t="s">
        <v>458</v>
      </c>
      <c r="F2947">
        <v>15</v>
      </c>
      <c r="P2947" t="s">
        <v>465</v>
      </c>
      <c r="Q2947">
        <v>120</v>
      </c>
      <c r="R2947" t="s">
        <v>289</v>
      </c>
      <c r="S2947" t="s">
        <v>5</v>
      </c>
      <c r="T2947">
        <v>0</v>
      </c>
    </row>
    <row r="2948" spans="4:20" ht="15.75" customHeight="1" x14ac:dyDescent="0.2">
      <c r="D2948" t="s">
        <v>285</v>
      </c>
      <c r="E2948" t="s">
        <v>458</v>
      </c>
      <c r="F2948">
        <v>15</v>
      </c>
      <c r="P2948" t="s">
        <v>465</v>
      </c>
      <c r="Q2948">
        <v>120</v>
      </c>
      <c r="R2948" t="s">
        <v>290</v>
      </c>
      <c r="S2948" t="s">
        <v>3</v>
      </c>
      <c r="T2948">
        <v>0</v>
      </c>
    </row>
    <row r="2949" spans="4:20" ht="15.75" customHeight="1" x14ac:dyDescent="0.2">
      <c r="D2949" t="s">
        <v>285</v>
      </c>
      <c r="E2949" t="s">
        <v>458</v>
      </c>
      <c r="F2949">
        <v>15</v>
      </c>
      <c r="P2949" t="s">
        <v>465</v>
      </c>
      <c r="Q2949">
        <v>120</v>
      </c>
      <c r="R2949" t="s">
        <v>291</v>
      </c>
      <c r="S2949" t="s">
        <v>4</v>
      </c>
      <c r="T2949">
        <v>0</v>
      </c>
    </row>
    <row r="2950" spans="4:20" ht="15.75" customHeight="1" x14ac:dyDescent="0.2">
      <c r="D2950" t="s">
        <v>285</v>
      </c>
      <c r="E2950" t="s">
        <v>458</v>
      </c>
      <c r="F2950">
        <v>15</v>
      </c>
      <c r="P2950" t="s">
        <v>465</v>
      </c>
      <c r="Q2950">
        <v>120</v>
      </c>
      <c r="R2950" t="s">
        <v>292</v>
      </c>
      <c r="S2950" t="s">
        <v>6</v>
      </c>
      <c r="T2950">
        <v>0</v>
      </c>
    </row>
    <row r="2951" spans="4:20" ht="15.75" customHeight="1" x14ac:dyDescent="0.2">
      <c r="D2951" t="s">
        <v>285</v>
      </c>
      <c r="E2951" t="s">
        <v>458</v>
      </c>
      <c r="F2951">
        <v>15</v>
      </c>
      <c r="P2951" t="s">
        <v>465</v>
      </c>
      <c r="Q2951">
        <v>120</v>
      </c>
      <c r="R2951" t="s">
        <v>243</v>
      </c>
      <c r="S2951" t="s">
        <v>7</v>
      </c>
      <c r="T2951">
        <v>0</v>
      </c>
    </row>
    <row r="2952" spans="4:20" ht="15.75" customHeight="1" x14ac:dyDescent="0.2">
      <c r="D2952" t="s">
        <v>285</v>
      </c>
      <c r="E2952" t="s">
        <v>458</v>
      </c>
      <c r="F2952">
        <v>15</v>
      </c>
      <c r="P2952" t="s">
        <v>465</v>
      </c>
      <c r="Q2952">
        <v>120</v>
      </c>
      <c r="R2952" t="s">
        <v>245</v>
      </c>
      <c r="S2952" t="s">
        <v>8</v>
      </c>
      <c r="T2952" t="s">
        <v>364</v>
      </c>
    </row>
    <row r="2953" spans="4:20" ht="15.75" customHeight="1" x14ac:dyDescent="0.2">
      <c r="D2953" t="s">
        <v>285</v>
      </c>
      <c r="E2953" t="s">
        <v>458</v>
      </c>
      <c r="F2953">
        <v>15</v>
      </c>
      <c r="P2953" t="s">
        <v>465</v>
      </c>
      <c r="Q2953">
        <v>120</v>
      </c>
      <c r="R2953" t="s">
        <v>247</v>
      </c>
      <c r="S2953" t="s">
        <v>9</v>
      </c>
      <c r="T2953" t="s">
        <v>364</v>
      </c>
    </row>
    <row r="2954" spans="4:20" ht="15.75" customHeight="1" x14ac:dyDescent="0.2">
      <c r="D2954" t="s">
        <v>285</v>
      </c>
      <c r="E2954" t="s">
        <v>458</v>
      </c>
      <c r="F2954">
        <v>15</v>
      </c>
      <c r="P2954" t="s">
        <v>465</v>
      </c>
      <c r="Q2954">
        <v>120</v>
      </c>
      <c r="R2954" t="s">
        <v>249</v>
      </c>
      <c r="S2954" t="s">
        <v>10</v>
      </c>
      <c r="T2954">
        <v>0</v>
      </c>
    </row>
    <row r="2955" spans="4:20" ht="15.75" customHeight="1" x14ac:dyDescent="0.2">
      <c r="D2955" t="s">
        <v>285</v>
      </c>
      <c r="E2955" t="s">
        <v>458</v>
      </c>
      <c r="F2955">
        <v>15</v>
      </c>
      <c r="P2955" t="s">
        <v>465</v>
      </c>
      <c r="Q2955">
        <v>120</v>
      </c>
      <c r="R2955" t="s">
        <v>251</v>
      </c>
      <c r="S2955" t="s">
        <v>11</v>
      </c>
      <c r="T2955">
        <v>0</v>
      </c>
    </row>
    <row r="2956" spans="4:20" ht="15.75" customHeight="1" x14ac:dyDescent="0.2">
      <c r="D2956" t="s">
        <v>285</v>
      </c>
      <c r="E2956" t="s">
        <v>458</v>
      </c>
      <c r="F2956">
        <v>15</v>
      </c>
      <c r="P2956" t="s">
        <v>465</v>
      </c>
      <c r="Q2956">
        <v>120</v>
      </c>
      <c r="R2956" t="s">
        <v>253</v>
      </c>
      <c r="S2956" t="s">
        <v>12</v>
      </c>
      <c r="T2956" t="s">
        <v>364</v>
      </c>
    </row>
    <row r="2957" spans="4:20" ht="15.75" customHeight="1" x14ac:dyDescent="0.2">
      <c r="D2957" t="s">
        <v>285</v>
      </c>
      <c r="E2957" t="s">
        <v>458</v>
      </c>
      <c r="F2957">
        <v>15</v>
      </c>
      <c r="P2957" t="s">
        <v>465</v>
      </c>
      <c r="Q2957">
        <v>120</v>
      </c>
      <c r="R2957" t="s">
        <v>255</v>
      </c>
      <c r="S2957" t="s">
        <v>15</v>
      </c>
      <c r="T2957">
        <v>0</v>
      </c>
    </row>
    <row r="2958" spans="4:20" ht="15.75" customHeight="1" x14ac:dyDescent="0.2">
      <c r="D2958" t="s">
        <v>285</v>
      </c>
      <c r="E2958" t="s">
        <v>458</v>
      </c>
      <c r="F2958">
        <v>15</v>
      </c>
      <c r="P2958" t="s">
        <v>465</v>
      </c>
      <c r="Q2958">
        <v>120</v>
      </c>
      <c r="R2958" t="s">
        <v>293</v>
      </c>
      <c r="S2958" t="s">
        <v>13</v>
      </c>
      <c r="T2958">
        <v>0</v>
      </c>
    </row>
    <row r="2959" spans="4:20" ht="15.75" customHeight="1" x14ac:dyDescent="0.2">
      <c r="D2959" t="s">
        <v>285</v>
      </c>
      <c r="E2959" t="s">
        <v>458</v>
      </c>
      <c r="F2959">
        <v>15</v>
      </c>
      <c r="P2959" t="s">
        <v>465</v>
      </c>
      <c r="Q2959">
        <v>120</v>
      </c>
      <c r="R2959" t="s">
        <v>294</v>
      </c>
      <c r="S2959" t="s">
        <v>14</v>
      </c>
      <c r="T2959">
        <v>1</v>
      </c>
    </row>
    <row r="2960" spans="4:20" ht="15.75" customHeight="1" x14ac:dyDescent="0.2">
      <c r="D2960" t="s">
        <v>285</v>
      </c>
      <c r="E2960" t="s">
        <v>458</v>
      </c>
      <c r="F2960">
        <v>15</v>
      </c>
      <c r="P2960" t="s">
        <v>465</v>
      </c>
      <c r="Q2960">
        <v>120</v>
      </c>
      <c r="R2960" t="s">
        <v>257</v>
      </c>
      <c r="S2960" t="s">
        <v>16</v>
      </c>
      <c r="T2960">
        <v>0</v>
      </c>
    </row>
    <row r="2961" spans="4:20" ht="15.75" customHeight="1" x14ac:dyDescent="0.2">
      <c r="D2961" t="s">
        <v>285</v>
      </c>
      <c r="E2961" t="s">
        <v>458</v>
      </c>
      <c r="F2961">
        <v>15</v>
      </c>
      <c r="P2961" t="s">
        <v>465</v>
      </c>
      <c r="Q2961">
        <v>120</v>
      </c>
      <c r="R2961" t="s">
        <v>295</v>
      </c>
      <c r="S2961" t="s">
        <v>17</v>
      </c>
      <c r="T2961" t="s">
        <v>366</v>
      </c>
    </row>
    <row r="2962" spans="4:20" ht="15.75" customHeight="1" x14ac:dyDescent="0.2">
      <c r="D2962" t="s">
        <v>285</v>
      </c>
      <c r="E2962" t="s">
        <v>458</v>
      </c>
      <c r="F2962">
        <v>15</v>
      </c>
      <c r="P2962" t="s">
        <v>465</v>
      </c>
      <c r="Q2962">
        <v>120</v>
      </c>
      <c r="R2962" t="s">
        <v>296</v>
      </c>
      <c r="S2962" t="s">
        <v>1</v>
      </c>
      <c r="T2962">
        <v>1</v>
      </c>
    </row>
    <row r="2963" spans="4:20" ht="15.75" customHeight="1" x14ac:dyDescent="0.2">
      <c r="D2963" t="s">
        <v>285</v>
      </c>
      <c r="E2963" t="s">
        <v>458</v>
      </c>
      <c r="F2963">
        <v>15</v>
      </c>
      <c r="P2963" t="s">
        <v>465</v>
      </c>
      <c r="Q2963">
        <v>120</v>
      </c>
      <c r="R2963" t="s">
        <v>297</v>
      </c>
      <c r="S2963" t="s">
        <v>18</v>
      </c>
      <c r="T2963" t="s">
        <v>366</v>
      </c>
    </row>
    <row r="2964" spans="4:20" ht="15.75" customHeight="1" x14ac:dyDescent="0.2">
      <c r="D2964" t="s">
        <v>285</v>
      </c>
      <c r="E2964" t="s">
        <v>458</v>
      </c>
      <c r="F2964">
        <v>15</v>
      </c>
      <c r="P2964" t="s">
        <v>465</v>
      </c>
      <c r="Q2964">
        <v>120</v>
      </c>
      <c r="R2964" t="s">
        <v>298</v>
      </c>
      <c r="S2964" t="s">
        <v>19</v>
      </c>
      <c r="T2964">
        <v>4</v>
      </c>
    </row>
    <row r="2965" spans="4:20" ht="15.75" customHeight="1" x14ac:dyDescent="0.2">
      <c r="D2965" t="s">
        <v>285</v>
      </c>
      <c r="E2965" t="s">
        <v>458</v>
      </c>
      <c r="F2965">
        <v>15</v>
      </c>
      <c r="P2965" t="s">
        <v>465</v>
      </c>
      <c r="Q2965">
        <v>120</v>
      </c>
      <c r="R2965" t="s">
        <v>299</v>
      </c>
      <c r="S2965" t="s">
        <v>20</v>
      </c>
      <c r="T2965">
        <v>0</v>
      </c>
    </row>
    <row r="2966" spans="4:20" ht="15.75" customHeight="1" x14ac:dyDescent="0.2">
      <c r="D2966" t="s">
        <v>285</v>
      </c>
      <c r="E2966" t="s">
        <v>458</v>
      </c>
      <c r="F2966">
        <v>15</v>
      </c>
      <c r="P2966" t="s">
        <v>466</v>
      </c>
      <c r="Q2966">
        <v>121</v>
      </c>
      <c r="R2966" t="s">
        <v>288</v>
      </c>
      <c r="S2966" t="s">
        <v>2</v>
      </c>
      <c r="T2966">
        <v>0</v>
      </c>
    </row>
    <row r="2967" spans="4:20" ht="15.75" customHeight="1" x14ac:dyDescent="0.2">
      <c r="D2967" t="s">
        <v>285</v>
      </c>
      <c r="E2967" t="s">
        <v>458</v>
      </c>
      <c r="F2967">
        <v>15</v>
      </c>
      <c r="P2967" t="s">
        <v>466</v>
      </c>
      <c r="Q2967">
        <v>121</v>
      </c>
      <c r="R2967" t="s">
        <v>289</v>
      </c>
      <c r="S2967" t="s">
        <v>5</v>
      </c>
      <c r="T2967">
        <v>0</v>
      </c>
    </row>
    <row r="2968" spans="4:20" ht="15.75" customHeight="1" x14ac:dyDescent="0.2">
      <c r="D2968" t="s">
        <v>285</v>
      </c>
      <c r="E2968" t="s">
        <v>458</v>
      </c>
      <c r="F2968">
        <v>15</v>
      </c>
      <c r="P2968" t="s">
        <v>466</v>
      </c>
      <c r="Q2968">
        <v>121</v>
      </c>
      <c r="R2968" t="s">
        <v>290</v>
      </c>
      <c r="S2968" t="s">
        <v>3</v>
      </c>
      <c r="T2968">
        <v>0</v>
      </c>
    </row>
    <row r="2969" spans="4:20" ht="15.75" customHeight="1" x14ac:dyDescent="0.2">
      <c r="D2969" t="s">
        <v>285</v>
      </c>
      <c r="E2969" t="s">
        <v>458</v>
      </c>
      <c r="F2969">
        <v>15</v>
      </c>
      <c r="P2969" t="s">
        <v>466</v>
      </c>
      <c r="Q2969">
        <v>121</v>
      </c>
      <c r="R2969" t="s">
        <v>291</v>
      </c>
      <c r="S2969" t="s">
        <v>4</v>
      </c>
      <c r="T2969">
        <v>0</v>
      </c>
    </row>
    <row r="2970" spans="4:20" ht="15.75" customHeight="1" x14ac:dyDescent="0.2">
      <c r="D2970" t="s">
        <v>285</v>
      </c>
      <c r="E2970" t="s">
        <v>458</v>
      </c>
      <c r="F2970">
        <v>15</v>
      </c>
      <c r="P2970" t="s">
        <v>466</v>
      </c>
      <c r="Q2970">
        <v>121</v>
      </c>
      <c r="R2970" t="s">
        <v>292</v>
      </c>
      <c r="S2970" t="s">
        <v>6</v>
      </c>
      <c r="T2970">
        <v>0</v>
      </c>
    </row>
    <row r="2971" spans="4:20" ht="15.75" customHeight="1" x14ac:dyDescent="0.2">
      <c r="D2971" t="s">
        <v>285</v>
      </c>
      <c r="E2971" t="s">
        <v>458</v>
      </c>
      <c r="F2971">
        <v>15</v>
      </c>
      <c r="P2971" t="s">
        <v>466</v>
      </c>
      <c r="Q2971">
        <v>121</v>
      </c>
      <c r="R2971" t="s">
        <v>243</v>
      </c>
      <c r="S2971" t="s">
        <v>7</v>
      </c>
      <c r="T2971">
        <v>0</v>
      </c>
    </row>
    <row r="2972" spans="4:20" ht="15.75" customHeight="1" x14ac:dyDescent="0.2">
      <c r="D2972" t="s">
        <v>285</v>
      </c>
      <c r="E2972" t="s">
        <v>458</v>
      </c>
      <c r="F2972">
        <v>15</v>
      </c>
      <c r="P2972" t="s">
        <v>466</v>
      </c>
      <c r="Q2972">
        <v>121</v>
      </c>
      <c r="R2972" t="s">
        <v>245</v>
      </c>
      <c r="S2972" t="s">
        <v>8</v>
      </c>
      <c r="T2972">
        <v>0</v>
      </c>
    </row>
    <row r="2973" spans="4:20" ht="15.75" customHeight="1" x14ac:dyDescent="0.2">
      <c r="D2973" t="s">
        <v>285</v>
      </c>
      <c r="E2973" t="s">
        <v>458</v>
      </c>
      <c r="F2973">
        <v>15</v>
      </c>
      <c r="P2973" t="s">
        <v>466</v>
      </c>
      <c r="Q2973">
        <v>121</v>
      </c>
      <c r="R2973" t="s">
        <v>247</v>
      </c>
      <c r="S2973" t="s">
        <v>9</v>
      </c>
      <c r="T2973">
        <v>0</v>
      </c>
    </row>
    <row r="2974" spans="4:20" ht="15.75" customHeight="1" x14ac:dyDescent="0.2">
      <c r="D2974" t="s">
        <v>285</v>
      </c>
      <c r="E2974" t="s">
        <v>458</v>
      </c>
      <c r="F2974">
        <v>15</v>
      </c>
      <c r="P2974" t="s">
        <v>466</v>
      </c>
      <c r="Q2974">
        <v>121</v>
      </c>
      <c r="R2974" t="s">
        <v>249</v>
      </c>
      <c r="S2974" t="s">
        <v>10</v>
      </c>
      <c r="T2974">
        <v>1</v>
      </c>
    </row>
    <row r="2975" spans="4:20" ht="15.75" customHeight="1" x14ac:dyDescent="0.2">
      <c r="D2975" t="s">
        <v>285</v>
      </c>
      <c r="E2975" t="s">
        <v>458</v>
      </c>
      <c r="F2975">
        <v>15</v>
      </c>
      <c r="P2975" t="s">
        <v>466</v>
      </c>
      <c r="Q2975">
        <v>121</v>
      </c>
      <c r="R2975" t="s">
        <v>251</v>
      </c>
      <c r="S2975" t="s">
        <v>11</v>
      </c>
      <c r="T2975">
        <v>1</v>
      </c>
    </row>
    <row r="2976" spans="4:20" ht="15.75" customHeight="1" x14ac:dyDescent="0.2">
      <c r="D2976" t="s">
        <v>285</v>
      </c>
      <c r="E2976" t="s">
        <v>458</v>
      </c>
      <c r="F2976">
        <v>15</v>
      </c>
      <c r="P2976" t="s">
        <v>466</v>
      </c>
      <c r="Q2976">
        <v>121</v>
      </c>
      <c r="R2976" t="s">
        <v>253</v>
      </c>
      <c r="S2976" t="s">
        <v>12</v>
      </c>
      <c r="T2976">
        <v>0</v>
      </c>
    </row>
    <row r="2977" spans="4:20" ht="15.75" customHeight="1" x14ac:dyDescent="0.2">
      <c r="D2977" t="s">
        <v>285</v>
      </c>
      <c r="E2977" t="s">
        <v>458</v>
      </c>
      <c r="F2977">
        <v>15</v>
      </c>
      <c r="P2977" t="s">
        <v>466</v>
      </c>
      <c r="Q2977">
        <v>121</v>
      </c>
      <c r="R2977" t="s">
        <v>255</v>
      </c>
      <c r="S2977" t="s">
        <v>15</v>
      </c>
      <c r="T2977">
        <v>0</v>
      </c>
    </row>
    <row r="2978" spans="4:20" ht="15.75" customHeight="1" x14ac:dyDescent="0.2">
      <c r="D2978" t="s">
        <v>285</v>
      </c>
      <c r="E2978" t="s">
        <v>458</v>
      </c>
      <c r="F2978">
        <v>15</v>
      </c>
      <c r="P2978" t="s">
        <v>466</v>
      </c>
      <c r="Q2978">
        <v>121</v>
      </c>
      <c r="R2978" t="s">
        <v>293</v>
      </c>
      <c r="S2978" t="s">
        <v>13</v>
      </c>
      <c r="T2978">
        <v>0</v>
      </c>
    </row>
    <row r="2979" spans="4:20" ht="15.75" customHeight="1" x14ac:dyDescent="0.2">
      <c r="D2979" t="s">
        <v>285</v>
      </c>
      <c r="E2979" t="s">
        <v>458</v>
      </c>
      <c r="F2979">
        <v>15</v>
      </c>
      <c r="P2979" t="s">
        <v>466</v>
      </c>
      <c r="Q2979">
        <v>121</v>
      </c>
      <c r="R2979" t="s">
        <v>294</v>
      </c>
      <c r="S2979" t="s">
        <v>14</v>
      </c>
      <c r="T2979">
        <v>1</v>
      </c>
    </row>
    <row r="2980" spans="4:20" ht="15.75" customHeight="1" x14ac:dyDescent="0.2">
      <c r="D2980" t="s">
        <v>285</v>
      </c>
      <c r="E2980" t="s">
        <v>458</v>
      </c>
      <c r="F2980">
        <v>15</v>
      </c>
      <c r="P2980" t="s">
        <v>466</v>
      </c>
      <c r="Q2980">
        <v>121</v>
      </c>
      <c r="R2980" t="s">
        <v>257</v>
      </c>
      <c r="S2980" t="s">
        <v>16</v>
      </c>
      <c r="T2980">
        <v>0</v>
      </c>
    </row>
    <row r="2981" spans="4:20" ht="15.75" customHeight="1" x14ac:dyDescent="0.2">
      <c r="D2981" t="s">
        <v>285</v>
      </c>
      <c r="E2981" t="s">
        <v>458</v>
      </c>
      <c r="F2981">
        <v>15</v>
      </c>
      <c r="P2981" t="s">
        <v>466</v>
      </c>
      <c r="Q2981">
        <v>121</v>
      </c>
      <c r="R2981" t="s">
        <v>295</v>
      </c>
      <c r="S2981" t="s">
        <v>17</v>
      </c>
      <c r="T2981" t="s">
        <v>366</v>
      </c>
    </row>
    <row r="2982" spans="4:20" ht="15.75" customHeight="1" x14ac:dyDescent="0.2">
      <c r="D2982" t="s">
        <v>285</v>
      </c>
      <c r="E2982" t="s">
        <v>458</v>
      </c>
      <c r="F2982">
        <v>15</v>
      </c>
      <c r="P2982" t="s">
        <v>466</v>
      </c>
      <c r="Q2982">
        <v>121</v>
      </c>
      <c r="R2982" t="s">
        <v>296</v>
      </c>
      <c r="S2982" t="s">
        <v>1</v>
      </c>
      <c r="T2982">
        <v>1</v>
      </c>
    </row>
    <row r="2983" spans="4:20" ht="15.75" customHeight="1" x14ac:dyDescent="0.2">
      <c r="D2983" t="s">
        <v>285</v>
      </c>
      <c r="E2983" t="s">
        <v>458</v>
      </c>
      <c r="F2983">
        <v>15</v>
      </c>
      <c r="P2983" t="s">
        <v>466</v>
      </c>
      <c r="Q2983">
        <v>121</v>
      </c>
      <c r="R2983" t="s">
        <v>297</v>
      </c>
      <c r="S2983" t="s">
        <v>18</v>
      </c>
      <c r="T2983" t="s">
        <v>366</v>
      </c>
    </row>
    <row r="2984" spans="4:20" ht="15.75" customHeight="1" x14ac:dyDescent="0.2">
      <c r="D2984" t="s">
        <v>285</v>
      </c>
      <c r="E2984" t="s">
        <v>458</v>
      </c>
      <c r="F2984">
        <v>15</v>
      </c>
      <c r="P2984" t="s">
        <v>466</v>
      </c>
      <c r="Q2984">
        <v>121</v>
      </c>
      <c r="R2984" t="s">
        <v>298</v>
      </c>
      <c r="S2984" t="s">
        <v>19</v>
      </c>
      <c r="T2984">
        <v>4</v>
      </c>
    </row>
    <row r="2985" spans="4:20" ht="15.75" customHeight="1" x14ac:dyDescent="0.2">
      <c r="D2985" t="s">
        <v>285</v>
      </c>
      <c r="E2985" t="s">
        <v>458</v>
      </c>
      <c r="F2985">
        <v>15</v>
      </c>
      <c r="P2985" t="s">
        <v>466</v>
      </c>
      <c r="Q2985">
        <v>121</v>
      </c>
      <c r="R2985" t="s">
        <v>299</v>
      </c>
      <c r="S2985" t="s">
        <v>20</v>
      </c>
      <c r="T2985">
        <v>0</v>
      </c>
    </row>
    <row r="2986" spans="4:20" ht="15.75" customHeight="1" x14ac:dyDescent="0.2">
      <c r="D2986" t="s">
        <v>285</v>
      </c>
      <c r="E2986" t="s">
        <v>458</v>
      </c>
      <c r="F2986">
        <v>15</v>
      </c>
      <c r="P2986" t="s">
        <v>467</v>
      </c>
      <c r="Q2986">
        <v>122</v>
      </c>
      <c r="R2986" t="s">
        <v>288</v>
      </c>
      <c r="S2986" t="s">
        <v>2</v>
      </c>
      <c r="T2986">
        <v>0</v>
      </c>
    </row>
    <row r="2987" spans="4:20" ht="15.75" customHeight="1" x14ac:dyDescent="0.2">
      <c r="D2987" t="s">
        <v>285</v>
      </c>
      <c r="E2987" t="s">
        <v>458</v>
      </c>
      <c r="F2987">
        <v>15</v>
      </c>
      <c r="P2987" t="s">
        <v>467</v>
      </c>
      <c r="Q2987">
        <v>122</v>
      </c>
      <c r="R2987" t="s">
        <v>289</v>
      </c>
      <c r="S2987" t="s">
        <v>5</v>
      </c>
      <c r="T2987">
        <v>0</v>
      </c>
    </row>
    <row r="2988" spans="4:20" ht="15.75" customHeight="1" x14ac:dyDescent="0.2">
      <c r="D2988" t="s">
        <v>285</v>
      </c>
      <c r="E2988" t="s">
        <v>458</v>
      </c>
      <c r="F2988">
        <v>15</v>
      </c>
      <c r="P2988" t="s">
        <v>467</v>
      </c>
      <c r="Q2988">
        <v>122</v>
      </c>
      <c r="R2988" t="s">
        <v>290</v>
      </c>
      <c r="S2988" t="s">
        <v>3</v>
      </c>
      <c r="T2988">
        <v>0</v>
      </c>
    </row>
    <row r="2989" spans="4:20" ht="15.75" customHeight="1" x14ac:dyDescent="0.2">
      <c r="D2989" t="s">
        <v>285</v>
      </c>
      <c r="E2989" t="s">
        <v>458</v>
      </c>
      <c r="F2989">
        <v>15</v>
      </c>
      <c r="P2989" t="s">
        <v>467</v>
      </c>
      <c r="Q2989">
        <v>122</v>
      </c>
      <c r="R2989" t="s">
        <v>291</v>
      </c>
      <c r="S2989" t="s">
        <v>4</v>
      </c>
      <c r="T2989">
        <v>0</v>
      </c>
    </row>
    <row r="2990" spans="4:20" ht="15.75" customHeight="1" x14ac:dyDescent="0.2">
      <c r="D2990" t="s">
        <v>285</v>
      </c>
      <c r="E2990" t="s">
        <v>458</v>
      </c>
      <c r="F2990">
        <v>15</v>
      </c>
      <c r="P2990" t="s">
        <v>467</v>
      </c>
      <c r="Q2990">
        <v>122</v>
      </c>
      <c r="R2990" t="s">
        <v>292</v>
      </c>
      <c r="S2990" t="s">
        <v>6</v>
      </c>
      <c r="T2990">
        <v>0</v>
      </c>
    </row>
    <row r="2991" spans="4:20" ht="15.75" customHeight="1" x14ac:dyDescent="0.2">
      <c r="D2991" t="s">
        <v>285</v>
      </c>
      <c r="E2991" t="s">
        <v>458</v>
      </c>
      <c r="F2991">
        <v>15</v>
      </c>
      <c r="P2991" t="s">
        <v>467</v>
      </c>
      <c r="Q2991">
        <v>122</v>
      </c>
      <c r="R2991" t="s">
        <v>243</v>
      </c>
      <c r="S2991" t="s">
        <v>7</v>
      </c>
      <c r="T2991">
        <v>0</v>
      </c>
    </row>
    <row r="2992" spans="4:20" ht="15.75" customHeight="1" x14ac:dyDescent="0.2">
      <c r="D2992" t="s">
        <v>285</v>
      </c>
      <c r="E2992" t="s">
        <v>458</v>
      </c>
      <c r="F2992">
        <v>15</v>
      </c>
      <c r="P2992" t="s">
        <v>467</v>
      </c>
      <c r="Q2992">
        <v>122</v>
      </c>
      <c r="R2992" t="s">
        <v>245</v>
      </c>
      <c r="S2992" t="s">
        <v>8</v>
      </c>
      <c r="T2992" t="s">
        <v>364</v>
      </c>
    </row>
    <row r="2993" spans="4:20" ht="15.75" customHeight="1" x14ac:dyDescent="0.2">
      <c r="D2993" t="s">
        <v>285</v>
      </c>
      <c r="E2993" t="s">
        <v>458</v>
      </c>
      <c r="F2993">
        <v>15</v>
      </c>
      <c r="P2993" t="s">
        <v>467</v>
      </c>
      <c r="Q2993">
        <v>122</v>
      </c>
      <c r="R2993" t="s">
        <v>247</v>
      </c>
      <c r="S2993" t="s">
        <v>9</v>
      </c>
      <c r="T2993" t="s">
        <v>364</v>
      </c>
    </row>
    <row r="2994" spans="4:20" ht="15.75" customHeight="1" x14ac:dyDescent="0.2">
      <c r="D2994" t="s">
        <v>285</v>
      </c>
      <c r="E2994" t="s">
        <v>458</v>
      </c>
      <c r="F2994">
        <v>15</v>
      </c>
      <c r="P2994" t="s">
        <v>467</v>
      </c>
      <c r="Q2994">
        <v>122</v>
      </c>
      <c r="R2994" t="s">
        <v>249</v>
      </c>
      <c r="S2994" t="s">
        <v>10</v>
      </c>
      <c r="T2994">
        <v>0</v>
      </c>
    </row>
    <row r="2995" spans="4:20" ht="15.75" customHeight="1" x14ac:dyDescent="0.2">
      <c r="D2995" t="s">
        <v>285</v>
      </c>
      <c r="E2995" t="s">
        <v>458</v>
      </c>
      <c r="F2995">
        <v>15</v>
      </c>
      <c r="P2995" t="s">
        <v>467</v>
      </c>
      <c r="Q2995">
        <v>122</v>
      </c>
      <c r="R2995" t="s">
        <v>251</v>
      </c>
      <c r="S2995" t="s">
        <v>11</v>
      </c>
      <c r="T2995">
        <v>0</v>
      </c>
    </row>
    <row r="2996" spans="4:20" ht="15.75" customHeight="1" x14ac:dyDescent="0.2">
      <c r="D2996" t="s">
        <v>285</v>
      </c>
      <c r="E2996" t="s">
        <v>458</v>
      </c>
      <c r="F2996">
        <v>15</v>
      </c>
      <c r="P2996" t="s">
        <v>467</v>
      </c>
      <c r="Q2996">
        <v>122</v>
      </c>
      <c r="R2996" t="s">
        <v>253</v>
      </c>
      <c r="S2996" t="s">
        <v>12</v>
      </c>
      <c r="T2996" t="s">
        <v>364</v>
      </c>
    </row>
    <row r="2997" spans="4:20" ht="15.75" customHeight="1" x14ac:dyDescent="0.2">
      <c r="D2997" t="s">
        <v>285</v>
      </c>
      <c r="E2997" t="s">
        <v>458</v>
      </c>
      <c r="F2997">
        <v>15</v>
      </c>
      <c r="P2997" t="s">
        <v>467</v>
      </c>
      <c r="Q2997">
        <v>122</v>
      </c>
      <c r="R2997" t="s">
        <v>255</v>
      </c>
      <c r="S2997" t="s">
        <v>15</v>
      </c>
      <c r="T2997">
        <v>0</v>
      </c>
    </row>
    <row r="2998" spans="4:20" ht="15.75" customHeight="1" x14ac:dyDescent="0.2">
      <c r="D2998" t="s">
        <v>285</v>
      </c>
      <c r="E2998" t="s">
        <v>458</v>
      </c>
      <c r="F2998">
        <v>15</v>
      </c>
      <c r="P2998" t="s">
        <v>467</v>
      </c>
      <c r="Q2998">
        <v>122</v>
      </c>
      <c r="R2998" t="s">
        <v>293</v>
      </c>
      <c r="S2998" t="s">
        <v>13</v>
      </c>
      <c r="T2998">
        <v>0</v>
      </c>
    </row>
    <row r="2999" spans="4:20" ht="15.75" customHeight="1" x14ac:dyDescent="0.2">
      <c r="D2999" t="s">
        <v>285</v>
      </c>
      <c r="E2999" t="s">
        <v>458</v>
      </c>
      <c r="F2999">
        <v>15</v>
      </c>
      <c r="P2999" t="s">
        <v>467</v>
      </c>
      <c r="Q2999">
        <v>122</v>
      </c>
      <c r="R2999" t="s">
        <v>294</v>
      </c>
      <c r="S2999" t="s">
        <v>14</v>
      </c>
      <c r="T2999">
        <v>1</v>
      </c>
    </row>
    <row r="3000" spans="4:20" ht="15.75" customHeight="1" x14ac:dyDescent="0.2">
      <c r="D3000" t="s">
        <v>285</v>
      </c>
      <c r="E3000" t="s">
        <v>458</v>
      </c>
      <c r="F3000">
        <v>15</v>
      </c>
      <c r="P3000" t="s">
        <v>467</v>
      </c>
      <c r="Q3000">
        <v>122</v>
      </c>
      <c r="R3000" t="s">
        <v>257</v>
      </c>
      <c r="S3000" t="s">
        <v>16</v>
      </c>
      <c r="T3000">
        <v>0</v>
      </c>
    </row>
    <row r="3001" spans="4:20" ht="15.75" customHeight="1" x14ac:dyDescent="0.2">
      <c r="D3001" t="s">
        <v>285</v>
      </c>
      <c r="E3001" t="s">
        <v>458</v>
      </c>
      <c r="F3001">
        <v>15</v>
      </c>
      <c r="P3001" t="s">
        <v>467</v>
      </c>
      <c r="Q3001">
        <v>122</v>
      </c>
      <c r="R3001" t="s">
        <v>295</v>
      </c>
      <c r="S3001" t="s">
        <v>17</v>
      </c>
      <c r="T3001" t="s">
        <v>366</v>
      </c>
    </row>
    <row r="3002" spans="4:20" ht="15.75" customHeight="1" x14ac:dyDescent="0.2">
      <c r="D3002" t="s">
        <v>285</v>
      </c>
      <c r="E3002" t="s">
        <v>458</v>
      </c>
      <c r="F3002">
        <v>15</v>
      </c>
      <c r="P3002" t="s">
        <v>467</v>
      </c>
      <c r="Q3002">
        <v>122</v>
      </c>
      <c r="R3002" t="s">
        <v>296</v>
      </c>
      <c r="S3002" t="s">
        <v>1</v>
      </c>
      <c r="T3002">
        <v>1</v>
      </c>
    </row>
    <row r="3003" spans="4:20" ht="15.75" customHeight="1" x14ac:dyDescent="0.2">
      <c r="D3003" t="s">
        <v>285</v>
      </c>
      <c r="E3003" t="s">
        <v>458</v>
      </c>
      <c r="F3003">
        <v>15</v>
      </c>
      <c r="P3003" t="s">
        <v>467</v>
      </c>
      <c r="Q3003">
        <v>122</v>
      </c>
      <c r="R3003" t="s">
        <v>297</v>
      </c>
      <c r="S3003" t="s">
        <v>18</v>
      </c>
      <c r="T3003" t="s">
        <v>366</v>
      </c>
    </row>
    <row r="3004" spans="4:20" ht="15.75" customHeight="1" x14ac:dyDescent="0.2">
      <c r="D3004" t="s">
        <v>285</v>
      </c>
      <c r="E3004" t="s">
        <v>458</v>
      </c>
      <c r="F3004">
        <v>15</v>
      </c>
      <c r="P3004" t="s">
        <v>467</v>
      </c>
      <c r="Q3004">
        <v>122</v>
      </c>
      <c r="R3004" t="s">
        <v>298</v>
      </c>
      <c r="S3004" t="s">
        <v>19</v>
      </c>
      <c r="T3004">
        <v>4</v>
      </c>
    </row>
    <row r="3005" spans="4:20" ht="15.75" customHeight="1" x14ac:dyDescent="0.2">
      <c r="D3005" t="s">
        <v>285</v>
      </c>
      <c r="E3005" t="s">
        <v>458</v>
      </c>
      <c r="F3005">
        <v>15</v>
      </c>
      <c r="P3005" t="s">
        <v>467</v>
      </c>
      <c r="Q3005">
        <v>122</v>
      </c>
      <c r="R3005" t="s">
        <v>299</v>
      </c>
      <c r="S3005" t="s">
        <v>20</v>
      </c>
      <c r="T3005">
        <v>0</v>
      </c>
    </row>
    <row r="3006" spans="4:20" ht="15.75" customHeight="1" x14ac:dyDescent="0.2">
      <c r="D3006" t="s">
        <v>285</v>
      </c>
      <c r="E3006" t="s">
        <v>458</v>
      </c>
      <c r="F3006">
        <v>15</v>
      </c>
      <c r="P3006" t="s">
        <v>468</v>
      </c>
      <c r="Q3006">
        <v>123</v>
      </c>
      <c r="R3006" t="s">
        <v>288</v>
      </c>
      <c r="S3006" t="s">
        <v>2</v>
      </c>
      <c r="T3006">
        <v>0</v>
      </c>
    </row>
    <row r="3007" spans="4:20" ht="15.75" customHeight="1" x14ac:dyDescent="0.2">
      <c r="D3007" t="s">
        <v>285</v>
      </c>
      <c r="E3007" t="s">
        <v>458</v>
      </c>
      <c r="F3007">
        <v>15</v>
      </c>
      <c r="P3007" t="s">
        <v>468</v>
      </c>
      <c r="Q3007">
        <v>123</v>
      </c>
      <c r="R3007" t="s">
        <v>289</v>
      </c>
      <c r="S3007" t="s">
        <v>5</v>
      </c>
      <c r="T3007">
        <v>0</v>
      </c>
    </row>
    <row r="3008" spans="4:20" ht="15.75" customHeight="1" x14ac:dyDescent="0.2">
      <c r="D3008" t="s">
        <v>285</v>
      </c>
      <c r="E3008" t="s">
        <v>458</v>
      </c>
      <c r="F3008">
        <v>15</v>
      </c>
      <c r="P3008" t="s">
        <v>468</v>
      </c>
      <c r="Q3008">
        <v>123</v>
      </c>
      <c r="R3008" t="s">
        <v>290</v>
      </c>
      <c r="S3008" t="s">
        <v>3</v>
      </c>
      <c r="T3008">
        <v>0</v>
      </c>
    </row>
    <row r="3009" spans="4:20" ht="15.75" customHeight="1" x14ac:dyDescent="0.2">
      <c r="D3009" t="s">
        <v>285</v>
      </c>
      <c r="E3009" t="s">
        <v>458</v>
      </c>
      <c r="F3009">
        <v>15</v>
      </c>
      <c r="P3009" t="s">
        <v>468</v>
      </c>
      <c r="Q3009">
        <v>123</v>
      </c>
      <c r="R3009" t="s">
        <v>291</v>
      </c>
      <c r="S3009" t="s">
        <v>4</v>
      </c>
      <c r="T3009">
        <v>0</v>
      </c>
    </row>
    <row r="3010" spans="4:20" ht="15.75" customHeight="1" x14ac:dyDescent="0.2">
      <c r="D3010" t="s">
        <v>285</v>
      </c>
      <c r="E3010" t="s">
        <v>458</v>
      </c>
      <c r="F3010">
        <v>15</v>
      </c>
      <c r="P3010" t="s">
        <v>468</v>
      </c>
      <c r="Q3010">
        <v>123</v>
      </c>
      <c r="R3010" t="s">
        <v>292</v>
      </c>
      <c r="S3010" t="s">
        <v>6</v>
      </c>
      <c r="T3010">
        <v>0</v>
      </c>
    </row>
    <row r="3011" spans="4:20" ht="15.75" customHeight="1" x14ac:dyDescent="0.2">
      <c r="D3011" t="s">
        <v>285</v>
      </c>
      <c r="E3011" t="s">
        <v>458</v>
      </c>
      <c r="F3011">
        <v>15</v>
      </c>
      <c r="P3011" t="s">
        <v>468</v>
      </c>
      <c r="Q3011">
        <v>123</v>
      </c>
      <c r="R3011" t="s">
        <v>243</v>
      </c>
      <c r="S3011" t="s">
        <v>7</v>
      </c>
      <c r="T3011">
        <v>0</v>
      </c>
    </row>
    <row r="3012" spans="4:20" ht="15.75" customHeight="1" x14ac:dyDescent="0.2">
      <c r="D3012" t="s">
        <v>285</v>
      </c>
      <c r="E3012" t="s">
        <v>458</v>
      </c>
      <c r="F3012">
        <v>15</v>
      </c>
      <c r="P3012" t="s">
        <v>468</v>
      </c>
      <c r="Q3012">
        <v>123</v>
      </c>
      <c r="R3012" t="s">
        <v>245</v>
      </c>
      <c r="S3012" t="s">
        <v>8</v>
      </c>
      <c r="T3012">
        <v>0</v>
      </c>
    </row>
    <row r="3013" spans="4:20" ht="15.75" customHeight="1" x14ac:dyDescent="0.2">
      <c r="D3013" t="s">
        <v>285</v>
      </c>
      <c r="E3013" t="s">
        <v>458</v>
      </c>
      <c r="F3013">
        <v>15</v>
      </c>
      <c r="P3013" t="s">
        <v>468</v>
      </c>
      <c r="Q3013">
        <v>123</v>
      </c>
      <c r="R3013" t="s">
        <v>247</v>
      </c>
      <c r="S3013" t="s">
        <v>9</v>
      </c>
      <c r="T3013">
        <v>0</v>
      </c>
    </row>
    <row r="3014" spans="4:20" ht="15.75" customHeight="1" x14ac:dyDescent="0.2">
      <c r="D3014" t="s">
        <v>285</v>
      </c>
      <c r="E3014" t="s">
        <v>458</v>
      </c>
      <c r="F3014">
        <v>15</v>
      </c>
      <c r="P3014" t="s">
        <v>468</v>
      </c>
      <c r="Q3014">
        <v>123</v>
      </c>
      <c r="R3014" t="s">
        <v>249</v>
      </c>
      <c r="S3014" t="s">
        <v>10</v>
      </c>
      <c r="T3014">
        <v>1</v>
      </c>
    </row>
    <row r="3015" spans="4:20" ht="15.75" customHeight="1" x14ac:dyDescent="0.2">
      <c r="D3015" t="s">
        <v>285</v>
      </c>
      <c r="E3015" t="s">
        <v>458</v>
      </c>
      <c r="F3015">
        <v>15</v>
      </c>
      <c r="P3015" t="s">
        <v>468</v>
      </c>
      <c r="Q3015">
        <v>123</v>
      </c>
      <c r="R3015" t="s">
        <v>251</v>
      </c>
      <c r="S3015" t="s">
        <v>11</v>
      </c>
      <c r="T3015">
        <v>1</v>
      </c>
    </row>
    <row r="3016" spans="4:20" ht="15.75" customHeight="1" x14ac:dyDescent="0.2">
      <c r="D3016" t="s">
        <v>285</v>
      </c>
      <c r="E3016" t="s">
        <v>458</v>
      </c>
      <c r="F3016">
        <v>15</v>
      </c>
      <c r="P3016" t="s">
        <v>468</v>
      </c>
      <c r="Q3016">
        <v>123</v>
      </c>
      <c r="R3016" t="s">
        <v>253</v>
      </c>
      <c r="S3016" t="s">
        <v>12</v>
      </c>
      <c r="T3016">
        <v>0</v>
      </c>
    </row>
    <row r="3017" spans="4:20" ht="15.75" customHeight="1" x14ac:dyDescent="0.2">
      <c r="D3017" t="s">
        <v>285</v>
      </c>
      <c r="E3017" t="s">
        <v>458</v>
      </c>
      <c r="F3017">
        <v>15</v>
      </c>
      <c r="P3017" t="s">
        <v>468</v>
      </c>
      <c r="Q3017">
        <v>123</v>
      </c>
      <c r="R3017" t="s">
        <v>255</v>
      </c>
      <c r="S3017" t="s">
        <v>15</v>
      </c>
      <c r="T3017">
        <v>0</v>
      </c>
    </row>
    <row r="3018" spans="4:20" ht="15.75" customHeight="1" x14ac:dyDescent="0.2">
      <c r="D3018" t="s">
        <v>285</v>
      </c>
      <c r="E3018" t="s">
        <v>458</v>
      </c>
      <c r="F3018">
        <v>15</v>
      </c>
      <c r="P3018" t="s">
        <v>468</v>
      </c>
      <c r="Q3018">
        <v>123</v>
      </c>
      <c r="R3018" t="s">
        <v>293</v>
      </c>
      <c r="S3018" t="s">
        <v>13</v>
      </c>
      <c r="T3018">
        <v>0</v>
      </c>
    </row>
    <row r="3019" spans="4:20" ht="15.75" customHeight="1" x14ac:dyDescent="0.2">
      <c r="D3019" t="s">
        <v>285</v>
      </c>
      <c r="E3019" t="s">
        <v>458</v>
      </c>
      <c r="F3019">
        <v>15</v>
      </c>
      <c r="P3019" t="s">
        <v>468</v>
      </c>
      <c r="Q3019">
        <v>123</v>
      </c>
      <c r="R3019" t="s">
        <v>294</v>
      </c>
      <c r="S3019" t="s">
        <v>14</v>
      </c>
      <c r="T3019">
        <v>1</v>
      </c>
    </row>
    <row r="3020" spans="4:20" ht="15.75" customHeight="1" x14ac:dyDescent="0.2">
      <c r="D3020" t="s">
        <v>285</v>
      </c>
      <c r="E3020" t="s">
        <v>458</v>
      </c>
      <c r="F3020">
        <v>15</v>
      </c>
      <c r="P3020" t="s">
        <v>468</v>
      </c>
      <c r="Q3020">
        <v>123</v>
      </c>
      <c r="R3020" t="s">
        <v>257</v>
      </c>
      <c r="S3020" t="s">
        <v>16</v>
      </c>
      <c r="T3020">
        <v>0</v>
      </c>
    </row>
    <row r="3021" spans="4:20" ht="15.75" customHeight="1" x14ac:dyDescent="0.2">
      <c r="D3021" t="s">
        <v>285</v>
      </c>
      <c r="E3021" t="s">
        <v>458</v>
      </c>
      <c r="F3021">
        <v>15</v>
      </c>
      <c r="P3021" t="s">
        <v>468</v>
      </c>
      <c r="Q3021">
        <v>123</v>
      </c>
      <c r="R3021" t="s">
        <v>295</v>
      </c>
      <c r="S3021" t="s">
        <v>17</v>
      </c>
      <c r="T3021" t="s">
        <v>366</v>
      </c>
    </row>
    <row r="3022" spans="4:20" ht="15.75" customHeight="1" x14ac:dyDescent="0.2">
      <c r="D3022" t="s">
        <v>285</v>
      </c>
      <c r="E3022" t="s">
        <v>458</v>
      </c>
      <c r="F3022">
        <v>15</v>
      </c>
      <c r="P3022" t="s">
        <v>468</v>
      </c>
      <c r="Q3022">
        <v>123</v>
      </c>
      <c r="R3022" t="s">
        <v>296</v>
      </c>
      <c r="S3022" t="s">
        <v>1</v>
      </c>
      <c r="T3022">
        <v>1</v>
      </c>
    </row>
    <row r="3023" spans="4:20" ht="15.75" customHeight="1" x14ac:dyDescent="0.2">
      <c r="D3023" t="s">
        <v>285</v>
      </c>
      <c r="E3023" t="s">
        <v>458</v>
      </c>
      <c r="F3023">
        <v>15</v>
      </c>
      <c r="P3023" t="s">
        <v>468</v>
      </c>
      <c r="Q3023">
        <v>123</v>
      </c>
      <c r="R3023" t="s">
        <v>297</v>
      </c>
      <c r="S3023" t="s">
        <v>18</v>
      </c>
      <c r="T3023" t="s">
        <v>366</v>
      </c>
    </row>
    <row r="3024" spans="4:20" ht="15.75" customHeight="1" x14ac:dyDescent="0.2">
      <c r="D3024" t="s">
        <v>285</v>
      </c>
      <c r="E3024" t="s">
        <v>458</v>
      </c>
      <c r="F3024">
        <v>15</v>
      </c>
      <c r="P3024" t="s">
        <v>468</v>
      </c>
      <c r="Q3024">
        <v>123</v>
      </c>
      <c r="R3024" t="s">
        <v>298</v>
      </c>
      <c r="S3024" t="s">
        <v>19</v>
      </c>
      <c r="T3024">
        <v>4</v>
      </c>
    </row>
    <row r="3025" spans="4:20" ht="15.75" customHeight="1" x14ac:dyDescent="0.2">
      <c r="D3025" t="s">
        <v>285</v>
      </c>
      <c r="E3025" t="s">
        <v>458</v>
      </c>
      <c r="F3025">
        <v>15</v>
      </c>
      <c r="P3025" t="s">
        <v>468</v>
      </c>
      <c r="Q3025">
        <v>123</v>
      </c>
      <c r="R3025" t="s">
        <v>299</v>
      </c>
      <c r="S3025" t="s">
        <v>20</v>
      </c>
      <c r="T3025">
        <v>0</v>
      </c>
    </row>
    <row r="3026" spans="4:20" ht="15.75" customHeight="1" x14ac:dyDescent="0.2">
      <c r="D3026" t="s">
        <v>285</v>
      </c>
      <c r="E3026" t="s">
        <v>458</v>
      </c>
      <c r="F3026">
        <v>15</v>
      </c>
      <c r="P3026" t="s">
        <v>469</v>
      </c>
      <c r="Q3026">
        <v>124</v>
      </c>
      <c r="R3026" t="s">
        <v>288</v>
      </c>
      <c r="S3026" t="s">
        <v>2</v>
      </c>
      <c r="T3026">
        <v>0</v>
      </c>
    </row>
    <row r="3027" spans="4:20" ht="15.75" customHeight="1" x14ac:dyDescent="0.2">
      <c r="D3027" t="s">
        <v>285</v>
      </c>
      <c r="E3027" t="s">
        <v>458</v>
      </c>
      <c r="F3027">
        <v>15</v>
      </c>
      <c r="P3027" t="s">
        <v>469</v>
      </c>
      <c r="Q3027">
        <v>124</v>
      </c>
      <c r="R3027" t="s">
        <v>289</v>
      </c>
      <c r="S3027" t="s">
        <v>5</v>
      </c>
      <c r="T3027">
        <v>0</v>
      </c>
    </row>
    <row r="3028" spans="4:20" ht="15.75" customHeight="1" x14ac:dyDescent="0.2">
      <c r="D3028" t="s">
        <v>285</v>
      </c>
      <c r="E3028" t="s">
        <v>458</v>
      </c>
      <c r="F3028">
        <v>15</v>
      </c>
      <c r="P3028" t="s">
        <v>469</v>
      </c>
      <c r="Q3028">
        <v>124</v>
      </c>
      <c r="R3028" t="s">
        <v>290</v>
      </c>
      <c r="S3028" t="s">
        <v>3</v>
      </c>
      <c r="T3028">
        <v>0</v>
      </c>
    </row>
    <row r="3029" spans="4:20" ht="15.75" customHeight="1" x14ac:dyDescent="0.2">
      <c r="D3029" t="s">
        <v>285</v>
      </c>
      <c r="E3029" t="s">
        <v>458</v>
      </c>
      <c r="F3029">
        <v>15</v>
      </c>
      <c r="P3029" t="s">
        <v>469</v>
      </c>
      <c r="Q3029">
        <v>124</v>
      </c>
      <c r="R3029" t="s">
        <v>291</v>
      </c>
      <c r="S3029" t="s">
        <v>4</v>
      </c>
      <c r="T3029">
        <v>0</v>
      </c>
    </row>
    <row r="3030" spans="4:20" ht="15.75" customHeight="1" x14ac:dyDescent="0.2">
      <c r="D3030" t="s">
        <v>285</v>
      </c>
      <c r="E3030" t="s">
        <v>458</v>
      </c>
      <c r="F3030">
        <v>15</v>
      </c>
      <c r="P3030" t="s">
        <v>469</v>
      </c>
      <c r="Q3030">
        <v>124</v>
      </c>
      <c r="R3030" t="s">
        <v>292</v>
      </c>
      <c r="S3030" t="s">
        <v>6</v>
      </c>
      <c r="T3030">
        <v>0</v>
      </c>
    </row>
    <row r="3031" spans="4:20" ht="15.75" customHeight="1" x14ac:dyDescent="0.2">
      <c r="D3031" t="s">
        <v>285</v>
      </c>
      <c r="E3031" t="s">
        <v>458</v>
      </c>
      <c r="F3031">
        <v>15</v>
      </c>
      <c r="P3031" t="s">
        <v>469</v>
      </c>
      <c r="Q3031">
        <v>124</v>
      </c>
      <c r="R3031" t="s">
        <v>243</v>
      </c>
      <c r="S3031" t="s">
        <v>7</v>
      </c>
      <c r="T3031">
        <v>0</v>
      </c>
    </row>
    <row r="3032" spans="4:20" ht="15.75" customHeight="1" x14ac:dyDescent="0.2">
      <c r="D3032" t="s">
        <v>285</v>
      </c>
      <c r="E3032" t="s">
        <v>458</v>
      </c>
      <c r="F3032">
        <v>15</v>
      </c>
      <c r="P3032" t="s">
        <v>469</v>
      </c>
      <c r="Q3032">
        <v>124</v>
      </c>
      <c r="R3032" t="s">
        <v>245</v>
      </c>
      <c r="S3032" t="s">
        <v>8</v>
      </c>
      <c r="T3032">
        <v>0</v>
      </c>
    </row>
    <row r="3033" spans="4:20" ht="15.75" customHeight="1" x14ac:dyDescent="0.2">
      <c r="D3033" t="s">
        <v>285</v>
      </c>
      <c r="E3033" t="s">
        <v>458</v>
      </c>
      <c r="F3033">
        <v>15</v>
      </c>
      <c r="P3033" t="s">
        <v>469</v>
      </c>
      <c r="Q3033">
        <v>124</v>
      </c>
      <c r="R3033" t="s">
        <v>247</v>
      </c>
      <c r="S3033" t="s">
        <v>9</v>
      </c>
      <c r="T3033">
        <v>0</v>
      </c>
    </row>
    <row r="3034" spans="4:20" ht="15.75" customHeight="1" x14ac:dyDescent="0.2">
      <c r="D3034" t="s">
        <v>285</v>
      </c>
      <c r="E3034" t="s">
        <v>458</v>
      </c>
      <c r="F3034">
        <v>15</v>
      </c>
      <c r="P3034" t="s">
        <v>469</v>
      </c>
      <c r="Q3034">
        <v>124</v>
      </c>
      <c r="R3034" t="s">
        <v>249</v>
      </c>
      <c r="S3034" t="s">
        <v>10</v>
      </c>
      <c r="T3034">
        <v>1</v>
      </c>
    </row>
    <row r="3035" spans="4:20" ht="15.75" customHeight="1" x14ac:dyDescent="0.2">
      <c r="D3035" t="s">
        <v>285</v>
      </c>
      <c r="E3035" t="s">
        <v>458</v>
      </c>
      <c r="F3035">
        <v>15</v>
      </c>
      <c r="P3035" t="s">
        <v>469</v>
      </c>
      <c r="Q3035">
        <v>124</v>
      </c>
      <c r="R3035" t="s">
        <v>251</v>
      </c>
      <c r="S3035" t="s">
        <v>11</v>
      </c>
      <c r="T3035">
        <v>1</v>
      </c>
    </row>
    <row r="3036" spans="4:20" ht="15.75" customHeight="1" x14ac:dyDescent="0.2">
      <c r="D3036" t="s">
        <v>285</v>
      </c>
      <c r="E3036" t="s">
        <v>458</v>
      </c>
      <c r="F3036">
        <v>15</v>
      </c>
      <c r="P3036" t="s">
        <v>469</v>
      </c>
      <c r="Q3036">
        <v>124</v>
      </c>
      <c r="R3036" t="s">
        <v>253</v>
      </c>
      <c r="S3036" t="s">
        <v>12</v>
      </c>
      <c r="T3036">
        <v>0</v>
      </c>
    </row>
    <row r="3037" spans="4:20" ht="15.75" customHeight="1" x14ac:dyDescent="0.2">
      <c r="D3037" t="s">
        <v>285</v>
      </c>
      <c r="E3037" t="s">
        <v>458</v>
      </c>
      <c r="F3037">
        <v>15</v>
      </c>
      <c r="P3037" t="s">
        <v>469</v>
      </c>
      <c r="Q3037">
        <v>124</v>
      </c>
      <c r="R3037" t="s">
        <v>255</v>
      </c>
      <c r="S3037" t="s">
        <v>15</v>
      </c>
      <c r="T3037">
        <v>0</v>
      </c>
    </row>
    <row r="3038" spans="4:20" ht="15.75" customHeight="1" x14ac:dyDescent="0.2">
      <c r="D3038" t="s">
        <v>285</v>
      </c>
      <c r="E3038" t="s">
        <v>458</v>
      </c>
      <c r="F3038">
        <v>15</v>
      </c>
      <c r="P3038" t="s">
        <v>469</v>
      </c>
      <c r="Q3038">
        <v>124</v>
      </c>
      <c r="R3038" t="s">
        <v>293</v>
      </c>
      <c r="S3038" t="s">
        <v>13</v>
      </c>
      <c r="T3038">
        <v>0</v>
      </c>
    </row>
    <row r="3039" spans="4:20" ht="15.75" customHeight="1" x14ac:dyDescent="0.2">
      <c r="D3039" t="s">
        <v>285</v>
      </c>
      <c r="E3039" t="s">
        <v>458</v>
      </c>
      <c r="F3039">
        <v>15</v>
      </c>
      <c r="P3039" t="s">
        <v>469</v>
      </c>
      <c r="Q3039">
        <v>124</v>
      </c>
      <c r="R3039" t="s">
        <v>294</v>
      </c>
      <c r="S3039" t="s">
        <v>14</v>
      </c>
      <c r="T3039">
        <v>1</v>
      </c>
    </row>
    <row r="3040" spans="4:20" ht="15.75" customHeight="1" x14ac:dyDescent="0.2">
      <c r="D3040" t="s">
        <v>285</v>
      </c>
      <c r="E3040" t="s">
        <v>458</v>
      </c>
      <c r="F3040">
        <v>15</v>
      </c>
      <c r="P3040" t="s">
        <v>469</v>
      </c>
      <c r="Q3040">
        <v>124</v>
      </c>
      <c r="R3040" t="s">
        <v>257</v>
      </c>
      <c r="S3040" t="s">
        <v>16</v>
      </c>
      <c r="T3040">
        <v>0</v>
      </c>
    </row>
    <row r="3041" spans="4:20" ht="15.75" customHeight="1" x14ac:dyDescent="0.2">
      <c r="D3041" t="s">
        <v>285</v>
      </c>
      <c r="E3041" t="s">
        <v>458</v>
      </c>
      <c r="F3041">
        <v>15</v>
      </c>
      <c r="P3041" t="s">
        <v>469</v>
      </c>
      <c r="Q3041">
        <v>124</v>
      </c>
      <c r="R3041" t="s">
        <v>295</v>
      </c>
      <c r="S3041" t="s">
        <v>17</v>
      </c>
      <c r="T3041" t="s">
        <v>366</v>
      </c>
    </row>
    <row r="3042" spans="4:20" ht="15.75" customHeight="1" x14ac:dyDescent="0.2">
      <c r="D3042" t="s">
        <v>285</v>
      </c>
      <c r="E3042" t="s">
        <v>458</v>
      </c>
      <c r="F3042">
        <v>15</v>
      </c>
      <c r="P3042" t="s">
        <v>469</v>
      </c>
      <c r="Q3042">
        <v>124</v>
      </c>
      <c r="R3042" t="s">
        <v>296</v>
      </c>
      <c r="S3042" t="s">
        <v>1</v>
      </c>
      <c r="T3042">
        <v>1</v>
      </c>
    </row>
    <row r="3043" spans="4:20" ht="15.75" customHeight="1" x14ac:dyDescent="0.2">
      <c r="D3043" t="s">
        <v>285</v>
      </c>
      <c r="E3043" t="s">
        <v>458</v>
      </c>
      <c r="F3043">
        <v>15</v>
      </c>
      <c r="P3043" t="s">
        <v>469</v>
      </c>
      <c r="Q3043">
        <v>124</v>
      </c>
      <c r="R3043" t="s">
        <v>297</v>
      </c>
      <c r="S3043" t="s">
        <v>18</v>
      </c>
      <c r="T3043" t="s">
        <v>366</v>
      </c>
    </row>
    <row r="3044" spans="4:20" ht="15.75" customHeight="1" x14ac:dyDescent="0.2">
      <c r="D3044" t="s">
        <v>285</v>
      </c>
      <c r="E3044" t="s">
        <v>458</v>
      </c>
      <c r="F3044">
        <v>15</v>
      </c>
      <c r="P3044" t="s">
        <v>469</v>
      </c>
      <c r="Q3044">
        <v>124</v>
      </c>
      <c r="R3044" t="s">
        <v>298</v>
      </c>
      <c r="S3044" t="s">
        <v>19</v>
      </c>
      <c r="T3044">
        <v>4</v>
      </c>
    </row>
    <row r="3045" spans="4:20" ht="15.75" customHeight="1" x14ac:dyDescent="0.2">
      <c r="D3045" t="s">
        <v>285</v>
      </c>
      <c r="E3045" t="s">
        <v>458</v>
      </c>
      <c r="F3045">
        <v>15</v>
      </c>
      <c r="P3045" t="s">
        <v>469</v>
      </c>
      <c r="Q3045">
        <v>124</v>
      </c>
      <c r="R3045" t="s">
        <v>299</v>
      </c>
      <c r="S3045" t="s">
        <v>20</v>
      </c>
      <c r="T3045">
        <v>1</v>
      </c>
    </row>
    <row r="3046" spans="4:20" ht="15.75" customHeight="1" x14ac:dyDescent="0.2">
      <c r="D3046" t="s">
        <v>285</v>
      </c>
      <c r="E3046" t="s">
        <v>458</v>
      </c>
      <c r="F3046">
        <v>15</v>
      </c>
      <c r="P3046" t="s">
        <v>470</v>
      </c>
      <c r="Q3046">
        <v>125</v>
      </c>
      <c r="R3046" t="s">
        <v>288</v>
      </c>
      <c r="S3046" t="s">
        <v>2</v>
      </c>
      <c r="T3046">
        <v>0</v>
      </c>
    </row>
    <row r="3047" spans="4:20" ht="15.75" customHeight="1" x14ac:dyDescent="0.2">
      <c r="D3047" t="s">
        <v>285</v>
      </c>
      <c r="E3047" t="s">
        <v>458</v>
      </c>
      <c r="F3047">
        <v>15</v>
      </c>
      <c r="P3047" t="s">
        <v>470</v>
      </c>
      <c r="Q3047">
        <v>125</v>
      </c>
      <c r="R3047" t="s">
        <v>289</v>
      </c>
      <c r="S3047" t="s">
        <v>5</v>
      </c>
      <c r="T3047">
        <v>0</v>
      </c>
    </row>
    <row r="3048" spans="4:20" ht="15.75" customHeight="1" x14ac:dyDescent="0.2">
      <c r="D3048" t="s">
        <v>285</v>
      </c>
      <c r="E3048" t="s">
        <v>458</v>
      </c>
      <c r="F3048">
        <v>15</v>
      </c>
      <c r="P3048" t="s">
        <v>470</v>
      </c>
      <c r="Q3048">
        <v>125</v>
      </c>
      <c r="R3048" t="s">
        <v>290</v>
      </c>
      <c r="S3048" t="s">
        <v>3</v>
      </c>
      <c r="T3048">
        <v>0</v>
      </c>
    </row>
    <row r="3049" spans="4:20" ht="15.75" customHeight="1" x14ac:dyDescent="0.2">
      <c r="D3049" t="s">
        <v>285</v>
      </c>
      <c r="E3049" t="s">
        <v>458</v>
      </c>
      <c r="F3049">
        <v>15</v>
      </c>
      <c r="P3049" t="s">
        <v>470</v>
      </c>
      <c r="Q3049">
        <v>125</v>
      </c>
      <c r="R3049" t="s">
        <v>291</v>
      </c>
      <c r="S3049" t="s">
        <v>4</v>
      </c>
      <c r="T3049">
        <v>0</v>
      </c>
    </row>
    <row r="3050" spans="4:20" ht="15.75" customHeight="1" x14ac:dyDescent="0.2">
      <c r="D3050" t="s">
        <v>285</v>
      </c>
      <c r="E3050" t="s">
        <v>458</v>
      </c>
      <c r="F3050">
        <v>15</v>
      </c>
      <c r="P3050" t="s">
        <v>470</v>
      </c>
      <c r="Q3050">
        <v>125</v>
      </c>
      <c r="R3050" t="s">
        <v>292</v>
      </c>
      <c r="S3050" t="s">
        <v>6</v>
      </c>
      <c r="T3050">
        <v>0</v>
      </c>
    </row>
    <row r="3051" spans="4:20" ht="15.75" customHeight="1" x14ac:dyDescent="0.2">
      <c r="D3051" t="s">
        <v>285</v>
      </c>
      <c r="E3051" t="s">
        <v>458</v>
      </c>
      <c r="F3051">
        <v>15</v>
      </c>
      <c r="P3051" t="s">
        <v>470</v>
      </c>
      <c r="Q3051">
        <v>125</v>
      </c>
      <c r="R3051" t="s">
        <v>243</v>
      </c>
      <c r="S3051" t="s">
        <v>7</v>
      </c>
      <c r="T3051">
        <v>0</v>
      </c>
    </row>
    <row r="3052" spans="4:20" ht="15.75" customHeight="1" x14ac:dyDescent="0.2">
      <c r="D3052" t="s">
        <v>285</v>
      </c>
      <c r="E3052" t="s">
        <v>458</v>
      </c>
      <c r="F3052">
        <v>15</v>
      </c>
      <c r="P3052" t="s">
        <v>470</v>
      </c>
      <c r="Q3052">
        <v>125</v>
      </c>
      <c r="R3052" t="s">
        <v>245</v>
      </c>
      <c r="S3052" t="s">
        <v>8</v>
      </c>
      <c r="T3052">
        <v>0</v>
      </c>
    </row>
    <row r="3053" spans="4:20" ht="15.75" customHeight="1" x14ac:dyDescent="0.2">
      <c r="D3053" t="s">
        <v>285</v>
      </c>
      <c r="E3053" t="s">
        <v>458</v>
      </c>
      <c r="F3053">
        <v>15</v>
      </c>
      <c r="P3053" t="s">
        <v>470</v>
      </c>
      <c r="Q3053">
        <v>125</v>
      </c>
      <c r="R3053" t="s">
        <v>247</v>
      </c>
      <c r="S3053" t="s">
        <v>9</v>
      </c>
      <c r="T3053">
        <v>0</v>
      </c>
    </row>
    <row r="3054" spans="4:20" ht="15.75" customHeight="1" x14ac:dyDescent="0.2">
      <c r="D3054" t="s">
        <v>285</v>
      </c>
      <c r="E3054" t="s">
        <v>458</v>
      </c>
      <c r="F3054">
        <v>15</v>
      </c>
      <c r="P3054" t="s">
        <v>470</v>
      </c>
      <c r="Q3054">
        <v>125</v>
      </c>
      <c r="R3054" t="s">
        <v>249</v>
      </c>
      <c r="S3054" t="s">
        <v>10</v>
      </c>
      <c r="T3054">
        <v>1</v>
      </c>
    </row>
    <row r="3055" spans="4:20" ht="15.75" customHeight="1" x14ac:dyDescent="0.2">
      <c r="D3055" t="s">
        <v>285</v>
      </c>
      <c r="E3055" t="s">
        <v>458</v>
      </c>
      <c r="F3055">
        <v>15</v>
      </c>
      <c r="P3055" t="s">
        <v>470</v>
      </c>
      <c r="Q3055">
        <v>125</v>
      </c>
      <c r="R3055" t="s">
        <v>251</v>
      </c>
      <c r="S3055" t="s">
        <v>11</v>
      </c>
      <c r="T3055">
        <v>1</v>
      </c>
    </row>
    <row r="3056" spans="4:20" ht="15.75" customHeight="1" x14ac:dyDescent="0.2">
      <c r="D3056" t="s">
        <v>285</v>
      </c>
      <c r="E3056" t="s">
        <v>458</v>
      </c>
      <c r="F3056">
        <v>15</v>
      </c>
      <c r="P3056" t="s">
        <v>470</v>
      </c>
      <c r="Q3056">
        <v>125</v>
      </c>
      <c r="R3056" t="s">
        <v>253</v>
      </c>
      <c r="S3056" t="s">
        <v>12</v>
      </c>
      <c r="T3056">
        <v>0</v>
      </c>
    </row>
    <row r="3057" spans="4:20" ht="15.75" customHeight="1" x14ac:dyDescent="0.2">
      <c r="D3057" t="s">
        <v>285</v>
      </c>
      <c r="E3057" t="s">
        <v>458</v>
      </c>
      <c r="F3057">
        <v>15</v>
      </c>
      <c r="P3057" t="s">
        <v>470</v>
      </c>
      <c r="Q3057">
        <v>125</v>
      </c>
      <c r="R3057" t="s">
        <v>255</v>
      </c>
      <c r="S3057" t="s">
        <v>15</v>
      </c>
      <c r="T3057">
        <v>0</v>
      </c>
    </row>
    <row r="3058" spans="4:20" ht="15.75" customHeight="1" x14ac:dyDescent="0.2">
      <c r="D3058" t="s">
        <v>285</v>
      </c>
      <c r="E3058" t="s">
        <v>458</v>
      </c>
      <c r="F3058">
        <v>15</v>
      </c>
      <c r="P3058" t="s">
        <v>470</v>
      </c>
      <c r="Q3058">
        <v>125</v>
      </c>
      <c r="R3058" t="s">
        <v>293</v>
      </c>
      <c r="S3058" t="s">
        <v>13</v>
      </c>
      <c r="T3058">
        <v>0</v>
      </c>
    </row>
    <row r="3059" spans="4:20" ht="15.75" customHeight="1" x14ac:dyDescent="0.2">
      <c r="D3059" t="s">
        <v>285</v>
      </c>
      <c r="E3059" t="s">
        <v>458</v>
      </c>
      <c r="F3059">
        <v>15</v>
      </c>
      <c r="P3059" t="s">
        <v>470</v>
      </c>
      <c r="Q3059">
        <v>125</v>
      </c>
      <c r="R3059" t="s">
        <v>294</v>
      </c>
      <c r="S3059" t="s">
        <v>14</v>
      </c>
      <c r="T3059">
        <v>1</v>
      </c>
    </row>
    <row r="3060" spans="4:20" ht="15.75" customHeight="1" x14ac:dyDescent="0.2">
      <c r="D3060" t="s">
        <v>285</v>
      </c>
      <c r="E3060" t="s">
        <v>458</v>
      </c>
      <c r="F3060">
        <v>15</v>
      </c>
      <c r="P3060" t="s">
        <v>470</v>
      </c>
      <c r="Q3060">
        <v>125</v>
      </c>
      <c r="R3060" t="s">
        <v>257</v>
      </c>
      <c r="S3060" t="s">
        <v>16</v>
      </c>
      <c r="T3060">
        <v>0</v>
      </c>
    </row>
    <row r="3061" spans="4:20" ht="15.75" customHeight="1" x14ac:dyDescent="0.2">
      <c r="D3061" t="s">
        <v>285</v>
      </c>
      <c r="E3061" t="s">
        <v>458</v>
      </c>
      <c r="F3061">
        <v>15</v>
      </c>
      <c r="P3061" t="s">
        <v>470</v>
      </c>
      <c r="Q3061">
        <v>125</v>
      </c>
      <c r="R3061" t="s">
        <v>295</v>
      </c>
      <c r="S3061" t="s">
        <v>17</v>
      </c>
      <c r="T3061" t="s">
        <v>366</v>
      </c>
    </row>
    <row r="3062" spans="4:20" ht="15.75" customHeight="1" x14ac:dyDescent="0.2">
      <c r="D3062" t="s">
        <v>285</v>
      </c>
      <c r="E3062" t="s">
        <v>458</v>
      </c>
      <c r="F3062">
        <v>15</v>
      </c>
      <c r="P3062" t="s">
        <v>470</v>
      </c>
      <c r="Q3062">
        <v>125</v>
      </c>
      <c r="R3062" t="s">
        <v>296</v>
      </c>
      <c r="S3062" t="s">
        <v>1</v>
      </c>
      <c r="T3062">
        <v>1</v>
      </c>
    </row>
    <row r="3063" spans="4:20" ht="15.75" customHeight="1" x14ac:dyDescent="0.2">
      <c r="D3063" t="s">
        <v>285</v>
      </c>
      <c r="E3063" t="s">
        <v>458</v>
      </c>
      <c r="F3063">
        <v>15</v>
      </c>
      <c r="P3063" t="s">
        <v>470</v>
      </c>
      <c r="Q3063">
        <v>125</v>
      </c>
      <c r="R3063" t="s">
        <v>297</v>
      </c>
      <c r="S3063" t="s">
        <v>18</v>
      </c>
      <c r="T3063" t="s">
        <v>366</v>
      </c>
    </row>
    <row r="3064" spans="4:20" ht="15.75" customHeight="1" x14ac:dyDescent="0.2">
      <c r="D3064" t="s">
        <v>285</v>
      </c>
      <c r="E3064" t="s">
        <v>458</v>
      </c>
      <c r="F3064">
        <v>15</v>
      </c>
      <c r="P3064" t="s">
        <v>470</v>
      </c>
      <c r="Q3064">
        <v>125</v>
      </c>
      <c r="R3064" t="s">
        <v>298</v>
      </c>
      <c r="S3064" t="s">
        <v>19</v>
      </c>
      <c r="T3064">
        <v>4</v>
      </c>
    </row>
    <row r="3065" spans="4:20" ht="15.75" customHeight="1" x14ac:dyDescent="0.2">
      <c r="D3065" t="s">
        <v>285</v>
      </c>
      <c r="E3065" t="s">
        <v>458</v>
      </c>
      <c r="F3065">
        <v>15</v>
      </c>
      <c r="P3065" t="s">
        <v>470</v>
      </c>
      <c r="Q3065">
        <v>125</v>
      </c>
      <c r="R3065" t="s">
        <v>299</v>
      </c>
      <c r="S3065" t="s">
        <v>20</v>
      </c>
      <c r="T3065">
        <v>1</v>
      </c>
    </row>
    <row r="3066" spans="4:20" ht="15.75" customHeight="1" x14ac:dyDescent="0.2">
      <c r="D3066" t="s">
        <v>285</v>
      </c>
      <c r="E3066" t="s">
        <v>458</v>
      </c>
      <c r="F3066">
        <v>15</v>
      </c>
      <c r="P3066" t="s">
        <v>471</v>
      </c>
      <c r="Q3066">
        <v>126</v>
      </c>
      <c r="R3066" t="s">
        <v>288</v>
      </c>
      <c r="S3066" t="s">
        <v>2</v>
      </c>
      <c r="T3066">
        <v>0</v>
      </c>
    </row>
    <row r="3067" spans="4:20" ht="15.75" customHeight="1" x14ac:dyDescent="0.2">
      <c r="D3067" t="s">
        <v>285</v>
      </c>
      <c r="E3067" t="s">
        <v>458</v>
      </c>
      <c r="F3067">
        <v>15</v>
      </c>
      <c r="P3067" t="s">
        <v>471</v>
      </c>
      <c r="Q3067">
        <v>126</v>
      </c>
      <c r="R3067" t="s">
        <v>289</v>
      </c>
      <c r="S3067" t="s">
        <v>5</v>
      </c>
      <c r="T3067">
        <v>0</v>
      </c>
    </row>
    <row r="3068" spans="4:20" ht="15.75" customHeight="1" x14ac:dyDescent="0.2">
      <c r="D3068" t="s">
        <v>285</v>
      </c>
      <c r="E3068" t="s">
        <v>458</v>
      </c>
      <c r="F3068">
        <v>15</v>
      </c>
      <c r="P3068" t="s">
        <v>471</v>
      </c>
      <c r="Q3068">
        <v>126</v>
      </c>
      <c r="R3068" t="s">
        <v>290</v>
      </c>
      <c r="S3068" t="s">
        <v>3</v>
      </c>
      <c r="T3068">
        <v>0</v>
      </c>
    </row>
    <row r="3069" spans="4:20" ht="15.75" customHeight="1" x14ac:dyDescent="0.2">
      <c r="D3069" t="s">
        <v>285</v>
      </c>
      <c r="E3069" t="s">
        <v>458</v>
      </c>
      <c r="F3069">
        <v>15</v>
      </c>
      <c r="P3069" t="s">
        <v>471</v>
      </c>
      <c r="Q3069">
        <v>126</v>
      </c>
      <c r="R3069" t="s">
        <v>291</v>
      </c>
      <c r="S3069" t="s">
        <v>4</v>
      </c>
      <c r="T3069">
        <v>0</v>
      </c>
    </row>
    <row r="3070" spans="4:20" ht="15.75" customHeight="1" x14ac:dyDescent="0.2">
      <c r="D3070" t="s">
        <v>285</v>
      </c>
      <c r="E3070" t="s">
        <v>458</v>
      </c>
      <c r="F3070">
        <v>15</v>
      </c>
      <c r="P3070" t="s">
        <v>471</v>
      </c>
      <c r="Q3070">
        <v>126</v>
      </c>
      <c r="R3070" t="s">
        <v>292</v>
      </c>
      <c r="S3070" t="s">
        <v>6</v>
      </c>
      <c r="T3070">
        <v>0</v>
      </c>
    </row>
    <row r="3071" spans="4:20" ht="15.75" customHeight="1" x14ac:dyDescent="0.2">
      <c r="D3071" t="s">
        <v>285</v>
      </c>
      <c r="E3071" t="s">
        <v>458</v>
      </c>
      <c r="F3071">
        <v>15</v>
      </c>
      <c r="P3071" t="s">
        <v>471</v>
      </c>
      <c r="Q3071">
        <v>126</v>
      </c>
      <c r="R3071" t="s">
        <v>243</v>
      </c>
      <c r="S3071" t="s">
        <v>7</v>
      </c>
      <c r="T3071">
        <v>0</v>
      </c>
    </row>
    <row r="3072" spans="4:20" ht="15.75" customHeight="1" x14ac:dyDescent="0.2">
      <c r="D3072" t="s">
        <v>285</v>
      </c>
      <c r="E3072" t="s">
        <v>458</v>
      </c>
      <c r="F3072">
        <v>15</v>
      </c>
      <c r="P3072" t="s">
        <v>471</v>
      </c>
      <c r="Q3072">
        <v>126</v>
      </c>
      <c r="R3072" t="s">
        <v>245</v>
      </c>
      <c r="S3072" t="s">
        <v>8</v>
      </c>
      <c r="T3072">
        <v>0</v>
      </c>
    </row>
    <row r="3073" spans="4:20" ht="15.75" customHeight="1" x14ac:dyDescent="0.2">
      <c r="D3073" t="s">
        <v>285</v>
      </c>
      <c r="E3073" t="s">
        <v>458</v>
      </c>
      <c r="F3073">
        <v>15</v>
      </c>
      <c r="P3073" t="s">
        <v>471</v>
      </c>
      <c r="Q3073">
        <v>126</v>
      </c>
      <c r="R3073" t="s">
        <v>247</v>
      </c>
      <c r="S3073" t="s">
        <v>9</v>
      </c>
      <c r="T3073">
        <v>0</v>
      </c>
    </row>
    <row r="3074" spans="4:20" ht="15.75" customHeight="1" x14ac:dyDescent="0.2">
      <c r="D3074" t="s">
        <v>285</v>
      </c>
      <c r="E3074" t="s">
        <v>458</v>
      </c>
      <c r="F3074">
        <v>15</v>
      </c>
      <c r="P3074" t="s">
        <v>471</v>
      </c>
      <c r="Q3074">
        <v>126</v>
      </c>
      <c r="R3074" t="s">
        <v>249</v>
      </c>
      <c r="S3074" t="s">
        <v>10</v>
      </c>
      <c r="T3074">
        <v>1</v>
      </c>
    </row>
    <row r="3075" spans="4:20" ht="15.75" customHeight="1" x14ac:dyDescent="0.2">
      <c r="D3075" t="s">
        <v>285</v>
      </c>
      <c r="E3075" t="s">
        <v>458</v>
      </c>
      <c r="F3075">
        <v>15</v>
      </c>
      <c r="P3075" t="s">
        <v>471</v>
      </c>
      <c r="Q3075">
        <v>126</v>
      </c>
      <c r="R3075" t="s">
        <v>251</v>
      </c>
      <c r="S3075" t="s">
        <v>11</v>
      </c>
      <c r="T3075">
        <v>1</v>
      </c>
    </row>
    <row r="3076" spans="4:20" ht="15.75" customHeight="1" x14ac:dyDescent="0.2">
      <c r="D3076" t="s">
        <v>285</v>
      </c>
      <c r="E3076" t="s">
        <v>458</v>
      </c>
      <c r="F3076">
        <v>15</v>
      </c>
      <c r="P3076" t="s">
        <v>471</v>
      </c>
      <c r="Q3076">
        <v>126</v>
      </c>
      <c r="R3076" t="s">
        <v>253</v>
      </c>
      <c r="S3076" t="s">
        <v>12</v>
      </c>
      <c r="T3076">
        <v>0</v>
      </c>
    </row>
    <row r="3077" spans="4:20" ht="15.75" customHeight="1" x14ac:dyDescent="0.2">
      <c r="D3077" t="s">
        <v>285</v>
      </c>
      <c r="E3077" t="s">
        <v>458</v>
      </c>
      <c r="F3077">
        <v>15</v>
      </c>
      <c r="P3077" t="s">
        <v>471</v>
      </c>
      <c r="Q3077">
        <v>126</v>
      </c>
      <c r="R3077" t="s">
        <v>255</v>
      </c>
      <c r="S3077" t="s">
        <v>15</v>
      </c>
      <c r="T3077">
        <v>0</v>
      </c>
    </row>
    <row r="3078" spans="4:20" ht="15.75" customHeight="1" x14ac:dyDescent="0.2">
      <c r="D3078" t="s">
        <v>285</v>
      </c>
      <c r="E3078" t="s">
        <v>458</v>
      </c>
      <c r="F3078">
        <v>15</v>
      </c>
      <c r="P3078" t="s">
        <v>471</v>
      </c>
      <c r="Q3078">
        <v>126</v>
      </c>
      <c r="R3078" t="s">
        <v>293</v>
      </c>
      <c r="S3078" t="s">
        <v>13</v>
      </c>
      <c r="T3078">
        <v>0</v>
      </c>
    </row>
    <row r="3079" spans="4:20" ht="15.75" customHeight="1" x14ac:dyDescent="0.2">
      <c r="D3079" t="s">
        <v>285</v>
      </c>
      <c r="E3079" t="s">
        <v>458</v>
      </c>
      <c r="F3079">
        <v>15</v>
      </c>
      <c r="P3079" t="s">
        <v>471</v>
      </c>
      <c r="Q3079">
        <v>126</v>
      </c>
      <c r="R3079" t="s">
        <v>294</v>
      </c>
      <c r="S3079" t="s">
        <v>14</v>
      </c>
      <c r="T3079">
        <v>1</v>
      </c>
    </row>
    <row r="3080" spans="4:20" ht="15.75" customHeight="1" x14ac:dyDescent="0.2">
      <c r="D3080" t="s">
        <v>285</v>
      </c>
      <c r="E3080" t="s">
        <v>458</v>
      </c>
      <c r="F3080">
        <v>15</v>
      </c>
      <c r="P3080" t="s">
        <v>471</v>
      </c>
      <c r="Q3080">
        <v>126</v>
      </c>
      <c r="R3080" t="s">
        <v>257</v>
      </c>
      <c r="S3080" t="s">
        <v>16</v>
      </c>
      <c r="T3080">
        <v>0</v>
      </c>
    </row>
    <row r="3081" spans="4:20" ht="15.75" customHeight="1" x14ac:dyDescent="0.2">
      <c r="D3081" t="s">
        <v>285</v>
      </c>
      <c r="E3081" t="s">
        <v>458</v>
      </c>
      <c r="F3081">
        <v>15</v>
      </c>
      <c r="P3081" t="s">
        <v>471</v>
      </c>
      <c r="Q3081">
        <v>126</v>
      </c>
      <c r="R3081" t="s">
        <v>295</v>
      </c>
      <c r="S3081" t="s">
        <v>17</v>
      </c>
      <c r="T3081" t="s">
        <v>366</v>
      </c>
    </row>
    <row r="3082" spans="4:20" ht="15.75" customHeight="1" x14ac:dyDescent="0.2">
      <c r="D3082" t="s">
        <v>285</v>
      </c>
      <c r="E3082" t="s">
        <v>458</v>
      </c>
      <c r="F3082">
        <v>15</v>
      </c>
      <c r="P3082" t="s">
        <v>471</v>
      </c>
      <c r="Q3082">
        <v>126</v>
      </c>
      <c r="R3082" t="s">
        <v>296</v>
      </c>
      <c r="S3082" t="s">
        <v>1</v>
      </c>
      <c r="T3082">
        <v>1</v>
      </c>
    </row>
    <row r="3083" spans="4:20" ht="15.75" customHeight="1" x14ac:dyDescent="0.2">
      <c r="D3083" t="s">
        <v>285</v>
      </c>
      <c r="E3083" t="s">
        <v>458</v>
      </c>
      <c r="F3083">
        <v>15</v>
      </c>
      <c r="P3083" t="s">
        <v>471</v>
      </c>
      <c r="Q3083">
        <v>126</v>
      </c>
      <c r="R3083" t="s">
        <v>297</v>
      </c>
      <c r="S3083" t="s">
        <v>18</v>
      </c>
      <c r="T3083" t="s">
        <v>366</v>
      </c>
    </row>
    <row r="3084" spans="4:20" ht="15.75" customHeight="1" x14ac:dyDescent="0.2">
      <c r="D3084" t="s">
        <v>285</v>
      </c>
      <c r="E3084" t="s">
        <v>458</v>
      </c>
      <c r="F3084">
        <v>15</v>
      </c>
      <c r="P3084" t="s">
        <v>471</v>
      </c>
      <c r="Q3084">
        <v>126</v>
      </c>
      <c r="R3084" t="s">
        <v>298</v>
      </c>
      <c r="S3084" t="s">
        <v>19</v>
      </c>
      <c r="T3084">
        <v>4</v>
      </c>
    </row>
    <row r="3085" spans="4:20" ht="15.75" customHeight="1" x14ac:dyDescent="0.2">
      <c r="D3085" t="s">
        <v>285</v>
      </c>
      <c r="E3085" t="s">
        <v>458</v>
      </c>
      <c r="F3085">
        <v>15</v>
      </c>
      <c r="P3085" t="s">
        <v>471</v>
      </c>
      <c r="Q3085">
        <v>126</v>
      </c>
      <c r="R3085" t="s">
        <v>299</v>
      </c>
      <c r="S3085" t="s">
        <v>20</v>
      </c>
      <c r="T3085">
        <v>0</v>
      </c>
    </row>
    <row r="3086" spans="4:20" ht="15.75" customHeight="1" x14ac:dyDescent="0.2">
      <c r="D3086" t="s">
        <v>285</v>
      </c>
      <c r="E3086" t="s">
        <v>458</v>
      </c>
      <c r="F3086">
        <v>15</v>
      </c>
      <c r="P3086" t="s">
        <v>472</v>
      </c>
      <c r="Q3086">
        <v>127</v>
      </c>
      <c r="R3086" t="s">
        <v>288</v>
      </c>
      <c r="S3086" t="s">
        <v>2</v>
      </c>
      <c r="T3086">
        <v>0</v>
      </c>
    </row>
    <row r="3087" spans="4:20" ht="15.75" customHeight="1" x14ac:dyDescent="0.2">
      <c r="D3087" t="s">
        <v>285</v>
      </c>
      <c r="E3087" t="s">
        <v>458</v>
      </c>
      <c r="F3087">
        <v>15</v>
      </c>
      <c r="P3087" t="s">
        <v>472</v>
      </c>
      <c r="Q3087">
        <v>127</v>
      </c>
      <c r="R3087" t="s">
        <v>289</v>
      </c>
      <c r="S3087" t="s">
        <v>5</v>
      </c>
      <c r="T3087">
        <v>0</v>
      </c>
    </row>
    <row r="3088" spans="4:20" ht="15.75" customHeight="1" x14ac:dyDescent="0.2">
      <c r="D3088" t="s">
        <v>285</v>
      </c>
      <c r="E3088" t="s">
        <v>458</v>
      </c>
      <c r="F3088">
        <v>15</v>
      </c>
      <c r="P3088" t="s">
        <v>472</v>
      </c>
      <c r="Q3088">
        <v>127</v>
      </c>
      <c r="R3088" t="s">
        <v>290</v>
      </c>
      <c r="S3088" t="s">
        <v>3</v>
      </c>
      <c r="T3088">
        <v>0</v>
      </c>
    </row>
    <row r="3089" spans="4:20" ht="15.75" customHeight="1" x14ac:dyDescent="0.2">
      <c r="D3089" t="s">
        <v>285</v>
      </c>
      <c r="E3089" t="s">
        <v>458</v>
      </c>
      <c r="F3089">
        <v>15</v>
      </c>
      <c r="P3089" t="s">
        <v>472</v>
      </c>
      <c r="Q3089">
        <v>127</v>
      </c>
      <c r="R3089" t="s">
        <v>291</v>
      </c>
      <c r="S3089" t="s">
        <v>4</v>
      </c>
      <c r="T3089">
        <v>0</v>
      </c>
    </row>
    <row r="3090" spans="4:20" ht="15.75" customHeight="1" x14ac:dyDescent="0.2">
      <c r="D3090" t="s">
        <v>285</v>
      </c>
      <c r="E3090" t="s">
        <v>458</v>
      </c>
      <c r="F3090">
        <v>15</v>
      </c>
      <c r="P3090" t="s">
        <v>472</v>
      </c>
      <c r="Q3090">
        <v>127</v>
      </c>
      <c r="R3090" t="s">
        <v>292</v>
      </c>
      <c r="S3090" t="s">
        <v>6</v>
      </c>
      <c r="T3090">
        <v>0</v>
      </c>
    </row>
    <row r="3091" spans="4:20" ht="15.75" customHeight="1" x14ac:dyDescent="0.2">
      <c r="D3091" t="s">
        <v>285</v>
      </c>
      <c r="E3091" t="s">
        <v>458</v>
      </c>
      <c r="F3091">
        <v>15</v>
      </c>
      <c r="P3091" t="s">
        <v>472</v>
      </c>
      <c r="Q3091">
        <v>127</v>
      </c>
      <c r="R3091" t="s">
        <v>243</v>
      </c>
      <c r="S3091" t="s">
        <v>7</v>
      </c>
      <c r="T3091">
        <v>0</v>
      </c>
    </row>
    <row r="3092" spans="4:20" ht="15.75" customHeight="1" x14ac:dyDescent="0.2">
      <c r="D3092" t="s">
        <v>285</v>
      </c>
      <c r="E3092" t="s">
        <v>458</v>
      </c>
      <c r="F3092">
        <v>15</v>
      </c>
      <c r="P3092" t="s">
        <v>472</v>
      </c>
      <c r="Q3092">
        <v>127</v>
      </c>
      <c r="R3092" t="s">
        <v>245</v>
      </c>
      <c r="S3092" t="s">
        <v>8</v>
      </c>
      <c r="T3092">
        <v>0</v>
      </c>
    </row>
    <row r="3093" spans="4:20" ht="15.75" customHeight="1" x14ac:dyDescent="0.2">
      <c r="D3093" t="s">
        <v>285</v>
      </c>
      <c r="E3093" t="s">
        <v>458</v>
      </c>
      <c r="F3093">
        <v>15</v>
      </c>
      <c r="P3093" t="s">
        <v>472</v>
      </c>
      <c r="Q3093">
        <v>127</v>
      </c>
      <c r="R3093" t="s">
        <v>247</v>
      </c>
      <c r="S3093" t="s">
        <v>9</v>
      </c>
      <c r="T3093">
        <v>0</v>
      </c>
    </row>
    <row r="3094" spans="4:20" ht="15.75" customHeight="1" x14ac:dyDescent="0.2">
      <c r="D3094" t="s">
        <v>285</v>
      </c>
      <c r="E3094" t="s">
        <v>458</v>
      </c>
      <c r="F3094">
        <v>15</v>
      </c>
      <c r="P3094" t="s">
        <v>472</v>
      </c>
      <c r="Q3094">
        <v>127</v>
      </c>
      <c r="R3094" t="s">
        <v>249</v>
      </c>
      <c r="S3094" t="s">
        <v>10</v>
      </c>
      <c r="T3094">
        <v>1</v>
      </c>
    </row>
    <row r="3095" spans="4:20" ht="15.75" customHeight="1" x14ac:dyDescent="0.2">
      <c r="D3095" t="s">
        <v>285</v>
      </c>
      <c r="E3095" t="s">
        <v>458</v>
      </c>
      <c r="F3095">
        <v>15</v>
      </c>
      <c r="P3095" t="s">
        <v>472</v>
      </c>
      <c r="Q3095">
        <v>127</v>
      </c>
      <c r="R3095" t="s">
        <v>251</v>
      </c>
      <c r="S3095" t="s">
        <v>11</v>
      </c>
      <c r="T3095">
        <v>1</v>
      </c>
    </row>
    <row r="3096" spans="4:20" ht="15.75" customHeight="1" x14ac:dyDescent="0.2">
      <c r="D3096" t="s">
        <v>285</v>
      </c>
      <c r="E3096" t="s">
        <v>458</v>
      </c>
      <c r="F3096">
        <v>15</v>
      </c>
      <c r="P3096" t="s">
        <v>472</v>
      </c>
      <c r="Q3096">
        <v>127</v>
      </c>
      <c r="R3096" t="s">
        <v>253</v>
      </c>
      <c r="S3096" t="s">
        <v>12</v>
      </c>
      <c r="T3096">
        <v>0</v>
      </c>
    </row>
    <row r="3097" spans="4:20" ht="15.75" customHeight="1" x14ac:dyDescent="0.2">
      <c r="D3097" t="s">
        <v>285</v>
      </c>
      <c r="E3097" t="s">
        <v>458</v>
      </c>
      <c r="F3097">
        <v>15</v>
      </c>
      <c r="P3097" t="s">
        <v>472</v>
      </c>
      <c r="Q3097">
        <v>127</v>
      </c>
      <c r="R3097" t="s">
        <v>255</v>
      </c>
      <c r="S3097" t="s">
        <v>15</v>
      </c>
      <c r="T3097">
        <v>0</v>
      </c>
    </row>
    <row r="3098" spans="4:20" ht="15.75" customHeight="1" x14ac:dyDescent="0.2">
      <c r="D3098" t="s">
        <v>285</v>
      </c>
      <c r="E3098" t="s">
        <v>458</v>
      </c>
      <c r="F3098">
        <v>15</v>
      </c>
      <c r="P3098" t="s">
        <v>472</v>
      </c>
      <c r="Q3098">
        <v>127</v>
      </c>
      <c r="R3098" t="s">
        <v>293</v>
      </c>
      <c r="S3098" t="s">
        <v>13</v>
      </c>
      <c r="T3098">
        <v>0</v>
      </c>
    </row>
    <row r="3099" spans="4:20" ht="15.75" customHeight="1" x14ac:dyDescent="0.2">
      <c r="D3099" t="s">
        <v>285</v>
      </c>
      <c r="E3099" t="s">
        <v>458</v>
      </c>
      <c r="F3099">
        <v>15</v>
      </c>
      <c r="P3099" t="s">
        <v>472</v>
      </c>
      <c r="Q3099">
        <v>127</v>
      </c>
      <c r="R3099" t="s">
        <v>294</v>
      </c>
      <c r="S3099" t="s">
        <v>14</v>
      </c>
      <c r="T3099">
        <v>1</v>
      </c>
    </row>
    <row r="3100" spans="4:20" ht="15.75" customHeight="1" x14ac:dyDescent="0.2">
      <c r="D3100" t="s">
        <v>285</v>
      </c>
      <c r="E3100" t="s">
        <v>458</v>
      </c>
      <c r="F3100">
        <v>15</v>
      </c>
      <c r="P3100" t="s">
        <v>472</v>
      </c>
      <c r="Q3100">
        <v>127</v>
      </c>
      <c r="R3100" t="s">
        <v>257</v>
      </c>
      <c r="S3100" t="s">
        <v>16</v>
      </c>
      <c r="T3100">
        <v>0</v>
      </c>
    </row>
    <row r="3101" spans="4:20" ht="15.75" customHeight="1" x14ac:dyDescent="0.2">
      <c r="D3101" t="s">
        <v>285</v>
      </c>
      <c r="E3101" t="s">
        <v>458</v>
      </c>
      <c r="F3101">
        <v>15</v>
      </c>
      <c r="P3101" t="s">
        <v>472</v>
      </c>
      <c r="Q3101">
        <v>127</v>
      </c>
      <c r="R3101" t="s">
        <v>295</v>
      </c>
      <c r="S3101" t="s">
        <v>17</v>
      </c>
      <c r="T3101" t="s">
        <v>366</v>
      </c>
    </row>
    <row r="3102" spans="4:20" ht="15.75" customHeight="1" x14ac:dyDescent="0.2">
      <c r="D3102" t="s">
        <v>285</v>
      </c>
      <c r="E3102" t="s">
        <v>458</v>
      </c>
      <c r="F3102">
        <v>15</v>
      </c>
      <c r="P3102" t="s">
        <v>472</v>
      </c>
      <c r="Q3102">
        <v>127</v>
      </c>
      <c r="R3102" t="s">
        <v>296</v>
      </c>
      <c r="S3102" t="s">
        <v>1</v>
      </c>
      <c r="T3102">
        <v>1</v>
      </c>
    </row>
    <row r="3103" spans="4:20" ht="15.75" customHeight="1" x14ac:dyDescent="0.2">
      <c r="D3103" t="s">
        <v>285</v>
      </c>
      <c r="E3103" t="s">
        <v>458</v>
      </c>
      <c r="F3103">
        <v>15</v>
      </c>
      <c r="P3103" t="s">
        <v>472</v>
      </c>
      <c r="Q3103">
        <v>127</v>
      </c>
      <c r="R3103" t="s">
        <v>297</v>
      </c>
      <c r="S3103" t="s">
        <v>18</v>
      </c>
      <c r="T3103" t="s">
        <v>366</v>
      </c>
    </row>
    <row r="3104" spans="4:20" ht="15.75" customHeight="1" x14ac:dyDescent="0.2">
      <c r="D3104" t="s">
        <v>285</v>
      </c>
      <c r="E3104" t="s">
        <v>458</v>
      </c>
      <c r="F3104">
        <v>15</v>
      </c>
      <c r="P3104" t="s">
        <v>472</v>
      </c>
      <c r="Q3104">
        <v>127</v>
      </c>
      <c r="R3104" t="s">
        <v>298</v>
      </c>
      <c r="S3104" t="s">
        <v>19</v>
      </c>
      <c r="T3104">
        <v>4</v>
      </c>
    </row>
    <row r="3105" spans="4:20" ht="15.75" customHeight="1" x14ac:dyDescent="0.2">
      <c r="D3105" t="s">
        <v>285</v>
      </c>
      <c r="E3105" t="s">
        <v>458</v>
      </c>
      <c r="F3105">
        <v>15</v>
      </c>
      <c r="P3105" t="s">
        <v>472</v>
      </c>
      <c r="Q3105">
        <v>127</v>
      </c>
      <c r="R3105" t="s">
        <v>299</v>
      </c>
      <c r="S3105" t="s">
        <v>20</v>
      </c>
      <c r="T3105">
        <v>0</v>
      </c>
    </row>
    <row r="3106" spans="4:20" ht="15.75" customHeight="1" x14ac:dyDescent="0.2">
      <c r="D3106" t="s">
        <v>285</v>
      </c>
      <c r="E3106" t="s">
        <v>458</v>
      </c>
      <c r="F3106">
        <v>15</v>
      </c>
      <c r="P3106" t="s">
        <v>473</v>
      </c>
      <c r="Q3106">
        <v>128</v>
      </c>
      <c r="R3106" t="s">
        <v>288</v>
      </c>
      <c r="S3106" t="s">
        <v>2</v>
      </c>
      <c r="T3106">
        <v>0</v>
      </c>
    </row>
    <row r="3107" spans="4:20" ht="15.75" customHeight="1" x14ac:dyDescent="0.2">
      <c r="D3107" t="s">
        <v>285</v>
      </c>
      <c r="E3107" t="s">
        <v>458</v>
      </c>
      <c r="F3107">
        <v>15</v>
      </c>
      <c r="P3107" t="s">
        <v>473</v>
      </c>
      <c r="Q3107">
        <v>128</v>
      </c>
      <c r="R3107" t="s">
        <v>289</v>
      </c>
      <c r="S3107" t="s">
        <v>5</v>
      </c>
      <c r="T3107">
        <v>0</v>
      </c>
    </row>
    <row r="3108" spans="4:20" ht="15.75" customHeight="1" x14ac:dyDescent="0.2">
      <c r="D3108" t="s">
        <v>285</v>
      </c>
      <c r="E3108" t="s">
        <v>458</v>
      </c>
      <c r="F3108">
        <v>15</v>
      </c>
      <c r="P3108" t="s">
        <v>473</v>
      </c>
      <c r="Q3108">
        <v>128</v>
      </c>
      <c r="R3108" t="s">
        <v>290</v>
      </c>
      <c r="S3108" t="s">
        <v>3</v>
      </c>
      <c r="T3108">
        <v>0</v>
      </c>
    </row>
    <row r="3109" spans="4:20" ht="15.75" customHeight="1" x14ac:dyDescent="0.2">
      <c r="D3109" t="s">
        <v>285</v>
      </c>
      <c r="E3109" t="s">
        <v>458</v>
      </c>
      <c r="F3109">
        <v>15</v>
      </c>
      <c r="P3109" t="s">
        <v>473</v>
      </c>
      <c r="Q3109">
        <v>128</v>
      </c>
      <c r="R3109" t="s">
        <v>291</v>
      </c>
      <c r="S3109" t="s">
        <v>4</v>
      </c>
      <c r="T3109">
        <v>0</v>
      </c>
    </row>
    <row r="3110" spans="4:20" ht="15.75" customHeight="1" x14ac:dyDescent="0.2">
      <c r="D3110" t="s">
        <v>285</v>
      </c>
      <c r="E3110" t="s">
        <v>458</v>
      </c>
      <c r="F3110">
        <v>15</v>
      </c>
      <c r="P3110" t="s">
        <v>473</v>
      </c>
      <c r="Q3110">
        <v>128</v>
      </c>
      <c r="R3110" t="s">
        <v>292</v>
      </c>
      <c r="S3110" t="s">
        <v>6</v>
      </c>
      <c r="T3110">
        <v>0</v>
      </c>
    </row>
    <row r="3111" spans="4:20" ht="15.75" customHeight="1" x14ac:dyDescent="0.2">
      <c r="D3111" t="s">
        <v>285</v>
      </c>
      <c r="E3111" t="s">
        <v>458</v>
      </c>
      <c r="F3111">
        <v>15</v>
      </c>
      <c r="P3111" t="s">
        <v>473</v>
      </c>
      <c r="Q3111">
        <v>128</v>
      </c>
      <c r="R3111" t="s">
        <v>243</v>
      </c>
      <c r="S3111" t="s">
        <v>7</v>
      </c>
      <c r="T3111">
        <v>0</v>
      </c>
    </row>
    <row r="3112" spans="4:20" ht="15.75" customHeight="1" x14ac:dyDescent="0.2">
      <c r="D3112" t="s">
        <v>285</v>
      </c>
      <c r="E3112" t="s">
        <v>458</v>
      </c>
      <c r="F3112">
        <v>15</v>
      </c>
      <c r="P3112" t="s">
        <v>473</v>
      </c>
      <c r="Q3112">
        <v>128</v>
      </c>
      <c r="R3112" t="s">
        <v>245</v>
      </c>
      <c r="S3112" t="s">
        <v>8</v>
      </c>
      <c r="T3112">
        <v>0</v>
      </c>
    </row>
    <row r="3113" spans="4:20" ht="15.75" customHeight="1" x14ac:dyDescent="0.2">
      <c r="D3113" t="s">
        <v>285</v>
      </c>
      <c r="E3113" t="s">
        <v>458</v>
      </c>
      <c r="F3113">
        <v>15</v>
      </c>
      <c r="P3113" t="s">
        <v>473</v>
      </c>
      <c r="Q3113">
        <v>128</v>
      </c>
      <c r="R3113" t="s">
        <v>247</v>
      </c>
      <c r="S3113" t="s">
        <v>9</v>
      </c>
      <c r="T3113">
        <v>0</v>
      </c>
    </row>
    <row r="3114" spans="4:20" ht="15.75" customHeight="1" x14ac:dyDescent="0.2">
      <c r="D3114" t="s">
        <v>285</v>
      </c>
      <c r="E3114" t="s">
        <v>458</v>
      </c>
      <c r="F3114">
        <v>15</v>
      </c>
      <c r="P3114" t="s">
        <v>473</v>
      </c>
      <c r="Q3114">
        <v>128</v>
      </c>
      <c r="R3114" t="s">
        <v>249</v>
      </c>
      <c r="S3114" t="s">
        <v>10</v>
      </c>
      <c r="T3114">
        <v>1</v>
      </c>
    </row>
    <row r="3115" spans="4:20" ht="15.75" customHeight="1" x14ac:dyDescent="0.2">
      <c r="D3115" t="s">
        <v>285</v>
      </c>
      <c r="E3115" t="s">
        <v>458</v>
      </c>
      <c r="F3115">
        <v>15</v>
      </c>
      <c r="P3115" t="s">
        <v>473</v>
      </c>
      <c r="Q3115">
        <v>128</v>
      </c>
      <c r="R3115" t="s">
        <v>251</v>
      </c>
      <c r="S3115" t="s">
        <v>11</v>
      </c>
      <c r="T3115">
        <v>1</v>
      </c>
    </row>
    <row r="3116" spans="4:20" ht="15.75" customHeight="1" x14ac:dyDescent="0.2">
      <c r="D3116" t="s">
        <v>285</v>
      </c>
      <c r="E3116" t="s">
        <v>458</v>
      </c>
      <c r="F3116">
        <v>15</v>
      </c>
      <c r="P3116" t="s">
        <v>473</v>
      </c>
      <c r="Q3116">
        <v>128</v>
      </c>
      <c r="R3116" t="s">
        <v>253</v>
      </c>
      <c r="S3116" t="s">
        <v>12</v>
      </c>
      <c r="T3116">
        <v>0</v>
      </c>
    </row>
    <row r="3117" spans="4:20" ht="15.75" customHeight="1" x14ac:dyDescent="0.2">
      <c r="D3117" t="s">
        <v>285</v>
      </c>
      <c r="E3117" t="s">
        <v>458</v>
      </c>
      <c r="F3117">
        <v>15</v>
      </c>
      <c r="P3117" t="s">
        <v>473</v>
      </c>
      <c r="Q3117">
        <v>128</v>
      </c>
      <c r="R3117" t="s">
        <v>255</v>
      </c>
      <c r="S3117" t="s">
        <v>15</v>
      </c>
      <c r="T3117">
        <v>0</v>
      </c>
    </row>
    <row r="3118" spans="4:20" ht="15.75" customHeight="1" x14ac:dyDescent="0.2">
      <c r="D3118" t="s">
        <v>285</v>
      </c>
      <c r="E3118" t="s">
        <v>458</v>
      </c>
      <c r="F3118">
        <v>15</v>
      </c>
      <c r="P3118" t="s">
        <v>473</v>
      </c>
      <c r="Q3118">
        <v>128</v>
      </c>
      <c r="R3118" t="s">
        <v>293</v>
      </c>
      <c r="S3118" t="s">
        <v>13</v>
      </c>
      <c r="T3118">
        <v>0</v>
      </c>
    </row>
    <row r="3119" spans="4:20" ht="15.75" customHeight="1" x14ac:dyDescent="0.2">
      <c r="D3119" t="s">
        <v>285</v>
      </c>
      <c r="E3119" t="s">
        <v>458</v>
      </c>
      <c r="F3119">
        <v>15</v>
      </c>
      <c r="P3119" t="s">
        <v>473</v>
      </c>
      <c r="Q3119">
        <v>128</v>
      </c>
      <c r="R3119" t="s">
        <v>294</v>
      </c>
      <c r="S3119" t="s">
        <v>14</v>
      </c>
      <c r="T3119">
        <v>1</v>
      </c>
    </row>
    <row r="3120" spans="4:20" ht="15.75" customHeight="1" x14ac:dyDescent="0.2">
      <c r="D3120" t="s">
        <v>285</v>
      </c>
      <c r="E3120" t="s">
        <v>458</v>
      </c>
      <c r="F3120">
        <v>15</v>
      </c>
      <c r="P3120" t="s">
        <v>473</v>
      </c>
      <c r="Q3120">
        <v>128</v>
      </c>
      <c r="R3120" t="s">
        <v>257</v>
      </c>
      <c r="S3120" t="s">
        <v>16</v>
      </c>
      <c r="T3120">
        <v>0</v>
      </c>
    </row>
    <row r="3121" spans="4:20" ht="15.75" customHeight="1" x14ac:dyDescent="0.2">
      <c r="D3121" t="s">
        <v>285</v>
      </c>
      <c r="E3121" t="s">
        <v>458</v>
      </c>
      <c r="F3121">
        <v>15</v>
      </c>
      <c r="P3121" t="s">
        <v>473</v>
      </c>
      <c r="Q3121">
        <v>128</v>
      </c>
      <c r="R3121" t="s">
        <v>295</v>
      </c>
      <c r="S3121" t="s">
        <v>17</v>
      </c>
      <c r="T3121" t="s">
        <v>366</v>
      </c>
    </row>
    <row r="3122" spans="4:20" ht="15.75" customHeight="1" x14ac:dyDescent="0.2">
      <c r="D3122" t="s">
        <v>285</v>
      </c>
      <c r="E3122" t="s">
        <v>458</v>
      </c>
      <c r="F3122">
        <v>15</v>
      </c>
      <c r="P3122" t="s">
        <v>473</v>
      </c>
      <c r="Q3122">
        <v>128</v>
      </c>
      <c r="R3122" t="s">
        <v>296</v>
      </c>
      <c r="S3122" t="s">
        <v>1</v>
      </c>
      <c r="T3122">
        <v>1</v>
      </c>
    </row>
    <row r="3123" spans="4:20" ht="15.75" customHeight="1" x14ac:dyDescent="0.2">
      <c r="D3123" t="s">
        <v>285</v>
      </c>
      <c r="E3123" t="s">
        <v>458</v>
      </c>
      <c r="F3123">
        <v>15</v>
      </c>
      <c r="P3123" t="s">
        <v>473</v>
      </c>
      <c r="Q3123">
        <v>128</v>
      </c>
      <c r="R3123" t="s">
        <v>297</v>
      </c>
      <c r="S3123" t="s">
        <v>18</v>
      </c>
      <c r="T3123" t="s">
        <v>366</v>
      </c>
    </row>
    <row r="3124" spans="4:20" ht="15.75" customHeight="1" x14ac:dyDescent="0.2">
      <c r="D3124" t="s">
        <v>285</v>
      </c>
      <c r="E3124" t="s">
        <v>458</v>
      </c>
      <c r="F3124">
        <v>15</v>
      </c>
      <c r="P3124" t="s">
        <v>473</v>
      </c>
      <c r="Q3124">
        <v>128</v>
      </c>
      <c r="R3124" t="s">
        <v>298</v>
      </c>
      <c r="S3124" t="s">
        <v>19</v>
      </c>
      <c r="T3124">
        <v>4</v>
      </c>
    </row>
    <row r="3125" spans="4:20" ht="15.75" customHeight="1" x14ac:dyDescent="0.2">
      <c r="D3125" t="s">
        <v>285</v>
      </c>
      <c r="E3125" t="s">
        <v>458</v>
      </c>
      <c r="F3125">
        <v>15</v>
      </c>
      <c r="P3125" t="s">
        <v>473</v>
      </c>
      <c r="Q3125">
        <v>128</v>
      </c>
      <c r="R3125" t="s">
        <v>299</v>
      </c>
      <c r="S3125" t="s">
        <v>20</v>
      </c>
      <c r="T3125">
        <v>1</v>
      </c>
    </row>
    <row r="3126" spans="4:20" ht="15.75" customHeight="1" x14ac:dyDescent="0.2">
      <c r="D3126" t="s">
        <v>285</v>
      </c>
      <c r="E3126" t="s">
        <v>458</v>
      </c>
      <c r="F3126">
        <v>15</v>
      </c>
      <c r="P3126" t="s">
        <v>474</v>
      </c>
      <c r="Q3126">
        <v>129</v>
      </c>
      <c r="R3126" t="s">
        <v>288</v>
      </c>
      <c r="S3126" t="s">
        <v>2</v>
      </c>
      <c r="T3126">
        <v>0</v>
      </c>
    </row>
    <row r="3127" spans="4:20" ht="15.75" customHeight="1" x14ac:dyDescent="0.2">
      <c r="D3127" t="s">
        <v>285</v>
      </c>
      <c r="E3127" t="s">
        <v>458</v>
      </c>
      <c r="F3127">
        <v>15</v>
      </c>
      <c r="P3127" t="s">
        <v>474</v>
      </c>
      <c r="Q3127">
        <v>129</v>
      </c>
      <c r="R3127" t="s">
        <v>289</v>
      </c>
      <c r="S3127" t="s">
        <v>5</v>
      </c>
      <c r="T3127">
        <v>0</v>
      </c>
    </row>
    <row r="3128" spans="4:20" ht="15.75" customHeight="1" x14ac:dyDescent="0.2">
      <c r="D3128" t="s">
        <v>285</v>
      </c>
      <c r="E3128" t="s">
        <v>458</v>
      </c>
      <c r="F3128">
        <v>15</v>
      </c>
      <c r="P3128" t="s">
        <v>474</v>
      </c>
      <c r="Q3128">
        <v>129</v>
      </c>
      <c r="R3128" t="s">
        <v>290</v>
      </c>
      <c r="S3128" t="s">
        <v>3</v>
      </c>
      <c r="T3128">
        <v>0</v>
      </c>
    </row>
    <row r="3129" spans="4:20" ht="15.75" customHeight="1" x14ac:dyDescent="0.2">
      <c r="D3129" t="s">
        <v>285</v>
      </c>
      <c r="E3129" t="s">
        <v>458</v>
      </c>
      <c r="F3129">
        <v>15</v>
      </c>
      <c r="P3129" t="s">
        <v>474</v>
      </c>
      <c r="Q3129">
        <v>129</v>
      </c>
      <c r="R3129" t="s">
        <v>291</v>
      </c>
      <c r="S3129" t="s">
        <v>4</v>
      </c>
      <c r="T3129">
        <v>0</v>
      </c>
    </row>
    <row r="3130" spans="4:20" ht="15.75" customHeight="1" x14ac:dyDescent="0.2">
      <c r="D3130" t="s">
        <v>285</v>
      </c>
      <c r="E3130" t="s">
        <v>458</v>
      </c>
      <c r="F3130">
        <v>15</v>
      </c>
      <c r="P3130" t="s">
        <v>474</v>
      </c>
      <c r="Q3130">
        <v>129</v>
      </c>
      <c r="R3130" t="s">
        <v>292</v>
      </c>
      <c r="S3130" t="s">
        <v>6</v>
      </c>
      <c r="T3130">
        <v>0</v>
      </c>
    </row>
    <row r="3131" spans="4:20" ht="15.75" customHeight="1" x14ac:dyDescent="0.2">
      <c r="D3131" t="s">
        <v>285</v>
      </c>
      <c r="E3131" t="s">
        <v>458</v>
      </c>
      <c r="F3131">
        <v>15</v>
      </c>
      <c r="P3131" t="s">
        <v>474</v>
      </c>
      <c r="Q3131">
        <v>129</v>
      </c>
      <c r="R3131" t="s">
        <v>243</v>
      </c>
      <c r="S3131" t="s">
        <v>7</v>
      </c>
      <c r="T3131">
        <v>0</v>
      </c>
    </row>
    <row r="3132" spans="4:20" ht="15.75" customHeight="1" x14ac:dyDescent="0.2">
      <c r="D3132" t="s">
        <v>285</v>
      </c>
      <c r="E3132" t="s">
        <v>458</v>
      </c>
      <c r="F3132">
        <v>15</v>
      </c>
      <c r="P3132" t="s">
        <v>474</v>
      </c>
      <c r="Q3132">
        <v>129</v>
      </c>
      <c r="R3132" t="s">
        <v>245</v>
      </c>
      <c r="S3132" t="s">
        <v>8</v>
      </c>
      <c r="T3132">
        <v>0</v>
      </c>
    </row>
    <row r="3133" spans="4:20" ht="15.75" customHeight="1" x14ac:dyDescent="0.2">
      <c r="D3133" t="s">
        <v>285</v>
      </c>
      <c r="E3133" t="s">
        <v>458</v>
      </c>
      <c r="F3133">
        <v>15</v>
      </c>
      <c r="P3133" t="s">
        <v>474</v>
      </c>
      <c r="Q3133">
        <v>129</v>
      </c>
      <c r="R3133" t="s">
        <v>247</v>
      </c>
      <c r="S3133" t="s">
        <v>9</v>
      </c>
      <c r="T3133">
        <v>0</v>
      </c>
    </row>
    <row r="3134" spans="4:20" ht="15.75" customHeight="1" x14ac:dyDescent="0.2">
      <c r="D3134" t="s">
        <v>285</v>
      </c>
      <c r="E3134" t="s">
        <v>458</v>
      </c>
      <c r="F3134">
        <v>15</v>
      </c>
      <c r="P3134" t="s">
        <v>474</v>
      </c>
      <c r="Q3134">
        <v>129</v>
      </c>
      <c r="R3134" t="s">
        <v>249</v>
      </c>
      <c r="S3134" t="s">
        <v>10</v>
      </c>
      <c r="T3134">
        <v>1</v>
      </c>
    </row>
    <row r="3135" spans="4:20" ht="15.75" customHeight="1" x14ac:dyDescent="0.2">
      <c r="D3135" t="s">
        <v>285</v>
      </c>
      <c r="E3135" t="s">
        <v>458</v>
      </c>
      <c r="F3135">
        <v>15</v>
      </c>
      <c r="P3135" t="s">
        <v>474</v>
      </c>
      <c r="Q3135">
        <v>129</v>
      </c>
      <c r="R3135" t="s">
        <v>251</v>
      </c>
      <c r="S3135" t="s">
        <v>11</v>
      </c>
      <c r="T3135">
        <v>1</v>
      </c>
    </row>
    <row r="3136" spans="4:20" ht="15.75" customHeight="1" x14ac:dyDescent="0.2">
      <c r="D3136" t="s">
        <v>285</v>
      </c>
      <c r="E3136" t="s">
        <v>458</v>
      </c>
      <c r="F3136">
        <v>15</v>
      </c>
      <c r="P3136" t="s">
        <v>474</v>
      </c>
      <c r="Q3136">
        <v>129</v>
      </c>
      <c r="R3136" t="s">
        <v>253</v>
      </c>
      <c r="S3136" t="s">
        <v>12</v>
      </c>
      <c r="T3136">
        <v>0</v>
      </c>
    </row>
    <row r="3137" spans="4:23" ht="15.75" customHeight="1" x14ac:dyDescent="0.2">
      <c r="D3137" t="s">
        <v>285</v>
      </c>
      <c r="E3137" t="s">
        <v>458</v>
      </c>
      <c r="F3137">
        <v>15</v>
      </c>
      <c r="P3137" t="s">
        <v>474</v>
      </c>
      <c r="Q3137">
        <v>129</v>
      </c>
      <c r="R3137" t="s">
        <v>255</v>
      </c>
      <c r="S3137" t="s">
        <v>15</v>
      </c>
      <c r="T3137">
        <v>0</v>
      </c>
    </row>
    <row r="3138" spans="4:23" ht="15.75" customHeight="1" x14ac:dyDescent="0.2">
      <c r="D3138" t="s">
        <v>285</v>
      </c>
      <c r="E3138" t="s">
        <v>458</v>
      </c>
      <c r="F3138">
        <v>15</v>
      </c>
      <c r="P3138" t="s">
        <v>474</v>
      </c>
      <c r="Q3138">
        <v>129</v>
      </c>
      <c r="R3138" t="s">
        <v>293</v>
      </c>
      <c r="S3138" t="s">
        <v>13</v>
      </c>
      <c r="T3138">
        <v>0</v>
      </c>
    </row>
    <row r="3139" spans="4:23" ht="15.75" customHeight="1" x14ac:dyDescent="0.2">
      <c r="D3139" t="s">
        <v>285</v>
      </c>
      <c r="E3139" t="s">
        <v>458</v>
      </c>
      <c r="F3139">
        <v>15</v>
      </c>
      <c r="P3139" t="s">
        <v>474</v>
      </c>
      <c r="Q3139">
        <v>129</v>
      </c>
      <c r="R3139" t="s">
        <v>294</v>
      </c>
      <c r="S3139" t="s">
        <v>14</v>
      </c>
      <c r="T3139">
        <v>1</v>
      </c>
    </row>
    <row r="3140" spans="4:23" ht="15.75" customHeight="1" x14ac:dyDescent="0.2">
      <c r="D3140" t="s">
        <v>285</v>
      </c>
      <c r="E3140" t="s">
        <v>458</v>
      </c>
      <c r="F3140">
        <v>15</v>
      </c>
      <c r="P3140" t="s">
        <v>474</v>
      </c>
      <c r="Q3140">
        <v>129</v>
      </c>
      <c r="R3140" t="s">
        <v>257</v>
      </c>
      <c r="S3140" t="s">
        <v>16</v>
      </c>
      <c r="T3140">
        <v>0</v>
      </c>
    </row>
    <row r="3141" spans="4:23" ht="15.75" customHeight="1" x14ac:dyDescent="0.2">
      <c r="D3141" t="s">
        <v>285</v>
      </c>
      <c r="E3141" t="s">
        <v>458</v>
      </c>
      <c r="F3141">
        <v>15</v>
      </c>
      <c r="P3141" t="s">
        <v>474</v>
      </c>
      <c r="Q3141">
        <v>129</v>
      </c>
      <c r="R3141" t="s">
        <v>295</v>
      </c>
      <c r="S3141" t="s">
        <v>17</v>
      </c>
      <c r="T3141" t="s">
        <v>366</v>
      </c>
    </row>
    <row r="3142" spans="4:23" ht="15.75" customHeight="1" x14ac:dyDescent="0.2">
      <c r="D3142" t="s">
        <v>285</v>
      </c>
      <c r="E3142" t="s">
        <v>458</v>
      </c>
      <c r="F3142">
        <v>15</v>
      </c>
      <c r="P3142" t="s">
        <v>474</v>
      </c>
      <c r="Q3142">
        <v>129</v>
      </c>
      <c r="R3142" t="s">
        <v>296</v>
      </c>
      <c r="S3142" t="s">
        <v>1</v>
      </c>
      <c r="T3142">
        <v>1</v>
      </c>
    </row>
    <row r="3143" spans="4:23" ht="15.75" customHeight="1" x14ac:dyDescent="0.2">
      <c r="D3143" t="s">
        <v>285</v>
      </c>
      <c r="E3143" t="s">
        <v>458</v>
      </c>
      <c r="F3143">
        <v>15</v>
      </c>
      <c r="P3143" t="s">
        <v>474</v>
      </c>
      <c r="Q3143">
        <v>129</v>
      </c>
      <c r="R3143" t="s">
        <v>297</v>
      </c>
      <c r="S3143" t="s">
        <v>18</v>
      </c>
      <c r="T3143" t="s">
        <v>366</v>
      </c>
    </row>
    <row r="3144" spans="4:23" ht="15.75" customHeight="1" x14ac:dyDescent="0.2">
      <c r="D3144" t="s">
        <v>285</v>
      </c>
      <c r="E3144" t="s">
        <v>458</v>
      </c>
      <c r="F3144">
        <v>15</v>
      </c>
      <c r="P3144" t="s">
        <v>474</v>
      </c>
      <c r="Q3144">
        <v>129</v>
      </c>
      <c r="R3144" t="s">
        <v>298</v>
      </c>
      <c r="S3144" t="s">
        <v>19</v>
      </c>
      <c r="T3144">
        <v>4</v>
      </c>
    </row>
    <row r="3145" spans="4:23" ht="15.75" customHeight="1" x14ac:dyDescent="0.2">
      <c r="D3145" t="s">
        <v>285</v>
      </c>
      <c r="E3145" t="s">
        <v>458</v>
      </c>
      <c r="F3145">
        <v>15</v>
      </c>
      <c r="P3145" t="s">
        <v>474</v>
      </c>
      <c r="Q3145">
        <v>129</v>
      </c>
      <c r="R3145" t="s">
        <v>299</v>
      </c>
      <c r="S3145" t="s">
        <v>20</v>
      </c>
      <c r="T3145">
        <v>1</v>
      </c>
    </row>
    <row r="3146" spans="4:23" ht="15.75" customHeight="1" x14ac:dyDescent="0.2">
      <c r="D3146" t="s">
        <v>285</v>
      </c>
      <c r="E3146" t="s">
        <v>458</v>
      </c>
      <c r="F3146">
        <v>15</v>
      </c>
      <c r="U3146" t="s">
        <v>300</v>
      </c>
      <c r="V3146" t="s">
        <v>301</v>
      </c>
      <c r="W3146">
        <v>0</v>
      </c>
    </row>
    <row r="3147" spans="4:23" ht="15.75" customHeight="1" x14ac:dyDescent="0.2">
      <c r="D3147" t="s">
        <v>285</v>
      </c>
      <c r="E3147" t="s">
        <v>458</v>
      </c>
      <c r="F3147">
        <v>15</v>
      </c>
      <c r="U3147" t="s">
        <v>288</v>
      </c>
      <c r="V3147" t="s">
        <v>302</v>
      </c>
      <c r="W3147">
        <v>0</v>
      </c>
    </row>
    <row r="3148" spans="4:23" ht="15.75" customHeight="1" x14ac:dyDescent="0.2">
      <c r="D3148" t="s">
        <v>285</v>
      </c>
      <c r="E3148" t="s">
        <v>458</v>
      </c>
      <c r="F3148">
        <v>15</v>
      </c>
      <c r="U3148" t="s">
        <v>303</v>
      </c>
      <c r="V3148" t="s">
        <v>304</v>
      </c>
      <c r="W3148">
        <v>6</v>
      </c>
    </row>
    <row r="3149" spans="4:23" ht="15.75" customHeight="1" x14ac:dyDescent="0.2">
      <c r="D3149" t="s">
        <v>285</v>
      </c>
      <c r="E3149" t="s">
        <v>458</v>
      </c>
      <c r="F3149">
        <v>15</v>
      </c>
      <c r="U3149" t="s">
        <v>305</v>
      </c>
      <c r="V3149" t="s">
        <v>306</v>
      </c>
      <c r="W3149" t="s">
        <v>366</v>
      </c>
    </row>
    <row r="3150" spans="4:23" ht="15.75" customHeight="1" x14ac:dyDescent="0.2">
      <c r="D3150" t="s">
        <v>285</v>
      </c>
      <c r="E3150" t="s">
        <v>458</v>
      </c>
      <c r="F3150">
        <v>15</v>
      </c>
      <c r="U3150" t="s">
        <v>307</v>
      </c>
      <c r="V3150" t="s">
        <v>308</v>
      </c>
      <c r="W3150" t="s">
        <v>366</v>
      </c>
    </row>
    <row r="3151" spans="4:23" ht="15.75" customHeight="1" x14ac:dyDescent="0.2">
      <c r="D3151" t="s">
        <v>285</v>
      </c>
      <c r="E3151" t="s">
        <v>458</v>
      </c>
      <c r="F3151">
        <v>15</v>
      </c>
      <c r="U3151" t="s">
        <v>243</v>
      </c>
      <c r="V3151" t="s">
        <v>309</v>
      </c>
      <c r="W3151" t="s">
        <v>366</v>
      </c>
    </row>
    <row r="3152" spans="4:23" ht="15.75" customHeight="1" x14ac:dyDescent="0.2">
      <c r="D3152" t="s">
        <v>285</v>
      </c>
      <c r="E3152" t="s">
        <v>458</v>
      </c>
      <c r="F3152">
        <v>15</v>
      </c>
      <c r="U3152" t="s">
        <v>245</v>
      </c>
      <c r="V3152" t="s">
        <v>310</v>
      </c>
      <c r="W3152" t="s">
        <v>366</v>
      </c>
    </row>
    <row r="3153" spans="4:23" ht="15.75" customHeight="1" x14ac:dyDescent="0.2">
      <c r="D3153" t="s">
        <v>285</v>
      </c>
      <c r="E3153" t="s">
        <v>458</v>
      </c>
      <c r="F3153">
        <v>15</v>
      </c>
      <c r="U3153" t="s">
        <v>247</v>
      </c>
      <c r="V3153" t="s">
        <v>311</v>
      </c>
      <c r="W3153" t="s">
        <v>366</v>
      </c>
    </row>
    <row r="3154" spans="4:23" ht="15.75" customHeight="1" x14ac:dyDescent="0.2">
      <c r="D3154" t="s">
        <v>285</v>
      </c>
      <c r="E3154" t="s">
        <v>458</v>
      </c>
      <c r="F3154">
        <v>15</v>
      </c>
      <c r="U3154" t="s">
        <v>249</v>
      </c>
      <c r="V3154" t="s">
        <v>312</v>
      </c>
      <c r="W3154" t="s">
        <v>366</v>
      </c>
    </row>
    <row r="3155" spans="4:23" ht="15.75" customHeight="1" x14ac:dyDescent="0.2">
      <c r="D3155" t="s">
        <v>285</v>
      </c>
      <c r="E3155" t="s">
        <v>458</v>
      </c>
      <c r="F3155">
        <v>15</v>
      </c>
      <c r="U3155" t="s">
        <v>251</v>
      </c>
      <c r="V3155" t="s">
        <v>313</v>
      </c>
      <c r="W3155" t="s">
        <v>366</v>
      </c>
    </row>
    <row r="3156" spans="4:23" ht="15.75" customHeight="1" x14ac:dyDescent="0.2">
      <c r="D3156" t="s">
        <v>285</v>
      </c>
      <c r="E3156" t="s">
        <v>458</v>
      </c>
      <c r="F3156">
        <v>15</v>
      </c>
      <c r="U3156" t="s">
        <v>253</v>
      </c>
      <c r="V3156" t="s">
        <v>314</v>
      </c>
      <c r="W3156" t="s">
        <v>366</v>
      </c>
    </row>
    <row r="3157" spans="4:23" ht="15.75" customHeight="1" x14ac:dyDescent="0.2">
      <c r="D3157" t="s">
        <v>285</v>
      </c>
      <c r="E3157" t="s">
        <v>458</v>
      </c>
      <c r="F3157">
        <v>15</v>
      </c>
      <c r="U3157" t="s">
        <v>315</v>
      </c>
      <c r="V3157" t="s">
        <v>316</v>
      </c>
      <c r="W3157" t="s">
        <v>366</v>
      </c>
    </row>
    <row r="3158" spans="4:23" ht="15.75" customHeight="1" x14ac:dyDescent="0.2">
      <c r="D3158" t="s">
        <v>285</v>
      </c>
      <c r="E3158" t="s">
        <v>458</v>
      </c>
      <c r="F3158">
        <v>15</v>
      </c>
      <c r="U3158" t="s">
        <v>317</v>
      </c>
      <c r="V3158" t="s">
        <v>318</v>
      </c>
      <c r="W3158">
        <v>0</v>
      </c>
    </row>
    <row r="3159" spans="4:23" ht="15.75" customHeight="1" x14ac:dyDescent="0.2">
      <c r="D3159" t="s">
        <v>285</v>
      </c>
      <c r="E3159" t="s">
        <v>458</v>
      </c>
      <c r="F3159">
        <v>15</v>
      </c>
      <c r="U3159" t="s">
        <v>257</v>
      </c>
      <c r="V3159" t="s">
        <v>319</v>
      </c>
      <c r="W3159">
        <v>0</v>
      </c>
    </row>
    <row r="3160" spans="4:23" ht="15.75" customHeight="1" x14ac:dyDescent="0.2">
      <c r="D3160" t="s">
        <v>285</v>
      </c>
      <c r="E3160" t="s">
        <v>458</v>
      </c>
      <c r="F3160">
        <v>15</v>
      </c>
      <c r="U3160" t="s">
        <v>320</v>
      </c>
      <c r="V3160" t="s">
        <v>321</v>
      </c>
      <c r="W3160" t="s">
        <v>366</v>
      </c>
    </row>
    <row r="3161" spans="4:23" ht="15.75" customHeight="1" x14ac:dyDescent="0.2">
      <c r="D3161" t="s">
        <v>285</v>
      </c>
      <c r="E3161" t="s">
        <v>458</v>
      </c>
      <c r="F3161">
        <v>15</v>
      </c>
      <c r="U3161" t="s">
        <v>263</v>
      </c>
      <c r="V3161" t="s">
        <v>322</v>
      </c>
      <c r="W3161" t="s">
        <v>366</v>
      </c>
    </row>
    <row r="3162" spans="4:23" ht="15.75" customHeight="1" x14ac:dyDescent="0.2">
      <c r="D3162" t="s">
        <v>285</v>
      </c>
      <c r="E3162" t="s">
        <v>458</v>
      </c>
      <c r="F3162">
        <v>15</v>
      </c>
      <c r="U3162" t="s">
        <v>323</v>
      </c>
      <c r="V3162" t="s">
        <v>324</v>
      </c>
      <c r="W3162" t="s">
        <v>366</v>
      </c>
    </row>
    <row r="3163" spans="4:23" ht="15.75" customHeight="1" x14ac:dyDescent="0.2">
      <c r="D3163" t="s">
        <v>285</v>
      </c>
      <c r="E3163" t="s">
        <v>458</v>
      </c>
      <c r="F3163">
        <v>15</v>
      </c>
      <c r="U3163" t="s">
        <v>325</v>
      </c>
      <c r="V3163" t="s">
        <v>326</v>
      </c>
      <c r="W3163" t="s">
        <v>366</v>
      </c>
    </row>
    <row r="3164" spans="4:23" ht="15.75" customHeight="1" x14ac:dyDescent="0.2">
      <c r="D3164" t="s">
        <v>285</v>
      </c>
      <c r="E3164" t="s">
        <v>458</v>
      </c>
      <c r="F3164">
        <v>15</v>
      </c>
      <c r="U3164" t="s">
        <v>327</v>
      </c>
      <c r="V3164" t="s">
        <v>328</v>
      </c>
      <c r="W3164" t="s">
        <v>366</v>
      </c>
    </row>
    <row r="3165" spans="4:23" ht="15.75" customHeight="1" x14ac:dyDescent="0.2">
      <c r="D3165" t="s">
        <v>285</v>
      </c>
      <c r="E3165" t="s">
        <v>458</v>
      </c>
      <c r="F3165">
        <v>15</v>
      </c>
      <c r="U3165" t="s">
        <v>329</v>
      </c>
      <c r="V3165" t="s">
        <v>330</v>
      </c>
      <c r="W3165" t="s">
        <v>366</v>
      </c>
    </row>
    <row r="3166" spans="4:23" ht="15.75" customHeight="1" x14ac:dyDescent="0.2">
      <c r="D3166" t="s">
        <v>285</v>
      </c>
      <c r="E3166" t="s">
        <v>458</v>
      </c>
      <c r="F3166">
        <v>15</v>
      </c>
      <c r="U3166" t="s">
        <v>331</v>
      </c>
      <c r="V3166" t="s">
        <v>332</v>
      </c>
      <c r="W3166" t="s">
        <v>366</v>
      </c>
    </row>
    <row r="3167" spans="4:23" ht="15.75" customHeight="1" x14ac:dyDescent="0.2">
      <c r="D3167" t="s">
        <v>285</v>
      </c>
      <c r="E3167" t="s">
        <v>458</v>
      </c>
      <c r="F3167">
        <v>15</v>
      </c>
      <c r="U3167" t="s">
        <v>333</v>
      </c>
      <c r="V3167" t="s">
        <v>334</v>
      </c>
      <c r="W3167" t="s">
        <v>366</v>
      </c>
    </row>
    <row r="3168" spans="4:23" ht="15.75" customHeight="1" x14ac:dyDescent="0.2">
      <c r="D3168" t="s">
        <v>285</v>
      </c>
      <c r="E3168" t="s">
        <v>458</v>
      </c>
      <c r="F3168">
        <v>15</v>
      </c>
      <c r="U3168" t="s">
        <v>335</v>
      </c>
      <c r="V3168" t="s">
        <v>336</v>
      </c>
      <c r="W3168" t="s">
        <v>366</v>
      </c>
    </row>
    <row r="3169" spans="4:23" ht="15.75" customHeight="1" x14ac:dyDescent="0.2">
      <c r="D3169" t="s">
        <v>285</v>
      </c>
      <c r="E3169" t="s">
        <v>458</v>
      </c>
      <c r="F3169">
        <v>15</v>
      </c>
      <c r="U3169" t="s">
        <v>337</v>
      </c>
      <c r="V3169" t="s">
        <v>338</v>
      </c>
      <c r="W3169" t="s">
        <v>366</v>
      </c>
    </row>
    <row r="3170" spans="4:23" ht="15.75" customHeight="1" x14ac:dyDescent="0.2">
      <c r="D3170" t="s">
        <v>285</v>
      </c>
      <c r="E3170" t="s">
        <v>458</v>
      </c>
      <c r="F3170">
        <v>15</v>
      </c>
      <c r="U3170" t="s">
        <v>339</v>
      </c>
      <c r="V3170" t="s">
        <v>340</v>
      </c>
      <c r="W3170" t="s">
        <v>366</v>
      </c>
    </row>
    <row r="3171" spans="4:23" ht="15.75" customHeight="1" x14ac:dyDescent="0.2">
      <c r="D3171" t="s">
        <v>285</v>
      </c>
      <c r="E3171" t="s">
        <v>458</v>
      </c>
      <c r="F3171">
        <v>15</v>
      </c>
      <c r="U3171" t="s">
        <v>341</v>
      </c>
      <c r="V3171" t="s">
        <v>342</v>
      </c>
      <c r="W3171" t="s">
        <v>366</v>
      </c>
    </row>
    <row r="3172" spans="4:23" ht="15.75" customHeight="1" x14ac:dyDescent="0.2">
      <c r="D3172" t="s">
        <v>285</v>
      </c>
      <c r="E3172" t="s">
        <v>458</v>
      </c>
      <c r="F3172">
        <v>15</v>
      </c>
      <c r="U3172" t="s">
        <v>343</v>
      </c>
      <c r="V3172" t="s">
        <v>344</v>
      </c>
      <c r="W3172" t="s">
        <v>366</v>
      </c>
    </row>
    <row r="3173" spans="4:23" ht="15.75" customHeight="1" x14ac:dyDescent="0.2">
      <c r="D3173" t="s">
        <v>285</v>
      </c>
      <c r="E3173" t="s">
        <v>458</v>
      </c>
      <c r="F3173">
        <v>15</v>
      </c>
      <c r="U3173" t="s">
        <v>345</v>
      </c>
      <c r="V3173" t="s">
        <v>346</v>
      </c>
      <c r="W3173" t="s">
        <v>366</v>
      </c>
    </row>
    <row r="3174" spans="4:23" ht="15.75" customHeight="1" x14ac:dyDescent="0.2">
      <c r="D3174" t="s">
        <v>285</v>
      </c>
      <c r="E3174" t="s">
        <v>458</v>
      </c>
      <c r="F3174">
        <v>15</v>
      </c>
      <c r="U3174" t="s">
        <v>347</v>
      </c>
      <c r="V3174" t="s">
        <v>348</v>
      </c>
      <c r="W3174" t="s">
        <v>366</v>
      </c>
    </row>
    <row r="3175" spans="4:23" ht="15.75" customHeight="1" x14ac:dyDescent="0.2">
      <c r="D3175" t="s">
        <v>285</v>
      </c>
      <c r="E3175" t="s">
        <v>475</v>
      </c>
      <c r="F3175">
        <v>16</v>
      </c>
      <c r="P3175" t="s">
        <v>476</v>
      </c>
      <c r="Q3175">
        <v>130</v>
      </c>
      <c r="R3175" t="s">
        <v>288</v>
      </c>
      <c r="S3175" t="s">
        <v>2</v>
      </c>
      <c r="T3175">
        <v>0</v>
      </c>
    </row>
    <row r="3176" spans="4:23" ht="15.75" customHeight="1" x14ac:dyDescent="0.2">
      <c r="D3176" t="s">
        <v>285</v>
      </c>
      <c r="E3176" t="s">
        <v>475</v>
      </c>
      <c r="F3176">
        <v>16</v>
      </c>
      <c r="P3176" t="s">
        <v>476</v>
      </c>
      <c r="Q3176">
        <v>130</v>
      </c>
      <c r="R3176" t="s">
        <v>289</v>
      </c>
      <c r="S3176" t="s">
        <v>5</v>
      </c>
      <c r="T3176">
        <v>0</v>
      </c>
    </row>
    <row r="3177" spans="4:23" ht="15.75" customHeight="1" x14ac:dyDescent="0.2">
      <c r="D3177" t="s">
        <v>285</v>
      </c>
      <c r="E3177" t="s">
        <v>475</v>
      </c>
      <c r="F3177">
        <v>16</v>
      </c>
      <c r="P3177" t="s">
        <v>476</v>
      </c>
      <c r="Q3177">
        <v>130</v>
      </c>
      <c r="R3177" t="s">
        <v>290</v>
      </c>
      <c r="S3177" t="s">
        <v>3</v>
      </c>
      <c r="T3177">
        <v>1</v>
      </c>
    </row>
    <row r="3178" spans="4:23" ht="15.75" customHeight="1" x14ac:dyDescent="0.2">
      <c r="D3178" t="s">
        <v>285</v>
      </c>
      <c r="E3178" t="s">
        <v>475</v>
      </c>
      <c r="F3178">
        <v>16</v>
      </c>
      <c r="P3178" t="s">
        <v>476</v>
      </c>
      <c r="Q3178">
        <v>130</v>
      </c>
      <c r="R3178" t="s">
        <v>291</v>
      </c>
      <c r="S3178" t="s">
        <v>4</v>
      </c>
      <c r="T3178">
        <v>1</v>
      </c>
    </row>
    <row r="3179" spans="4:23" ht="15.75" customHeight="1" x14ac:dyDescent="0.2">
      <c r="D3179" t="s">
        <v>285</v>
      </c>
      <c r="E3179" t="s">
        <v>475</v>
      </c>
      <c r="F3179">
        <v>16</v>
      </c>
      <c r="P3179" t="s">
        <v>476</v>
      </c>
      <c r="Q3179">
        <v>130</v>
      </c>
      <c r="R3179" t="s">
        <v>292</v>
      </c>
      <c r="S3179" t="s">
        <v>6</v>
      </c>
      <c r="T3179">
        <v>0</v>
      </c>
    </row>
    <row r="3180" spans="4:23" ht="15.75" customHeight="1" x14ac:dyDescent="0.2">
      <c r="D3180" t="s">
        <v>285</v>
      </c>
      <c r="E3180" t="s">
        <v>475</v>
      </c>
      <c r="F3180">
        <v>16</v>
      </c>
      <c r="P3180" t="s">
        <v>476</v>
      </c>
      <c r="Q3180">
        <v>130</v>
      </c>
      <c r="R3180" t="s">
        <v>243</v>
      </c>
      <c r="S3180" t="s">
        <v>7</v>
      </c>
      <c r="T3180">
        <v>0</v>
      </c>
    </row>
    <row r="3181" spans="4:23" ht="15.75" customHeight="1" x14ac:dyDescent="0.2">
      <c r="D3181" t="s">
        <v>285</v>
      </c>
      <c r="E3181" t="s">
        <v>475</v>
      </c>
      <c r="F3181">
        <v>16</v>
      </c>
      <c r="P3181" t="s">
        <v>476</v>
      </c>
      <c r="Q3181">
        <v>130</v>
      </c>
      <c r="R3181" t="s">
        <v>245</v>
      </c>
      <c r="S3181" t="s">
        <v>8</v>
      </c>
      <c r="T3181">
        <v>0</v>
      </c>
    </row>
    <row r="3182" spans="4:23" ht="15.75" customHeight="1" x14ac:dyDescent="0.2">
      <c r="D3182" t="s">
        <v>285</v>
      </c>
      <c r="E3182" t="s">
        <v>475</v>
      </c>
      <c r="F3182">
        <v>16</v>
      </c>
      <c r="P3182" t="s">
        <v>476</v>
      </c>
      <c r="Q3182">
        <v>130</v>
      </c>
      <c r="R3182" t="s">
        <v>247</v>
      </c>
      <c r="S3182" t="s">
        <v>9</v>
      </c>
      <c r="T3182">
        <v>0</v>
      </c>
    </row>
    <row r="3183" spans="4:23" ht="15.75" customHeight="1" x14ac:dyDescent="0.2">
      <c r="D3183" t="s">
        <v>285</v>
      </c>
      <c r="E3183" t="s">
        <v>475</v>
      </c>
      <c r="F3183">
        <v>16</v>
      </c>
      <c r="P3183" t="s">
        <v>476</v>
      </c>
      <c r="Q3183">
        <v>130</v>
      </c>
      <c r="R3183" t="s">
        <v>249</v>
      </c>
      <c r="S3183" t="s">
        <v>10</v>
      </c>
      <c r="T3183">
        <v>4</v>
      </c>
    </row>
    <row r="3184" spans="4:23" ht="15.75" customHeight="1" x14ac:dyDescent="0.2">
      <c r="D3184" t="s">
        <v>285</v>
      </c>
      <c r="E3184" t="s">
        <v>475</v>
      </c>
      <c r="F3184">
        <v>16</v>
      </c>
      <c r="P3184" t="s">
        <v>476</v>
      </c>
      <c r="Q3184">
        <v>130</v>
      </c>
      <c r="R3184" t="s">
        <v>251</v>
      </c>
      <c r="S3184" t="s">
        <v>11</v>
      </c>
      <c r="T3184">
        <v>4</v>
      </c>
    </row>
    <row r="3185" spans="4:23" ht="15.75" customHeight="1" x14ac:dyDescent="0.2">
      <c r="D3185" t="s">
        <v>285</v>
      </c>
      <c r="E3185" t="s">
        <v>475</v>
      </c>
      <c r="F3185">
        <v>16</v>
      </c>
      <c r="P3185" t="s">
        <v>476</v>
      </c>
      <c r="Q3185">
        <v>130</v>
      </c>
      <c r="R3185" t="s">
        <v>253</v>
      </c>
      <c r="S3185" t="s">
        <v>12</v>
      </c>
      <c r="T3185">
        <v>8</v>
      </c>
    </row>
    <row r="3186" spans="4:23" ht="15.75" customHeight="1" x14ac:dyDescent="0.2">
      <c r="D3186" t="s">
        <v>285</v>
      </c>
      <c r="E3186" t="s">
        <v>475</v>
      </c>
      <c r="F3186">
        <v>16</v>
      </c>
      <c r="P3186" t="s">
        <v>476</v>
      </c>
      <c r="Q3186">
        <v>130</v>
      </c>
      <c r="R3186" t="s">
        <v>255</v>
      </c>
      <c r="S3186" t="s">
        <v>15</v>
      </c>
      <c r="T3186">
        <v>10</v>
      </c>
    </row>
    <row r="3187" spans="4:23" ht="15.75" customHeight="1" x14ac:dyDescent="0.2">
      <c r="D3187" t="s">
        <v>285</v>
      </c>
      <c r="E3187" t="s">
        <v>475</v>
      </c>
      <c r="F3187">
        <v>16</v>
      </c>
      <c r="P3187" t="s">
        <v>476</v>
      </c>
      <c r="Q3187">
        <v>130</v>
      </c>
      <c r="R3187" t="s">
        <v>293</v>
      </c>
      <c r="S3187" t="s">
        <v>13</v>
      </c>
      <c r="T3187">
        <v>0</v>
      </c>
    </row>
    <row r="3188" spans="4:23" ht="15.75" customHeight="1" x14ac:dyDescent="0.2">
      <c r="D3188" t="s">
        <v>285</v>
      </c>
      <c r="E3188" t="s">
        <v>475</v>
      </c>
      <c r="F3188">
        <v>16</v>
      </c>
      <c r="P3188" t="s">
        <v>476</v>
      </c>
      <c r="Q3188">
        <v>130</v>
      </c>
      <c r="R3188" t="s">
        <v>294</v>
      </c>
      <c r="S3188" t="s">
        <v>14</v>
      </c>
      <c r="T3188">
        <v>0</v>
      </c>
    </row>
    <row r="3189" spans="4:23" ht="15.75" customHeight="1" x14ac:dyDescent="0.2">
      <c r="D3189" t="s">
        <v>285</v>
      </c>
      <c r="E3189" t="s">
        <v>475</v>
      </c>
      <c r="F3189">
        <v>16</v>
      </c>
      <c r="P3189" t="s">
        <v>476</v>
      </c>
      <c r="Q3189">
        <v>130</v>
      </c>
      <c r="R3189" t="s">
        <v>257</v>
      </c>
      <c r="S3189" t="s">
        <v>16</v>
      </c>
      <c r="T3189">
        <v>71.8626</v>
      </c>
    </row>
    <row r="3190" spans="4:23" ht="15.75" customHeight="1" x14ac:dyDescent="0.2">
      <c r="D3190" t="s">
        <v>285</v>
      </c>
      <c r="E3190" t="s">
        <v>475</v>
      </c>
      <c r="F3190">
        <v>16</v>
      </c>
      <c r="P3190" t="s">
        <v>476</v>
      </c>
      <c r="Q3190">
        <v>130</v>
      </c>
      <c r="R3190" t="s">
        <v>295</v>
      </c>
      <c r="S3190" t="s">
        <v>17</v>
      </c>
      <c r="T3190">
        <v>0</v>
      </c>
    </row>
    <row r="3191" spans="4:23" ht="15.75" customHeight="1" x14ac:dyDescent="0.2">
      <c r="D3191" t="s">
        <v>285</v>
      </c>
      <c r="E3191" t="s">
        <v>475</v>
      </c>
      <c r="F3191">
        <v>16</v>
      </c>
      <c r="P3191" t="s">
        <v>476</v>
      </c>
      <c r="Q3191">
        <v>130</v>
      </c>
      <c r="R3191" t="s">
        <v>296</v>
      </c>
      <c r="S3191" t="s">
        <v>1</v>
      </c>
      <c r="T3191">
        <v>1</v>
      </c>
    </row>
    <row r="3192" spans="4:23" ht="15.75" customHeight="1" x14ac:dyDescent="0.2">
      <c r="D3192" t="s">
        <v>285</v>
      </c>
      <c r="E3192" t="s">
        <v>475</v>
      </c>
      <c r="F3192">
        <v>16</v>
      </c>
      <c r="P3192" t="s">
        <v>476</v>
      </c>
      <c r="Q3192">
        <v>130</v>
      </c>
      <c r="R3192" t="s">
        <v>297</v>
      </c>
      <c r="S3192" t="s">
        <v>18</v>
      </c>
      <c r="T3192">
        <v>0</v>
      </c>
    </row>
    <row r="3193" spans="4:23" ht="15.75" customHeight="1" x14ac:dyDescent="0.2">
      <c r="D3193" t="s">
        <v>285</v>
      </c>
      <c r="E3193" t="s">
        <v>475</v>
      </c>
      <c r="F3193">
        <v>16</v>
      </c>
      <c r="P3193" t="s">
        <v>476</v>
      </c>
      <c r="Q3193">
        <v>130</v>
      </c>
      <c r="R3193" t="s">
        <v>298</v>
      </c>
      <c r="S3193" t="s">
        <v>19</v>
      </c>
      <c r="T3193">
        <v>0</v>
      </c>
    </row>
    <row r="3194" spans="4:23" ht="15.75" customHeight="1" x14ac:dyDescent="0.2">
      <c r="D3194" t="s">
        <v>285</v>
      </c>
      <c r="E3194" t="s">
        <v>475</v>
      </c>
      <c r="F3194">
        <v>16</v>
      </c>
      <c r="P3194" t="s">
        <v>476</v>
      </c>
      <c r="Q3194">
        <v>130</v>
      </c>
      <c r="R3194" t="s">
        <v>299</v>
      </c>
      <c r="S3194" t="s">
        <v>20</v>
      </c>
      <c r="T3194">
        <v>1</v>
      </c>
    </row>
    <row r="3195" spans="4:23" ht="15.75" customHeight="1" x14ac:dyDescent="0.2">
      <c r="D3195" t="s">
        <v>285</v>
      </c>
      <c r="E3195" t="s">
        <v>475</v>
      </c>
      <c r="F3195">
        <v>16</v>
      </c>
      <c r="U3195" t="s">
        <v>300</v>
      </c>
      <c r="V3195" t="s">
        <v>301</v>
      </c>
      <c r="W3195">
        <v>0</v>
      </c>
    </row>
    <row r="3196" spans="4:23" ht="15.75" customHeight="1" x14ac:dyDescent="0.2">
      <c r="D3196" t="s">
        <v>285</v>
      </c>
      <c r="E3196" t="s">
        <v>475</v>
      </c>
      <c r="F3196">
        <v>16</v>
      </c>
      <c r="U3196" t="s">
        <v>288</v>
      </c>
      <c r="V3196" t="s">
        <v>302</v>
      </c>
      <c r="W3196">
        <v>0</v>
      </c>
    </row>
    <row r="3197" spans="4:23" ht="15.75" customHeight="1" x14ac:dyDescent="0.2">
      <c r="D3197" t="s">
        <v>285</v>
      </c>
      <c r="E3197" t="s">
        <v>475</v>
      </c>
      <c r="F3197">
        <v>16</v>
      </c>
      <c r="U3197" t="s">
        <v>303</v>
      </c>
      <c r="V3197" t="s">
        <v>304</v>
      </c>
      <c r="W3197">
        <v>3</v>
      </c>
    </row>
    <row r="3198" spans="4:23" ht="15.75" customHeight="1" x14ac:dyDescent="0.2">
      <c r="D3198" t="s">
        <v>285</v>
      </c>
      <c r="E3198" t="s">
        <v>475</v>
      </c>
      <c r="F3198">
        <v>16</v>
      </c>
      <c r="U3198" t="s">
        <v>305</v>
      </c>
      <c r="V3198" t="s">
        <v>306</v>
      </c>
      <c r="W3198">
        <v>0</v>
      </c>
    </row>
    <row r="3199" spans="4:23" ht="15.75" customHeight="1" x14ac:dyDescent="0.2">
      <c r="D3199" t="s">
        <v>285</v>
      </c>
      <c r="E3199" t="s">
        <v>475</v>
      </c>
      <c r="F3199">
        <v>16</v>
      </c>
      <c r="U3199" t="s">
        <v>307</v>
      </c>
      <c r="V3199" t="s">
        <v>308</v>
      </c>
      <c r="W3199">
        <v>1</v>
      </c>
    </row>
    <row r="3200" spans="4:23" ht="15.75" customHeight="1" x14ac:dyDescent="0.2">
      <c r="D3200" t="s">
        <v>285</v>
      </c>
      <c r="E3200" t="s">
        <v>475</v>
      </c>
      <c r="F3200">
        <v>16</v>
      </c>
      <c r="U3200" t="s">
        <v>243</v>
      </c>
      <c r="V3200" t="s">
        <v>309</v>
      </c>
      <c r="W3200">
        <v>0</v>
      </c>
    </row>
    <row r="3201" spans="4:23" ht="15.75" customHeight="1" x14ac:dyDescent="0.2">
      <c r="D3201" t="s">
        <v>285</v>
      </c>
      <c r="E3201" t="s">
        <v>475</v>
      </c>
      <c r="F3201">
        <v>16</v>
      </c>
      <c r="U3201" t="s">
        <v>245</v>
      </c>
      <c r="V3201" t="s">
        <v>310</v>
      </c>
      <c r="W3201">
        <v>0</v>
      </c>
    </row>
    <row r="3202" spans="4:23" ht="15.75" customHeight="1" x14ac:dyDescent="0.2">
      <c r="D3202" t="s">
        <v>285</v>
      </c>
      <c r="E3202" t="s">
        <v>475</v>
      </c>
      <c r="F3202">
        <v>16</v>
      </c>
      <c r="U3202" t="s">
        <v>247</v>
      </c>
      <c r="V3202" t="s">
        <v>311</v>
      </c>
      <c r="W3202">
        <v>0</v>
      </c>
    </row>
    <row r="3203" spans="4:23" ht="15.75" customHeight="1" x14ac:dyDescent="0.2">
      <c r="D3203" t="s">
        <v>285</v>
      </c>
      <c r="E3203" t="s">
        <v>475</v>
      </c>
      <c r="F3203">
        <v>16</v>
      </c>
      <c r="U3203" t="s">
        <v>249</v>
      </c>
      <c r="V3203" t="s">
        <v>312</v>
      </c>
      <c r="W3203">
        <v>6</v>
      </c>
    </row>
    <row r="3204" spans="4:23" ht="15.75" customHeight="1" x14ac:dyDescent="0.2">
      <c r="D3204" t="s">
        <v>285</v>
      </c>
      <c r="E3204" t="s">
        <v>475</v>
      </c>
      <c r="F3204">
        <v>16</v>
      </c>
      <c r="U3204" t="s">
        <v>251</v>
      </c>
      <c r="V3204" t="s">
        <v>313</v>
      </c>
      <c r="W3204">
        <v>5</v>
      </c>
    </row>
    <row r="3205" spans="4:23" ht="15.75" customHeight="1" x14ac:dyDescent="0.2">
      <c r="D3205" t="s">
        <v>285</v>
      </c>
      <c r="E3205" t="s">
        <v>475</v>
      </c>
      <c r="F3205">
        <v>16</v>
      </c>
      <c r="U3205" t="s">
        <v>253</v>
      </c>
      <c r="V3205" t="s">
        <v>314</v>
      </c>
      <c r="W3205">
        <v>13.9316</v>
      </c>
    </row>
    <row r="3206" spans="4:23" ht="15.75" customHeight="1" x14ac:dyDescent="0.2">
      <c r="D3206" t="s">
        <v>285</v>
      </c>
      <c r="E3206" t="s">
        <v>475</v>
      </c>
      <c r="F3206">
        <v>16</v>
      </c>
      <c r="U3206" t="s">
        <v>315</v>
      </c>
      <c r="V3206" t="s">
        <v>316</v>
      </c>
      <c r="W3206">
        <v>0</v>
      </c>
    </row>
    <row r="3207" spans="4:23" ht="15.75" customHeight="1" x14ac:dyDescent="0.2">
      <c r="D3207" t="s">
        <v>285</v>
      </c>
      <c r="E3207" t="s">
        <v>475</v>
      </c>
      <c r="F3207">
        <v>16</v>
      </c>
      <c r="U3207" t="s">
        <v>317</v>
      </c>
      <c r="V3207" t="s">
        <v>318</v>
      </c>
      <c r="W3207">
        <v>10</v>
      </c>
    </row>
    <row r="3208" spans="4:23" ht="15.75" customHeight="1" x14ac:dyDescent="0.2">
      <c r="D3208" t="s">
        <v>285</v>
      </c>
      <c r="E3208" t="s">
        <v>475</v>
      </c>
      <c r="F3208">
        <v>16</v>
      </c>
      <c r="U3208" t="s">
        <v>257</v>
      </c>
      <c r="V3208" t="s">
        <v>319</v>
      </c>
      <c r="W3208">
        <v>70.386200000000002</v>
      </c>
    </row>
    <row r="3209" spans="4:23" ht="15.75" customHeight="1" x14ac:dyDescent="0.2">
      <c r="D3209" t="s">
        <v>285</v>
      </c>
      <c r="E3209" t="s">
        <v>475</v>
      </c>
      <c r="F3209">
        <v>16</v>
      </c>
      <c r="U3209" t="s">
        <v>320</v>
      </c>
      <c r="V3209" t="s">
        <v>321</v>
      </c>
      <c r="W3209">
        <v>1</v>
      </c>
    </row>
    <row r="3210" spans="4:23" ht="15.75" customHeight="1" x14ac:dyDescent="0.2">
      <c r="D3210" t="s">
        <v>285</v>
      </c>
      <c r="E3210" t="s">
        <v>475</v>
      </c>
      <c r="F3210">
        <v>16</v>
      </c>
      <c r="U3210" t="s">
        <v>263</v>
      </c>
      <c r="V3210" t="s">
        <v>322</v>
      </c>
      <c r="W3210">
        <v>3</v>
      </c>
    </row>
    <row r="3211" spans="4:23" ht="15.75" customHeight="1" x14ac:dyDescent="0.2">
      <c r="D3211" t="s">
        <v>285</v>
      </c>
      <c r="E3211" t="s">
        <v>475</v>
      </c>
      <c r="F3211">
        <v>16</v>
      </c>
      <c r="U3211" t="s">
        <v>323</v>
      </c>
      <c r="V3211" t="s">
        <v>324</v>
      </c>
      <c r="W3211">
        <v>0</v>
      </c>
    </row>
    <row r="3212" spans="4:23" ht="15.75" customHeight="1" x14ac:dyDescent="0.2">
      <c r="D3212" t="s">
        <v>285</v>
      </c>
      <c r="E3212" t="s">
        <v>475</v>
      </c>
      <c r="F3212">
        <v>16</v>
      </c>
      <c r="U3212" t="s">
        <v>325</v>
      </c>
      <c r="V3212" t="s">
        <v>326</v>
      </c>
      <c r="W3212">
        <v>1</v>
      </c>
    </row>
    <row r="3213" spans="4:23" ht="15.75" customHeight="1" x14ac:dyDescent="0.2">
      <c r="D3213" t="s">
        <v>285</v>
      </c>
      <c r="E3213" t="s">
        <v>475</v>
      </c>
      <c r="F3213">
        <v>16</v>
      </c>
      <c r="U3213" t="s">
        <v>327</v>
      </c>
      <c r="V3213" t="s">
        <v>328</v>
      </c>
      <c r="W3213">
        <v>0</v>
      </c>
    </row>
    <row r="3214" spans="4:23" ht="15.75" customHeight="1" x14ac:dyDescent="0.2">
      <c r="D3214" t="s">
        <v>285</v>
      </c>
      <c r="E3214" t="s">
        <v>475</v>
      </c>
      <c r="F3214">
        <v>16</v>
      </c>
      <c r="U3214" t="s">
        <v>329</v>
      </c>
      <c r="V3214" t="s">
        <v>330</v>
      </c>
      <c r="W3214">
        <v>13</v>
      </c>
    </row>
    <row r="3215" spans="4:23" ht="15.75" customHeight="1" x14ac:dyDescent="0.2">
      <c r="D3215" t="s">
        <v>285</v>
      </c>
      <c r="E3215" t="s">
        <v>475</v>
      </c>
      <c r="F3215">
        <v>16</v>
      </c>
      <c r="U3215" t="s">
        <v>331</v>
      </c>
      <c r="V3215" t="s">
        <v>332</v>
      </c>
      <c r="W3215">
        <v>0</v>
      </c>
    </row>
    <row r="3216" spans="4:23" ht="15.75" customHeight="1" x14ac:dyDescent="0.2">
      <c r="D3216" t="s">
        <v>285</v>
      </c>
      <c r="E3216" t="s">
        <v>475</v>
      </c>
      <c r="F3216">
        <v>16</v>
      </c>
      <c r="U3216" t="s">
        <v>333</v>
      </c>
      <c r="V3216" t="s">
        <v>334</v>
      </c>
      <c r="W3216">
        <v>1</v>
      </c>
    </row>
    <row r="3217" spans="4:23" ht="15.75" customHeight="1" x14ac:dyDescent="0.2">
      <c r="D3217" t="s">
        <v>285</v>
      </c>
      <c r="E3217" t="s">
        <v>475</v>
      </c>
      <c r="F3217">
        <v>16</v>
      </c>
      <c r="U3217" t="s">
        <v>335</v>
      </c>
      <c r="V3217" t="s">
        <v>336</v>
      </c>
      <c r="W3217">
        <v>14</v>
      </c>
    </row>
    <row r="3218" spans="4:23" ht="15.75" customHeight="1" x14ac:dyDescent="0.2">
      <c r="D3218" t="s">
        <v>285</v>
      </c>
      <c r="E3218" t="s">
        <v>475</v>
      </c>
      <c r="F3218">
        <v>16</v>
      </c>
      <c r="U3218" t="s">
        <v>337</v>
      </c>
      <c r="V3218" t="s">
        <v>338</v>
      </c>
      <c r="W3218">
        <v>0</v>
      </c>
    </row>
    <row r="3219" spans="4:23" ht="15.75" customHeight="1" x14ac:dyDescent="0.2">
      <c r="D3219" t="s">
        <v>285</v>
      </c>
      <c r="E3219" t="s">
        <v>475</v>
      </c>
      <c r="F3219">
        <v>16</v>
      </c>
      <c r="U3219" t="s">
        <v>339</v>
      </c>
      <c r="V3219" t="s">
        <v>340</v>
      </c>
      <c r="W3219">
        <v>0</v>
      </c>
    </row>
    <row r="3220" spans="4:23" ht="15.75" customHeight="1" x14ac:dyDescent="0.2">
      <c r="D3220" t="s">
        <v>285</v>
      </c>
      <c r="E3220" t="s">
        <v>475</v>
      </c>
      <c r="F3220">
        <v>16</v>
      </c>
      <c r="U3220" t="s">
        <v>341</v>
      </c>
      <c r="V3220" t="s">
        <v>342</v>
      </c>
      <c r="W3220">
        <v>2</v>
      </c>
    </row>
    <row r="3221" spans="4:23" ht="15.75" customHeight="1" x14ac:dyDescent="0.2">
      <c r="D3221" t="s">
        <v>285</v>
      </c>
      <c r="E3221" t="s">
        <v>475</v>
      </c>
      <c r="F3221">
        <v>16</v>
      </c>
      <c r="U3221" t="s">
        <v>343</v>
      </c>
      <c r="V3221" t="s">
        <v>344</v>
      </c>
      <c r="W3221">
        <v>0</v>
      </c>
    </row>
    <row r="3222" spans="4:23" ht="15.75" customHeight="1" x14ac:dyDescent="0.2">
      <c r="D3222" t="s">
        <v>285</v>
      </c>
      <c r="E3222" t="s">
        <v>475</v>
      </c>
      <c r="F3222">
        <v>16</v>
      </c>
      <c r="U3222" t="s">
        <v>345</v>
      </c>
      <c r="V3222" t="s">
        <v>346</v>
      </c>
      <c r="W3222">
        <v>0</v>
      </c>
    </row>
    <row r="3223" spans="4:23" ht="15.75" customHeight="1" x14ac:dyDescent="0.2">
      <c r="D3223" t="s">
        <v>285</v>
      </c>
      <c r="E3223" t="s">
        <v>475</v>
      </c>
      <c r="F3223">
        <v>16</v>
      </c>
      <c r="U3223" t="s">
        <v>347</v>
      </c>
      <c r="V3223" t="s">
        <v>348</v>
      </c>
      <c r="W3223">
        <v>1</v>
      </c>
    </row>
    <row r="3224" spans="4:23" ht="15.75" customHeight="1" x14ac:dyDescent="0.2">
      <c r="D3224" t="s">
        <v>285</v>
      </c>
      <c r="E3224" t="s">
        <v>477</v>
      </c>
      <c r="F3224">
        <v>17</v>
      </c>
      <c r="P3224" t="s">
        <v>478</v>
      </c>
      <c r="Q3224">
        <v>131</v>
      </c>
      <c r="R3224" t="s">
        <v>288</v>
      </c>
      <c r="S3224" t="s">
        <v>2</v>
      </c>
      <c r="T3224">
        <v>0</v>
      </c>
    </row>
    <row r="3225" spans="4:23" ht="15.75" customHeight="1" x14ac:dyDescent="0.2">
      <c r="D3225" t="s">
        <v>285</v>
      </c>
      <c r="E3225" t="s">
        <v>477</v>
      </c>
      <c r="F3225">
        <v>17</v>
      </c>
      <c r="P3225" t="s">
        <v>478</v>
      </c>
      <c r="Q3225">
        <v>131</v>
      </c>
      <c r="R3225" t="s">
        <v>289</v>
      </c>
      <c r="S3225" t="s">
        <v>5</v>
      </c>
      <c r="T3225">
        <v>0</v>
      </c>
    </row>
    <row r="3226" spans="4:23" ht="15.75" customHeight="1" x14ac:dyDescent="0.2">
      <c r="D3226" t="s">
        <v>285</v>
      </c>
      <c r="E3226" t="s">
        <v>477</v>
      </c>
      <c r="F3226">
        <v>17</v>
      </c>
      <c r="P3226" t="s">
        <v>478</v>
      </c>
      <c r="Q3226">
        <v>131</v>
      </c>
      <c r="R3226" t="s">
        <v>290</v>
      </c>
      <c r="S3226" t="s">
        <v>3</v>
      </c>
      <c r="T3226">
        <v>0</v>
      </c>
    </row>
    <row r="3227" spans="4:23" ht="15.75" customHeight="1" x14ac:dyDescent="0.2">
      <c r="D3227" t="s">
        <v>285</v>
      </c>
      <c r="E3227" t="s">
        <v>477</v>
      </c>
      <c r="F3227">
        <v>17</v>
      </c>
      <c r="P3227" t="s">
        <v>478</v>
      </c>
      <c r="Q3227">
        <v>131</v>
      </c>
      <c r="R3227" t="s">
        <v>291</v>
      </c>
      <c r="S3227" t="s">
        <v>4</v>
      </c>
      <c r="T3227">
        <v>0</v>
      </c>
    </row>
    <row r="3228" spans="4:23" ht="15.75" customHeight="1" x14ac:dyDescent="0.2">
      <c r="D3228" t="s">
        <v>285</v>
      </c>
      <c r="E3228" t="s">
        <v>477</v>
      </c>
      <c r="F3228">
        <v>17</v>
      </c>
      <c r="P3228" t="s">
        <v>478</v>
      </c>
      <c r="Q3228">
        <v>131</v>
      </c>
      <c r="R3228" t="s">
        <v>292</v>
      </c>
      <c r="S3228" t="s">
        <v>6</v>
      </c>
      <c r="T3228">
        <v>0</v>
      </c>
    </row>
    <row r="3229" spans="4:23" ht="15.75" customHeight="1" x14ac:dyDescent="0.2">
      <c r="D3229" t="s">
        <v>285</v>
      </c>
      <c r="E3229" t="s">
        <v>477</v>
      </c>
      <c r="F3229">
        <v>17</v>
      </c>
      <c r="P3229" t="s">
        <v>478</v>
      </c>
      <c r="Q3229">
        <v>131</v>
      </c>
      <c r="R3229" t="s">
        <v>243</v>
      </c>
      <c r="S3229" t="s">
        <v>7</v>
      </c>
      <c r="T3229">
        <v>1.5</v>
      </c>
    </row>
    <row r="3230" spans="4:23" ht="15.75" customHeight="1" x14ac:dyDescent="0.2">
      <c r="D3230" t="s">
        <v>285</v>
      </c>
      <c r="E3230" t="s">
        <v>477</v>
      </c>
      <c r="F3230">
        <v>17</v>
      </c>
      <c r="P3230" t="s">
        <v>478</v>
      </c>
      <c r="Q3230">
        <v>131</v>
      </c>
      <c r="R3230" t="s">
        <v>245</v>
      </c>
      <c r="S3230" t="s">
        <v>8</v>
      </c>
      <c r="T3230">
        <v>52.303800000000003</v>
      </c>
    </row>
    <row r="3231" spans="4:23" ht="15.75" customHeight="1" x14ac:dyDescent="0.2">
      <c r="D3231" t="s">
        <v>285</v>
      </c>
      <c r="E3231" t="s">
        <v>477</v>
      </c>
      <c r="F3231">
        <v>17</v>
      </c>
      <c r="P3231" t="s">
        <v>478</v>
      </c>
      <c r="Q3231">
        <v>131</v>
      </c>
      <c r="R3231" t="s">
        <v>247</v>
      </c>
      <c r="S3231" t="s">
        <v>9</v>
      </c>
      <c r="T3231">
        <v>4.7000000000000002E-3</v>
      </c>
    </row>
    <row r="3232" spans="4:23" ht="15.75" customHeight="1" x14ac:dyDescent="0.2">
      <c r="D3232" t="s">
        <v>285</v>
      </c>
      <c r="E3232" t="s">
        <v>477</v>
      </c>
      <c r="F3232">
        <v>17</v>
      </c>
      <c r="P3232" t="s">
        <v>478</v>
      </c>
      <c r="Q3232">
        <v>131</v>
      </c>
      <c r="R3232" t="s">
        <v>249</v>
      </c>
      <c r="S3232" t="s">
        <v>10</v>
      </c>
      <c r="T3232">
        <v>11</v>
      </c>
    </row>
    <row r="3233" spans="4:20" ht="15.75" customHeight="1" x14ac:dyDescent="0.2">
      <c r="D3233" t="s">
        <v>285</v>
      </c>
      <c r="E3233" t="s">
        <v>477</v>
      </c>
      <c r="F3233">
        <v>17</v>
      </c>
      <c r="P3233" t="s">
        <v>478</v>
      </c>
      <c r="Q3233">
        <v>131</v>
      </c>
      <c r="R3233" t="s">
        <v>251</v>
      </c>
      <c r="S3233" t="s">
        <v>11</v>
      </c>
      <c r="T3233">
        <v>9</v>
      </c>
    </row>
    <row r="3234" spans="4:20" ht="15.75" customHeight="1" x14ac:dyDescent="0.2">
      <c r="D3234" t="s">
        <v>285</v>
      </c>
      <c r="E3234" t="s">
        <v>477</v>
      </c>
      <c r="F3234">
        <v>17</v>
      </c>
      <c r="P3234" t="s">
        <v>478</v>
      </c>
      <c r="Q3234">
        <v>131</v>
      </c>
      <c r="R3234" t="s">
        <v>253</v>
      </c>
      <c r="S3234" t="s">
        <v>12</v>
      </c>
      <c r="T3234">
        <v>34.869199999999999</v>
      </c>
    </row>
    <row r="3235" spans="4:20" ht="15.75" customHeight="1" x14ac:dyDescent="0.2">
      <c r="D3235" t="s">
        <v>285</v>
      </c>
      <c r="E3235" t="s">
        <v>477</v>
      </c>
      <c r="F3235">
        <v>17</v>
      </c>
      <c r="P3235" t="s">
        <v>478</v>
      </c>
      <c r="Q3235">
        <v>131</v>
      </c>
      <c r="R3235" t="s">
        <v>255</v>
      </c>
      <c r="S3235" t="s">
        <v>15</v>
      </c>
      <c r="T3235">
        <v>6</v>
      </c>
    </row>
    <row r="3236" spans="4:20" ht="15.75" customHeight="1" x14ac:dyDescent="0.2">
      <c r="D3236" t="s">
        <v>285</v>
      </c>
      <c r="E3236" t="s">
        <v>477</v>
      </c>
      <c r="F3236">
        <v>17</v>
      </c>
      <c r="P3236" t="s">
        <v>478</v>
      </c>
      <c r="Q3236">
        <v>131</v>
      </c>
      <c r="R3236" t="s">
        <v>293</v>
      </c>
      <c r="S3236" t="s">
        <v>13</v>
      </c>
      <c r="T3236">
        <v>1</v>
      </c>
    </row>
    <row r="3237" spans="4:20" ht="15.75" customHeight="1" x14ac:dyDescent="0.2">
      <c r="D3237" t="s">
        <v>285</v>
      </c>
      <c r="E3237" t="s">
        <v>477</v>
      </c>
      <c r="F3237">
        <v>17</v>
      </c>
      <c r="P3237" t="s">
        <v>478</v>
      </c>
      <c r="Q3237">
        <v>131</v>
      </c>
      <c r="R3237" t="s">
        <v>294</v>
      </c>
      <c r="S3237" t="s">
        <v>14</v>
      </c>
      <c r="T3237">
        <v>0</v>
      </c>
    </row>
    <row r="3238" spans="4:20" ht="15.75" customHeight="1" x14ac:dyDescent="0.2">
      <c r="D3238" t="s">
        <v>285</v>
      </c>
      <c r="E3238" t="s">
        <v>477</v>
      </c>
      <c r="F3238">
        <v>17</v>
      </c>
      <c r="P3238" t="s">
        <v>478</v>
      </c>
      <c r="Q3238">
        <v>131</v>
      </c>
      <c r="R3238" t="s">
        <v>257</v>
      </c>
      <c r="S3238" t="s">
        <v>16</v>
      </c>
      <c r="T3238">
        <v>72.302000000000007</v>
      </c>
    </row>
    <row r="3239" spans="4:20" ht="15.75" customHeight="1" x14ac:dyDescent="0.2">
      <c r="D3239" t="s">
        <v>285</v>
      </c>
      <c r="E3239" t="s">
        <v>477</v>
      </c>
      <c r="F3239">
        <v>17</v>
      </c>
      <c r="P3239" t="s">
        <v>478</v>
      </c>
      <c r="Q3239">
        <v>131</v>
      </c>
      <c r="R3239" t="s">
        <v>295</v>
      </c>
      <c r="S3239" t="s">
        <v>17</v>
      </c>
      <c r="T3239">
        <v>0</v>
      </c>
    </row>
    <row r="3240" spans="4:20" ht="15.75" customHeight="1" x14ac:dyDescent="0.2">
      <c r="D3240" t="s">
        <v>285</v>
      </c>
      <c r="E3240" t="s">
        <v>477</v>
      </c>
      <c r="F3240">
        <v>17</v>
      </c>
      <c r="P3240" t="s">
        <v>478</v>
      </c>
      <c r="Q3240">
        <v>131</v>
      </c>
      <c r="R3240" t="s">
        <v>296</v>
      </c>
      <c r="S3240" t="s">
        <v>1</v>
      </c>
      <c r="T3240">
        <v>1</v>
      </c>
    </row>
    <row r="3241" spans="4:20" ht="15.75" customHeight="1" x14ac:dyDescent="0.2">
      <c r="D3241" t="s">
        <v>285</v>
      </c>
      <c r="E3241" t="s">
        <v>477</v>
      </c>
      <c r="F3241">
        <v>17</v>
      </c>
      <c r="P3241" t="s">
        <v>478</v>
      </c>
      <c r="Q3241">
        <v>131</v>
      </c>
      <c r="R3241" t="s">
        <v>297</v>
      </c>
      <c r="S3241" t="s">
        <v>18</v>
      </c>
      <c r="T3241">
        <v>6</v>
      </c>
    </row>
    <row r="3242" spans="4:20" ht="15.75" customHeight="1" x14ac:dyDescent="0.2">
      <c r="D3242" t="s">
        <v>285</v>
      </c>
      <c r="E3242" t="s">
        <v>477</v>
      </c>
      <c r="F3242">
        <v>17</v>
      </c>
      <c r="P3242" t="s">
        <v>478</v>
      </c>
      <c r="Q3242">
        <v>131</v>
      </c>
      <c r="R3242" t="s">
        <v>298</v>
      </c>
      <c r="S3242" t="s">
        <v>19</v>
      </c>
      <c r="T3242">
        <v>0</v>
      </c>
    </row>
    <row r="3243" spans="4:20" ht="15.75" customHeight="1" x14ac:dyDescent="0.2">
      <c r="D3243" t="s">
        <v>285</v>
      </c>
      <c r="E3243" t="s">
        <v>477</v>
      </c>
      <c r="F3243">
        <v>17</v>
      </c>
      <c r="P3243" t="s">
        <v>478</v>
      </c>
      <c r="Q3243">
        <v>131</v>
      </c>
      <c r="R3243" t="s">
        <v>299</v>
      </c>
      <c r="S3243" t="s">
        <v>20</v>
      </c>
      <c r="T3243">
        <v>3</v>
      </c>
    </row>
    <row r="3244" spans="4:20" ht="15.75" customHeight="1" x14ac:dyDescent="0.2">
      <c r="D3244" t="s">
        <v>285</v>
      </c>
      <c r="E3244" t="s">
        <v>477</v>
      </c>
      <c r="F3244">
        <v>17</v>
      </c>
      <c r="P3244" t="s">
        <v>440</v>
      </c>
      <c r="Q3244">
        <v>132</v>
      </c>
      <c r="R3244" t="s">
        <v>288</v>
      </c>
      <c r="S3244" t="s">
        <v>2</v>
      </c>
      <c r="T3244">
        <v>0</v>
      </c>
    </row>
    <row r="3245" spans="4:20" ht="15.75" customHeight="1" x14ac:dyDescent="0.2">
      <c r="D3245" t="s">
        <v>285</v>
      </c>
      <c r="E3245" t="s">
        <v>477</v>
      </c>
      <c r="F3245">
        <v>17</v>
      </c>
      <c r="P3245" t="s">
        <v>440</v>
      </c>
      <c r="Q3245">
        <v>132</v>
      </c>
      <c r="R3245" t="s">
        <v>289</v>
      </c>
      <c r="S3245" t="s">
        <v>5</v>
      </c>
      <c r="T3245">
        <v>0</v>
      </c>
    </row>
    <row r="3246" spans="4:20" ht="15.75" customHeight="1" x14ac:dyDescent="0.2">
      <c r="D3246" t="s">
        <v>285</v>
      </c>
      <c r="E3246" t="s">
        <v>477</v>
      </c>
      <c r="F3246">
        <v>17</v>
      </c>
      <c r="P3246" t="s">
        <v>440</v>
      </c>
      <c r="Q3246">
        <v>132</v>
      </c>
      <c r="R3246" t="s">
        <v>290</v>
      </c>
      <c r="S3246" t="s">
        <v>3</v>
      </c>
      <c r="T3246">
        <v>0</v>
      </c>
    </row>
    <row r="3247" spans="4:20" ht="15.75" customHeight="1" x14ac:dyDescent="0.2">
      <c r="D3247" t="s">
        <v>285</v>
      </c>
      <c r="E3247" t="s">
        <v>477</v>
      </c>
      <c r="F3247">
        <v>17</v>
      </c>
      <c r="P3247" t="s">
        <v>440</v>
      </c>
      <c r="Q3247">
        <v>132</v>
      </c>
      <c r="R3247" t="s">
        <v>291</v>
      </c>
      <c r="S3247" t="s">
        <v>4</v>
      </c>
      <c r="T3247">
        <v>0</v>
      </c>
    </row>
    <row r="3248" spans="4:20" ht="15.75" customHeight="1" x14ac:dyDescent="0.2">
      <c r="D3248" t="s">
        <v>285</v>
      </c>
      <c r="E3248" t="s">
        <v>477</v>
      </c>
      <c r="F3248">
        <v>17</v>
      </c>
      <c r="P3248" t="s">
        <v>440</v>
      </c>
      <c r="Q3248">
        <v>132</v>
      </c>
      <c r="R3248" t="s">
        <v>292</v>
      </c>
      <c r="S3248" t="s">
        <v>6</v>
      </c>
      <c r="T3248">
        <v>0</v>
      </c>
    </row>
    <row r="3249" spans="4:20" ht="15.75" customHeight="1" x14ac:dyDescent="0.2">
      <c r="D3249" t="s">
        <v>285</v>
      </c>
      <c r="E3249" t="s">
        <v>477</v>
      </c>
      <c r="F3249">
        <v>17</v>
      </c>
      <c r="P3249" t="s">
        <v>440</v>
      </c>
      <c r="Q3249">
        <v>132</v>
      </c>
      <c r="R3249" t="s">
        <v>243</v>
      </c>
      <c r="S3249" t="s">
        <v>7</v>
      </c>
      <c r="T3249">
        <v>2</v>
      </c>
    </row>
    <row r="3250" spans="4:20" ht="15.75" customHeight="1" x14ac:dyDescent="0.2">
      <c r="D3250" t="s">
        <v>285</v>
      </c>
      <c r="E3250" t="s">
        <v>477</v>
      </c>
      <c r="F3250">
        <v>17</v>
      </c>
      <c r="P3250" t="s">
        <v>440</v>
      </c>
      <c r="Q3250">
        <v>132</v>
      </c>
      <c r="R3250" t="s">
        <v>245</v>
      </c>
      <c r="S3250" t="s">
        <v>8</v>
      </c>
      <c r="T3250">
        <v>23.2193</v>
      </c>
    </row>
    <row r="3251" spans="4:20" ht="15.75" customHeight="1" x14ac:dyDescent="0.2">
      <c r="D3251" t="s">
        <v>285</v>
      </c>
      <c r="E3251" t="s">
        <v>477</v>
      </c>
      <c r="F3251">
        <v>17</v>
      </c>
      <c r="P3251" t="s">
        <v>440</v>
      </c>
      <c r="Q3251">
        <v>132</v>
      </c>
      <c r="R3251" t="s">
        <v>247</v>
      </c>
      <c r="S3251" t="s">
        <v>9</v>
      </c>
      <c r="T3251">
        <v>2.7000000000000001E-3</v>
      </c>
    </row>
    <row r="3252" spans="4:20" ht="15.75" customHeight="1" x14ac:dyDescent="0.2">
      <c r="D3252" t="s">
        <v>285</v>
      </c>
      <c r="E3252" t="s">
        <v>477</v>
      </c>
      <c r="F3252">
        <v>17</v>
      </c>
      <c r="P3252" t="s">
        <v>440</v>
      </c>
      <c r="Q3252">
        <v>132</v>
      </c>
      <c r="R3252" t="s">
        <v>249</v>
      </c>
      <c r="S3252" t="s">
        <v>10</v>
      </c>
      <c r="T3252">
        <v>5</v>
      </c>
    </row>
    <row r="3253" spans="4:20" ht="15.75" customHeight="1" x14ac:dyDescent="0.2">
      <c r="D3253" t="s">
        <v>285</v>
      </c>
      <c r="E3253" t="s">
        <v>477</v>
      </c>
      <c r="F3253">
        <v>17</v>
      </c>
      <c r="P3253" t="s">
        <v>440</v>
      </c>
      <c r="Q3253">
        <v>132</v>
      </c>
      <c r="R3253" t="s">
        <v>251</v>
      </c>
      <c r="S3253" t="s">
        <v>11</v>
      </c>
      <c r="T3253">
        <v>5</v>
      </c>
    </row>
    <row r="3254" spans="4:20" ht="15.75" customHeight="1" x14ac:dyDescent="0.2">
      <c r="D3254" t="s">
        <v>285</v>
      </c>
      <c r="E3254" t="s">
        <v>477</v>
      </c>
      <c r="F3254">
        <v>17</v>
      </c>
      <c r="P3254" t="s">
        <v>440</v>
      </c>
      <c r="Q3254">
        <v>132</v>
      </c>
      <c r="R3254" t="s">
        <v>253</v>
      </c>
      <c r="S3254" t="s">
        <v>12</v>
      </c>
      <c r="T3254">
        <v>11.6096</v>
      </c>
    </row>
    <row r="3255" spans="4:20" ht="15.75" customHeight="1" x14ac:dyDescent="0.2">
      <c r="D3255" t="s">
        <v>285</v>
      </c>
      <c r="E3255" t="s">
        <v>477</v>
      </c>
      <c r="F3255">
        <v>17</v>
      </c>
      <c r="P3255" t="s">
        <v>440</v>
      </c>
      <c r="Q3255">
        <v>132</v>
      </c>
      <c r="R3255" t="s">
        <v>255</v>
      </c>
      <c r="S3255" t="s">
        <v>15</v>
      </c>
      <c r="T3255">
        <v>4</v>
      </c>
    </row>
    <row r="3256" spans="4:20" ht="15.75" customHeight="1" x14ac:dyDescent="0.2">
      <c r="D3256" t="s">
        <v>285</v>
      </c>
      <c r="E3256" t="s">
        <v>477</v>
      </c>
      <c r="F3256">
        <v>17</v>
      </c>
      <c r="P3256" t="s">
        <v>440</v>
      </c>
      <c r="Q3256">
        <v>132</v>
      </c>
      <c r="R3256" t="s">
        <v>293</v>
      </c>
      <c r="S3256" t="s">
        <v>13</v>
      </c>
      <c r="T3256">
        <v>1</v>
      </c>
    </row>
    <row r="3257" spans="4:20" ht="15.75" customHeight="1" x14ac:dyDescent="0.2">
      <c r="D3257" t="s">
        <v>285</v>
      </c>
      <c r="E3257" t="s">
        <v>477</v>
      </c>
      <c r="F3257">
        <v>17</v>
      </c>
      <c r="P3257" t="s">
        <v>440</v>
      </c>
      <c r="Q3257">
        <v>132</v>
      </c>
      <c r="R3257" t="s">
        <v>294</v>
      </c>
      <c r="S3257" t="s">
        <v>14</v>
      </c>
      <c r="T3257">
        <v>0</v>
      </c>
    </row>
    <row r="3258" spans="4:20" ht="15.75" customHeight="1" x14ac:dyDescent="0.2">
      <c r="D3258" t="s">
        <v>285</v>
      </c>
      <c r="E3258" t="s">
        <v>477</v>
      </c>
      <c r="F3258">
        <v>17</v>
      </c>
      <c r="P3258" t="s">
        <v>440</v>
      </c>
      <c r="Q3258">
        <v>132</v>
      </c>
      <c r="R3258" t="s">
        <v>257</v>
      </c>
      <c r="S3258" t="s">
        <v>16</v>
      </c>
      <c r="T3258">
        <v>79.574799999999996</v>
      </c>
    </row>
    <row r="3259" spans="4:20" ht="15.75" customHeight="1" x14ac:dyDescent="0.2">
      <c r="D3259" t="s">
        <v>285</v>
      </c>
      <c r="E3259" t="s">
        <v>477</v>
      </c>
      <c r="F3259">
        <v>17</v>
      </c>
      <c r="P3259" t="s">
        <v>440</v>
      </c>
      <c r="Q3259">
        <v>132</v>
      </c>
      <c r="R3259" t="s">
        <v>295</v>
      </c>
      <c r="S3259" t="s">
        <v>17</v>
      </c>
      <c r="T3259">
        <v>0</v>
      </c>
    </row>
    <row r="3260" spans="4:20" ht="15.75" customHeight="1" x14ac:dyDescent="0.2">
      <c r="D3260" t="s">
        <v>285</v>
      </c>
      <c r="E3260" t="s">
        <v>477</v>
      </c>
      <c r="F3260">
        <v>17</v>
      </c>
      <c r="P3260" t="s">
        <v>440</v>
      </c>
      <c r="Q3260">
        <v>132</v>
      </c>
      <c r="R3260" t="s">
        <v>296</v>
      </c>
      <c r="S3260" t="s">
        <v>1</v>
      </c>
      <c r="T3260">
        <v>1</v>
      </c>
    </row>
    <row r="3261" spans="4:20" ht="15.75" customHeight="1" x14ac:dyDescent="0.2">
      <c r="D3261" t="s">
        <v>285</v>
      </c>
      <c r="E3261" t="s">
        <v>477</v>
      </c>
      <c r="F3261">
        <v>17</v>
      </c>
      <c r="P3261" t="s">
        <v>440</v>
      </c>
      <c r="Q3261">
        <v>132</v>
      </c>
      <c r="R3261" t="s">
        <v>297</v>
      </c>
      <c r="S3261" t="s">
        <v>18</v>
      </c>
      <c r="T3261">
        <v>1</v>
      </c>
    </row>
    <row r="3262" spans="4:20" ht="15.75" customHeight="1" x14ac:dyDescent="0.2">
      <c r="D3262" t="s">
        <v>285</v>
      </c>
      <c r="E3262" t="s">
        <v>477</v>
      </c>
      <c r="F3262">
        <v>17</v>
      </c>
      <c r="P3262" t="s">
        <v>440</v>
      </c>
      <c r="Q3262">
        <v>132</v>
      </c>
      <c r="R3262" t="s">
        <v>298</v>
      </c>
      <c r="S3262" t="s">
        <v>19</v>
      </c>
      <c r="T3262">
        <v>0</v>
      </c>
    </row>
    <row r="3263" spans="4:20" ht="15.75" customHeight="1" x14ac:dyDescent="0.2">
      <c r="D3263" t="s">
        <v>285</v>
      </c>
      <c r="E3263" t="s">
        <v>477</v>
      </c>
      <c r="F3263">
        <v>17</v>
      </c>
      <c r="P3263" t="s">
        <v>440</v>
      </c>
      <c r="Q3263">
        <v>132</v>
      </c>
      <c r="R3263" t="s">
        <v>299</v>
      </c>
      <c r="S3263" t="s">
        <v>20</v>
      </c>
      <c r="T3263">
        <v>0</v>
      </c>
    </row>
    <row r="3264" spans="4:20" ht="15.75" customHeight="1" x14ac:dyDescent="0.2">
      <c r="D3264" t="s">
        <v>285</v>
      </c>
      <c r="E3264" t="s">
        <v>477</v>
      </c>
      <c r="F3264">
        <v>17</v>
      </c>
      <c r="P3264" t="s">
        <v>441</v>
      </c>
      <c r="Q3264">
        <v>133</v>
      </c>
      <c r="R3264" t="s">
        <v>288</v>
      </c>
      <c r="S3264" t="s">
        <v>2</v>
      </c>
      <c r="T3264">
        <v>0</v>
      </c>
    </row>
    <row r="3265" spans="4:20" ht="15.75" customHeight="1" x14ac:dyDescent="0.2">
      <c r="D3265" t="s">
        <v>285</v>
      </c>
      <c r="E3265" t="s">
        <v>477</v>
      </c>
      <c r="F3265">
        <v>17</v>
      </c>
      <c r="P3265" t="s">
        <v>441</v>
      </c>
      <c r="Q3265">
        <v>133</v>
      </c>
      <c r="R3265" t="s">
        <v>289</v>
      </c>
      <c r="S3265" t="s">
        <v>5</v>
      </c>
      <c r="T3265">
        <v>0</v>
      </c>
    </row>
    <row r="3266" spans="4:20" ht="15.75" customHeight="1" x14ac:dyDescent="0.2">
      <c r="D3266" t="s">
        <v>285</v>
      </c>
      <c r="E3266" t="s">
        <v>477</v>
      </c>
      <c r="F3266">
        <v>17</v>
      </c>
      <c r="P3266" t="s">
        <v>441</v>
      </c>
      <c r="Q3266">
        <v>133</v>
      </c>
      <c r="R3266" t="s">
        <v>290</v>
      </c>
      <c r="S3266" t="s">
        <v>3</v>
      </c>
      <c r="T3266">
        <v>0</v>
      </c>
    </row>
    <row r="3267" spans="4:20" ht="15.75" customHeight="1" x14ac:dyDescent="0.2">
      <c r="D3267" t="s">
        <v>285</v>
      </c>
      <c r="E3267" t="s">
        <v>477</v>
      </c>
      <c r="F3267">
        <v>17</v>
      </c>
      <c r="P3267" t="s">
        <v>441</v>
      </c>
      <c r="Q3267">
        <v>133</v>
      </c>
      <c r="R3267" t="s">
        <v>291</v>
      </c>
      <c r="S3267" t="s">
        <v>4</v>
      </c>
      <c r="T3267">
        <v>0</v>
      </c>
    </row>
    <row r="3268" spans="4:20" ht="15.75" customHeight="1" x14ac:dyDescent="0.2">
      <c r="D3268" t="s">
        <v>285</v>
      </c>
      <c r="E3268" t="s">
        <v>477</v>
      </c>
      <c r="F3268">
        <v>17</v>
      </c>
      <c r="P3268" t="s">
        <v>441</v>
      </c>
      <c r="Q3268">
        <v>133</v>
      </c>
      <c r="R3268" t="s">
        <v>292</v>
      </c>
      <c r="S3268" t="s">
        <v>6</v>
      </c>
      <c r="T3268">
        <v>0</v>
      </c>
    </row>
    <row r="3269" spans="4:20" ht="15.75" customHeight="1" x14ac:dyDescent="0.2">
      <c r="D3269" t="s">
        <v>285</v>
      </c>
      <c r="E3269" t="s">
        <v>477</v>
      </c>
      <c r="F3269">
        <v>17</v>
      </c>
      <c r="P3269" t="s">
        <v>441</v>
      </c>
      <c r="Q3269">
        <v>133</v>
      </c>
      <c r="R3269" t="s">
        <v>243</v>
      </c>
      <c r="S3269" t="s">
        <v>7</v>
      </c>
      <c r="T3269">
        <v>1.5</v>
      </c>
    </row>
    <row r="3270" spans="4:20" ht="15.75" customHeight="1" x14ac:dyDescent="0.2">
      <c r="D3270" t="s">
        <v>285</v>
      </c>
      <c r="E3270" t="s">
        <v>477</v>
      </c>
      <c r="F3270">
        <v>17</v>
      </c>
      <c r="P3270" t="s">
        <v>441</v>
      </c>
      <c r="Q3270">
        <v>133</v>
      </c>
      <c r="R3270" t="s">
        <v>245</v>
      </c>
      <c r="S3270" t="s">
        <v>8</v>
      </c>
      <c r="T3270">
        <v>12</v>
      </c>
    </row>
    <row r="3271" spans="4:20" ht="15.75" customHeight="1" x14ac:dyDescent="0.2">
      <c r="D3271" t="s">
        <v>285</v>
      </c>
      <c r="E3271" t="s">
        <v>477</v>
      </c>
      <c r="F3271">
        <v>17</v>
      </c>
      <c r="P3271" t="s">
        <v>441</v>
      </c>
      <c r="Q3271">
        <v>133</v>
      </c>
      <c r="R3271" t="s">
        <v>247</v>
      </c>
      <c r="S3271" t="s">
        <v>9</v>
      </c>
      <c r="T3271">
        <v>1.6999999999999999E-3</v>
      </c>
    </row>
    <row r="3272" spans="4:20" ht="15.75" customHeight="1" x14ac:dyDescent="0.2">
      <c r="D3272" t="s">
        <v>285</v>
      </c>
      <c r="E3272" t="s">
        <v>477</v>
      </c>
      <c r="F3272">
        <v>17</v>
      </c>
      <c r="P3272" t="s">
        <v>441</v>
      </c>
      <c r="Q3272">
        <v>133</v>
      </c>
      <c r="R3272" t="s">
        <v>249</v>
      </c>
      <c r="S3272" t="s">
        <v>10</v>
      </c>
      <c r="T3272">
        <v>4</v>
      </c>
    </row>
    <row r="3273" spans="4:20" ht="15.75" customHeight="1" x14ac:dyDescent="0.2">
      <c r="D3273" t="s">
        <v>285</v>
      </c>
      <c r="E3273" t="s">
        <v>477</v>
      </c>
      <c r="F3273">
        <v>17</v>
      </c>
      <c r="P3273" t="s">
        <v>441</v>
      </c>
      <c r="Q3273">
        <v>133</v>
      </c>
      <c r="R3273" t="s">
        <v>251</v>
      </c>
      <c r="S3273" t="s">
        <v>11</v>
      </c>
      <c r="T3273">
        <v>4</v>
      </c>
    </row>
    <row r="3274" spans="4:20" ht="15.75" customHeight="1" x14ac:dyDescent="0.2">
      <c r="D3274" t="s">
        <v>285</v>
      </c>
      <c r="E3274" t="s">
        <v>477</v>
      </c>
      <c r="F3274">
        <v>17</v>
      </c>
      <c r="P3274" t="s">
        <v>441</v>
      </c>
      <c r="Q3274">
        <v>133</v>
      </c>
      <c r="R3274" t="s">
        <v>253</v>
      </c>
      <c r="S3274" t="s">
        <v>12</v>
      </c>
      <c r="T3274">
        <v>8</v>
      </c>
    </row>
    <row r="3275" spans="4:20" ht="15.75" customHeight="1" x14ac:dyDescent="0.2">
      <c r="D3275" t="s">
        <v>285</v>
      </c>
      <c r="E3275" t="s">
        <v>477</v>
      </c>
      <c r="F3275">
        <v>17</v>
      </c>
      <c r="P3275" t="s">
        <v>441</v>
      </c>
      <c r="Q3275">
        <v>133</v>
      </c>
      <c r="R3275" t="s">
        <v>255</v>
      </c>
      <c r="S3275" t="s">
        <v>15</v>
      </c>
      <c r="T3275">
        <v>4</v>
      </c>
    </row>
    <row r="3276" spans="4:20" ht="15.75" customHeight="1" x14ac:dyDescent="0.2">
      <c r="D3276" t="s">
        <v>285</v>
      </c>
      <c r="E3276" t="s">
        <v>477</v>
      </c>
      <c r="F3276">
        <v>17</v>
      </c>
      <c r="P3276" t="s">
        <v>441</v>
      </c>
      <c r="Q3276">
        <v>133</v>
      </c>
      <c r="R3276" t="s">
        <v>293</v>
      </c>
      <c r="S3276" t="s">
        <v>13</v>
      </c>
      <c r="T3276">
        <v>1</v>
      </c>
    </row>
    <row r="3277" spans="4:20" ht="15.75" customHeight="1" x14ac:dyDescent="0.2">
      <c r="D3277" t="s">
        <v>285</v>
      </c>
      <c r="E3277" t="s">
        <v>477</v>
      </c>
      <c r="F3277">
        <v>17</v>
      </c>
      <c r="P3277" t="s">
        <v>441</v>
      </c>
      <c r="Q3277">
        <v>133</v>
      </c>
      <c r="R3277" t="s">
        <v>294</v>
      </c>
      <c r="S3277" t="s">
        <v>14</v>
      </c>
      <c r="T3277">
        <v>0</v>
      </c>
    </row>
    <row r="3278" spans="4:20" ht="15.75" customHeight="1" x14ac:dyDescent="0.2">
      <c r="D3278" t="s">
        <v>285</v>
      </c>
      <c r="E3278" t="s">
        <v>477</v>
      </c>
      <c r="F3278">
        <v>17</v>
      </c>
      <c r="P3278" t="s">
        <v>441</v>
      </c>
      <c r="Q3278">
        <v>133</v>
      </c>
      <c r="R3278" t="s">
        <v>257</v>
      </c>
      <c r="S3278" t="s">
        <v>16</v>
      </c>
      <c r="T3278">
        <v>80.543199999999999</v>
      </c>
    </row>
    <row r="3279" spans="4:20" ht="15.75" customHeight="1" x14ac:dyDescent="0.2">
      <c r="D3279" t="s">
        <v>285</v>
      </c>
      <c r="E3279" t="s">
        <v>477</v>
      </c>
      <c r="F3279">
        <v>17</v>
      </c>
      <c r="P3279" t="s">
        <v>441</v>
      </c>
      <c r="Q3279">
        <v>133</v>
      </c>
      <c r="R3279" t="s">
        <v>295</v>
      </c>
      <c r="S3279" t="s">
        <v>17</v>
      </c>
      <c r="T3279">
        <v>0</v>
      </c>
    </row>
    <row r="3280" spans="4:20" ht="15.75" customHeight="1" x14ac:dyDescent="0.2">
      <c r="D3280" t="s">
        <v>285</v>
      </c>
      <c r="E3280" t="s">
        <v>477</v>
      </c>
      <c r="F3280">
        <v>17</v>
      </c>
      <c r="P3280" t="s">
        <v>441</v>
      </c>
      <c r="Q3280">
        <v>133</v>
      </c>
      <c r="R3280" t="s">
        <v>296</v>
      </c>
      <c r="S3280" t="s">
        <v>1</v>
      </c>
      <c r="T3280">
        <v>1</v>
      </c>
    </row>
    <row r="3281" spans="4:20" ht="15.75" customHeight="1" x14ac:dyDescent="0.2">
      <c r="D3281" t="s">
        <v>285</v>
      </c>
      <c r="E3281" t="s">
        <v>477</v>
      </c>
      <c r="F3281">
        <v>17</v>
      </c>
      <c r="P3281" t="s">
        <v>441</v>
      </c>
      <c r="Q3281">
        <v>133</v>
      </c>
      <c r="R3281" t="s">
        <v>297</v>
      </c>
      <c r="S3281" t="s">
        <v>18</v>
      </c>
      <c r="T3281">
        <v>1</v>
      </c>
    </row>
    <row r="3282" spans="4:20" ht="15.75" customHeight="1" x14ac:dyDescent="0.2">
      <c r="D3282" t="s">
        <v>285</v>
      </c>
      <c r="E3282" t="s">
        <v>477</v>
      </c>
      <c r="F3282">
        <v>17</v>
      </c>
      <c r="P3282" t="s">
        <v>441</v>
      </c>
      <c r="Q3282">
        <v>133</v>
      </c>
      <c r="R3282" t="s">
        <v>298</v>
      </c>
      <c r="S3282" t="s">
        <v>19</v>
      </c>
      <c r="T3282">
        <v>0</v>
      </c>
    </row>
    <row r="3283" spans="4:20" ht="15.75" customHeight="1" x14ac:dyDescent="0.2">
      <c r="D3283" t="s">
        <v>285</v>
      </c>
      <c r="E3283" t="s">
        <v>477</v>
      </c>
      <c r="F3283">
        <v>17</v>
      </c>
      <c r="P3283" t="s">
        <v>441</v>
      </c>
      <c r="Q3283">
        <v>133</v>
      </c>
      <c r="R3283" t="s">
        <v>299</v>
      </c>
      <c r="S3283" t="s">
        <v>20</v>
      </c>
      <c r="T3283">
        <v>0</v>
      </c>
    </row>
    <row r="3284" spans="4:20" ht="15.75" customHeight="1" x14ac:dyDescent="0.2">
      <c r="D3284" t="s">
        <v>285</v>
      </c>
      <c r="E3284" t="s">
        <v>477</v>
      </c>
      <c r="F3284">
        <v>17</v>
      </c>
      <c r="P3284" t="s">
        <v>442</v>
      </c>
      <c r="Q3284">
        <v>134</v>
      </c>
      <c r="R3284" t="s">
        <v>288</v>
      </c>
      <c r="S3284" t="s">
        <v>2</v>
      </c>
      <c r="T3284">
        <v>0</v>
      </c>
    </row>
    <row r="3285" spans="4:20" ht="15.75" customHeight="1" x14ac:dyDescent="0.2">
      <c r="D3285" t="s">
        <v>285</v>
      </c>
      <c r="E3285" t="s">
        <v>477</v>
      </c>
      <c r="F3285">
        <v>17</v>
      </c>
      <c r="P3285" t="s">
        <v>442</v>
      </c>
      <c r="Q3285">
        <v>134</v>
      </c>
      <c r="R3285" t="s">
        <v>289</v>
      </c>
      <c r="S3285" t="s">
        <v>5</v>
      </c>
      <c r="T3285">
        <v>0</v>
      </c>
    </row>
    <row r="3286" spans="4:20" ht="15.75" customHeight="1" x14ac:dyDescent="0.2">
      <c r="D3286" t="s">
        <v>285</v>
      </c>
      <c r="E3286" t="s">
        <v>477</v>
      </c>
      <c r="F3286">
        <v>17</v>
      </c>
      <c r="P3286" t="s">
        <v>442</v>
      </c>
      <c r="Q3286">
        <v>134</v>
      </c>
      <c r="R3286" t="s">
        <v>290</v>
      </c>
      <c r="S3286" t="s">
        <v>3</v>
      </c>
      <c r="T3286">
        <v>0</v>
      </c>
    </row>
    <row r="3287" spans="4:20" ht="15.75" customHeight="1" x14ac:dyDescent="0.2">
      <c r="D3287" t="s">
        <v>285</v>
      </c>
      <c r="E3287" t="s">
        <v>477</v>
      </c>
      <c r="F3287">
        <v>17</v>
      </c>
      <c r="P3287" t="s">
        <v>442</v>
      </c>
      <c r="Q3287">
        <v>134</v>
      </c>
      <c r="R3287" t="s">
        <v>291</v>
      </c>
      <c r="S3287" t="s">
        <v>4</v>
      </c>
      <c r="T3287">
        <v>0</v>
      </c>
    </row>
    <row r="3288" spans="4:20" ht="15.75" customHeight="1" x14ac:dyDescent="0.2">
      <c r="D3288" t="s">
        <v>285</v>
      </c>
      <c r="E3288" t="s">
        <v>477</v>
      </c>
      <c r="F3288">
        <v>17</v>
      </c>
      <c r="P3288" t="s">
        <v>442</v>
      </c>
      <c r="Q3288">
        <v>134</v>
      </c>
      <c r="R3288" t="s">
        <v>292</v>
      </c>
      <c r="S3288" t="s">
        <v>6</v>
      </c>
      <c r="T3288">
        <v>0</v>
      </c>
    </row>
    <row r="3289" spans="4:20" ht="15.75" customHeight="1" x14ac:dyDescent="0.2">
      <c r="D3289" t="s">
        <v>285</v>
      </c>
      <c r="E3289" t="s">
        <v>477</v>
      </c>
      <c r="F3289">
        <v>17</v>
      </c>
      <c r="P3289" t="s">
        <v>442</v>
      </c>
      <c r="Q3289">
        <v>134</v>
      </c>
      <c r="R3289" t="s">
        <v>243</v>
      </c>
      <c r="S3289" t="s">
        <v>7</v>
      </c>
      <c r="T3289">
        <v>1.5</v>
      </c>
    </row>
    <row r="3290" spans="4:20" ht="15.75" customHeight="1" x14ac:dyDescent="0.2">
      <c r="D3290" t="s">
        <v>285</v>
      </c>
      <c r="E3290" t="s">
        <v>477</v>
      </c>
      <c r="F3290">
        <v>17</v>
      </c>
      <c r="P3290" t="s">
        <v>442</v>
      </c>
      <c r="Q3290">
        <v>134</v>
      </c>
      <c r="R3290" t="s">
        <v>245</v>
      </c>
      <c r="S3290" t="s">
        <v>8</v>
      </c>
      <c r="T3290">
        <v>12</v>
      </c>
    </row>
    <row r="3291" spans="4:20" ht="15.75" customHeight="1" x14ac:dyDescent="0.2">
      <c r="D3291" t="s">
        <v>285</v>
      </c>
      <c r="E3291" t="s">
        <v>477</v>
      </c>
      <c r="F3291">
        <v>17</v>
      </c>
      <c r="P3291" t="s">
        <v>442</v>
      </c>
      <c r="Q3291">
        <v>134</v>
      </c>
      <c r="R3291" t="s">
        <v>247</v>
      </c>
      <c r="S3291" t="s">
        <v>9</v>
      </c>
      <c r="T3291">
        <v>1.6999999999999999E-3</v>
      </c>
    </row>
    <row r="3292" spans="4:20" ht="15.75" customHeight="1" x14ac:dyDescent="0.2">
      <c r="D3292" t="s">
        <v>285</v>
      </c>
      <c r="E3292" t="s">
        <v>477</v>
      </c>
      <c r="F3292">
        <v>17</v>
      </c>
      <c r="P3292" t="s">
        <v>442</v>
      </c>
      <c r="Q3292">
        <v>134</v>
      </c>
      <c r="R3292" t="s">
        <v>249</v>
      </c>
      <c r="S3292" t="s">
        <v>10</v>
      </c>
      <c r="T3292">
        <v>4</v>
      </c>
    </row>
    <row r="3293" spans="4:20" ht="15.75" customHeight="1" x14ac:dyDescent="0.2">
      <c r="D3293" t="s">
        <v>285</v>
      </c>
      <c r="E3293" t="s">
        <v>477</v>
      </c>
      <c r="F3293">
        <v>17</v>
      </c>
      <c r="P3293" t="s">
        <v>442</v>
      </c>
      <c r="Q3293">
        <v>134</v>
      </c>
      <c r="R3293" t="s">
        <v>251</v>
      </c>
      <c r="S3293" t="s">
        <v>11</v>
      </c>
      <c r="T3293">
        <v>4</v>
      </c>
    </row>
    <row r="3294" spans="4:20" ht="15.75" customHeight="1" x14ac:dyDescent="0.2">
      <c r="D3294" t="s">
        <v>285</v>
      </c>
      <c r="E3294" t="s">
        <v>477</v>
      </c>
      <c r="F3294">
        <v>17</v>
      </c>
      <c r="P3294" t="s">
        <v>442</v>
      </c>
      <c r="Q3294">
        <v>134</v>
      </c>
      <c r="R3294" t="s">
        <v>253</v>
      </c>
      <c r="S3294" t="s">
        <v>12</v>
      </c>
      <c r="T3294">
        <v>8</v>
      </c>
    </row>
    <row r="3295" spans="4:20" ht="15.75" customHeight="1" x14ac:dyDescent="0.2">
      <c r="D3295" t="s">
        <v>285</v>
      </c>
      <c r="E3295" t="s">
        <v>477</v>
      </c>
      <c r="F3295">
        <v>17</v>
      </c>
      <c r="P3295" t="s">
        <v>442</v>
      </c>
      <c r="Q3295">
        <v>134</v>
      </c>
      <c r="R3295" t="s">
        <v>255</v>
      </c>
      <c r="S3295" t="s">
        <v>15</v>
      </c>
      <c r="T3295">
        <v>4</v>
      </c>
    </row>
    <row r="3296" spans="4:20" ht="15.75" customHeight="1" x14ac:dyDescent="0.2">
      <c r="D3296" t="s">
        <v>285</v>
      </c>
      <c r="E3296" t="s">
        <v>477</v>
      </c>
      <c r="F3296">
        <v>17</v>
      </c>
      <c r="P3296" t="s">
        <v>442</v>
      </c>
      <c r="Q3296">
        <v>134</v>
      </c>
      <c r="R3296" t="s">
        <v>293</v>
      </c>
      <c r="S3296" t="s">
        <v>13</v>
      </c>
      <c r="T3296">
        <v>1</v>
      </c>
    </row>
    <row r="3297" spans="4:20" ht="15.75" customHeight="1" x14ac:dyDescent="0.2">
      <c r="D3297" t="s">
        <v>285</v>
      </c>
      <c r="E3297" t="s">
        <v>477</v>
      </c>
      <c r="F3297">
        <v>17</v>
      </c>
      <c r="P3297" t="s">
        <v>442</v>
      </c>
      <c r="Q3297">
        <v>134</v>
      </c>
      <c r="R3297" t="s">
        <v>294</v>
      </c>
      <c r="S3297" t="s">
        <v>14</v>
      </c>
      <c r="T3297">
        <v>0</v>
      </c>
    </row>
    <row r="3298" spans="4:20" ht="15.75" customHeight="1" x14ac:dyDescent="0.2">
      <c r="D3298" t="s">
        <v>285</v>
      </c>
      <c r="E3298" t="s">
        <v>477</v>
      </c>
      <c r="F3298">
        <v>17</v>
      </c>
      <c r="P3298" t="s">
        <v>442</v>
      </c>
      <c r="Q3298">
        <v>134</v>
      </c>
      <c r="R3298" t="s">
        <v>257</v>
      </c>
      <c r="S3298" t="s">
        <v>16</v>
      </c>
      <c r="T3298">
        <v>80.543199999999999</v>
      </c>
    </row>
    <row r="3299" spans="4:20" ht="15.75" customHeight="1" x14ac:dyDescent="0.2">
      <c r="D3299" t="s">
        <v>285</v>
      </c>
      <c r="E3299" t="s">
        <v>477</v>
      </c>
      <c r="F3299">
        <v>17</v>
      </c>
      <c r="P3299" t="s">
        <v>442</v>
      </c>
      <c r="Q3299">
        <v>134</v>
      </c>
      <c r="R3299" t="s">
        <v>295</v>
      </c>
      <c r="S3299" t="s">
        <v>17</v>
      </c>
      <c r="T3299">
        <v>0</v>
      </c>
    </row>
    <row r="3300" spans="4:20" ht="15.75" customHeight="1" x14ac:dyDescent="0.2">
      <c r="D3300" t="s">
        <v>285</v>
      </c>
      <c r="E3300" t="s">
        <v>477</v>
      </c>
      <c r="F3300">
        <v>17</v>
      </c>
      <c r="P3300" t="s">
        <v>442</v>
      </c>
      <c r="Q3300">
        <v>134</v>
      </c>
      <c r="R3300" t="s">
        <v>296</v>
      </c>
      <c r="S3300" t="s">
        <v>1</v>
      </c>
      <c r="T3300">
        <v>1</v>
      </c>
    </row>
    <row r="3301" spans="4:20" ht="15.75" customHeight="1" x14ac:dyDescent="0.2">
      <c r="D3301" t="s">
        <v>285</v>
      </c>
      <c r="E3301" t="s">
        <v>477</v>
      </c>
      <c r="F3301">
        <v>17</v>
      </c>
      <c r="P3301" t="s">
        <v>442</v>
      </c>
      <c r="Q3301">
        <v>134</v>
      </c>
      <c r="R3301" t="s">
        <v>297</v>
      </c>
      <c r="S3301" t="s">
        <v>18</v>
      </c>
      <c r="T3301">
        <v>1</v>
      </c>
    </row>
    <row r="3302" spans="4:20" ht="15.75" customHeight="1" x14ac:dyDescent="0.2">
      <c r="D3302" t="s">
        <v>285</v>
      </c>
      <c r="E3302" t="s">
        <v>477</v>
      </c>
      <c r="F3302">
        <v>17</v>
      </c>
      <c r="P3302" t="s">
        <v>442</v>
      </c>
      <c r="Q3302">
        <v>134</v>
      </c>
      <c r="R3302" t="s">
        <v>298</v>
      </c>
      <c r="S3302" t="s">
        <v>19</v>
      </c>
      <c r="T3302">
        <v>0</v>
      </c>
    </row>
    <row r="3303" spans="4:20" ht="15.75" customHeight="1" x14ac:dyDescent="0.2">
      <c r="D3303" t="s">
        <v>285</v>
      </c>
      <c r="E3303" t="s">
        <v>477</v>
      </c>
      <c r="F3303">
        <v>17</v>
      </c>
      <c r="P3303" t="s">
        <v>442</v>
      </c>
      <c r="Q3303">
        <v>134</v>
      </c>
      <c r="R3303" t="s">
        <v>299</v>
      </c>
      <c r="S3303" t="s">
        <v>20</v>
      </c>
      <c r="T3303">
        <v>0</v>
      </c>
    </row>
    <row r="3304" spans="4:20" ht="15.75" customHeight="1" x14ac:dyDescent="0.2">
      <c r="D3304" t="s">
        <v>285</v>
      </c>
      <c r="E3304" t="s">
        <v>477</v>
      </c>
      <c r="F3304">
        <v>17</v>
      </c>
      <c r="P3304" t="s">
        <v>443</v>
      </c>
      <c r="Q3304">
        <v>135</v>
      </c>
      <c r="R3304" t="s">
        <v>288</v>
      </c>
      <c r="S3304" t="s">
        <v>2</v>
      </c>
      <c r="T3304">
        <v>40</v>
      </c>
    </row>
    <row r="3305" spans="4:20" ht="15.75" customHeight="1" x14ac:dyDescent="0.2">
      <c r="D3305" t="s">
        <v>285</v>
      </c>
      <c r="E3305" t="s">
        <v>477</v>
      </c>
      <c r="F3305">
        <v>17</v>
      </c>
      <c r="P3305" t="s">
        <v>443</v>
      </c>
      <c r="Q3305">
        <v>135</v>
      </c>
      <c r="R3305" t="s">
        <v>289</v>
      </c>
      <c r="S3305" t="s">
        <v>5</v>
      </c>
      <c r="T3305">
        <v>4</v>
      </c>
    </row>
    <row r="3306" spans="4:20" ht="15.75" customHeight="1" x14ac:dyDescent="0.2">
      <c r="D3306" t="s">
        <v>285</v>
      </c>
      <c r="E3306" t="s">
        <v>477</v>
      </c>
      <c r="F3306">
        <v>17</v>
      </c>
      <c r="P3306" t="s">
        <v>443</v>
      </c>
      <c r="Q3306">
        <v>135</v>
      </c>
      <c r="R3306" t="s">
        <v>290</v>
      </c>
      <c r="S3306" t="s">
        <v>3</v>
      </c>
      <c r="T3306">
        <v>0.45450000000000002</v>
      </c>
    </row>
    <row r="3307" spans="4:20" ht="15.75" customHeight="1" x14ac:dyDescent="0.2">
      <c r="D3307" t="s">
        <v>285</v>
      </c>
      <c r="E3307" t="s">
        <v>477</v>
      </c>
      <c r="F3307">
        <v>17</v>
      </c>
      <c r="P3307" t="s">
        <v>443</v>
      </c>
      <c r="Q3307">
        <v>135</v>
      </c>
      <c r="R3307" t="s">
        <v>291</v>
      </c>
      <c r="S3307" t="s">
        <v>4</v>
      </c>
      <c r="T3307">
        <v>22</v>
      </c>
    </row>
    <row r="3308" spans="4:20" ht="15.75" customHeight="1" x14ac:dyDescent="0.2">
      <c r="D3308" t="s">
        <v>285</v>
      </c>
      <c r="E3308" t="s">
        <v>477</v>
      </c>
      <c r="F3308">
        <v>17</v>
      </c>
      <c r="P3308" t="s">
        <v>443</v>
      </c>
      <c r="Q3308">
        <v>135</v>
      </c>
      <c r="R3308" t="s">
        <v>292</v>
      </c>
      <c r="S3308" t="s">
        <v>6</v>
      </c>
      <c r="T3308">
        <v>5</v>
      </c>
    </row>
    <row r="3309" spans="4:20" ht="15.75" customHeight="1" x14ac:dyDescent="0.2">
      <c r="D3309" t="s">
        <v>285</v>
      </c>
      <c r="E3309" t="s">
        <v>477</v>
      </c>
      <c r="F3309">
        <v>17</v>
      </c>
      <c r="P3309" t="s">
        <v>443</v>
      </c>
      <c r="Q3309">
        <v>135</v>
      </c>
      <c r="R3309" t="s">
        <v>243</v>
      </c>
      <c r="S3309" t="s">
        <v>7</v>
      </c>
      <c r="T3309">
        <v>76.2273</v>
      </c>
    </row>
    <row r="3310" spans="4:20" ht="15.75" customHeight="1" x14ac:dyDescent="0.2">
      <c r="D3310" t="s">
        <v>285</v>
      </c>
      <c r="E3310" t="s">
        <v>477</v>
      </c>
      <c r="F3310">
        <v>17</v>
      </c>
      <c r="P3310" t="s">
        <v>443</v>
      </c>
      <c r="Q3310">
        <v>135</v>
      </c>
      <c r="R3310" t="s">
        <v>245</v>
      </c>
      <c r="S3310" t="s">
        <v>8</v>
      </c>
      <c r="T3310">
        <v>186561.87779999999</v>
      </c>
    </row>
    <row r="3311" spans="4:20" ht="15.75" customHeight="1" x14ac:dyDescent="0.2">
      <c r="D3311" t="s">
        <v>285</v>
      </c>
      <c r="E3311" t="s">
        <v>477</v>
      </c>
      <c r="F3311">
        <v>17</v>
      </c>
      <c r="P3311" t="s">
        <v>443</v>
      </c>
      <c r="Q3311">
        <v>135</v>
      </c>
      <c r="R3311" t="s">
        <v>247</v>
      </c>
      <c r="S3311" t="s">
        <v>9</v>
      </c>
      <c r="T3311">
        <v>1.0883</v>
      </c>
    </row>
    <row r="3312" spans="4:20" ht="15.75" customHeight="1" x14ac:dyDescent="0.2">
      <c r="D3312" t="s">
        <v>285</v>
      </c>
      <c r="E3312" t="s">
        <v>477</v>
      </c>
      <c r="F3312">
        <v>17</v>
      </c>
      <c r="P3312" t="s">
        <v>443</v>
      </c>
      <c r="Q3312">
        <v>135</v>
      </c>
      <c r="R3312" t="s">
        <v>249</v>
      </c>
      <c r="S3312" t="s">
        <v>10</v>
      </c>
      <c r="T3312">
        <v>370</v>
      </c>
    </row>
    <row r="3313" spans="4:20" ht="15.75" customHeight="1" x14ac:dyDescent="0.2">
      <c r="D3313" t="s">
        <v>285</v>
      </c>
      <c r="E3313" t="s">
        <v>477</v>
      </c>
      <c r="F3313">
        <v>17</v>
      </c>
      <c r="P3313" t="s">
        <v>443</v>
      </c>
      <c r="Q3313">
        <v>135</v>
      </c>
      <c r="R3313" t="s">
        <v>251</v>
      </c>
      <c r="S3313" t="s">
        <v>11</v>
      </c>
      <c r="T3313">
        <v>98</v>
      </c>
    </row>
    <row r="3314" spans="4:20" ht="15.75" customHeight="1" x14ac:dyDescent="0.2">
      <c r="D3314" t="s">
        <v>285</v>
      </c>
      <c r="E3314" t="s">
        <v>477</v>
      </c>
      <c r="F3314">
        <v>17</v>
      </c>
      <c r="P3314" t="s">
        <v>443</v>
      </c>
      <c r="Q3314">
        <v>135</v>
      </c>
      <c r="R3314" t="s">
        <v>253</v>
      </c>
      <c r="S3314" t="s">
        <v>12</v>
      </c>
      <c r="T3314">
        <v>2447.4425999999999</v>
      </c>
    </row>
    <row r="3315" spans="4:20" ht="15.75" customHeight="1" x14ac:dyDescent="0.2">
      <c r="D3315" t="s">
        <v>285</v>
      </c>
      <c r="E3315" t="s">
        <v>477</v>
      </c>
      <c r="F3315">
        <v>17</v>
      </c>
      <c r="P3315" t="s">
        <v>443</v>
      </c>
      <c r="Q3315">
        <v>135</v>
      </c>
      <c r="R3315" t="s">
        <v>255</v>
      </c>
      <c r="S3315" t="s">
        <v>15</v>
      </c>
      <c r="T3315">
        <v>132</v>
      </c>
    </row>
    <row r="3316" spans="4:20" ht="15.75" customHeight="1" x14ac:dyDescent="0.2">
      <c r="D3316" t="s">
        <v>285</v>
      </c>
      <c r="E3316" t="s">
        <v>477</v>
      </c>
      <c r="F3316">
        <v>17</v>
      </c>
      <c r="P3316" t="s">
        <v>443</v>
      </c>
      <c r="Q3316">
        <v>135</v>
      </c>
      <c r="R3316" t="s">
        <v>293</v>
      </c>
      <c r="S3316" t="s">
        <v>13</v>
      </c>
      <c r="T3316">
        <v>0.2</v>
      </c>
    </row>
    <row r="3317" spans="4:20" ht="15.75" customHeight="1" x14ac:dyDescent="0.2">
      <c r="D3317" t="s">
        <v>285</v>
      </c>
      <c r="E3317" t="s">
        <v>477</v>
      </c>
      <c r="F3317">
        <v>17</v>
      </c>
      <c r="P3317" t="s">
        <v>443</v>
      </c>
      <c r="Q3317">
        <v>135</v>
      </c>
      <c r="R3317" t="s">
        <v>294</v>
      </c>
      <c r="S3317" t="s">
        <v>14</v>
      </c>
      <c r="T3317">
        <v>1</v>
      </c>
    </row>
    <row r="3318" spans="4:20" ht="15.75" customHeight="1" x14ac:dyDescent="0.2">
      <c r="D3318" t="s">
        <v>285</v>
      </c>
      <c r="E3318" t="s">
        <v>477</v>
      </c>
      <c r="F3318">
        <v>17</v>
      </c>
      <c r="P3318" t="s">
        <v>443</v>
      </c>
      <c r="Q3318">
        <v>135</v>
      </c>
      <c r="R3318" t="s">
        <v>257</v>
      </c>
      <c r="S3318" t="s">
        <v>16</v>
      </c>
      <c r="T3318">
        <v>29.525400000000001</v>
      </c>
    </row>
    <row r="3319" spans="4:20" ht="15.75" customHeight="1" x14ac:dyDescent="0.2">
      <c r="D3319" t="s">
        <v>285</v>
      </c>
      <c r="E3319" t="s">
        <v>477</v>
      </c>
      <c r="F3319">
        <v>17</v>
      </c>
      <c r="P3319" t="s">
        <v>443</v>
      </c>
      <c r="Q3319">
        <v>135</v>
      </c>
      <c r="R3319" t="s">
        <v>295</v>
      </c>
      <c r="S3319" t="s">
        <v>17</v>
      </c>
      <c r="T3319">
        <v>5</v>
      </c>
    </row>
    <row r="3320" spans="4:20" ht="15.75" customHeight="1" x14ac:dyDescent="0.2">
      <c r="D3320" t="s">
        <v>285</v>
      </c>
      <c r="E3320" t="s">
        <v>477</v>
      </c>
      <c r="F3320">
        <v>17</v>
      </c>
      <c r="P3320" t="s">
        <v>443</v>
      </c>
      <c r="Q3320">
        <v>135</v>
      </c>
      <c r="R3320" t="s">
        <v>296</v>
      </c>
      <c r="S3320" t="s">
        <v>1</v>
      </c>
      <c r="T3320">
        <v>38</v>
      </c>
    </row>
    <row r="3321" spans="4:20" ht="15.75" customHeight="1" x14ac:dyDescent="0.2">
      <c r="D3321" t="s">
        <v>285</v>
      </c>
      <c r="E3321" t="s">
        <v>477</v>
      </c>
      <c r="F3321">
        <v>17</v>
      </c>
      <c r="P3321" t="s">
        <v>443</v>
      </c>
      <c r="Q3321">
        <v>135</v>
      </c>
      <c r="R3321" t="s">
        <v>297</v>
      </c>
      <c r="S3321" t="s">
        <v>18</v>
      </c>
      <c r="T3321">
        <v>31</v>
      </c>
    </row>
    <row r="3322" spans="4:20" ht="15.75" customHeight="1" x14ac:dyDescent="0.2">
      <c r="D3322" t="s">
        <v>285</v>
      </c>
      <c r="E3322" t="s">
        <v>477</v>
      </c>
      <c r="F3322">
        <v>17</v>
      </c>
      <c r="P3322" t="s">
        <v>443</v>
      </c>
      <c r="Q3322">
        <v>135</v>
      </c>
      <c r="R3322" t="s">
        <v>298</v>
      </c>
      <c r="S3322" t="s">
        <v>19</v>
      </c>
      <c r="T3322">
        <v>5</v>
      </c>
    </row>
    <row r="3323" spans="4:20" ht="15.75" customHeight="1" x14ac:dyDescent="0.2">
      <c r="D3323" t="s">
        <v>285</v>
      </c>
      <c r="E3323" t="s">
        <v>477</v>
      </c>
      <c r="F3323">
        <v>17</v>
      </c>
      <c r="P3323" t="s">
        <v>443</v>
      </c>
      <c r="Q3323">
        <v>135</v>
      </c>
      <c r="R3323" t="s">
        <v>299</v>
      </c>
      <c r="S3323" t="s">
        <v>20</v>
      </c>
      <c r="T3323">
        <v>1</v>
      </c>
    </row>
    <row r="3324" spans="4:20" ht="15.75" customHeight="1" x14ac:dyDescent="0.2">
      <c r="D3324" t="s">
        <v>285</v>
      </c>
      <c r="E3324" t="s">
        <v>477</v>
      </c>
      <c r="F3324">
        <v>17</v>
      </c>
      <c r="P3324" t="s">
        <v>362</v>
      </c>
      <c r="Q3324">
        <v>136</v>
      </c>
      <c r="R3324" t="s">
        <v>288</v>
      </c>
      <c r="S3324" t="s">
        <v>2</v>
      </c>
      <c r="T3324">
        <v>0</v>
      </c>
    </row>
    <row r="3325" spans="4:20" ht="15.75" customHeight="1" x14ac:dyDescent="0.2">
      <c r="D3325" t="s">
        <v>285</v>
      </c>
      <c r="E3325" t="s">
        <v>477</v>
      </c>
      <c r="F3325">
        <v>17</v>
      </c>
      <c r="P3325" t="s">
        <v>362</v>
      </c>
      <c r="Q3325">
        <v>136</v>
      </c>
      <c r="R3325" t="s">
        <v>289</v>
      </c>
      <c r="S3325" t="s">
        <v>5</v>
      </c>
      <c r="T3325">
        <v>0</v>
      </c>
    </row>
    <row r="3326" spans="4:20" ht="15.75" customHeight="1" x14ac:dyDescent="0.2">
      <c r="D3326" t="s">
        <v>285</v>
      </c>
      <c r="E3326" t="s">
        <v>477</v>
      </c>
      <c r="F3326">
        <v>17</v>
      </c>
      <c r="P3326" t="s">
        <v>362</v>
      </c>
      <c r="Q3326">
        <v>136</v>
      </c>
      <c r="R3326" t="s">
        <v>290</v>
      </c>
      <c r="S3326" t="s">
        <v>3</v>
      </c>
      <c r="T3326">
        <v>1</v>
      </c>
    </row>
    <row r="3327" spans="4:20" ht="15.75" customHeight="1" x14ac:dyDescent="0.2">
      <c r="D3327" t="s">
        <v>285</v>
      </c>
      <c r="E3327" t="s">
        <v>477</v>
      </c>
      <c r="F3327">
        <v>17</v>
      </c>
      <c r="P3327" t="s">
        <v>362</v>
      </c>
      <c r="Q3327">
        <v>136</v>
      </c>
      <c r="R3327" t="s">
        <v>291</v>
      </c>
      <c r="S3327" t="s">
        <v>4</v>
      </c>
      <c r="T3327">
        <v>1</v>
      </c>
    </row>
    <row r="3328" spans="4:20" ht="15.75" customHeight="1" x14ac:dyDescent="0.2">
      <c r="D3328" t="s">
        <v>285</v>
      </c>
      <c r="E3328" t="s">
        <v>477</v>
      </c>
      <c r="F3328">
        <v>17</v>
      </c>
      <c r="P3328" t="s">
        <v>362</v>
      </c>
      <c r="Q3328">
        <v>136</v>
      </c>
      <c r="R3328" t="s">
        <v>292</v>
      </c>
      <c r="S3328" t="s">
        <v>6</v>
      </c>
      <c r="T3328">
        <v>0</v>
      </c>
    </row>
    <row r="3329" spans="4:23" ht="15.75" customHeight="1" x14ac:dyDescent="0.2">
      <c r="D3329" t="s">
        <v>285</v>
      </c>
      <c r="E3329" t="s">
        <v>477</v>
      </c>
      <c r="F3329">
        <v>17</v>
      </c>
      <c r="P3329" t="s">
        <v>362</v>
      </c>
      <c r="Q3329">
        <v>136</v>
      </c>
      <c r="R3329" t="s">
        <v>243</v>
      </c>
      <c r="S3329" t="s">
        <v>7</v>
      </c>
      <c r="T3329">
        <v>1.5</v>
      </c>
    </row>
    <row r="3330" spans="4:23" ht="15.75" customHeight="1" x14ac:dyDescent="0.2">
      <c r="D3330" t="s">
        <v>285</v>
      </c>
      <c r="E3330" t="s">
        <v>477</v>
      </c>
      <c r="F3330">
        <v>17</v>
      </c>
      <c r="P3330" t="s">
        <v>362</v>
      </c>
      <c r="Q3330">
        <v>136</v>
      </c>
      <c r="R3330" t="s">
        <v>245</v>
      </c>
      <c r="S3330" t="s">
        <v>8</v>
      </c>
      <c r="T3330">
        <v>62.269799999999996</v>
      </c>
    </row>
    <row r="3331" spans="4:23" ht="15.75" customHeight="1" x14ac:dyDescent="0.2">
      <c r="D3331" t="s">
        <v>285</v>
      </c>
      <c r="E3331" t="s">
        <v>477</v>
      </c>
      <c r="F3331">
        <v>17</v>
      </c>
      <c r="P3331" t="s">
        <v>362</v>
      </c>
      <c r="Q3331">
        <v>136</v>
      </c>
      <c r="R3331" t="s">
        <v>247</v>
      </c>
      <c r="S3331" t="s">
        <v>9</v>
      </c>
      <c r="T3331">
        <v>5.1999999999999998E-3</v>
      </c>
    </row>
    <row r="3332" spans="4:23" ht="15.75" customHeight="1" x14ac:dyDescent="0.2">
      <c r="D3332" t="s">
        <v>285</v>
      </c>
      <c r="E3332" t="s">
        <v>477</v>
      </c>
      <c r="F3332">
        <v>17</v>
      </c>
      <c r="P3332" t="s">
        <v>362</v>
      </c>
      <c r="Q3332">
        <v>136</v>
      </c>
      <c r="R3332" t="s">
        <v>249</v>
      </c>
      <c r="S3332" t="s">
        <v>10</v>
      </c>
      <c r="T3332">
        <v>12</v>
      </c>
    </row>
    <row r="3333" spans="4:23" ht="15.75" customHeight="1" x14ac:dyDescent="0.2">
      <c r="D3333" t="s">
        <v>285</v>
      </c>
      <c r="E3333" t="s">
        <v>477</v>
      </c>
      <c r="F3333">
        <v>17</v>
      </c>
      <c r="P3333" t="s">
        <v>362</v>
      </c>
      <c r="Q3333">
        <v>136</v>
      </c>
      <c r="R3333" t="s">
        <v>251</v>
      </c>
      <c r="S3333" t="s">
        <v>11</v>
      </c>
      <c r="T3333">
        <v>11</v>
      </c>
    </row>
    <row r="3334" spans="4:23" ht="15.75" customHeight="1" x14ac:dyDescent="0.2">
      <c r="D3334" t="s">
        <v>285</v>
      </c>
      <c r="E3334" t="s">
        <v>477</v>
      </c>
      <c r="F3334">
        <v>17</v>
      </c>
      <c r="P3334" t="s">
        <v>362</v>
      </c>
      <c r="Q3334">
        <v>136</v>
      </c>
      <c r="R3334" t="s">
        <v>253</v>
      </c>
      <c r="S3334" t="s">
        <v>12</v>
      </c>
      <c r="T3334">
        <v>41.513199999999998</v>
      </c>
    </row>
    <row r="3335" spans="4:23" ht="15.75" customHeight="1" x14ac:dyDescent="0.2">
      <c r="D3335" t="s">
        <v>285</v>
      </c>
      <c r="E3335" t="s">
        <v>477</v>
      </c>
      <c r="F3335">
        <v>17</v>
      </c>
      <c r="P3335" t="s">
        <v>362</v>
      </c>
      <c r="Q3335">
        <v>136</v>
      </c>
      <c r="R3335" t="s">
        <v>255</v>
      </c>
      <c r="S3335" t="s">
        <v>15</v>
      </c>
      <c r="T3335">
        <v>8</v>
      </c>
    </row>
    <row r="3336" spans="4:23" ht="15.75" customHeight="1" x14ac:dyDescent="0.2">
      <c r="D3336" t="s">
        <v>285</v>
      </c>
      <c r="E3336" t="s">
        <v>477</v>
      </c>
      <c r="F3336">
        <v>17</v>
      </c>
      <c r="P3336" t="s">
        <v>362</v>
      </c>
      <c r="Q3336">
        <v>136</v>
      </c>
      <c r="R3336" t="s">
        <v>293</v>
      </c>
      <c r="S3336" t="s">
        <v>13</v>
      </c>
      <c r="T3336">
        <v>1</v>
      </c>
    </row>
    <row r="3337" spans="4:23" ht="15.75" customHeight="1" x14ac:dyDescent="0.2">
      <c r="D3337" t="s">
        <v>285</v>
      </c>
      <c r="E3337" t="s">
        <v>477</v>
      </c>
      <c r="F3337">
        <v>17</v>
      </c>
      <c r="P3337" t="s">
        <v>362</v>
      </c>
      <c r="Q3337">
        <v>136</v>
      </c>
      <c r="R3337" t="s">
        <v>294</v>
      </c>
      <c r="S3337" t="s">
        <v>14</v>
      </c>
      <c r="T3337">
        <v>0</v>
      </c>
    </row>
    <row r="3338" spans="4:23" ht="15.75" customHeight="1" x14ac:dyDescent="0.2">
      <c r="D3338" t="s">
        <v>285</v>
      </c>
      <c r="E3338" t="s">
        <v>477</v>
      </c>
      <c r="F3338">
        <v>17</v>
      </c>
      <c r="P3338" t="s">
        <v>362</v>
      </c>
      <c r="Q3338">
        <v>136</v>
      </c>
      <c r="R3338" t="s">
        <v>257</v>
      </c>
      <c r="S3338" t="s">
        <v>16</v>
      </c>
      <c r="T3338">
        <v>69.007300000000001</v>
      </c>
    </row>
    <row r="3339" spans="4:23" ht="15.75" customHeight="1" x14ac:dyDescent="0.2">
      <c r="D3339" t="s">
        <v>285</v>
      </c>
      <c r="E3339" t="s">
        <v>477</v>
      </c>
      <c r="F3339">
        <v>17</v>
      </c>
      <c r="P3339" t="s">
        <v>362</v>
      </c>
      <c r="Q3339">
        <v>136</v>
      </c>
      <c r="R3339" t="s">
        <v>295</v>
      </c>
      <c r="S3339" t="s">
        <v>17</v>
      </c>
      <c r="T3339">
        <v>0</v>
      </c>
    </row>
    <row r="3340" spans="4:23" ht="15.75" customHeight="1" x14ac:dyDescent="0.2">
      <c r="D3340" t="s">
        <v>285</v>
      </c>
      <c r="E3340" t="s">
        <v>477</v>
      </c>
      <c r="F3340">
        <v>17</v>
      </c>
      <c r="P3340" t="s">
        <v>362</v>
      </c>
      <c r="Q3340">
        <v>136</v>
      </c>
      <c r="R3340" t="s">
        <v>296</v>
      </c>
      <c r="S3340" t="s">
        <v>1</v>
      </c>
      <c r="T3340">
        <v>1</v>
      </c>
    </row>
    <row r="3341" spans="4:23" ht="15.75" customHeight="1" x14ac:dyDescent="0.2">
      <c r="D3341" t="s">
        <v>285</v>
      </c>
      <c r="E3341" t="s">
        <v>477</v>
      </c>
      <c r="F3341">
        <v>17</v>
      </c>
      <c r="P3341" t="s">
        <v>362</v>
      </c>
      <c r="Q3341">
        <v>136</v>
      </c>
      <c r="R3341" t="s">
        <v>297</v>
      </c>
      <c r="S3341" t="s">
        <v>18</v>
      </c>
      <c r="T3341">
        <v>3</v>
      </c>
    </row>
    <row r="3342" spans="4:23" ht="15.75" customHeight="1" x14ac:dyDescent="0.2">
      <c r="D3342" t="s">
        <v>285</v>
      </c>
      <c r="E3342" t="s">
        <v>477</v>
      </c>
      <c r="F3342">
        <v>17</v>
      </c>
      <c r="P3342" t="s">
        <v>362</v>
      </c>
      <c r="Q3342">
        <v>136</v>
      </c>
      <c r="R3342" t="s">
        <v>298</v>
      </c>
      <c r="S3342" t="s">
        <v>19</v>
      </c>
      <c r="T3342">
        <v>0</v>
      </c>
    </row>
    <row r="3343" spans="4:23" ht="15.75" customHeight="1" x14ac:dyDescent="0.2">
      <c r="D3343" t="s">
        <v>285</v>
      </c>
      <c r="E3343" t="s">
        <v>477</v>
      </c>
      <c r="F3343">
        <v>17</v>
      </c>
      <c r="P3343" t="s">
        <v>362</v>
      </c>
      <c r="Q3343">
        <v>136</v>
      </c>
      <c r="R3343" t="s">
        <v>299</v>
      </c>
      <c r="S3343" t="s">
        <v>20</v>
      </c>
      <c r="T3343">
        <v>0</v>
      </c>
    </row>
    <row r="3344" spans="4:23" ht="15.75" customHeight="1" x14ac:dyDescent="0.2">
      <c r="D3344" t="s">
        <v>285</v>
      </c>
      <c r="E3344" t="s">
        <v>477</v>
      </c>
      <c r="F3344">
        <v>17</v>
      </c>
      <c r="U3344" t="s">
        <v>300</v>
      </c>
      <c r="V3344" t="s">
        <v>301</v>
      </c>
      <c r="W3344">
        <v>5</v>
      </c>
    </row>
    <row r="3345" spans="4:23" ht="15.75" customHeight="1" x14ac:dyDescent="0.2">
      <c r="D3345" t="s">
        <v>285</v>
      </c>
      <c r="E3345" t="s">
        <v>477</v>
      </c>
      <c r="F3345">
        <v>17</v>
      </c>
      <c r="U3345" t="s">
        <v>288</v>
      </c>
      <c r="V3345" t="s">
        <v>302</v>
      </c>
      <c r="W3345">
        <v>40</v>
      </c>
    </row>
    <row r="3346" spans="4:23" ht="15.75" customHeight="1" x14ac:dyDescent="0.2">
      <c r="D3346" t="s">
        <v>285</v>
      </c>
      <c r="E3346" t="s">
        <v>477</v>
      </c>
      <c r="F3346">
        <v>17</v>
      </c>
      <c r="U3346" t="s">
        <v>303</v>
      </c>
      <c r="V3346" t="s">
        <v>304</v>
      </c>
      <c r="W3346">
        <v>24</v>
      </c>
    </row>
    <row r="3347" spans="4:23" ht="15.75" customHeight="1" x14ac:dyDescent="0.2">
      <c r="D3347" t="s">
        <v>285</v>
      </c>
      <c r="E3347" t="s">
        <v>477</v>
      </c>
      <c r="F3347">
        <v>17</v>
      </c>
      <c r="U3347" t="s">
        <v>305</v>
      </c>
      <c r="V3347" t="s">
        <v>306</v>
      </c>
      <c r="W3347">
        <v>1</v>
      </c>
    </row>
    <row r="3348" spans="4:23" ht="15.75" customHeight="1" x14ac:dyDescent="0.2">
      <c r="D3348" t="s">
        <v>285</v>
      </c>
      <c r="E3348" t="s">
        <v>477</v>
      </c>
      <c r="F3348">
        <v>17</v>
      </c>
      <c r="U3348" t="s">
        <v>307</v>
      </c>
      <c r="V3348" t="s">
        <v>308</v>
      </c>
      <c r="W3348">
        <v>1</v>
      </c>
    </row>
    <row r="3349" spans="4:23" ht="15.75" customHeight="1" x14ac:dyDescent="0.2">
      <c r="D3349" t="s">
        <v>285</v>
      </c>
      <c r="E3349" t="s">
        <v>477</v>
      </c>
      <c r="F3349">
        <v>17</v>
      </c>
      <c r="U3349" t="s">
        <v>243</v>
      </c>
      <c r="V3349" t="s">
        <v>309</v>
      </c>
      <c r="W3349">
        <v>75.940299999999993</v>
      </c>
    </row>
    <row r="3350" spans="4:23" ht="15.75" customHeight="1" x14ac:dyDescent="0.2">
      <c r="D3350" t="s">
        <v>285</v>
      </c>
      <c r="E3350" t="s">
        <v>477</v>
      </c>
      <c r="F3350">
        <v>17</v>
      </c>
      <c r="U3350" t="s">
        <v>245</v>
      </c>
      <c r="V3350" t="s">
        <v>310</v>
      </c>
      <c r="W3350">
        <v>216257.0001</v>
      </c>
    </row>
    <row r="3351" spans="4:23" ht="15.75" customHeight="1" x14ac:dyDescent="0.2">
      <c r="D3351" t="s">
        <v>285</v>
      </c>
      <c r="E3351" t="s">
        <v>477</v>
      </c>
      <c r="F3351">
        <v>17</v>
      </c>
      <c r="U3351" t="s">
        <v>247</v>
      </c>
      <c r="V3351" t="s">
        <v>311</v>
      </c>
      <c r="W3351">
        <v>1.2010000000000001</v>
      </c>
    </row>
    <row r="3352" spans="4:23" ht="15.75" customHeight="1" x14ac:dyDescent="0.2">
      <c r="D3352" t="s">
        <v>285</v>
      </c>
      <c r="E3352" t="s">
        <v>477</v>
      </c>
      <c r="F3352">
        <v>17</v>
      </c>
      <c r="U3352" t="s">
        <v>249</v>
      </c>
      <c r="V3352" t="s">
        <v>312</v>
      </c>
      <c r="W3352">
        <v>416</v>
      </c>
    </row>
    <row r="3353" spans="4:23" ht="15.75" customHeight="1" x14ac:dyDescent="0.2">
      <c r="D3353" t="s">
        <v>285</v>
      </c>
      <c r="E3353" t="s">
        <v>477</v>
      </c>
      <c r="F3353">
        <v>17</v>
      </c>
      <c r="U3353" t="s">
        <v>251</v>
      </c>
      <c r="V3353" t="s">
        <v>313</v>
      </c>
      <c r="W3353">
        <v>115</v>
      </c>
    </row>
    <row r="3354" spans="4:23" ht="15.75" customHeight="1" x14ac:dyDescent="0.2">
      <c r="D3354" t="s">
        <v>285</v>
      </c>
      <c r="E3354" t="s">
        <v>477</v>
      </c>
      <c r="F3354">
        <v>17</v>
      </c>
      <c r="U3354" t="s">
        <v>253</v>
      </c>
      <c r="V3354" t="s">
        <v>314</v>
      </c>
      <c r="W3354">
        <v>2847.7239</v>
      </c>
    </row>
    <row r="3355" spans="4:23" ht="15.75" customHeight="1" x14ac:dyDescent="0.2">
      <c r="D3355" t="s">
        <v>285</v>
      </c>
      <c r="E3355" t="s">
        <v>477</v>
      </c>
      <c r="F3355">
        <v>17</v>
      </c>
      <c r="U3355" t="s">
        <v>315</v>
      </c>
      <c r="V3355" t="s">
        <v>316</v>
      </c>
      <c r="W3355">
        <v>2</v>
      </c>
    </row>
    <row r="3356" spans="4:23" ht="15.75" customHeight="1" x14ac:dyDescent="0.2">
      <c r="D3356" t="s">
        <v>285</v>
      </c>
      <c r="E3356" t="s">
        <v>477</v>
      </c>
      <c r="F3356">
        <v>17</v>
      </c>
      <c r="U3356" t="s">
        <v>317</v>
      </c>
      <c r="V3356" t="s">
        <v>318</v>
      </c>
      <c r="W3356">
        <v>158</v>
      </c>
    </row>
    <row r="3357" spans="4:23" ht="15.75" customHeight="1" x14ac:dyDescent="0.2">
      <c r="D3357" t="s">
        <v>285</v>
      </c>
      <c r="E3357" t="s">
        <v>477</v>
      </c>
      <c r="F3357">
        <v>17</v>
      </c>
      <c r="U3357" t="s">
        <v>257</v>
      </c>
      <c r="V3357" t="s">
        <v>319</v>
      </c>
      <c r="W3357">
        <v>27.344999999999999</v>
      </c>
    </row>
    <row r="3358" spans="4:23" ht="15.75" customHeight="1" x14ac:dyDescent="0.2">
      <c r="D3358" t="s">
        <v>285</v>
      </c>
      <c r="E3358" t="s">
        <v>477</v>
      </c>
      <c r="F3358">
        <v>17</v>
      </c>
      <c r="U3358" t="s">
        <v>320</v>
      </c>
      <c r="V3358" t="s">
        <v>321</v>
      </c>
      <c r="W3358">
        <v>90</v>
      </c>
    </row>
    <row r="3359" spans="4:23" ht="15.75" customHeight="1" x14ac:dyDescent="0.2">
      <c r="D3359" t="s">
        <v>285</v>
      </c>
      <c r="E3359" t="s">
        <v>477</v>
      </c>
      <c r="F3359">
        <v>17</v>
      </c>
      <c r="U3359" t="s">
        <v>263</v>
      </c>
      <c r="V3359" t="s">
        <v>322</v>
      </c>
      <c r="W3359">
        <v>100</v>
      </c>
    </row>
    <row r="3360" spans="4:23" ht="15.75" customHeight="1" x14ac:dyDescent="0.2">
      <c r="D3360" t="s">
        <v>285</v>
      </c>
      <c r="E3360" t="s">
        <v>477</v>
      </c>
      <c r="F3360">
        <v>17</v>
      </c>
      <c r="U3360" t="s">
        <v>323</v>
      </c>
      <c r="V3360" t="s">
        <v>324</v>
      </c>
      <c r="W3360">
        <v>3</v>
      </c>
    </row>
    <row r="3361" spans="4:23" ht="15.75" customHeight="1" x14ac:dyDescent="0.2">
      <c r="D3361" t="s">
        <v>285</v>
      </c>
      <c r="E3361" t="s">
        <v>477</v>
      </c>
      <c r="F3361">
        <v>17</v>
      </c>
      <c r="U3361" t="s">
        <v>325</v>
      </c>
      <c r="V3361" t="s">
        <v>326</v>
      </c>
      <c r="W3361">
        <v>4</v>
      </c>
    </row>
    <row r="3362" spans="4:23" ht="15.75" customHeight="1" x14ac:dyDescent="0.2">
      <c r="D3362" t="s">
        <v>285</v>
      </c>
      <c r="E3362" t="s">
        <v>477</v>
      </c>
      <c r="F3362">
        <v>17</v>
      </c>
      <c r="U3362" t="s">
        <v>327</v>
      </c>
      <c r="V3362" t="s">
        <v>328</v>
      </c>
      <c r="W3362">
        <v>3</v>
      </c>
    </row>
    <row r="3363" spans="4:23" ht="15.75" customHeight="1" x14ac:dyDescent="0.2">
      <c r="D3363" t="s">
        <v>285</v>
      </c>
      <c r="E3363" t="s">
        <v>477</v>
      </c>
      <c r="F3363">
        <v>17</v>
      </c>
      <c r="U3363" t="s">
        <v>329</v>
      </c>
      <c r="V3363" t="s">
        <v>330</v>
      </c>
      <c r="W3363">
        <v>27</v>
      </c>
    </row>
    <row r="3364" spans="4:23" ht="15.75" customHeight="1" x14ac:dyDescent="0.2">
      <c r="D3364" t="s">
        <v>285</v>
      </c>
      <c r="E3364" t="s">
        <v>477</v>
      </c>
      <c r="F3364">
        <v>17</v>
      </c>
      <c r="U3364" t="s">
        <v>331</v>
      </c>
      <c r="V3364" t="s">
        <v>332</v>
      </c>
      <c r="W3364">
        <v>0</v>
      </c>
    </row>
    <row r="3365" spans="4:23" ht="15.75" customHeight="1" x14ac:dyDescent="0.2">
      <c r="D3365" t="s">
        <v>285</v>
      </c>
      <c r="E3365" t="s">
        <v>477</v>
      </c>
      <c r="F3365">
        <v>17</v>
      </c>
      <c r="U3365" t="s">
        <v>333</v>
      </c>
      <c r="V3365" t="s">
        <v>334</v>
      </c>
      <c r="W3365">
        <v>6</v>
      </c>
    </row>
    <row r="3366" spans="4:23" ht="15.75" customHeight="1" x14ac:dyDescent="0.2">
      <c r="D3366" t="s">
        <v>285</v>
      </c>
      <c r="E3366" t="s">
        <v>477</v>
      </c>
      <c r="F3366">
        <v>17</v>
      </c>
      <c r="U3366" t="s">
        <v>335</v>
      </c>
      <c r="V3366" t="s">
        <v>336</v>
      </c>
      <c r="W3366">
        <v>25</v>
      </c>
    </row>
    <row r="3367" spans="4:23" ht="15.75" customHeight="1" x14ac:dyDescent="0.2">
      <c r="D3367" t="s">
        <v>285</v>
      </c>
      <c r="E3367" t="s">
        <v>477</v>
      </c>
      <c r="F3367">
        <v>17</v>
      </c>
      <c r="U3367" t="s">
        <v>337</v>
      </c>
      <c r="V3367" t="s">
        <v>338</v>
      </c>
      <c r="W3367">
        <v>1</v>
      </c>
    </row>
    <row r="3368" spans="4:23" ht="15.75" customHeight="1" x14ac:dyDescent="0.2">
      <c r="D3368" t="s">
        <v>285</v>
      </c>
      <c r="E3368" t="s">
        <v>477</v>
      </c>
      <c r="F3368">
        <v>17</v>
      </c>
      <c r="U3368" t="s">
        <v>339</v>
      </c>
      <c r="V3368" t="s">
        <v>340</v>
      </c>
      <c r="W3368">
        <v>0</v>
      </c>
    </row>
    <row r="3369" spans="4:23" ht="15.75" customHeight="1" x14ac:dyDescent="0.2">
      <c r="D3369" t="s">
        <v>285</v>
      </c>
      <c r="E3369" t="s">
        <v>477</v>
      </c>
      <c r="F3369">
        <v>17</v>
      </c>
      <c r="U3369" t="s">
        <v>341</v>
      </c>
      <c r="V3369" t="s">
        <v>342</v>
      </c>
      <c r="W3369">
        <v>34</v>
      </c>
    </row>
    <row r="3370" spans="4:23" ht="15.75" customHeight="1" x14ac:dyDescent="0.2">
      <c r="D3370" t="s">
        <v>285</v>
      </c>
      <c r="E3370" t="s">
        <v>477</v>
      </c>
      <c r="F3370">
        <v>17</v>
      </c>
      <c r="U3370" t="s">
        <v>343</v>
      </c>
      <c r="V3370" t="s">
        <v>344</v>
      </c>
      <c r="W3370">
        <v>0.33329999999999999</v>
      </c>
    </row>
    <row r="3371" spans="4:23" ht="15.75" customHeight="1" x14ac:dyDescent="0.2">
      <c r="D3371" t="s">
        <v>285</v>
      </c>
      <c r="E3371" t="s">
        <v>477</v>
      </c>
      <c r="F3371">
        <v>17</v>
      </c>
      <c r="U3371" t="s">
        <v>345</v>
      </c>
      <c r="V3371" t="s">
        <v>346</v>
      </c>
      <c r="W3371">
        <v>0.2</v>
      </c>
    </row>
    <row r="3372" spans="4:23" ht="15.75" customHeight="1" x14ac:dyDescent="0.2">
      <c r="D3372" t="s">
        <v>285</v>
      </c>
      <c r="E3372" t="s">
        <v>477</v>
      </c>
      <c r="F3372">
        <v>17</v>
      </c>
      <c r="U3372" t="s">
        <v>347</v>
      </c>
      <c r="V3372" t="s">
        <v>348</v>
      </c>
      <c r="W3372">
        <v>43</v>
      </c>
    </row>
    <row r="3373" spans="4:23" ht="15.75" customHeight="1" x14ac:dyDescent="0.2">
      <c r="D3373" t="s">
        <v>285</v>
      </c>
      <c r="E3373" t="s">
        <v>479</v>
      </c>
      <c r="F3373">
        <v>18</v>
      </c>
      <c r="G3373" t="s">
        <v>480</v>
      </c>
      <c r="H3373" t="s">
        <v>481</v>
      </c>
      <c r="I3373">
        <v>6</v>
      </c>
      <c r="J3373" t="s">
        <v>288</v>
      </c>
      <c r="K3373" t="s">
        <v>2</v>
      </c>
      <c r="L3373">
        <v>0</v>
      </c>
    </row>
    <row r="3374" spans="4:23" ht="15.75" customHeight="1" x14ac:dyDescent="0.2">
      <c r="D3374" t="s">
        <v>285</v>
      </c>
      <c r="E3374" t="s">
        <v>479</v>
      </c>
      <c r="F3374">
        <v>18</v>
      </c>
      <c r="G3374" t="s">
        <v>480</v>
      </c>
      <c r="H3374" t="s">
        <v>481</v>
      </c>
      <c r="I3374">
        <v>6</v>
      </c>
      <c r="J3374" t="s">
        <v>289</v>
      </c>
      <c r="K3374" t="s">
        <v>5</v>
      </c>
      <c r="L3374">
        <v>0</v>
      </c>
    </row>
    <row r="3375" spans="4:23" ht="15.75" customHeight="1" x14ac:dyDescent="0.2">
      <c r="D3375" t="s">
        <v>285</v>
      </c>
      <c r="E3375" t="s">
        <v>479</v>
      </c>
      <c r="F3375">
        <v>18</v>
      </c>
      <c r="G3375" t="s">
        <v>480</v>
      </c>
      <c r="H3375" t="s">
        <v>481</v>
      </c>
      <c r="I3375">
        <v>6</v>
      </c>
      <c r="J3375" t="s">
        <v>290</v>
      </c>
      <c r="K3375" t="s">
        <v>3</v>
      </c>
      <c r="L3375">
        <v>0</v>
      </c>
    </row>
    <row r="3376" spans="4:23" ht="15.75" customHeight="1" x14ac:dyDescent="0.2">
      <c r="D3376" t="s">
        <v>285</v>
      </c>
      <c r="E3376" t="s">
        <v>479</v>
      </c>
      <c r="F3376">
        <v>18</v>
      </c>
      <c r="G3376" t="s">
        <v>480</v>
      </c>
      <c r="H3376" t="s">
        <v>481</v>
      </c>
      <c r="I3376">
        <v>6</v>
      </c>
      <c r="J3376" t="s">
        <v>291</v>
      </c>
      <c r="K3376" t="s">
        <v>4</v>
      </c>
      <c r="L3376">
        <v>0</v>
      </c>
    </row>
    <row r="3377" spans="4:12" ht="15.75" customHeight="1" x14ac:dyDescent="0.2">
      <c r="D3377" t="s">
        <v>285</v>
      </c>
      <c r="E3377" t="s">
        <v>479</v>
      </c>
      <c r="F3377">
        <v>18</v>
      </c>
      <c r="G3377" t="s">
        <v>480</v>
      </c>
      <c r="H3377" t="s">
        <v>481</v>
      </c>
      <c r="I3377">
        <v>6</v>
      </c>
      <c r="J3377" t="s">
        <v>292</v>
      </c>
      <c r="K3377" t="s">
        <v>6</v>
      </c>
      <c r="L3377">
        <v>0</v>
      </c>
    </row>
    <row r="3378" spans="4:12" ht="15.75" customHeight="1" x14ac:dyDescent="0.2">
      <c r="D3378" t="s">
        <v>285</v>
      </c>
      <c r="E3378" t="s">
        <v>479</v>
      </c>
      <c r="F3378">
        <v>18</v>
      </c>
      <c r="G3378" t="s">
        <v>480</v>
      </c>
      <c r="H3378" t="s">
        <v>481</v>
      </c>
      <c r="I3378">
        <v>6</v>
      </c>
      <c r="J3378" t="s">
        <v>243</v>
      </c>
      <c r="K3378" t="s">
        <v>7</v>
      </c>
      <c r="L3378">
        <v>1</v>
      </c>
    </row>
    <row r="3379" spans="4:12" ht="15.75" customHeight="1" x14ac:dyDescent="0.2">
      <c r="D3379" t="s">
        <v>285</v>
      </c>
      <c r="E3379" t="s">
        <v>479</v>
      </c>
      <c r="F3379">
        <v>18</v>
      </c>
      <c r="G3379" t="s">
        <v>480</v>
      </c>
      <c r="H3379" t="s">
        <v>481</v>
      </c>
      <c r="I3379">
        <v>6</v>
      </c>
      <c r="J3379" t="s">
        <v>245</v>
      </c>
      <c r="K3379" t="s">
        <v>8</v>
      </c>
      <c r="L3379">
        <v>30</v>
      </c>
    </row>
    <row r="3380" spans="4:12" ht="15.75" customHeight="1" x14ac:dyDescent="0.2">
      <c r="D3380" t="s">
        <v>285</v>
      </c>
      <c r="E3380" t="s">
        <v>479</v>
      </c>
      <c r="F3380">
        <v>18</v>
      </c>
      <c r="G3380" t="s">
        <v>480</v>
      </c>
      <c r="H3380" t="s">
        <v>481</v>
      </c>
      <c r="I3380">
        <v>6</v>
      </c>
      <c r="J3380" t="s">
        <v>247</v>
      </c>
      <c r="K3380" t="s">
        <v>9</v>
      </c>
      <c r="L3380">
        <v>3.2000000000000002E-3</v>
      </c>
    </row>
    <row r="3381" spans="4:12" ht="15.75" customHeight="1" x14ac:dyDescent="0.2">
      <c r="D3381" t="s">
        <v>285</v>
      </c>
      <c r="E3381" t="s">
        <v>479</v>
      </c>
      <c r="F3381">
        <v>18</v>
      </c>
      <c r="G3381" t="s">
        <v>480</v>
      </c>
      <c r="H3381" t="s">
        <v>481</v>
      </c>
      <c r="I3381">
        <v>6</v>
      </c>
      <c r="J3381" t="s">
        <v>249</v>
      </c>
      <c r="K3381" t="s">
        <v>10</v>
      </c>
      <c r="L3381">
        <v>10</v>
      </c>
    </row>
    <row r="3382" spans="4:12" ht="15.75" customHeight="1" x14ac:dyDescent="0.2">
      <c r="D3382" t="s">
        <v>285</v>
      </c>
      <c r="E3382" t="s">
        <v>479</v>
      </c>
      <c r="F3382">
        <v>18</v>
      </c>
      <c r="G3382" t="s">
        <v>480</v>
      </c>
      <c r="H3382" t="s">
        <v>481</v>
      </c>
      <c r="I3382">
        <v>6</v>
      </c>
      <c r="J3382" t="s">
        <v>251</v>
      </c>
      <c r="K3382" t="s">
        <v>11</v>
      </c>
      <c r="L3382">
        <v>8</v>
      </c>
    </row>
    <row r="3383" spans="4:12" ht="15.75" customHeight="1" x14ac:dyDescent="0.2">
      <c r="D3383" t="s">
        <v>285</v>
      </c>
      <c r="E3383" t="s">
        <v>479</v>
      </c>
      <c r="F3383">
        <v>18</v>
      </c>
      <c r="G3383" t="s">
        <v>480</v>
      </c>
      <c r="H3383" t="s">
        <v>481</v>
      </c>
      <c r="I3383">
        <v>6</v>
      </c>
      <c r="J3383" t="s">
        <v>253</v>
      </c>
      <c r="K3383" t="s">
        <v>12</v>
      </c>
      <c r="L3383">
        <v>30</v>
      </c>
    </row>
    <row r="3384" spans="4:12" ht="15.75" customHeight="1" x14ac:dyDescent="0.2">
      <c r="D3384" t="s">
        <v>285</v>
      </c>
      <c r="E3384" t="s">
        <v>479</v>
      </c>
      <c r="F3384">
        <v>18</v>
      </c>
      <c r="G3384" t="s">
        <v>480</v>
      </c>
      <c r="H3384" t="s">
        <v>481</v>
      </c>
      <c r="I3384">
        <v>6</v>
      </c>
      <c r="J3384" t="s">
        <v>255</v>
      </c>
      <c r="K3384" t="s">
        <v>15</v>
      </c>
      <c r="L3384">
        <v>5</v>
      </c>
    </row>
    <row r="3385" spans="4:12" ht="15.75" customHeight="1" x14ac:dyDescent="0.2">
      <c r="D3385" t="s">
        <v>285</v>
      </c>
      <c r="E3385" t="s">
        <v>479</v>
      </c>
      <c r="F3385">
        <v>18</v>
      </c>
      <c r="G3385" t="s">
        <v>480</v>
      </c>
      <c r="H3385" t="s">
        <v>481</v>
      </c>
      <c r="I3385">
        <v>6</v>
      </c>
      <c r="J3385" t="s">
        <v>293</v>
      </c>
      <c r="K3385" t="s">
        <v>13</v>
      </c>
      <c r="L3385">
        <v>1</v>
      </c>
    </row>
    <row r="3386" spans="4:12" ht="15.75" customHeight="1" x14ac:dyDescent="0.2">
      <c r="D3386" t="s">
        <v>285</v>
      </c>
      <c r="E3386" t="s">
        <v>479</v>
      </c>
      <c r="F3386">
        <v>18</v>
      </c>
      <c r="G3386" t="s">
        <v>480</v>
      </c>
      <c r="H3386" t="s">
        <v>481</v>
      </c>
      <c r="I3386">
        <v>6</v>
      </c>
      <c r="J3386" t="s">
        <v>294</v>
      </c>
      <c r="K3386" t="s">
        <v>14</v>
      </c>
      <c r="L3386">
        <v>0</v>
      </c>
    </row>
    <row r="3387" spans="4:12" ht="15.75" customHeight="1" x14ac:dyDescent="0.2">
      <c r="D3387" t="s">
        <v>285</v>
      </c>
      <c r="E3387" t="s">
        <v>479</v>
      </c>
      <c r="F3387">
        <v>18</v>
      </c>
      <c r="G3387" t="s">
        <v>480</v>
      </c>
      <c r="H3387" t="s">
        <v>481</v>
      </c>
      <c r="I3387">
        <v>6</v>
      </c>
      <c r="J3387" t="s">
        <v>257</v>
      </c>
      <c r="K3387" t="s">
        <v>16</v>
      </c>
      <c r="L3387">
        <v>74.409899999999993</v>
      </c>
    </row>
    <row r="3388" spans="4:12" ht="15.75" customHeight="1" x14ac:dyDescent="0.2">
      <c r="D3388" t="s">
        <v>285</v>
      </c>
      <c r="E3388" t="s">
        <v>479</v>
      </c>
      <c r="F3388">
        <v>18</v>
      </c>
      <c r="G3388" t="s">
        <v>480</v>
      </c>
      <c r="H3388" t="s">
        <v>481</v>
      </c>
      <c r="I3388">
        <v>6</v>
      </c>
      <c r="J3388" t="s">
        <v>295</v>
      </c>
      <c r="K3388" t="s">
        <v>17</v>
      </c>
      <c r="L3388">
        <v>0</v>
      </c>
    </row>
    <row r="3389" spans="4:12" ht="15.75" customHeight="1" x14ac:dyDescent="0.2">
      <c r="D3389" t="s">
        <v>285</v>
      </c>
      <c r="E3389" t="s">
        <v>479</v>
      </c>
      <c r="F3389">
        <v>18</v>
      </c>
      <c r="G3389" t="s">
        <v>480</v>
      </c>
      <c r="H3389" t="s">
        <v>481</v>
      </c>
      <c r="I3389">
        <v>6</v>
      </c>
      <c r="J3389" t="s">
        <v>296</v>
      </c>
      <c r="K3389" t="s">
        <v>1</v>
      </c>
      <c r="L3389">
        <v>1</v>
      </c>
    </row>
    <row r="3390" spans="4:12" ht="15.75" customHeight="1" x14ac:dyDescent="0.2">
      <c r="D3390" t="s">
        <v>285</v>
      </c>
      <c r="E3390" t="s">
        <v>479</v>
      </c>
      <c r="F3390">
        <v>18</v>
      </c>
      <c r="G3390" t="s">
        <v>480</v>
      </c>
      <c r="H3390" t="s">
        <v>481</v>
      </c>
      <c r="I3390">
        <v>6</v>
      </c>
      <c r="J3390" t="s">
        <v>297</v>
      </c>
      <c r="K3390" t="s">
        <v>18</v>
      </c>
      <c r="L3390">
        <v>6</v>
      </c>
    </row>
    <row r="3391" spans="4:12" ht="15.75" customHeight="1" x14ac:dyDescent="0.2">
      <c r="D3391" t="s">
        <v>285</v>
      </c>
      <c r="E3391" t="s">
        <v>479</v>
      </c>
      <c r="F3391">
        <v>18</v>
      </c>
      <c r="G3391" t="s">
        <v>480</v>
      </c>
      <c r="H3391" t="s">
        <v>481</v>
      </c>
      <c r="I3391">
        <v>6</v>
      </c>
      <c r="J3391" t="s">
        <v>298</v>
      </c>
      <c r="K3391" t="s">
        <v>19</v>
      </c>
      <c r="L3391">
        <v>0</v>
      </c>
    </row>
    <row r="3392" spans="4:12" ht="15.75" customHeight="1" x14ac:dyDescent="0.2">
      <c r="D3392" t="s">
        <v>285</v>
      </c>
      <c r="E3392" t="s">
        <v>479</v>
      </c>
      <c r="F3392">
        <v>18</v>
      </c>
      <c r="G3392" t="s">
        <v>480</v>
      </c>
      <c r="H3392" t="s">
        <v>481</v>
      </c>
      <c r="I3392">
        <v>6</v>
      </c>
      <c r="J3392" t="s">
        <v>299</v>
      </c>
      <c r="K3392" t="s">
        <v>20</v>
      </c>
      <c r="L3392">
        <v>3</v>
      </c>
    </row>
    <row r="3393" spans="4:15" ht="15.75" customHeight="1" x14ac:dyDescent="0.2">
      <c r="D3393" t="s">
        <v>285</v>
      </c>
      <c r="E3393" t="s">
        <v>479</v>
      </c>
      <c r="F3393">
        <v>18</v>
      </c>
      <c r="G3393" t="s">
        <v>480</v>
      </c>
      <c r="M3393" t="s">
        <v>300</v>
      </c>
      <c r="N3393" t="s">
        <v>301</v>
      </c>
      <c r="O3393">
        <v>0</v>
      </c>
    </row>
    <row r="3394" spans="4:15" ht="15.75" customHeight="1" x14ac:dyDescent="0.2">
      <c r="D3394" t="s">
        <v>285</v>
      </c>
      <c r="E3394" t="s">
        <v>479</v>
      </c>
      <c r="F3394">
        <v>18</v>
      </c>
      <c r="G3394" t="s">
        <v>480</v>
      </c>
      <c r="M3394" t="s">
        <v>288</v>
      </c>
      <c r="N3394" t="s">
        <v>302</v>
      </c>
      <c r="O3394">
        <v>0</v>
      </c>
    </row>
    <row r="3395" spans="4:15" ht="15.75" customHeight="1" x14ac:dyDescent="0.2">
      <c r="D3395" t="s">
        <v>285</v>
      </c>
      <c r="E3395" t="s">
        <v>479</v>
      </c>
      <c r="F3395">
        <v>18</v>
      </c>
      <c r="G3395" t="s">
        <v>480</v>
      </c>
      <c r="M3395" t="s">
        <v>303</v>
      </c>
      <c r="N3395" t="s">
        <v>304</v>
      </c>
      <c r="O3395">
        <v>8</v>
      </c>
    </row>
    <row r="3396" spans="4:15" ht="15.75" customHeight="1" x14ac:dyDescent="0.2">
      <c r="D3396" t="s">
        <v>285</v>
      </c>
      <c r="E3396" t="s">
        <v>479</v>
      </c>
      <c r="F3396">
        <v>18</v>
      </c>
      <c r="G3396" t="s">
        <v>480</v>
      </c>
      <c r="M3396" t="s">
        <v>305</v>
      </c>
      <c r="N3396" t="s">
        <v>306</v>
      </c>
      <c r="O3396">
        <v>2</v>
      </c>
    </row>
    <row r="3397" spans="4:15" ht="15.75" customHeight="1" x14ac:dyDescent="0.2">
      <c r="D3397" t="s">
        <v>285</v>
      </c>
      <c r="E3397" t="s">
        <v>479</v>
      </c>
      <c r="F3397">
        <v>18</v>
      </c>
      <c r="G3397" t="s">
        <v>480</v>
      </c>
      <c r="M3397" t="s">
        <v>307</v>
      </c>
      <c r="N3397" t="s">
        <v>308</v>
      </c>
      <c r="O3397">
        <v>1</v>
      </c>
    </row>
    <row r="3398" spans="4:15" ht="15.75" customHeight="1" x14ac:dyDescent="0.2">
      <c r="D3398" t="s">
        <v>285</v>
      </c>
      <c r="E3398" t="s">
        <v>479</v>
      </c>
      <c r="F3398">
        <v>18</v>
      </c>
      <c r="G3398" t="s">
        <v>480</v>
      </c>
      <c r="M3398" t="s">
        <v>243</v>
      </c>
      <c r="N3398" t="s">
        <v>309</v>
      </c>
      <c r="O3398">
        <v>2.5</v>
      </c>
    </row>
    <row r="3399" spans="4:15" ht="15.75" customHeight="1" x14ac:dyDescent="0.2">
      <c r="D3399" t="s">
        <v>285</v>
      </c>
      <c r="E3399" t="s">
        <v>479</v>
      </c>
      <c r="F3399">
        <v>18</v>
      </c>
      <c r="G3399" t="s">
        <v>480</v>
      </c>
      <c r="M3399" t="s">
        <v>245</v>
      </c>
      <c r="N3399" t="s">
        <v>310</v>
      </c>
      <c r="O3399">
        <v>121.0801</v>
      </c>
    </row>
    <row r="3400" spans="4:15" ht="15.75" customHeight="1" x14ac:dyDescent="0.2">
      <c r="D3400" t="s">
        <v>285</v>
      </c>
      <c r="E3400" t="s">
        <v>479</v>
      </c>
      <c r="F3400">
        <v>18</v>
      </c>
      <c r="G3400" t="s">
        <v>480</v>
      </c>
      <c r="M3400" t="s">
        <v>247</v>
      </c>
      <c r="N3400" t="s">
        <v>311</v>
      </c>
      <c r="O3400">
        <v>8.2000000000000007E-3</v>
      </c>
    </row>
    <row r="3401" spans="4:15" ht="15.75" customHeight="1" x14ac:dyDescent="0.2">
      <c r="D3401" t="s">
        <v>285</v>
      </c>
      <c r="E3401" t="s">
        <v>479</v>
      </c>
      <c r="F3401">
        <v>18</v>
      </c>
      <c r="G3401" t="s">
        <v>480</v>
      </c>
      <c r="M3401" t="s">
        <v>249</v>
      </c>
      <c r="N3401" t="s">
        <v>312</v>
      </c>
      <c r="O3401">
        <v>14</v>
      </c>
    </row>
    <row r="3402" spans="4:15" ht="15.75" customHeight="1" x14ac:dyDescent="0.2">
      <c r="D3402" t="s">
        <v>285</v>
      </c>
      <c r="E3402" t="s">
        <v>479</v>
      </c>
      <c r="F3402">
        <v>18</v>
      </c>
      <c r="G3402" t="s">
        <v>480</v>
      </c>
      <c r="M3402" t="s">
        <v>251</v>
      </c>
      <c r="N3402" t="s">
        <v>313</v>
      </c>
      <c r="O3402">
        <v>11</v>
      </c>
    </row>
    <row r="3403" spans="4:15" ht="15.75" customHeight="1" x14ac:dyDescent="0.2">
      <c r="D3403" t="s">
        <v>285</v>
      </c>
      <c r="E3403" t="s">
        <v>479</v>
      </c>
      <c r="F3403">
        <v>18</v>
      </c>
      <c r="G3403" t="s">
        <v>480</v>
      </c>
      <c r="M3403" t="s">
        <v>253</v>
      </c>
      <c r="N3403" t="s">
        <v>314</v>
      </c>
      <c r="O3403">
        <v>48.432000000000002</v>
      </c>
    </row>
    <row r="3404" spans="4:15" ht="15.75" customHeight="1" x14ac:dyDescent="0.2">
      <c r="D3404" t="s">
        <v>285</v>
      </c>
      <c r="E3404" t="s">
        <v>479</v>
      </c>
      <c r="F3404">
        <v>18</v>
      </c>
      <c r="G3404" t="s">
        <v>480</v>
      </c>
      <c r="M3404" t="s">
        <v>315</v>
      </c>
      <c r="N3404" t="s">
        <v>316</v>
      </c>
      <c r="O3404">
        <v>0</v>
      </c>
    </row>
    <row r="3405" spans="4:15" ht="15.75" customHeight="1" x14ac:dyDescent="0.2">
      <c r="D3405" t="s">
        <v>285</v>
      </c>
      <c r="E3405" t="s">
        <v>479</v>
      </c>
      <c r="F3405">
        <v>18</v>
      </c>
      <c r="G3405" t="s">
        <v>480</v>
      </c>
      <c r="M3405" t="s">
        <v>317</v>
      </c>
      <c r="N3405" t="s">
        <v>318</v>
      </c>
      <c r="O3405">
        <v>5</v>
      </c>
    </row>
    <row r="3406" spans="4:15" ht="15.75" customHeight="1" x14ac:dyDescent="0.2">
      <c r="D3406" t="s">
        <v>285</v>
      </c>
      <c r="E3406" t="s">
        <v>479</v>
      </c>
      <c r="F3406">
        <v>18</v>
      </c>
      <c r="G3406" t="s">
        <v>480</v>
      </c>
      <c r="M3406" t="s">
        <v>257</v>
      </c>
      <c r="N3406" t="s">
        <v>319</v>
      </c>
      <c r="O3406">
        <v>72.980599999999995</v>
      </c>
    </row>
    <row r="3407" spans="4:15" ht="15.75" customHeight="1" x14ac:dyDescent="0.2">
      <c r="D3407" t="s">
        <v>285</v>
      </c>
      <c r="E3407" t="s">
        <v>479</v>
      </c>
      <c r="F3407">
        <v>18</v>
      </c>
      <c r="G3407" t="s">
        <v>480</v>
      </c>
      <c r="M3407" t="s">
        <v>320</v>
      </c>
      <c r="N3407" t="s">
        <v>321</v>
      </c>
      <c r="O3407">
        <v>0</v>
      </c>
    </row>
    <row r="3408" spans="4:15" ht="15.75" customHeight="1" x14ac:dyDescent="0.2">
      <c r="D3408" t="s">
        <v>285</v>
      </c>
      <c r="E3408" t="s">
        <v>479</v>
      </c>
      <c r="F3408">
        <v>18</v>
      </c>
      <c r="G3408" t="s">
        <v>480</v>
      </c>
      <c r="M3408" t="s">
        <v>263</v>
      </c>
      <c r="N3408" t="s">
        <v>322</v>
      </c>
      <c r="O3408">
        <v>8</v>
      </c>
    </row>
    <row r="3409" spans="4:20" ht="15.75" customHeight="1" x14ac:dyDescent="0.2">
      <c r="D3409" t="s">
        <v>285</v>
      </c>
      <c r="E3409" t="s">
        <v>479</v>
      </c>
      <c r="F3409">
        <v>18</v>
      </c>
      <c r="G3409" t="s">
        <v>480</v>
      </c>
      <c r="M3409" t="s">
        <v>323</v>
      </c>
      <c r="N3409" t="s">
        <v>324</v>
      </c>
      <c r="O3409">
        <v>0</v>
      </c>
    </row>
    <row r="3410" spans="4:20" ht="15.75" customHeight="1" x14ac:dyDescent="0.2">
      <c r="D3410" t="s">
        <v>285</v>
      </c>
      <c r="E3410" t="s">
        <v>479</v>
      </c>
      <c r="F3410">
        <v>18</v>
      </c>
      <c r="G3410" t="s">
        <v>480</v>
      </c>
      <c r="M3410" t="s">
        <v>325</v>
      </c>
      <c r="N3410" t="s">
        <v>326</v>
      </c>
      <c r="O3410">
        <v>0</v>
      </c>
    </row>
    <row r="3411" spans="4:20" ht="15.75" customHeight="1" x14ac:dyDescent="0.2">
      <c r="D3411" t="s">
        <v>285</v>
      </c>
      <c r="E3411" t="s">
        <v>479</v>
      </c>
      <c r="F3411">
        <v>18</v>
      </c>
      <c r="G3411" t="s">
        <v>480</v>
      </c>
      <c r="M3411" t="s">
        <v>327</v>
      </c>
      <c r="N3411" t="s">
        <v>328</v>
      </c>
      <c r="O3411">
        <v>3</v>
      </c>
    </row>
    <row r="3412" spans="4:20" ht="15.75" customHeight="1" x14ac:dyDescent="0.2">
      <c r="D3412" t="s">
        <v>285</v>
      </c>
      <c r="E3412" t="s">
        <v>479</v>
      </c>
      <c r="F3412">
        <v>18</v>
      </c>
      <c r="G3412" t="s">
        <v>480</v>
      </c>
      <c r="M3412" t="s">
        <v>329</v>
      </c>
      <c r="N3412" t="s">
        <v>330</v>
      </c>
      <c r="O3412">
        <v>17</v>
      </c>
    </row>
    <row r="3413" spans="4:20" ht="15.75" customHeight="1" x14ac:dyDescent="0.2">
      <c r="D3413" t="s">
        <v>285</v>
      </c>
      <c r="E3413" t="s">
        <v>479</v>
      </c>
      <c r="F3413">
        <v>18</v>
      </c>
      <c r="G3413" t="s">
        <v>480</v>
      </c>
      <c r="M3413" t="s">
        <v>331</v>
      </c>
      <c r="N3413" t="s">
        <v>332</v>
      </c>
      <c r="O3413">
        <v>0</v>
      </c>
    </row>
    <row r="3414" spans="4:20" ht="15.75" customHeight="1" x14ac:dyDescent="0.2">
      <c r="D3414" t="s">
        <v>285</v>
      </c>
      <c r="E3414" t="s">
        <v>479</v>
      </c>
      <c r="F3414">
        <v>18</v>
      </c>
      <c r="G3414" t="s">
        <v>480</v>
      </c>
      <c r="M3414" t="s">
        <v>333</v>
      </c>
      <c r="N3414" t="s">
        <v>334</v>
      </c>
      <c r="O3414">
        <v>1</v>
      </c>
    </row>
    <row r="3415" spans="4:20" ht="15.75" customHeight="1" x14ac:dyDescent="0.2">
      <c r="D3415" t="s">
        <v>285</v>
      </c>
      <c r="E3415" t="s">
        <v>479</v>
      </c>
      <c r="F3415">
        <v>18</v>
      </c>
      <c r="G3415" t="s">
        <v>480</v>
      </c>
      <c r="M3415" t="s">
        <v>335</v>
      </c>
      <c r="N3415" t="s">
        <v>336</v>
      </c>
      <c r="O3415">
        <v>14</v>
      </c>
    </row>
    <row r="3416" spans="4:20" ht="15.75" customHeight="1" x14ac:dyDescent="0.2">
      <c r="D3416" t="s">
        <v>285</v>
      </c>
      <c r="E3416" t="s">
        <v>479</v>
      </c>
      <c r="F3416">
        <v>18</v>
      </c>
      <c r="G3416" t="s">
        <v>480</v>
      </c>
      <c r="M3416" t="s">
        <v>337</v>
      </c>
      <c r="N3416" t="s">
        <v>338</v>
      </c>
      <c r="O3416">
        <v>0</v>
      </c>
    </row>
    <row r="3417" spans="4:20" ht="15.75" customHeight="1" x14ac:dyDescent="0.2">
      <c r="D3417" t="s">
        <v>285</v>
      </c>
      <c r="E3417" t="s">
        <v>479</v>
      </c>
      <c r="F3417">
        <v>18</v>
      </c>
      <c r="G3417" t="s">
        <v>480</v>
      </c>
      <c r="M3417" t="s">
        <v>339</v>
      </c>
      <c r="N3417" t="s">
        <v>340</v>
      </c>
      <c r="O3417">
        <v>0</v>
      </c>
    </row>
    <row r="3418" spans="4:20" ht="15.75" customHeight="1" x14ac:dyDescent="0.2">
      <c r="D3418" t="s">
        <v>285</v>
      </c>
      <c r="E3418" t="s">
        <v>479</v>
      </c>
      <c r="F3418">
        <v>18</v>
      </c>
      <c r="G3418" t="s">
        <v>480</v>
      </c>
      <c r="M3418" t="s">
        <v>341</v>
      </c>
      <c r="N3418" t="s">
        <v>342</v>
      </c>
      <c r="O3418">
        <v>1</v>
      </c>
    </row>
    <row r="3419" spans="4:20" ht="15.75" customHeight="1" x14ac:dyDescent="0.2">
      <c r="D3419" t="s">
        <v>285</v>
      </c>
      <c r="E3419" t="s">
        <v>479</v>
      </c>
      <c r="F3419">
        <v>18</v>
      </c>
      <c r="G3419" t="s">
        <v>480</v>
      </c>
      <c r="M3419" t="s">
        <v>343</v>
      </c>
      <c r="N3419" t="s">
        <v>344</v>
      </c>
      <c r="O3419">
        <v>0</v>
      </c>
    </row>
    <row r="3420" spans="4:20" ht="15.75" customHeight="1" x14ac:dyDescent="0.2">
      <c r="D3420" t="s">
        <v>285</v>
      </c>
      <c r="E3420" t="s">
        <v>479</v>
      </c>
      <c r="F3420">
        <v>18</v>
      </c>
      <c r="G3420" t="s">
        <v>480</v>
      </c>
      <c r="M3420" t="s">
        <v>345</v>
      </c>
      <c r="N3420" t="s">
        <v>346</v>
      </c>
      <c r="O3420">
        <v>0</v>
      </c>
    </row>
    <row r="3421" spans="4:20" ht="15.75" customHeight="1" x14ac:dyDescent="0.2">
      <c r="D3421" t="s">
        <v>285</v>
      </c>
      <c r="E3421" t="s">
        <v>479</v>
      </c>
      <c r="F3421">
        <v>18</v>
      </c>
      <c r="G3421" t="s">
        <v>480</v>
      </c>
      <c r="M3421" t="s">
        <v>347</v>
      </c>
      <c r="N3421" t="s">
        <v>348</v>
      </c>
      <c r="O3421">
        <v>1</v>
      </c>
    </row>
    <row r="3422" spans="4:20" ht="15.75" customHeight="1" x14ac:dyDescent="0.2">
      <c r="D3422" t="s">
        <v>285</v>
      </c>
      <c r="E3422" t="s">
        <v>479</v>
      </c>
      <c r="F3422">
        <v>18</v>
      </c>
      <c r="P3422" t="s">
        <v>482</v>
      </c>
      <c r="Q3422">
        <v>137</v>
      </c>
      <c r="R3422" t="s">
        <v>288</v>
      </c>
      <c r="S3422" t="s">
        <v>2</v>
      </c>
      <c r="T3422">
        <v>1</v>
      </c>
    </row>
    <row r="3423" spans="4:20" ht="15.75" customHeight="1" x14ac:dyDescent="0.2">
      <c r="D3423" t="s">
        <v>285</v>
      </c>
      <c r="E3423" t="s">
        <v>479</v>
      </c>
      <c r="F3423">
        <v>18</v>
      </c>
      <c r="P3423" t="s">
        <v>482</v>
      </c>
      <c r="Q3423">
        <v>137</v>
      </c>
      <c r="R3423" t="s">
        <v>289</v>
      </c>
      <c r="S3423" t="s">
        <v>5</v>
      </c>
      <c r="T3423">
        <v>1</v>
      </c>
    </row>
    <row r="3424" spans="4:20" ht="15.75" customHeight="1" x14ac:dyDescent="0.2">
      <c r="D3424" t="s">
        <v>285</v>
      </c>
      <c r="E3424" t="s">
        <v>479</v>
      </c>
      <c r="F3424">
        <v>18</v>
      </c>
      <c r="P3424" t="s">
        <v>482</v>
      </c>
      <c r="Q3424">
        <v>137</v>
      </c>
      <c r="R3424" t="s">
        <v>290</v>
      </c>
      <c r="S3424" t="s">
        <v>3</v>
      </c>
      <c r="T3424">
        <v>1</v>
      </c>
    </row>
    <row r="3425" spans="4:20" ht="15.75" customHeight="1" x14ac:dyDescent="0.2">
      <c r="D3425" t="s">
        <v>285</v>
      </c>
      <c r="E3425" t="s">
        <v>479</v>
      </c>
      <c r="F3425">
        <v>18</v>
      </c>
      <c r="P3425" t="s">
        <v>482</v>
      </c>
      <c r="Q3425">
        <v>137</v>
      </c>
      <c r="R3425" t="s">
        <v>291</v>
      </c>
      <c r="S3425" t="s">
        <v>4</v>
      </c>
      <c r="T3425">
        <v>2</v>
      </c>
    </row>
    <row r="3426" spans="4:20" ht="15.75" customHeight="1" x14ac:dyDescent="0.2">
      <c r="D3426" t="s">
        <v>285</v>
      </c>
      <c r="E3426" t="s">
        <v>479</v>
      </c>
      <c r="F3426">
        <v>18</v>
      </c>
      <c r="P3426" t="s">
        <v>482</v>
      </c>
      <c r="Q3426">
        <v>137</v>
      </c>
      <c r="R3426" t="s">
        <v>292</v>
      </c>
      <c r="S3426" t="s">
        <v>6</v>
      </c>
      <c r="T3426">
        <v>1</v>
      </c>
    </row>
    <row r="3427" spans="4:20" ht="15.75" customHeight="1" x14ac:dyDescent="0.2">
      <c r="D3427" t="s">
        <v>285</v>
      </c>
      <c r="E3427" t="s">
        <v>479</v>
      </c>
      <c r="F3427">
        <v>18</v>
      </c>
      <c r="P3427" t="s">
        <v>482</v>
      </c>
      <c r="Q3427">
        <v>137</v>
      </c>
      <c r="R3427" t="s">
        <v>243</v>
      </c>
      <c r="S3427" t="s">
        <v>7</v>
      </c>
      <c r="T3427">
        <v>12.857100000000001</v>
      </c>
    </row>
    <row r="3428" spans="4:20" ht="15.75" customHeight="1" x14ac:dyDescent="0.2">
      <c r="D3428" t="s">
        <v>285</v>
      </c>
      <c r="E3428" t="s">
        <v>479</v>
      </c>
      <c r="F3428">
        <v>18</v>
      </c>
      <c r="P3428" t="s">
        <v>482</v>
      </c>
      <c r="Q3428">
        <v>137</v>
      </c>
      <c r="R3428" t="s">
        <v>245</v>
      </c>
      <c r="S3428" t="s">
        <v>8</v>
      </c>
      <c r="T3428">
        <v>1524.0397</v>
      </c>
    </row>
    <row r="3429" spans="4:20" ht="15.75" customHeight="1" x14ac:dyDescent="0.2">
      <c r="D3429" t="s">
        <v>285</v>
      </c>
      <c r="E3429" t="s">
        <v>479</v>
      </c>
      <c r="F3429">
        <v>18</v>
      </c>
      <c r="P3429" t="s">
        <v>482</v>
      </c>
      <c r="Q3429">
        <v>137</v>
      </c>
      <c r="R3429" t="s">
        <v>247</v>
      </c>
      <c r="S3429" t="s">
        <v>9</v>
      </c>
      <c r="T3429">
        <v>4.41E-2</v>
      </c>
    </row>
    <row r="3430" spans="4:20" ht="15.75" customHeight="1" x14ac:dyDescent="0.2">
      <c r="D3430" t="s">
        <v>285</v>
      </c>
      <c r="E3430" t="s">
        <v>479</v>
      </c>
      <c r="F3430">
        <v>18</v>
      </c>
      <c r="P3430" t="s">
        <v>482</v>
      </c>
      <c r="Q3430">
        <v>137</v>
      </c>
      <c r="R3430" t="s">
        <v>249</v>
      </c>
      <c r="S3430" t="s">
        <v>10</v>
      </c>
      <c r="T3430">
        <v>29</v>
      </c>
    </row>
    <row r="3431" spans="4:20" ht="15.75" customHeight="1" x14ac:dyDescent="0.2">
      <c r="D3431" t="s">
        <v>285</v>
      </c>
      <c r="E3431" t="s">
        <v>479</v>
      </c>
      <c r="F3431">
        <v>18</v>
      </c>
      <c r="P3431" t="s">
        <v>482</v>
      </c>
      <c r="Q3431">
        <v>137</v>
      </c>
      <c r="R3431" t="s">
        <v>251</v>
      </c>
      <c r="S3431" t="s">
        <v>11</v>
      </c>
      <c r="T3431">
        <v>17</v>
      </c>
    </row>
    <row r="3432" spans="4:20" ht="15.75" customHeight="1" x14ac:dyDescent="0.2">
      <c r="D3432" t="s">
        <v>285</v>
      </c>
      <c r="E3432" t="s">
        <v>479</v>
      </c>
      <c r="F3432">
        <v>18</v>
      </c>
      <c r="P3432" t="s">
        <v>482</v>
      </c>
      <c r="Q3432">
        <v>137</v>
      </c>
      <c r="R3432" t="s">
        <v>253</v>
      </c>
      <c r="S3432" t="s">
        <v>12</v>
      </c>
      <c r="T3432">
        <v>118.5364</v>
      </c>
    </row>
    <row r="3433" spans="4:20" ht="15.75" customHeight="1" x14ac:dyDescent="0.2">
      <c r="D3433" t="s">
        <v>285</v>
      </c>
      <c r="E3433" t="s">
        <v>479</v>
      </c>
      <c r="F3433">
        <v>18</v>
      </c>
      <c r="P3433" t="s">
        <v>482</v>
      </c>
      <c r="Q3433">
        <v>137</v>
      </c>
      <c r="R3433" t="s">
        <v>255</v>
      </c>
      <c r="S3433" t="s">
        <v>15</v>
      </c>
      <c r="T3433">
        <v>13</v>
      </c>
    </row>
    <row r="3434" spans="4:20" ht="15.75" customHeight="1" x14ac:dyDescent="0.2">
      <c r="D3434" t="s">
        <v>285</v>
      </c>
      <c r="E3434" t="s">
        <v>479</v>
      </c>
      <c r="F3434">
        <v>18</v>
      </c>
      <c r="P3434" t="s">
        <v>482</v>
      </c>
      <c r="Q3434">
        <v>137</v>
      </c>
      <c r="R3434" t="s">
        <v>293</v>
      </c>
      <c r="S3434" t="s">
        <v>13</v>
      </c>
      <c r="T3434">
        <v>0</v>
      </c>
    </row>
    <row r="3435" spans="4:20" ht="15.75" customHeight="1" x14ac:dyDescent="0.2">
      <c r="D3435" t="s">
        <v>285</v>
      </c>
      <c r="E3435" t="s">
        <v>479</v>
      </c>
      <c r="F3435">
        <v>18</v>
      </c>
      <c r="P3435" t="s">
        <v>482</v>
      </c>
      <c r="Q3435">
        <v>137</v>
      </c>
      <c r="R3435" t="s">
        <v>294</v>
      </c>
      <c r="S3435" t="s">
        <v>14</v>
      </c>
      <c r="T3435">
        <v>0</v>
      </c>
    </row>
    <row r="3436" spans="4:20" ht="15.75" customHeight="1" x14ac:dyDescent="0.2">
      <c r="D3436" t="s">
        <v>285</v>
      </c>
      <c r="E3436" t="s">
        <v>479</v>
      </c>
      <c r="F3436">
        <v>18</v>
      </c>
      <c r="P3436" t="s">
        <v>482</v>
      </c>
      <c r="Q3436">
        <v>137</v>
      </c>
      <c r="R3436" t="s">
        <v>257</v>
      </c>
      <c r="S3436" t="s">
        <v>16</v>
      </c>
      <c r="T3436">
        <v>61.099899999999998</v>
      </c>
    </row>
    <row r="3437" spans="4:20" ht="15.75" customHeight="1" x14ac:dyDescent="0.2">
      <c r="D3437" t="s">
        <v>285</v>
      </c>
      <c r="E3437" t="s">
        <v>479</v>
      </c>
      <c r="F3437">
        <v>18</v>
      </c>
      <c r="P3437" t="s">
        <v>482</v>
      </c>
      <c r="Q3437">
        <v>137</v>
      </c>
      <c r="R3437" t="s">
        <v>295</v>
      </c>
      <c r="S3437" t="s">
        <v>17</v>
      </c>
      <c r="T3437">
        <v>1</v>
      </c>
    </row>
    <row r="3438" spans="4:20" ht="15.75" customHeight="1" x14ac:dyDescent="0.2">
      <c r="D3438" t="s">
        <v>285</v>
      </c>
      <c r="E3438" t="s">
        <v>479</v>
      </c>
      <c r="F3438">
        <v>18</v>
      </c>
      <c r="P3438" t="s">
        <v>482</v>
      </c>
      <c r="Q3438">
        <v>137</v>
      </c>
      <c r="R3438" t="s">
        <v>296</v>
      </c>
      <c r="S3438" t="s">
        <v>1</v>
      </c>
      <c r="T3438">
        <v>2</v>
      </c>
    </row>
    <row r="3439" spans="4:20" ht="15.75" customHeight="1" x14ac:dyDescent="0.2">
      <c r="D3439" t="s">
        <v>285</v>
      </c>
      <c r="E3439" t="s">
        <v>479</v>
      </c>
      <c r="F3439">
        <v>18</v>
      </c>
      <c r="P3439" t="s">
        <v>482</v>
      </c>
      <c r="Q3439">
        <v>137</v>
      </c>
      <c r="R3439" t="s">
        <v>297</v>
      </c>
      <c r="S3439" t="s">
        <v>18</v>
      </c>
      <c r="T3439">
        <v>6</v>
      </c>
    </row>
    <row r="3440" spans="4:20" ht="15.75" customHeight="1" x14ac:dyDescent="0.2">
      <c r="D3440" t="s">
        <v>285</v>
      </c>
      <c r="E3440" t="s">
        <v>479</v>
      </c>
      <c r="F3440">
        <v>18</v>
      </c>
      <c r="P3440" t="s">
        <v>482</v>
      </c>
      <c r="Q3440">
        <v>137</v>
      </c>
      <c r="R3440" t="s">
        <v>298</v>
      </c>
      <c r="S3440" t="s">
        <v>19</v>
      </c>
      <c r="T3440">
        <v>0</v>
      </c>
    </row>
    <row r="3441" spans="4:20" ht="15.75" customHeight="1" x14ac:dyDescent="0.2">
      <c r="D3441" t="s">
        <v>285</v>
      </c>
      <c r="E3441" t="s">
        <v>479</v>
      </c>
      <c r="F3441">
        <v>18</v>
      </c>
      <c r="P3441" t="s">
        <v>482</v>
      </c>
      <c r="Q3441">
        <v>137</v>
      </c>
      <c r="R3441" t="s">
        <v>299</v>
      </c>
      <c r="S3441" t="s">
        <v>20</v>
      </c>
      <c r="T3441">
        <v>3</v>
      </c>
    </row>
    <row r="3442" spans="4:20" ht="15.75" customHeight="1" x14ac:dyDescent="0.2">
      <c r="D3442" t="s">
        <v>285</v>
      </c>
      <c r="E3442" t="s">
        <v>479</v>
      </c>
      <c r="F3442">
        <v>18</v>
      </c>
      <c r="P3442" t="s">
        <v>483</v>
      </c>
      <c r="Q3442">
        <v>138</v>
      </c>
      <c r="R3442" t="s">
        <v>288</v>
      </c>
      <c r="S3442" t="s">
        <v>2</v>
      </c>
      <c r="T3442">
        <v>1</v>
      </c>
    </row>
    <row r="3443" spans="4:20" ht="15.75" customHeight="1" x14ac:dyDescent="0.2">
      <c r="D3443" t="s">
        <v>285</v>
      </c>
      <c r="E3443" t="s">
        <v>479</v>
      </c>
      <c r="F3443">
        <v>18</v>
      </c>
      <c r="P3443" t="s">
        <v>483</v>
      </c>
      <c r="Q3443">
        <v>138</v>
      </c>
      <c r="R3443" t="s">
        <v>289</v>
      </c>
      <c r="S3443" t="s">
        <v>5</v>
      </c>
      <c r="T3443">
        <v>0</v>
      </c>
    </row>
    <row r="3444" spans="4:20" ht="15.75" customHeight="1" x14ac:dyDescent="0.2">
      <c r="D3444" t="s">
        <v>285</v>
      </c>
      <c r="E3444" t="s">
        <v>479</v>
      </c>
      <c r="F3444">
        <v>18</v>
      </c>
      <c r="P3444" t="s">
        <v>483</v>
      </c>
      <c r="Q3444">
        <v>138</v>
      </c>
      <c r="R3444" t="s">
        <v>290</v>
      </c>
      <c r="S3444" t="s">
        <v>3</v>
      </c>
      <c r="T3444">
        <v>0.26319999999999999</v>
      </c>
    </row>
    <row r="3445" spans="4:20" ht="15.75" customHeight="1" x14ac:dyDescent="0.2">
      <c r="D3445" t="s">
        <v>285</v>
      </c>
      <c r="E3445" t="s">
        <v>479</v>
      </c>
      <c r="F3445">
        <v>18</v>
      </c>
      <c r="P3445" t="s">
        <v>483</v>
      </c>
      <c r="Q3445">
        <v>138</v>
      </c>
      <c r="R3445" t="s">
        <v>291</v>
      </c>
      <c r="S3445" t="s">
        <v>4</v>
      </c>
      <c r="T3445">
        <v>18</v>
      </c>
    </row>
    <row r="3446" spans="4:20" ht="15.75" customHeight="1" x14ac:dyDescent="0.2">
      <c r="D3446" t="s">
        <v>285</v>
      </c>
      <c r="E3446" t="s">
        <v>479</v>
      </c>
      <c r="F3446">
        <v>18</v>
      </c>
      <c r="P3446" t="s">
        <v>483</v>
      </c>
      <c r="Q3446">
        <v>138</v>
      </c>
      <c r="R3446" t="s">
        <v>292</v>
      </c>
      <c r="S3446" t="s">
        <v>6</v>
      </c>
      <c r="T3446">
        <v>5</v>
      </c>
    </row>
    <row r="3447" spans="4:20" ht="15.75" customHeight="1" x14ac:dyDescent="0.2">
      <c r="D3447" t="s">
        <v>285</v>
      </c>
      <c r="E3447" t="s">
        <v>479</v>
      </c>
      <c r="F3447">
        <v>18</v>
      </c>
      <c r="P3447" t="s">
        <v>483</v>
      </c>
      <c r="Q3447">
        <v>138</v>
      </c>
      <c r="R3447" t="s">
        <v>243</v>
      </c>
      <c r="S3447" t="s">
        <v>7</v>
      </c>
      <c r="T3447">
        <v>29</v>
      </c>
    </row>
    <row r="3448" spans="4:20" ht="15.75" customHeight="1" x14ac:dyDescent="0.2">
      <c r="D3448" t="s">
        <v>285</v>
      </c>
      <c r="E3448" t="s">
        <v>479</v>
      </c>
      <c r="F3448">
        <v>18</v>
      </c>
      <c r="P3448" t="s">
        <v>483</v>
      </c>
      <c r="Q3448">
        <v>138</v>
      </c>
      <c r="R3448" t="s">
        <v>245</v>
      </c>
      <c r="S3448" t="s">
        <v>8</v>
      </c>
      <c r="T3448">
        <v>15830.8495</v>
      </c>
    </row>
    <row r="3449" spans="4:20" ht="15.75" customHeight="1" x14ac:dyDescent="0.2">
      <c r="D3449" t="s">
        <v>285</v>
      </c>
      <c r="E3449" t="s">
        <v>479</v>
      </c>
      <c r="F3449">
        <v>18</v>
      </c>
      <c r="P3449" t="s">
        <v>483</v>
      </c>
      <c r="Q3449">
        <v>138</v>
      </c>
      <c r="R3449" t="s">
        <v>247</v>
      </c>
      <c r="S3449" t="s">
        <v>9</v>
      </c>
      <c r="T3449">
        <v>0.2102</v>
      </c>
    </row>
    <row r="3450" spans="4:20" ht="15.75" customHeight="1" x14ac:dyDescent="0.2">
      <c r="D3450" t="s">
        <v>285</v>
      </c>
      <c r="E3450" t="s">
        <v>479</v>
      </c>
      <c r="F3450">
        <v>18</v>
      </c>
      <c r="P3450" t="s">
        <v>483</v>
      </c>
      <c r="Q3450">
        <v>138</v>
      </c>
      <c r="R3450" t="s">
        <v>249</v>
      </c>
      <c r="S3450" t="s">
        <v>10</v>
      </c>
      <c r="T3450">
        <v>94</v>
      </c>
    </row>
    <row r="3451" spans="4:20" ht="15.75" customHeight="1" x14ac:dyDescent="0.2">
      <c r="D3451" t="s">
        <v>285</v>
      </c>
      <c r="E3451" t="s">
        <v>479</v>
      </c>
      <c r="F3451">
        <v>18</v>
      </c>
      <c r="P3451" t="s">
        <v>483</v>
      </c>
      <c r="Q3451">
        <v>138</v>
      </c>
      <c r="R3451" t="s">
        <v>251</v>
      </c>
      <c r="S3451" t="s">
        <v>11</v>
      </c>
      <c r="T3451">
        <v>56</v>
      </c>
    </row>
    <row r="3452" spans="4:20" ht="15.75" customHeight="1" x14ac:dyDescent="0.2">
      <c r="D3452" t="s">
        <v>285</v>
      </c>
      <c r="E3452" t="s">
        <v>479</v>
      </c>
      <c r="F3452">
        <v>18</v>
      </c>
      <c r="P3452" t="s">
        <v>483</v>
      </c>
      <c r="Q3452">
        <v>138</v>
      </c>
      <c r="R3452" t="s">
        <v>253</v>
      </c>
      <c r="S3452" t="s">
        <v>12</v>
      </c>
      <c r="T3452">
        <v>545.89139999999998</v>
      </c>
    </row>
    <row r="3453" spans="4:20" ht="15.75" customHeight="1" x14ac:dyDescent="0.2">
      <c r="D3453" t="s">
        <v>285</v>
      </c>
      <c r="E3453" t="s">
        <v>479</v>
      </c>
      <c r="F3453">
        <v>18</v>
      </c>
      <c r="P3453" t="s">
        <v>483</v>
      </c>
      <c r="Q3453">
        <v>138</v>
      </c>
      <c r="R3453" t="s">
        <v>255</v>
      </c>
      <c r="S3453" t="s">
        <v>15</v>
      </c>
      <c r="T3453">
        <v>34</v>
      </c>
    </row>
    <row r="3454" spans="4:20" ht="15.75" customHeight="1" x14ac:dyDescent="0.2">
      <c r="D3454" t="s">
        <v>285</v>
      </c>
      <c r="E3454" t="s">
        <v>479</v>
      </c>
      <c r="F3454">
        <v>18</v>
      </c>
      <c r="P3454" t="s">
        <v>483</v>
      </c>
      <c r="Q3454">
        <v>138</v>
      </c>
      <c r="R3454" t="s">
        <v>293</v>
      </c>
      <c r="S3454" t="s">
        <v>13</v>
      </c>
      <c r="T3454">
        <v>0</v>
      </c>
    </row>
    <row r="3455" spans="4:20" ht="15.75" customHeight="1" x14ac:dyDescent="0.2">
      <c r="D3455" t="s">
        <v>285</v>
      </c>
      <c r="E3455" t="s">
        <v>479</v>
      </c>
      <c r="F3455">
        <v>18</v>
      </c>
      <c r="P3455" t="s">
        <v>483</v>
      </c>
      <c r="Q3455">
        <v>138</v>
      </c>
      <c r="R3455" t="s">
        <v>294</v>
      </c>
      <c r="S3455" t="s">
        <v>14</v>
      </c>
      <c r="T3455">
        <v>0</v>
      </c>
    </row>
    <row r="3456" spans="4:20" ht="15.75" customHeight="1" x14ac:dyDescent="0.2">
      <c r="D3456" t="s">
        <v>285</v>
      </c>
      <c r="E3456" t="s">
        <v>479</v>
      </c>
      <c r="F3456">
        <v>18</v>
      </c>
      <c r="P3456" t="s">
        <v>483</v>
      </c>
      <c r="Q3456">
        <v>138</v>
      </c>
      <c r="R3456" t="s">
        <v>257</v>
      </c>
      <c r="S3456" t="s">
        <v>16</v>
      </c>
      <c r="T3456">
        <v>47.338900000000002</v>
      </c>
    </row>
    <row r="3457" spans="4:20" ht="15.75" customHeight="1" x14ac:dyDescent="0.2">
      <c r="D3457" t="s">
        <v>285</v>
      </c>
      <c r="E3457" t="s">
        <v>479</v>
      </c>
      <c r="F3457">
        <v>18</v>
      </c>
      <c r="P3457" t="s">
        <v>483</v>
      </c>
      <c r="Q3457">
        <v>138</v>
      </c>
      <c r="R3457" t="s">
        <v>295</v>
      </c>
      <c r="S3457" t="s">
        <v>17</v>
      </c>
      <c r="T3457">
        <v>1</v>
      </c>
    </row>
    <row r="3458" spans="4:20" ht="15.75" customHeight="1" x14ac:dyDescent="0.2">
      <c r="D3458" t="s">
        <v>285</v>
      </c>
      <c r="E3458" t="s">
        <v>479</v>
      </c>
      <c r="F3458">
        <v>18</v>
      </c>
      <c r="P3458" t="s">
        <v>483</v>
      </c>
      <c r="Q3458">
        <v>138</v>
      </c>
      <c r="R3458" t="s">
        <v>296</v>
      </c>
      <c r="S3458" t="s">
        <v>1</v>
      </c>
      <c r="T3458">
        <v>2</v>
      </c>
    </row>
    <row r="3459" spans="4:20" ht="15.75" customHeight="1" x14ac:dyDescent="0.2">
      <c r="D3459" t="s">
        <v>285</v>
      </c>
      <c r="E3459" t="s">
        <v>479</v>
      </c>
      <c r="F3459">
        <v>18</v>
      </c>
      <c r="P3459" t="s">
        <v>483</v>
      </c>
      <c r="Q3459">
        <v>138</v>
      </c>
      <c r="R3459" t="s">
        <v>297</v>
      </c>
      <c r="S3459" t="s">
        <v>18</v>
      </c>
      <c r="T3459">
        <v>14</v>
      </c>
    </row>
    <row r="3460" spans="4:20" ht="15.75" customHeight="1" x14ac:dyDescent="0.2">
      <c r="D3460" t="s">
        <v>285</v>
      </c>
      <c r="E3460" t="s">
        <v>479</v>
      </c>
      <c r="F3460">
        <v>18</v>
      </c>
      <c r="P3460" t="s">
        <v>483</v>
      </c>
      <c r="Q3460">
        <v>138</v>
      </c>
      <c r="R3460" t="s">
        <v>298</v>
      </c>
      <c r="S3460" t="s">
        <v>19</v>
      </c>
      <c r="T3460">
        <v>0</v>
      </c>
    </row>
    <row r="3461" spans="4:20" ht="15.75" customHeight="1" x14ac:dyDescent="0.2">
      <c r="D3461" t="s">
        <v>285</v>
      </c>
      <c r="E3461" t="s">
        <v>479</v>
      </c>
      <c r="F3461">
        <v>18</v>
      </c>
      <c r="P3461" t="s">
        <v>483</v>
      </c>
      <c r="Q3461">
        <v>138</v>
      </c>
      <c r="R3461" t="s">
        <v>299</v>
      </c>
      <c r="S3461" t="s">
        <v>20</v>
      </c>
      <c r="T3461">
        <v>2</v>
      </c>
    </row>
    <row r="3462" spans="4:20" ht="15.75" customHeight="1" x14ac:dyDescent="0.2">
      <c r="D3462" t="s">
        <v>285</v>
      </c>
      <c r="E3462" t="s">
        <v>479</v>
      </c>
      <c r="F3462">
        <v>18</v>
      </c>
      <c r="P3462" t="s">
        <v>484</v>
      </c>
      <c r="Q3462">
        <v>139</v>
      </c>
      <c r="R3462" t="s">
        <v>288</v>
      </c>
      <c r="S3462" t="s">
        <v>2</v>
      </c>
      <c r="T3462">
        <v>9</v>
      </c>
    </row>
    <row r="3463" spans="4:20" ht="15.75" customHeight="1" x14ac:dyDescent="0.2">
      <c r="D3463" t="s">
        <v>285</v>
      </c>
      <c r="E3463" t="s">
        <v>479</v>
      </c>
      <c r="F3463">
        <v>18</v>
      </c>
      <c r="P3463" t="s">
        <v>484</v>
      </c>
      <c r="Q3463">
        <v>139</v>
      </c>
      <c r="R3463" t="s">
        <v>289</v>
      </c>
      <c r="S3463" t="s">
        <v>5</v>
      </c>
      <c r="T3463">
        <v>1</v>
      </c>
    </row>
    <row r="3464" spans="4:20" ht="15.75" customHeight="1" x14ac:dyDescent="0.2">
      <c r="D3464" t="s">
        <v>285</v>
      </c>
      <c r="E3464" t="s">
        <v>479</v>
      </c>
      <c r="F3464">
        <v>18</v>
      </c>
      <c r="P3464" t="s">
        <v>484</v>
      </c>
      <c r="Q3464">
        <v>139</v>
      </c>
      <c r="R3464" t="s">
        <v>290</v>
      </c>
      <c r="S3464" t="s">
        <v>3</v>
      </c>
      <c r="T3464">
        <v>0.35</v>
      </c>
    </row>
    <row r="3465" spans="4:20" ht="15.75" customHeight="1" x14ac:dyDescent="0.2">
      <c r="D3465" t="s">
        <v>285</v>
      </c>
      <c r="E3465" t="s">
        <v>479</v>
      </c>
      <c r="F3465">
        <v>18</v>
      </c>
      <c r="P3465" t="s">
        <v>484</v>
      </c>
      <c r="Q3465">
        <v>139</v>
      </c>
      <c r="R3465" t="s">
        <v>291</v>
      </c>
      <c r="S3465" t="s">
        <v>4</v>
      </c>
      <c r="T3465">
        <v>19</v>
      </c>
    </row>
    <row r="3466" spans="4:20" ht="15.75" customHeight="1" x14ac:dyDescent="0.2">
      <c r="D3466" t="s">
        <v>285</v>
      </c>
      <c r="E3466" t="s">
        <v>479</v>
      </c>
      <c r="F3466">
        <v>18</v>
      </c>
      <c r="P3466" t="s">
        <v>484</v>
      </c>
      <c r="Q3466">
        <v>139</v>
      </c>
      <c r="R3466" t="s">
        <v>292</v>
      </c>
      <c r="S3466" t="s">
        <v>6</v>
      </c>
      <c r="T3466">
        <v>4</v>
      </c>
    </row>
    <row r="3467" spans="4:20" ht="15.75" customHeight="1" x14ac:dyDescent="0.2">
      <c r="D3467" t="s">
        <v>285</v>
      </c>
      <c r="E3467" t="s">
        <v>479</v>
      </c>
      <c r="F3467">
        <v>18</v>
      </c>
      <c r="P3467" t="s">
        <v>484</v>
      </c>
      <c r="Q3467">
        <v>139</v>
      </c>
      <c r="R3467" t="s">
        <v>243</v>
      </c>
      <c r="S3467" t="s">
        <v>7</v>
      </c>
      <c r="T3467">
        <v>58.8</v>
      </c>
    </row>
    <row r="3468" spans="4:20" ht="15.75" customHeight="1" x14ac:dyDescent="0.2">
      <c r="D3468" t="s">
        <v>285</v>
      </c>
      <c r="E3468" t="s">
        <v>479</v>
      </c>
      <c r="F3468">
        <v>18</v>
      </c>
      <c r="P3468" t="s">
        <v>484</v>
      </c>
      <c r="Q3468">
        <v>139</v>
      </c>
      <c r="R3468" t="s">
        <v>245</v>
      </c>
      <c r="S3468" t="s">
        <v>8</v>
      </c>
      <c r="T3468">
        <v>80893.950100000002</v>
      </c>
    </row>
    <row r="3469" spans="4:20" ht="15.75" customHeight="1" x14ac:dyDescent="0.2">
      <c r="D3469" t="s">
        <v>285</v>
      </c>
      <c r="E3469" t="s">
        <v>479</v>
      </c>
      <c r="F3469">
        <v>18</v>
      </c>
      <c r="P3469" t="s">
        <v>484</v>
      </c>
      <c r="Q3469">
        <v>139</v>
      </c>
      <c r="R3469" t="s">
        <v>247</v>
      </c>
      <c r="S3469" t="s">
        <v>9</v>
      </c>
      <c r="T3469">
        <v>0.62350000000000005</v>
      </c>
    </row>
    <row r="3470" spans="4:20" ht="15.75" customHeight="1" x14ac:dyDescent="0.2">
      <c r="D3470" t="s">
        <v>285</v>
      </c>
      <c r="E3470" t="s">
        <v>479</v>
      </c>
      <c r="F3470">
        <v>18</v>
      </c>
      <c r="P3470" t="s">
        <v>484</v>
      </c>
      <c r="Q3470">
        <v>139</v>
      </c>
      <c r="R3470" t="s">
        <v>249</v>
      </c>
      <c r="S3470" t="s">
        <v>10</v>
      </c>
      <c r="T3470">
        <v>217</v>
      </c>
    </row>
    <row r="3471" spans="4:20" ht="15.75" customHeight="1" x14ac:dyDescent="0.2">
      <c r="D3471" t="s">
        <v>285</v>
      </c>
      <c r="E3471" t="s">
        <v>479</v>
      </c>
      <c r="F3471">
        <v>18</v>
      </c>
      <c r="P3471" t="s">
        <v>484</v>
      </c>
      <c r="Q3471">
        <v>139</v>
      </c>
      <c r="R3471" t="s">
        <v>251</v>
      </c>
      <c r="S3471" t="s">
        <v>11</v>
      </c>
      <c r="T3471">
        <v>81</v>
      </c>
    </row>
    <row r="3472" spans="4:20" ht="15.75" customHeight="1" x14ac:dyDescent="0.2">
      <c r="D3472" t="s">
        <v>285</v>
      </c>
      <c r="E3472" t="s">
        <v>479</v>
      </c>
      <c r="F3472">
        <v>18</v>
      </c>
      <c r="P3472" t="s">
        <v>484</v>
      </c>
      <c r="Q3472">
        <v>139</v>
      </c>
      <c r="R3472" t="s">
        <v>253</v>
      </c>
      <c r="S3472" t="s">
        <v>12</v>
      </c>
      <c r="T3472">
        <v>1375.7474999999999</v>
      </c>
    </row>
    <row r="3473" spans="4:23" ht="15.75" customHeight="1" x14ac:dyDescent="0.2">
      <c r="D3473" t="s">
        <v>285</v>
      </c>
      <c r="E3473" t="s">
        <v>479</v>
      </c>
      <c r="F3473">
        <v>18</v>
      </c>
      <c r="P3473" t="s">
        <v>484</v>
      </c>
      <c r="Q3473">
        <v>139</v>
      </c>
      <c r="R3473" t="s">
        <v>255</v>
      </c>
      <c r="S3473" t="s">
        <v>15</v>
      </c>
      <c r="T3473">
        <v>71</v>
      </c>
    </row>
    <row r="3474" spans="4:23" ht="15.75" customHeight="1" x14ac:dyDescent="0.2">
      <c r="D3474" t="s">
        <v>285</v>
      </c>
      <c r="E3474" t="s">
        <v>479</v>
      </c>
      <c r="F3474">
        <v>18</v>
      </c>
      <c r="P3474" t="s">
        <v>484</v>
      </c>
      <c r="Q3474">
        <v>139</v>
      </c>
      <c r="R3474" t="s">
        <v>293</v>
      </c>
      <c r="S3474" t="s">
        <v>13</v>
      </c>
      <c r="T3474">
        <v>0</v>
      </c>
    </row>
    <row r="3475" spans="4:23" ht="15.75" customHeight="1" x14ac:dyDescent="0.2">
      <c r="D3475" t="s">
        <v>285</v>
      </c>
      <c r="E3475" t="s">
        <v>479</v>
      </c>
      <c r="F3475">
        <v>18</v>
      </c>
      <c r="P3475" t="s">
        <v>484</v>
      </c>
      <c r="Q3475">
        <v>139</v>
      </c>
      <c r="R3475" t="s">
        <v>294</v>
      </c>
      <c r="S3475" t="s">
        <v>14</v>
      </c>
      <c r="T3475">
        <v>2</v>
      </c>
    </row>
    <row r="3476" spans="4:23" ht="15.75" customHeight="1" x14ac:dyDescent="0.2">
      <c r="D3476" t="s">
        <v>285</v>
      </c>
      <c r="E3476" t="s">
        <v>479</v>
      </c>
      <c r="F3476">
        <v>18</v>
      </c>
      <c r="P3476" t="s">
        <v>484</v>
      </c>
      <c r="Q3476">
        <v>139</v>
      </c>
      <c r="R3476" t="s">
        <v>257</v>
      </c>
      <c r="S3476" t="s">
        <v>16</v>
      </c>
      <c r="T3476">
        <v>37.346699999999998</v>
      </c>
    </row>
    <row r="3477" spans="4:23" ht="15.75" customHeight="1" x14ac:dyDescent="0.2">
      <c r="D3477" t="s">
        <v>285</v>
      </c>
      <c r="E3477" t="s">
        <v>479</v>
      </c>
      <c r="F3477">
        <v>18</v>
      </c>
      <c r="P3477" t="s">
        <v>484</v>
      </c>
      <c r="Q3477">
        <v>139</v>
      </c>
      <c r="R3477" t="s">
        <v>295</v>
      </c>
      <c r="S3477" t="s">
        <v>17</v>
      </c>
      <c r="T3477">
        <v>3</v>
      </c>
    </row>
    <row r="3478" spans="4:23" ht="15.75" customHeight="1" x14ac:dyDescent="0.2">
      <c r="D3478" t="s">
        <v>285</v>
      </c>
      <c r="E3478" t="s">
        <v>479</v>
      </c>
      <c r="F3478">
        <v>18</v>
      </c>
      <c r="P3478" t="s">
        <v>484</v>
      </c>
      <c r="Q3478">
        <v>139</v>
      </c>
      <c r="R3478" t="s">
        <v>296</v>
      </c>
      <c r="S3478" t="s">
        <v>1</v>
      </c>
      <c r="T3478">
        <v>9</v>
      </c>
    </row>
    <row r="3479" spans="4:23" ht="15.75" customHeight="1" x14ac:dyDescent="0.2">
      <c r="D3479" t="s">
        <v>285</v>
      </c>
      <c r="E3479" t="s">
        <v>479</v>
      </c>
      <c r="F3479">
        <v>18</v>
      </c>
      <c r="P3479" t="s">
        <v>484</v>
      </c>
      <c r="Q3479">
        <v>139</v>
      </c>
      <c r="R3479" t="s">
        <v>297</v>
      </c>
      <c r="S3479" t="s">
        <v>18</v>
      </c>
      <c r="T3479">
        <v>21</v>
      </c>
    </row>
    <row r="3480" spans="4:23" ht="15.75" customHeight="1" x14ac:dyDescent="0.2">
      <c r="D3480" t="s">
        <v>285</v>
      </c>
      <c r="E3480" t="s">
        <v>479</v>
      </c>
      <c r="F3480">
        <v>18</v>
      </c>
      <c r="P3480" t="s">
        <v>484</v>
      </c>
      <c r="Q3480">
        <v>139</v>
      </c>
      <c r="R3480" t="s">
        <v>298</v>
      </c>
      <c r="S3480" t="s">
        <v>19</v>
      </c>
      <c r="T3480">
        <v>2</v>
      </c>
    </row>
    <row r="3481" spans="4:23" ht="15.75" customHeight="1" x14ac:dyDescent="0.2">
      <c r="D3481" t="s">
        <v>285</v>
      </c>
      <c r="E3481" t="s">
        <v>479</v>
      </c>
      <c r="F3481">
        <v>18</v>
      </c>
      <c r="P3481" t="s">
        <v>484</v>
      </c>
      <c r="Q3481">
        <v>139</v>
      </c>
      <c r="R3481" t="s">
        <v>299</v>
      </c>
      <c r="S3481" t="s">
        <v>20</v>
      </c>
      <c r="T3481">
        <v>4</v>
      </c>
    </row>
    <row r="3482" spans="4:23" ht="15.75" customHeight="1" x14ac:dyDescent="0.2">
      <c r="D3482" t="s">
        <v>285</v>
      </c>
      <c r="E3482" t="s">
        <v>479</v>
      </c>
      <c r="F3482">
        <v>18</v>
      </c>
      <c r="U3482" t="s">
        <v>300</v>
      </c>
      <c r="V3482" t="s">
        <v>301</v>
      </c>
      <c r="W3482">
        <v>7</v>
      </c>
    </row>
    <row r="3483" spans="4:23" ht="15.75" customHeight="1" x14ac:dyDescent="0.2">
      <c r="D3483" t="s">
        <v>285</v>
      </c>
      <c r="E3483" t="s">
        <v>479</v>
      </c>
      <c r="F3483">
        <v>18</v>
      </c>
      <c r="U3483" t="s">
        <v>288</v>
      </c>
      <c r="V3483" t="s">
        <v>302</v>
      </c>
      <c r="W3483">
        <v>11</v>
      </c>
    </row>
    <row r="3484" spans="4:23" ht="15.75" customHeight="1" x14ac:dyDescent="0.2">
      <c r="D3484" t="s">
        <v>285</v>
      </c>
      <c r="E3484" t="s">
        <v>479</v>
      </c>
      <c r="F3484">
        <v>18</v>
      </c>
      <c r="U3484" t="s">
        <v>303</v>
      </c>
      <c r="V3484" t="s">
        <v>304</v>
      </c>
      <c r="W3484">
        <v>18</v>
      </c>
    </row>
    <row r="3485" spans="4:23" ht="15.75" customHeight="1" x14ac:dyDescent="0.2">
      <c r="D3485" t="s">
        <v>285</v>
      </c>
      <c r="E3485" t="s">
        <v>479</v>
      </c>
      <c r="F3485">
        <v>18</v>
      </c>
      <c r="U3485" t="s">
        <v>305</v>
      </c>
      <c r="V3485" t="s">
        <v>306</v>
      </c>
      <c r="W3485">
        <v>0</v>
      </c>
    </row>
    <row r="3486" spans="4:23" ht="15.75" customHeight="1" x14ac:dyDescent="0.2">
      <c r="D3486" t="s">
        <v>285</v>
      </c>
      <c r="E3486" t="s">
        <v>479</v>
      </c>
      <c r="F3486">
        <v>18</v>
      </c>
      <c r="U3486" t="s">
        <v>307</v>
      </c>
      <c r="V3486" t="s">
        <v>308</v>
      </c>
      <c r="W3486">
        <v>1</v>
      </c>
    </row>
    <row r="3487" spans="4:23" ht="15.75" customHeight="1" x14ac:dyDescent="0.2">
      <c r="D3487" t="s">
        <v>285</v>
      </c>
      <c r="E3487" t="s">
        <v>479</v>
      </c>
      <c r="F3487">
        <v>18</v>
      </c>
      <c r="U3487" t="s">
        <v>243</v>
      </c>
      <c r="V3487" t="s">
        <v>309</v>
      </c>
      <c r="W3487">
        <v>91.6</v>
      </c>
    </row>
    <row r="3488" spans="4:23" ht="15.75" customHeight="1" x14ac:dyDescent="0.2">
      <c r="D3488" t="s">
        <v>285</v>
      </c>
      <c r="E3488" t="s">
        <v>479</v>
      </c>
      <c r="F3488">
        <v>18</v>
      </c>
      <c r="U3488" t="s">
        <v>245</v>
      </c>
      <c r="V3488" t="s">
        <v>310</v>
      </c>
      <c r="W3488">
        <v>227526.30739999999</v>
      </c>
    </row>
    <row r="3489" spans="4:23" ht="15.75" customHeight="1" x14ac:dyDescent="0.2">
      <c r="D3489" t="s">
        <v>285</v>
      </c>
      <c r="E3489" t="s">
        <v>479</v>
      </c>
      <c r="F3489">
        <v>18</v>
      </c>
      <c r="U3489" t="s">
        <v>247</v>
      </c>
      <c r="V3489" t="s">
        <v>311</v>
      </c>
      <c r="W3489">
        <v>1.2423</v>
      </c>
    </row>
    <row r="3490" spans="4:23" ht="15.75" customHeight="1" x14ac:dyDescent="0.2">
      <c r="D3490" t="s">
        <v>285</v>
      </c>
      <c r="E3490" t="s">
        <v>479</v>
      </c>
      <c r="F3490">
        <v>18</v>
      </c>
      <c r="U3490" t="s">
        <v>249</v>
      </c>
      <c r="V3490" t="s">
        <v>312</v>
      </c>
      <c r="W3490">
        <v>356</v>
      </c>
    </row>
    <row r="3491" spans="4:23" ht="15.75" customHeight="1" x14ac:dyDescent="0.2">
      <c r="D3491" t="s">
        <v>285</v>
      </c>
      <c r="E3491" t="s">
        <v>479</v>
      </c>
      <c r="F3491">
        <v>18</v>
      </c>
      <c r="U3491" t="s">
        <v>251</v>
      </c>
      <c r="V3491" t="s">
        <v>313</v>
      </c>
      <c r="W3491">
        <v>126</v>
      </c>
    </row>
    <row r="3492" spans="4:23" ht="15.75" customHeight="1" x14ac:dyDescent="0.2">
      <c r="D3492" t="s">
        <v>285</v>
      </c>
      <c r="E3492" t="s">
        <v>479</v>
      </c>
      <c r="F3492">
        <v>18</v>
      </c>
      <c r="U3492" t="s">
        <v>253</v>
      </c>
      <c r="V3492" t="s">
        <v>314</v>
      </c>
      <c r="W3492">
        <v>2483.9117000000001</v>
      </c>
    </row>
    <row r="3493" spans="4:23" ht="15.75" customHeight="1" x14ac:dyDescent="0.2">
      <c r="D3493" t="s">
        <v>285</v>
      </c>
      <c r="E3493" t="s">
        <v>479</v>
      </c>
      <c r="F3493">
        <v>18</v>
      </c>
      <c r="U3493" t="s">
        <v>315</v>
      </c>
      <c r="V3493" t="s">
        <v>316</v>
      </c>
      <c r="W3493">
        <v>0</v>
      </c>
    </row>
    <row r="3494" spans="4:23" ht="15.75" customHeight="1" x14ac:dyDescent="0.2">
      <c r="D3494" t="s">
        <v>285</v>
      </c>
      <c r="E3494" t="s">
        <v>479</v>
      </c>
      <c r="F3494">
        <v>18</v>
      </c>
      <c r="U3494" t="s">
        <v>317</v>
      </c>
      <c r="V3494" t="s">
        <v>318</v>
      </c>
      <c r="W3494">
        <v>118</v>
      </c>
    </row>
    <row r="3495" spans="4:23" ht="15.75" customHeight="1" x14ac:dyDescent="0.2">
      <c r="D3495" t="s">
        <v>285</v>
      </c>
      <c r="E3495" t="s">
        <v>479</v>
      </c>
      <c r="F3495">
        <v>18</v>
      </c>
      <c r="U3495" t="s">
        <v>257</v>
      </c>
      <c r="V3495" t="s">
        <v>319</v>
      </c>
      <c r="W3495">
        <v>30.6874</v>
      </c>
    </row>
    <row r="3496" spans="4:23" ht="15.75" customHeight="1" x14ac:dyDescent="0.2">
      <c r="D3496" t="s">
        <v>285</v>
      </c>
      <c r="E3496" t="s">
        <v>479</v>
      </c>
      <c r="F3496">
        <v>18</v>
      </c>
      <c r="U3496" t="s">
        <v>320</v>
      </c>
      <c r="V3496" t="s">
        <v>321</v>
      </c>
      <c r="W3496">
        <v>66</v>
      </c>
    </row>
    <row r="3497" spans="4:23" ht="15.75" customHeight="1" x14ac:dyDescent="0.2">
      <c r="D3497" t="s">
        <v>285</v>
      </c>
      <c r="E3497" t="s">
        <v>479</v>
      </c>
      <c r="F3497">
        <v>18</v>
      </c>
      <c r="U3497" t="s">
        <v>263</v>
      </c>
      <c r="V3497" t="s">
        <v>322</v>
      </c>
      <c r="W3497">
        <v>97</v>
      </c>
    </row>
    <row r="3498" spans="4:23" ht="15.75" customHeight="1" x14ac:dyDescent="0.2">
      <c r="D3498" t="s">
        <v>285</v>
      </c>
      <c r="E3498" t="s">
        <v>479</v>
      </c>
      <c r="F3498">
        <v>18</v>
      </c>
      <c r="U3498" t="s">
        <v>323</v>
      </c>
      <c r="V3498" t="s">
        <v>324</v>
      </c>
      <c r="W3498">
        <v>0</v>
      </c>
    </row>
    <row r="3499" spans="4:23" ht="15.75" customHeight="1" x14ac:dyDescent="0.2">
      <c r="D3499" t="s">
        <v>285</v>
      </c>
      <c r="E3499" t="s">
        <v>479</v>
      </c>
      <c r="F3499">
        <v>18</v>
      </c>
      <c r="U3499" t="s">
        <v>325</v>
      </c>
      <c r="V3499" t="s">
        <v>326</v>
      </c>
      <c r="W3499">
        <v>3</v>
      </c>
    </row>
    <row r="3500" spans="4:23" ht="15.75" customHeight="1" x14ac:dyDescent="0.2">
      <c r="D3500" t="s">
        <v>285</v>
      </c>
      <c r="E3500" t="s">
        <v>479</v>
      </c>
      <c r="F3500">
        <v>18</v>
      </c>
      <c r="U3500" t="s">
        <v>327</v>
      </c>
      <c r="V3500" t="s">
        <v>328</v>
      </c>
      <c r="W3500">
        <v>0</v>
      </c>
    </row>
    <row r="3501" spans="4:23" ht="15.75" customHeight="1" x14ac:dyDescent="0.2">
      <c r="D3501" t="s">
        <v>285</v>
      </c>
      <c r="E3501" t="s">
        <v>479</v>
      </c>
      <c r="F3501">
        <v>18</v>
      </c>
      <c r="U3501" t="s">
        <v>329</v>
      </c>
      <c r="V3501" t="s">
        <v>330</v>
      </c>
      <c r="W3501">
        <v>13</v>
      </c>
    </row>
    <row r="3502" spans="4:23" ht="15.75" customHeight="1" x14ac:dyDescent="0.2">
      <c r="D3502" t="s">
        <v>285</v>
      </c>
      <c r="E3502" t="s">
        <v>479</v>
      </c>
      <c r="F3502">
        <v>18</v>
      </c>
      <c r="U3502" t="s">
        <v>331</v>
      </c>
      <c r="V3502" t="s">
        <v>332</v>
      </c>
      <c r="W3502">
        <v>0</v>
      </c>
    </row>
    <row r="3503" spans="4:23" ht="15.75" customHeight="1" x14ac:dyDescent="0.2">
      <c r="D3503" t="s">
        <v>285</v>
      </c>
      <c r="E3503" t="s">
        <v>479</v>
      </c>
      <c r="F3503">
        <v>18</v>
      </c>
      <c r="U3503" t="s">
        <v>333</v>
      </c>
      <c r="V3503" t="s">
        <v>334</v>
      </c>
      <c r="W3503">
        <v>3</v>
      </c>
    </row>
    <row r="3504" spans="4:23" ht="15.75" customHeight="1" x14ac:dyDescent="0.2">
      <c r="D3504" t="s">
        <v>285</v>
      </c>
      <c r="E3504" t="s">
        <v>479</v>
      </c>
      <c r="F3504">
        <v>18</v>
      </c>
      <c r="U3504" t="s">
        <v>335</v>
      </c>
      <c r="V3504" t="s">
        <v>336</v>
      </c>
      <c r="W3504">
        <v>16</v>
      </c>
    </row>
    <row r="3505" spans="4:23" ht="15.75" customHeight="1" x14ac:dyDescent="0.2">
      <c r="D3505" t="s">
        <v>285</v>
      </c>
      <c r="E3505" t="s">
        <v>479</v>
      </c>
      <c r="F3505">
        <v>18</v>
      </c>
      <c r="U3505" t="s">
        <v>337</v>
      </c>
      <c r="V3505" t="s">
        <v>338</v>
      </c>
      <c r="W3505">
        <v>0</v>
      </c>
    </row>
    <row r="3506" spans="4:23" ht="15.75" customHeight="1" x14ac:dyDescent="0.2">
      <c r="D3506" t="s">
        <v>285</v>
      </c>
      <c r="E3506" t="s">
        <v>479</v>
      </c>
      <c r="F3506">
        <v>18</v>
      </c>
      <c r="U3506" t="s">
        <v>339</v>
      </c>
      <c r="V3506" t="s">
        <v>340</v>
      </c>
      <c r="W3506">
        <v>0</v>
      </c>
    </row>
    <row r="3507" spans="4:23" ht="15.75" customHeight="1" x14ac:dyDescent="0.2">
      <c r="D3507" t="s">
        <v>285</v>
      </c>
      <c r="E3507" t="s">
        <v>479</v>
      </c>
      <c r="F3507">
        <v>18</v>
      </c>
      <c r="U3507" t="s">
        <v>341</v>
      </c>
      <c r="V3507" t="s">
        <v>342</v>
      </c>
      <c r="W3507">
        <v>39</v>
      </c>
    </row>
    <row r="3508" spans="4:23" ht="15.75" customHeight="1" x14ac:dyDescent="0.2">
      <c r="D3508" t="s">
        <v>285</v>
      </c>
      <c r="E3508" t="s">
        <v>479</v>
      </c>
      <c r="F3508">
        <v>18</v>
      </c>
      <c r="U3508" t="s">
        <v>343</v>
      </c>
      <c r="V3508" t="s">
        <v>344</v>
      </c>
      <c r="W3508">
        <v>0</v>
      </c>
    </row>
    <row r="3509" spans="4:23" ht="15.75" customHeight="1" x14ac:dyDescent="0.2">
      <c r="D3509" t="s">
        <v>285</v>
      </c>
      <c r="E3509" t="s">
        <v>479</v>
      </c>
      <c r="F3509">
        <v>18</v>
      </c>
      <c r="U3509" t="s">
        <v>345</v>
      </c>
      <c r="V3509" t="s">
        <v>346</v>
      </c>
      <c r="W3509">
        <v>1</v>
      </c>
    </row>
    <row r="3510" spans="4:23" ht="15.75" customHeight="1" x14ac:dyDescent="0.2">
      <c r="D3510" t="s">
        <v>285</v>
      </c>
      <c r="E3510" t="s">
        <v>479</v>
      </c>
      <c r="F3510">
        <v>18</v>
      </c>
      <c r="U3510" t="s">
        <v>347</v>
      </c>
      <c r="V3510" t="s">
        <v>348</v>
      </c>
      <c r="W3510">
        <v>13</v>
      </c>
    </row>
    <row r="3511" spans="4:23" ht="15.75" customHeight="1" x14ac:dyDescent="0.2">
      <c r="D3511" t="s">
        <v>285</v>
      </c>
      <c r="E3511" t="s">
        <v>485</v>
      </c>
      <c r="F3511">
        <v>19</v>
      </c>
      <c r="P3511" t="s">
        <v>486</v>
      </c>
      <c r="Q3511">
        <v>140</v>
      </c>
      <c r="R3511" t="s">
        <v>288</v>
      </c>
      <c r="S3511" t="s">
        <v>2</v>
      </c>
      <c r="T3511">
        <v>0</v>
      </c>
    </row>
    <row r="3512" spans="4:23" ht="15.75" customHeight="1" x14ac:dyDescent="0.2">
      <c r="D3512" t="s">
        <v>285</v>
      </c>
      <c r="E3512" t="s">
        <v>485</v>
      </c>
      <c r="F3512">
        <v>19</v>
      </c>
      <c r="P3512" t="s">
        <v>486</v>
      </c>
      <c r="Q3512">
        <v>140</v>
      </c>
      <c r="R3512" t="s">
        <v>289</v>
      </c>
      <c r="S3512" t="s">
        <v>5</v>
      </c>
      <c r="T3512">
        <v>0</v>
      </c>
    </row>
    <row r="3513" spans="4:23" ht="15.75" customHeight="1" x14ac:dyDescent="0.2">
      <c r="D3513" t="s">
        <v>285</v>
      </c>
      <c r="E3513" t="s">
        <v>485</v>
      </c>
      <c r="F3513">
        <v>19</v>
      </c>
      <c r="P3513" t="s">
        <v>486</v>
      </c>
      <c r="Q3513">
        <v>140</v>
      </c>
      <c r="R3513" t="s">
        <v>290</v>
      </c>
      <c r="S3513" t="s">
        <v>3</v>
      </c>
      <c r="T3513">
        <v>1</v>
      </c>
    </row>
    <row r="3514" spans="4:23" ht="15.75" customHeight="1" x14ac:dyDescent="0.2">
      <c r="D3514" t="s">
        <v>285</v>
      </c>
      <c r="E3514" t="s">
        <v>485</v>
      </c>
      <c r="F3514">
        <v>19</v>
      </c>
      <c r="P3514" t="s">
        <v>486</v>
      </c>
      <c r="Q3514">
        <v>140</v>
      </c>
      <c r="R3514" t="s">
        <v>291</v>
      </c>
      <c r="S3514" t="s">
        <v>4</v>
      </c>
      <c r="T3514">
        <v>1</v>
      </c>
    </row>
    <row r="3515" spans="4:23" ht="15.75" customHeight="1" x14ac:dyDescent="0.2">
      <c r="D3515" t="s">
        <v>285</v>
      </c>
      <c r="E3515" t="s">
        <v>485</v>
      </c>
      <c r="F3515">
        <v>19</v>
      </c>
      <c r="P3515" t="s">
        <v>486</v>
      </c>
      <c r="Q3515">
        <v>140</v>
      </c>
      <c r="R3515" t="s">
        <v>292</v>
      </c>
      <c r="S3515" t="s">
        <v>6</v>
      </c>
      <c r="T3515">
        <v>0</v>
      </c>
    </row>
    <row r="3516" spans="4:23" ht="15.75" customHeight="1" x14ac:dyDescent="0.2">
      <c r="D3516" t="s">
        <v>285</v>
      </c>
      <c r="E3516" t="s">
        <v>485</v>
      </c>
      <c r="F3516">
        <v>19</v>
      </c>
      <c r="P3516" t="s">
        <v>486</v>
      </c>
      <c r="Q3516">
        <v>140</v>
      </c>
      <c r="R3516" t="s">
        <v>243</v>
      </c>
      <c r="S3516" t="s">
        <v>7</v>
      </c>
      <c r="T3516">
        <v>3.3332999999999999</v>
      </c>
    </row>
    <row r="3517" spans="4:23" ht="15.75" customHeight="1" x14ac:dyDescent="0.2">
      <c r="D3517" t="s">
        <v>285</v>
      </c>
      <c r="E3517" t="s">
        <v>485</v>
      </c>
      <c r="F3517">
        <v>19</v>
      </c>
      <c r="P3517" t="s">
        <v>486</v>
      </c>
      <c r="Q3517">
        <v>140</v>
      </c>
      <c r="R3517" t="s">
        <v>245</v>
      </c>
      <c r="S3517" t="s">
        <v>8</v>
      </c>
      <c r="T3517">
        <v>260.45940000000002</v>
      </c>
    </row>
    <row r="3518" spans="4:23" ht="15.75" customHeight="1" x14ac:dyDescent="0.2">
      <c r="D3518" t="s">
        <v>285</v>
      </c>
      <c r="E3518" t="s">
        <v>485</v>
      </c>
      <c r="F3518">
        <v>19</v>
      </c>
      <c r="P3518" t="s">
        <v>486</v>
      </c>
      <c r="Q3518">
        <v>140</v>
      </c>
      <c r="R3518" t="s">
        <v>247</v>
      </c>
      <c r="S3518" t="s">
        <v>9</v>
      </c>
      <c r="T3518">
        <v>1.3599999999999999E-2</v>
      </c>
    </row>
    <row r="3519" spans="4:23" ht="15.75" customHeight="1" x14ac:dyDescent="0.2">
      <c r="D3519" t="s">
        <v>285</v>
      </c>
      <c r="E3519" t="s">
        <v>485</v>
      </c>
      <c r="F3519">
        <v>19</v>
      </c>
      <c r="P3519" t="s">
        <v>486</v>
      </c>
      <c r="Q3519">
        <v>140</v>
      </c>
      <c r="R3519" t="s">
        <v>249</v>
      </c>
      <c r="S3519" t="s">
        <v>10</v>
      </c>
      <c r="T3519">
        <v>20</v>
      </c>
    </row>
    <row r="3520" spans="4:23" ht="15.75" customHeight="1" x14ac:dyDescent="0.2">
      <c r="D3520" t="s">
        <v>285</v>
      </c>
      <c r="E3520" t="s">
        <v>485</v>
      </c>
      <c r="F3520">
        <v>19</v>
      </c>
      <c r="P3520" t="s">
        <v>486</v>
      </c>
      <c r="Q3520">
        <v>140</v>
      </c>
      <c r="R3520" t="s">
        <v>251</v>
      </c>
      <c r="S3520" t="s">
        <v>11</v>
      </c>
      <c r="T3520">
        <v>15</v>
      </c>
    </row>
    <row r="3521" spans="4:20" ht="15.75" customHeight="1" x14ac:dyDescent="0.2">
      <c r="D3521" t="s">
        <v>285</v>
      </c>
      <c r="E3521" t="s">
        <v>485</v>
      </c>
      <c r="F3521">
        <v>19</v>
      </c>
      <c r="P3521" t="s">
        <v>486</v>
      </c>
      <c r="Q3521">
        <v>140</v>
      </c>
      <c r="R3521" t="s">
        <v>253</v>
      </c>
      <c r="S3521" t="s">
        <v>12</v>
      </c>
      <c r="T3521">
        <v>78.137799999999999</v>
      </c>
    </row>
    <row r="3522" spans="4:20" ht="15.75" customHeight="1" x14ac:dyDescent="0.2">
      <c r="D3522" t="s">
        <v>285</v>
      </c>
      <c r="E3522" t="s">
        <v>485</v>
      </c>
      <c r="F3522">
        <v>19</v>
      </c>
      <c r="P3522" t="s">
        <v>486</v>
      </c>
      <c r="Q3522">
        <v>140</v>
      </c>
      <c r="R3522" t="s">
        <v>255</v>
      </c>
      <c r="S3522" t="s">
        <v>15</v>
      </c>
      <c r="T3522">
        <v>13</v>
      </c>
    </row>
    <row r="3523" spans="4:20" ht="15.75" customHeight="1" x14ac:dyDescent="0.2">
      <c r="D3523" t="s">
        <v>285</v>
      </c>
      <c r="E3523" t="s">
        <v>485</v>
      </c>
      <c r="F3523">
        <v>19</v>
      </c>
      <c r="P3523" t="s">
        <v>486</v>
      </c>
      <c r="Q3523">
        <v>140</v>
      </c>
      <c r="R3523" t="s">
        <v>293</v>
      </c>
      <c r="S3523" t="s">
        <v>13</v>
      </c>
      <c r="T3523">
        <v>1</v>
      </c>
    </row>
    <row r="3524" spans="4:20" ht="15.75" customHeight="1" x14ac:dyDescent="0.2">
      <c r="D3524" t="s">
        <v>285</v>
      </c>
      <c r="E3524" t="s">
        <v>485</v>
      </c>
      <c r="F3524">
        <v>19</v>
      </c>
      <c r="P3524" t="s">
        <v>486</v>
      </c>
      <c r="Q3524">
        <v>140</v>
      </c>
      <c r="R3524" t="s">
        <v>294</v>
      </c>
      <c r="S3524" t="s">
        <v>14</v>
      </c>
      <c r="T3524">
        <v>0</v>
      </c>
    </row>
    <row r="3525" spans="4:20" ht="15.75" customHeight="1" x14ac:dyDescent="0.2">
      <c r="D3525" t="s">
        <v>285</v>
      </c>
      <c r="E3525" t="s">
        <v>485</v>
      </c>
      <c r="F3525">
        <v>19</v>
      </c>
      <c r="P3525" t="s">
        <v>486</v>
      </c>
      <c r="Q3525">
        <v>140</v>
      </c>
      <c r="R3525" t="s">
        <v>257</v>
      </c>
      <c r="S3525" t="s">
        <v>16</v>
      </c>
      <c r="T3525">
        <v>62.451999999999998</v>
      </c>
    </row>
    <row r="3526" spans="4:20" ht="15.75" customHeight="1" x14ac:dyDescent="0.2">
      <c r="D3526" t="s">
        <v>285</v>
      </c>
      <c r="E3526" t="s">
        <v>485</v>
      </c>
      <c r="F3526">
        <v>19</v>
      </c>
      <c r="P3526" t="s">
        <v>486</v>
      </c>
      <c r="Q3526">
        <v>140</v>
      </c>
      <c r="R3526" t="s">
        <v>295</v>
      </c>
      <c r="S3526" t="s">
        <v>17</v>
      </c>
      <c r="T3526">
        <v>0</v>
      </c>
    </row>
    <row r="3527" spans="4:20" ht="15.75" customHeight="1" x14ac:dyDescent="0.2">
      <c r="D3527" t="s">
        <v>285</v>
      </c>
      <c r="E3527" t="s">
        <v>485</v>
      </c>
      <c r="F3527">
        <v>19</v>
      </c>
      <c r="P3527" t="s">
        <v>486</v>
      </c>
      <c r="Q3527">
        <v>140</v>
      </c>
      <c r="R3527" t="s">
        <v>296</v>
      </c>
      <c r="S3527" t="s">
        <v>1</v>
      </c>
      <c r="T3527">
        <v>1</v>
      </c>
    </row>
    <row r="3528" spans="4:20" ht="15.75" customHeight="1" x14ac:dyDescent="0.2">
      <c r="D3528" t="s">
        <v>285</v>
      </c>
      <c r="E3528" t="s">
        <v>485</v>
      </c>
      <c r="F3528">
        <v>19</v>
      </c>
      <c r="P3528" t="s">
        <v>486</v>
      </c>
      <c r="Q3528">
        <v>140</v>
      </c>
      <c r="R3528" t="s">
        <v>297</v>
      </c>
      <c r="S3528" t="s">
        <v>18</v>
      </c>
      <c r="T3528">
        <v>6</v>
      </c>
    </row>
    <row r="3529" spans="4:20" ht="15.75" customHeight="1" x14ac:dyDescent="0.2">
      <c r="D3529" t="s">
        <v>285</v>
      </c>
      <c r="E3529" t="s">
        <v>485</v>
      </c>
      <c r="F3529">
        <v>19</v>
      </c>
      <c r="P3529" t="s">
        <v>486</v>
      </c>
      <c r="Q3529">
        <v>140</v>
      </c>
      <c r="R3529" t="s">
        <v>298</v>
      </c>
      <c r="S3529" t="s">
        <v>19</v>
      </c>
      <c r="T3529">
        <v>0</v>
      </c>
    </row>
    <row r="3530" spans="4:20" ht="15.75" customHeight="1" x14ac:dyDescent="0.2">
      <c r="D3530" t="s">
        <v>285</v>
      </c>
      <c r="E3530" t="s">
        <v>485</v>
      </c>
      <c r="F3530">
        <v>19</v>
      </c>
      <c r="P3530" t="s">
        <v>486</v>
      </c>
      <c r="Q3530">
        <v>140</v>
      </c>
      <c r="R3530" t="s">
        <v>299</v>
      </c>
      <c r="S3530" t="s">
        <v>20</v>
      </c>
      <c r="T3530">
        <v>2</v>
      </c>
    </row>
    <row r="3531" spans="4:20" ht="15.75" customHeight="1" x14ac:dyDescent="0.2">
      <c r="D3531" t="s">
        <v>285</v>
      </c>
      <c r="E3531" t="s">
        <v>485</v>
      </c>
      <c r="F3531">
        <v>19</v>
      </c>
      <c r="P3531" t="s">
        <v>487</v>
      </c>
      <c r="Q3531">
        <v>141</v>
      </c>
      <c r="R3531" t="s">
        <v>288</v>
      </c>
      <c r="S3531" t="s">
        <v>2</v>
      </c>
      <c r="T3531">
        <v>0</v>
      </c>
    </row>
    <row r="3532" spans="4:20" ht="15.75" customHeight="1" x14ac:dyDescent="0.2">
      <c r="D3532" t="s">
        <v>285</v>
      </c>
      <c r="E3532" t="s">
        <v>485</v>
      </c>
      <c r="F3532">
        <v>19</v>
      </c>
      <c r="P3532" t="s">
        <v>487</v>
      </c>
      <c r="Q3532">
        <v>141</v>
      </c>
      <c r="R3532" t="s">
        <v>289</v>
      </c>
      <c r="S3532" t="s">
        <v>5</v>
      </c>
      <c r="T3532">
        <v>0</v>
      </c>
    </row>
    <row r="3533" spans="4:20" ht="15.75" customHeight="1" x14ac:dyDescent="0.2">
      <c r="D3533" t="s">
        <v>285</v>
      </c>
      <c r="E3533" t="s">
        <v>485</v>
      </c>
      <c r="F3533">
        <v>19</v>
      </c>
      <c r="P3533" t="s">
        <v>487</v>
      </c>
      <c r="Q3533">
        <v>141</v>
      </c>
      <c r="R3533" t="s">
        <v>290</v>
      </c>
      <c r="S3533" t="s">
        <v>3</v>
      </c>
      <c r="T3533">
        <v>0</v>
      </c>
    </row>
    <row r="3534" spans="4:20" ht="15.75" customHeight="1" x14ac:dyDescent="0.2">
      <c r="D3534" t="s">
        <v>285</v>
      </c>
      <c r="E3534" t="s">
        <v>485</v>
      </c>
      <c r="F3534">
        <v>19</v>
      </c>
      <c r="P3534" t="s">
        <v>487</v>
      </c>
      <c r="Q3534">
        <v>141</v>
      </c>
      <c r="R3534" t="s">
        <v>291</v>
      </c>
      <c r="S3534" t="s">
        <v>4</v>
      </c>
      <c r="T3534">
        <v>0</v>
      </c>
    </row>
    <row r="3535" spans="4:20" ht="15.75" customHeight="1" x14ac:dyDescent="0.2">
      <c r="D3535" t="s">
        <v>285</v>
      </c>
      <c r="E3535" t="s">
        <v>485</v>
      </c>
      <c r="F3535">
        <v>19</v>
      </c>
      <c r="P3535" t="s">
        <v>487</v>
      </c>
      <c r="Q3535">
        <v>141</v>
      </c>
      <c r="R3535" t="s">
        <v>292</v>
      </c>
      <c r="S3535" t="s">
        <v>6</v>
      </c>
      <c r="T3535">
        <v>0</v>
      </c>
    </row>
    <row r="3536" spans="4:20" ht="15.75" customHeight="1" x14ac:dyDescent="0.2">
      <c r="D3536" t="s">
        <v>285</v>
      </c>
      <c r="E3536" t="s">
        <v>485</v>
      </c>
      <c r="F3536">
        <v>19</v>
      </c>
      <c r="P3536" t="s">
        <v>487</v>
      </c>
      <c r="Q3536">
        <v>141</v>
      </c>
      <c r="R3536" t="s">
        <v>243</v>
      </c>
      <c r="S3536" t="s">
        <v>7</v>
      </c>
      <c r="T3536">
        <v>1.7142999999999999</v>
      </c>
    </row>
    <row r="3537" spans="4:20" ht="15.75" customHeight="1" x14ac:dyDescent="0.2">
      <c r="D3537" t="s">
        <v>285</v>
      </c>
      <c r="E3537" t="s">
        <v>485</v>
      </c>
      <c r="F3537">
        <v>19</v>
      </c>
      <c r="P3537" t="s">
        <v>487</v>
      </c>
      <c r="Q3537">
        <v>141</v>
      </c>
      <c r="R3537" t="s">
        <v>245</v>
      </c>
      <c r="S3537" t="s">
        <v>8</v>
      </c>
      <c r="T3537">
        <v>85.421000000000006</v>
      </c>
    </row>
    <row r="3538" spans="4:20" ht="15.75" customHeight="1" x14ac:dyDescent="0.2">
      <c r="D3538" t="s">
        <v>285</v>
      </c>
      <c r="E3538" t="s">
        <v>485</v>
      </c>
      <c r="F3538">
        <v>19</v>
      </c>
      <c r="P3538" t="s">
        <v>487</v>
      </c>
      <c r="Q3538">
        <v>141</v>
      </c>
      <c r="R3538" t="s">
        <v>247</v>
      </c>
      <c r="S3538" t="s">
        <v>9</v>
      </c>
      <c r="T3538">
        <v>6.4999999999999997E-3</v>
      </c>
    </row>
    <row r="3539" spans="4:20" ht="15.75" customHeight="1" x14ac:dyDescent="0.2">
      <c r="D3539" t="s">
        <v>285</v>
      </c>
      <c r="E3539" t="s">
        <v>485</v>
      </c>
      <c r="F3539">
        <v>19</v>
      </c>
      <c r="P3539" t="s">
        <v>487</v>
      </c>
      <c r="Q3539">
        <v>141</v>
      </c>
      <c r="R3539" t="s">
        <v>249</v>
      </c>
      <c r="S3539" t="s">
        <v>10</v>
      </c>
      <c r="T3539">
        <v>15</v>
      </c>
    </row>
    <row r="3540" spans="4:20" ht="15.75" customHeight="1" x14ac:dyDescent="0.2">
      <c r="D3540" t="s">
        <v>285</v>
      </c>
      <c r="E3540" t="s">
        <v>485</v>
      </c>
      <c r="F3540">
        <v>19</v>
      </c>
      <c r="P3540" t="s">
        <v>487</v>
      </c>
      <c r="Q3540">
        <v>141</v>
      </c>
      <c r="R3540" t="s">
        <v>251</v>
      </c>
      <c r="S3540" t="s">
        <v>11</v>
      </c>
      <c r="T3540">
        <v>10</v>
      </c>
    </row>
    <row r="3541" spans="4:20" ht="15.75" customHeight="1" x14ac:dyDescent="0.2">
      <c r="D3541" t="s">
        <v>285</v>
      </c>
      <c r="E3541" t="s">
        <v>485</v>
      </c>
      <c r="F3541">
        <v>19</v>
      </c>
      <c r="P3541" t="s">
        <v>487</v>
      </c>
      <c r="Q3541">
        <v>141</v>
      </c>
      <c r="R3541" t="s">
        <v>253</v>
      </c>
      <c r="S3541" t="s">
        <v>12</v>
      </c>
      <c r="T3541">
        <v>49.828899999999997</v>
      </c>
    </row>
    <row r="3542" spans="4:20" ht="15.75" customHeight="1" x14ac:dyDescent="0.2">
      <c r="D3542" t="s">
        <v>285</v>
      </c>
      <c r="E3542" t="s">
        <v>485</v>
      </c>
      <c r="F3542">
        <v>19</v>
      </c>
      <c r="P3542" t="s">
        <v>487</v>
      </c>
      <c r="Q3542">
        <v>141</v>
      </c>
      <c r="R3542" t="s">
        <v>255</v>
      </c>
      <c r="S3542" t="s">
        <v>15</v>
      </c>
      <c r="T3542">
        <v>13</v>
      </c>
    </row>
    <row r="3543" spans="4:20" ht="15.75" customHeight="1" x14ac:dyDescent="0.2">
      <c r="D3543" t="s">
        <v>285</v>
      </c>
      <c r="E3543" t="s">
        <v>485</v>
      </c>
      <c r="F3543">
        <v>19</v>
      </c>
      <c r="P3543" t="s">
        <v>487</v>
      </c>
      <c r="Q3543">
        <v>141</v>
      </c>
      <c r="R3543" t="s">
        <v>293</v>
      </c>
      <c r="S3543" t="s">
        <v>13</v>
      </c>
      <c r="T3543">
        <v>1</v>
      </c>
    </row>
    <row r="3544" spans="4:20" ht="15.75" customHeight="1" x14ac:dyDescent="0.2">
      <c r="D3544" t="s">
        <v>285</v>
      </c>
      <c r="E3544" t="s">
        <v>485</v>
      </c>
      <c r="F3544">
        <v>19</v>
      </c>
      <c r="P3544" t="s">
        <v>487</v>
      </c>
      <c r="Q3544">
        <v>141</v>
      </c>
      <c r="R3544" t="s">
        <v>294</v>
      </c>
      <c r="S3544" t="s">
        <v>14</v>
      </c>
      <c r="T3544">
        <v>0</v>
      </c>
    </row>
    <row r="3545" spans="4:20" ht="15.75" customHeight="1" x14ac:dyDescent="0.2">
      <c r="D3545" t="s">
        <v>285</v>
      </c>
      <c r="E3545" t="s">
        <v>485</v>
      </c>
      <c r="F3545">
        <v>19</v>
      </c>
      <c r="P3545" t="s">
        <v>487</v>
      </c>
      <c r="Q3545">
        <v>141</v>
      </c>
      <c r="R3545" t="s">
        <v>257</v>
      </c>
      <c r="S3545" t="s">
        <v>16</v>
      </c>
      <c r="T3545">
        <v>63.865699999999997</v>
      </c>
    </row>
    <row r="3546" spans="4:20" ht="15.75" customHeight="1" x14ac:dyDescent="0.2">
      <c r="D3546" t="s">
        <v>285</v>
      </c>
      <c r="E3546" t="s">
        <v>485</v>
      </c>
      <c r="F3546">
        <v>19</v>
      </c>
      <c r="P3546" t="s">
        <v>487</v>
      </c>
      <c r="Q3546">
        <v>141</v>
      </c>
      <c r="R3546" t="s">
        <v>295</v>
      </c>
      <c r="S3546" t="s">
        <v>17</v>
      </c>
      <c r="T3546">
        <v>0</v>
      </c>
    </row>
    <row r="3547" spans="4:20" ht="15.75" customHeight="1" x14ac:dyDescent="0.2">
      <c r="D3547" t="s">
        <v>285</v>
      </c>
      <c r="E3547" t="s">
        <v>485</v>
      </c>
      <c r="F3547">
        <v>19</v>
      </c>
      <c r="P3547" t="s">
        <v>487</v>
      </c>
      <c r="Q3547">
        <v>141</v>
      </c>
      <c r="R3547" t="s">
        <v>296</v>
      </c>
      <c r="S3547" t="s">
        <v>1</v>
      </c>
      <c r="T3547">
        <v>1</v>
      </c>
    </row>
    <row r="3548" spans="4:20" ht="15.75" customHeight="1" x14ac:dyDescent="0.2">
      <c r="D3548" t="s">
        <v>285</v>
      </c>
      <c r="E3548" t="s">
        <v>485</v>
      </c>
      <c r="F3548">
        <v>19</v>
      </c>
      <c r="P3548" t="s">
        <v>487</v>
      </c>
      <c r="Q3548">
        <v>141</v>
      </c>
      <c r="R3548" t="s">
        <v>297</v>
      </c>
      <c r="S3548" t="s">
        <v>18</v>
      </c>
      <c r="T3548">
        <v>6</v>
      </c>
    </row>
    <row r="3549" spans="4:20" ht="15.75" customHeight="1" x14ac:dyDescent="0.2">
      <c r="D3549" t="s">
        <v>285</v>
      </c>
      <c r="E3549" t="s">
        <v>485</v>
      </c>
      <c r="F3549">
        <v>19</v>
      </c>
      <c r="P3549" t="s">
        <v>487</v>
      </c>
      <c r="Q3549">
        <v>141</v>
      </c>
      <c r="R3549" t="s">
        <v>298</v>
      </c>
      <c r="S3549" t="s">
        <v>19</v>
      </c>
      <c r="T3549">
        <v>0</v>
      </c>
    </row>
    <row r="3550" spans="4:20" ht="15.75" customHeight="1" x14ac:dyDescent="0.2">
      <c r="D3550" t="s">
        <v>285</v>
      </c>
      <c r="E3550" t="s">
        <v>485</v>
      </c>
      <c r="F3550">
        <v>19</v>
      </c>
      <c r="P3550" t="s">
        <v>487</v>
      </c>
      <c r="Q3550">
        <v>141</v>
      </c>
      <c r="R3550" t="s">
        <v>299</v>
      </c>
      <c r="S3550" t="s">
        <v>20</v>
      </c>
      <c r="T3550">
        <v>2</v>
      </c>
    </row>
    <row r="3551" spans="4:20" ht="15.75" customHeight="1" x14ac:dyDescent="0.2">
      <c r="D3551" t="s">
        <v>285</v>
      </c>
      <c r="E3551" t="s">
        <v>485</v>
      </c>
      <c r="F3551">
        <v>19</v>
      </c>
      <c r="P3551" t="s">
        <v>446</v>
      </c>
      <c r="Q3551">
        <v>142</v>
      </c>
      <c r="R3551" t="s">
        <v>288</v>
      </c>
      <c r="S3551" t="s">
        <v>2</v>
      </c>
      <c r="T3551">
        <v>2</v>
      </c>
    </row>
    <row r="3552" spans="4:20" ht="15.75" customHeight="1" x14ac:dyDescent="0.2">
      <c r="D3552" t="s">
        <v>285</v>
      </c>
      <c r="E3552" t="s">
        <v>485</v>
      </c>
      <c r="F3552">
        <v>19</v>
      </c>
      <c r="P3552" t="s">
        <v>446</v>
      </c>
      <c r="Q3552">
        <v>142</v>
      </c>
      <c r="R3552" t="s">
        <v>289</v>
      </c>
      <c r="S3552" t="s">
        <v>5</v>
      </c>
      <c r="T3552">
        <v>1</v>
      </c>
    </row>
    <row r="3553" spans="4:20" ht="15.75" customHeight="1" x14ac:dyDescent="0.2">
      <c r="D3553" t="s">
        <v>285</v>
      </c>
      <c r="E3553" t="s">
        <v>485</v>
      </c>
      <c r="F3553">
        <v>19</v>
      </c>
      <c r="P3553" t="s">
        <v>446</v>
      </c>
      <c r="Q3553">
        <v>142</v>
      </c>
      <c r="R3553" t="s">
        <v>290</v>
      </c>
      <c r="S3553" t="s">
        <v>3</v>
      </c>
      <c r="T3553">
        <v>0.25</v>
      </c>
    </row>
    <row r="3554" spans="4:20" ht="15.75" customHeight="1" x14ac:dyDescent="0.2">
      <c r="D3554" t="s">
        <v>285</v>
      </c>
      <c r="E3554" t="s">
        <v>485</v>
      </c>
      <c r="F3554">
        <v>19</v>
      </c>
      <c r="P3554" t="s">
        <v>446</v>
      </c>
      <c r="Q3554">
        <v>142</v>
      </c>
      <c r="R3554" t="s">
        <v>291</v>
      </c>
      <c r="S3554" t="s">
        <v>4</v>
      </c>
      <c r="T3554">
        <v>1</v>
      </c>
    </row>
    <row r="3555" spans="4:20" ht="15.75" customHeight="1" x14ac:dyDescent="0.2">
      <c r="D3555" t="s">
        <v>285</v>
      </c>
      <c r="E3555" t="s">
        <v>485</v>
      </c>
      <c r="F3555">
        <v>19</v>
      </c>
      <c r="P3555" t="s">
        <v>446</v>
      </c>
      <c r="Q3555">
        <v>142</v>
      </c>
      <c r="R3555" t="s">
        <v>292</v>
      </c>
      <c r="S3555" t="s">
        <v>6</v>
      </c>
      <c r="T3555">
        <v>0</v>
      </c>
    </row>
    <row r="3556" spans="4:20" ht="15.75" customHeight="1" x14ac:dyDescent="0.2">
      <c r="D3556" t="s">
        <v>285</v>
      </c>
      <c r="E3556" t="s">
        <v>485</v>
      </c>
      <c r="F3556">
        <v>19</v>
      </c>
      <c r="P3556" t="s">
        <v>446</v>
      </c>
      <c r="Q3556">
        <v>142</v>
      </c>
      <c r="R3556" t="s">
        <v>243</v>
      </c>
      <c r="S3556" t="s">
        <v>7</v>
      </c>
      <c r="T3556">
        <v>19.5</v>
      </c>
    </row>
    <row r="3557" spans="4:20" ht="15.75" customHeight="1" x14ac:dyDescent="0.2">
      <c r="D3557" t="s">
        <v>285</v>
      </c>
      <c r="E3557" t="s">
        <v>485</v>
      </c>
      <c r="F3557">
        <v>19</v>
      </c>
      <c r="P3557" t="s">
        <v>446</v>
      </c>
      <c r="Q3557">
        <v>142</v>
      </c>
      <c r="R3557" t="s">
        <v>245</v>
      </c>
      <c r="S3557" t="s">
        <v>8</v>
      </c>
      <c r="T3557">
        <v>4434.9047</v>
      </c>
    </row>
    <row r="3558" spans="4:20" ht="15.75" customHeight="1" x14ac:dyDescent="0.2">
      <c r="D3558" t="s">
        <v>285</v>
      </c>
      <c r="E3558" t="s">
        <v>485</v>
      </c>
      <c r="F3558">
        <v>19</v>
      </c>
      <c r="P3558" t="s">
        <v>446</v>
      </c>
      <c r="Q3558">
        <v>142</v>
      </c>
      <c r="R3558" t="s">
        <v>247</v>
      </c>
      <c r="S3558" t="s">
        <v>9</v>
      </c>
      <c r="T3558">
        <v>0.09</v>
      </c>
    </row>
    <row r="3559" spans="4:20" ht="15.75" customHeight="1" x14ac:dyDescent="0.2">
      <c r="D3559" t="s">
        <v>285</v>
      </c>
      <c r="E3559" t="s">
        <v>485</v>
      </c>
      <c r="F3559">
        <v>19</v>
      </c>
      <c r="P3559" t="s">
        <v>446</v>
      </c>
      <c r="Q3559">
        <v>142</v>
      </c>
      <c r="R3559" t="s">
        <v>249</v>
      </c>
      <c r="S3559" t="s">
        <v>10</v>
      </c>
      <c r="T3559">
        <v>51</v>
      </c>
    </row>
    <row r="3560" spans="4:20" ht="15.75" customHeight="1" x14ac:dyDescent="0.2">
      <c r="D3560" t="s">
        <v>285</v>
      </c>
      <c r="E3560" t="s">
        <v>485</v>
      </c>
      <c r="F3560">
        <v>19</v>
      </c>
      <c r="P3560" t="s">
        <v>446</v>
      </c>
      <c r="Q3560">
        <v>142</v>
      </c>
      <c r="R3560" t="s">
        <v>251</v>
      </c>
      <c r="S3560" t="s">
        <v>11</v>
      </c>
      <c r="T3560">
        <v>22</v>
      </c>
    </row>
    <row r="3561" spans="4:20" ht="15.75" customHeight="1" x14ac:dyDescent="0.2">
      <c r="D3561" t="s">
        <v>285</v>
      </c>
      <c r="E3561" t="s">
        <v>485</v>
      </c>
      <c r="F3561">
        <v>19</v>
      </c>
      <c r="P3561" t="s">
        <v>446</v>
      </c>
      <c r="Q3561">
        <v>142</v>
      </c>
      <c r="R3561" t="s">
        <v>253</v>
      </c>
      <c r="S3561" t="s">
        <v>12</v>
      </c>
      <c r="T3561">
        <v>227.43100000000001</v>
      </c>
    </row>
    <row r="3562" spans="4:20" ht="15.75" customHeight="1" x14ac:dyDescent="0.2">
      <c r="D3562" t="s">
        <v>285</v>
      </c>
      <c r="E3562" t="s">
        <v>485</v>
      </c>
      <c r="F3562">
        <v>19</v>
      </c>
      <c r="P3562" t="s">
        <v>446</v>
      </c>
      <c r="Q3562">
        <v>142</v>
      </c>
      <c r="R3562" t="s">
        <v>255</v>
      </c>
      <c r="S3562" t="s">
        <v>15</v>
      </c>
      <c r="T3562">
        <v>31</v>
      </c>
    </row>
    <row r="3563" spans="4:20" ht="15.75" customHeight="1" x14ac:dyDescent="0.2">
      <c r="D3563" t="s">
        <v>285</v>
      </c>
      <c r="E3563" t="s">
        <v>485</v>
      </c>
      <c r="F3563">
        <v>19</v>
      </c>
      <c r="P3563" t="s">
        <v>446</v>
      </c>
      <c r="Q3563">
        <v>142</v>
      </c>
      <c r="R3563" t="s">
        <v>293</v>
      </c>
      <c r="S3563" t="s">
        <v>13</v>
      </c>
      <c r="T3563">
        <v>1</v>
      </c>
    </row>
    <row r="3564" spans="4:20" ht="15.75" customHeight="1" x14ac:dyDescent="0.2">
      <c r="D3564" t="s">
        <v>285</v>
      </c>
      <c r="E3564" t="s">
        <v>485</v>
      </c>
      <c r="F3564">
        <v>19</v>
      </c>
      <c r="P3564" t="s">
        <v>446</v>
      </c>
      <c r="Q3564">
        <v>142</v>
      </c>
      <c r="R3564" t="s">
        <v>294</v>
      </c>
      <c r="S3564" t="s">
        <v>14</v>
      </c>
      <c r="T3564">
        <v>1</v>
      </c>
    </row>
    <row r="3565" spans="4:20" ht="15.75" customHeight="1" x14ac:dyDescent="0.2">
      <c r="D3565" t="s">
        <v>285</v>
      </c>
      <c r="E3565" t="s">
        <v>485</v>
      </c>
      <c r="F3565">
        <v>19</v>
      </c>
      <c r="P3565" t="s">
        <v>446</v>
      </c>
      <c r="Q3565">
        <v>142</v>
      </c>
      <c r="R3565" t="s">
        <v>257</v>
      </c>
      <c r="S3565" t="s">
        <v>16</v>
      </c>
      <c r="T3565">
        <v>50.822800000000001</v>
      </c>
    </row>
    <row r="3566" spans="4:20" ht="15.75" customHeight="1" x14ac:dyDescent="0.2">
      <c r="D3566" t="s">
        <v>285</v>
      </c>
      <c r="E3566" t="s">
        <v>485</v>
      </c>
      <c r="F3566">
        <v>19</v>
      </c>
      <c r="P3566" t="s">
        <v>446</v>
      </c>
      <c r="Q3566">
        <v>142</v>
      </c>
      <c r="R3566" t="s">
        <v>295</v>
      </c>
      <c r="S3566" t="s">
        <v>17</v>
      </c>
      <c r="T3566">
        <v>2</v>
      </c>
    </row>
    <row r="3567" spans="4:20" ht="15.75" customHeight="1" x14ac:dyDescent="0.2">
      <c r="D3567" t="s">
        <v>285</v>
      </c>
      <c r="E3567" t="s">
        <v>485</v>
      </c>
      <c r="F3567">
        <v>19</v>
      </c>
      <c r="P3567" t="s">
        <v>446</v>
      </c>
      <c r="Q3567">
        <v>142</v>
      </c>
      <c r="R3567" t="s">
        <v>296</v>
      </c>
      <c r="S3567" t="s">
        <v>1</v>
      </c>
      <c r="T3567">
        <v>3</v>
      </c>
    </row>
    <row r="3568" spans="4:20" ht="15.75" customHeight="1" x14ac:dyDescent="0.2">
      <c r="D3568" t="s">
        <v>285</v>
      </c>
      <c r="E3568" t="s">
        <v>485</v>
      </c>
      <c r="F3568">
        <v>19</v>
      </c>
      <c r="P3568" t="s">
        <v>446</v>
      </c>
      <c r="Q3568">
        <v>142</v>
      </c>
      <c r="R3568" t="s">
        <v>297</v>
      </c>
      <c r="S3568" t="s">
        <v>18</v>
      </c>
      <c r="T3568">
        <v>6</v>
      </c>
    </row>
    <row r="3569" spans="4:20" ht="15.75" customHeight="1" x14ac:dyDescent="0.2">
      <c r="D3569" t="s">
        <v>285</v>
      </c>
      <c r="E3569" t="s">
        <v>485</v>
      </c>
      <c r="F3569">
        <v>19</v>
      </c>
      <c r="P3569" t="s">
        <v>446</v>
      </c>
      <c r="Q3569">
        <v>142</v>
      </c>
      <c r="R3569" t="s">
        <v>298</v>
      </c>
      <c r="S3569" t="s">
        <v>19</v>
      </c>
      <c r="T3569">
        <v>1</v>
      </c>
    </row>
    <row r="3570" spans="4:20" ht="15.75" customHeight="1" x14ac:dyDescent="0.2">
      <c r="D3570" t="s">
        <v>285</v>
      </c>
      <c r="E3570" t="s">
        <v>485</v>
      </c>
      <c r="F3570">
        <v>19</v>
      </c>
      <c r="P3570" t="s">
        <v>446</v>
      </c>
      <c r="Q3570">
        <v>142</v>
      </c>
      <c r="R3570" t="s">
        <v>299</v>
      </c>
      <c r="S3570" t="s">
        <v>20</v>
      </c>
      <c r="T3570">
        <v>0</v>
      </c>
    </row>
    <row r="3571" spans="4:20" ht="15.75" customHeight="1" x14ac:dyDescent="0.2">
      <c r="D3571" t="s">
        <v>285</v>
      </c>
      <c r="E3571" t="s">
        <v>485</v>
      </c>
      <c r="F3571">
        <v>19</v>
      </c>
      <c r="P3571" t="s">
        <v>447</v>
      </c>
      <c r="Q3571">
        <v>143</v>
      </c>
      <c r="R3571" t="s">
        <v>288</v>
      </c>
      <c r="S3571" t="s">
        <v>2</v>
      </c>
      <c r="T3571">
        <v>3</v>
      </c>
    </row>
    <row r="3572" spans="4:20" ht="15.75" customHeight="1" x14ac:dyDescent="0.2">
      <c r="D3572" t="s">
        <v>285</v>
      </c>
      <c r="E3572" t="s">
        <v>485</v>
      </c>
      <c r="F3572">
        <v>19</v>
      </c>
      <c r="P3572" t="s">
        <v>447</v>
      </c>
      <c r="Q3572">
        <v>143</v>
      </c>
      <c r="R3572" t="s">
        <v>289</v>
      </c>
      <c r="S3572" t="s">
        <v>5</v>
      </c>
      <c r="T3572">
        <v>1</v>
      </c>
    </row>
    <row r="3573" spans="4:20" ht="15.75" customHeight="1" x14ac:dyDescent="0.2">
      <c r="D3573" t="s">
        <v>285</v>
      </c>
      <c r="E3573" t="s">
        <v>485</v>
      </c>
      <c r="F3573">
        <v>19</v>
      </c>
      <c r="P3573" t="s">
        <v>447</v>
      </c>
      <c r="Q3573">
        <v>143</v>
      </c>
      <c r="R3573" t="s">
        <v>290</v>
      </c>
      <c r="S3573" t="s">
        <v>3</v>
      </c>
      <c r="T3573">
        <v>0.5</v>
      </c>
    </row>
    <row r="3574" spans="4:20" ht="15.75" customHeight="1" x14ac:dyDescent="0.2">
      <c r="D3574" t="s">
        <v>285</v>
      </c>
      <c r="E3574" t="s">
        <v>485</v>
      </c>
      <c r="F3574">
        <v>19</v>
      </c>
      <c r="P3574" t="s">
        <v>447</v>
      </c>
      <c r="Q3574">
        <v>143</v>
      </c>
      <c r="R3574" t="s">
        <v>291</v>
      </c>
      <c r="S3574" t="s">
        <v>4</v>
      </c>
      <c r="T3574">
        <v>2</v>
      </c>
    </row>
    <row r="3575" spans="4:20" ht="15.75" customHeight="1" x14ac:dyDescent="0.2">
      <c r="D3575" t="s">
        <v>285</v>
      </c>
      <c r="E3575" t="s">
        <v>485</v>
      </c>
      <c r="F3575">
        <v>19</v>
      </c>
      <c r="P3575" t="s">
        <v>447</v>
      </c>
      <c r="Q3575">
        <v>143</v>
      </c>
      <c r="R3575" t="s">
        <v>292</v>
      </c>
      <c r="S3575" t="s">
        <v>6</v>
      </c>
      <c r="T3575">
        <v>0</v>
      </c>
    </row>
    <row r="3576" spans="4:20" ht="15.75" customHeight="1" x14ac:dyDescent="0.2">
      <c r="D3576" t="s">
        <v>285</v>
      </c>
      <c r="E3576" t="s">
        <v>485</v>
      </c>
      <c r="F3576">
        <v>19</v>
      </c>
      <c r="P3576" t="s">
        <v>447</v>
      </c>
      <c r="Q3576">
        <v>143</v>
      </c>
      <c r="R3576" t="s">
        <v>243</v>
      </c>
      <c r="S3576" t="s">
        <v>7</v>
      </c>
      <c r="T3576">
        <v>7.5</v>
      </c>
    </row>
    <row r="3577" spans="4:20" ht="15.75" customHeight="1" x14ac:dyDescent="0.2">
      <c r="D3577" t="s">
        <v>285</v>
      </c>
      <c r="E3577" t="s">
        <v>485</v>
      </c>
      <c r="F3577">
        <v>19</v>
      </c>
      <c r="P3577" t="s">
        <v>447</v>
      </c>
      <c r="Q3577">
        <v>143</v>
      </c>
      <c r="R3577" t="s">
        <v>245</v>
      </c>
      <c r="S3577" t="s">
        <v>8</v>
      </c>
      <c r="T3577">
        <v>780</v>
      </c>
    </row>
    <row r="3578" spans="4:20" ht="15.75" customHeight="1" x14ac:dyDescent="0.2">
      <c r="D3578" t="s">
        <v>285</v>
      </c>
      <c r="E3578" t="s">
        <v>485</v>
      </c>
      <c r="F3578">
        <v>19</v>
      </c>
      <c r="P3578" t="s">
        <v>447</v>
      </c>
      <c r="Q3578">
        <v>143</v>
      </c>
      <c r="R3578" t="s">
        <v>247</v>
      </c>
      <c r="S3578" t="s">
        <v>9</v>
      </c>
      <c r="T3578">
        <v>2.8199999999999999E-2</v>
      </c>
    </row>
    <row r="3579" spans="4:20" ht="15.75" customHeight="1" x14ac:dyDescent="0.2">
      <c r="D3579" t="s">
        <v>285</v>
      </c>
      <c r="E3579" t="s">
        <v>485</v>
      </c>
      <c r="F3579">
        <v>19</v>
      </c>
      <c r="P3579" t="s">
        <v>447</v>
      </c>
      <c r="Q3579">
        <v>143</v>
      </c>
      <c r="R3579" t="s">
        <v>249</v>
      </c>
      <c r="S3579" t="s">
        <v>10</v>
      </c>
      <c r="T3579">
        <v>26</v>
      </c>
    </row>
    <row r="3580" spans="4:20" ht="15.75" customHeight="1" x14ac:dyDescent="0.2">
      <c r="D3580" t="s">
        <v>285</v>
      </c>
      <c r="E3580" t="s">
        <v>485</v>
      </c>
      <c r="F3580">
        <v>19</v>
      </c>
      <c r="P3580" t="s">
        <v>447</v>
      </c>
      <c r="Q3580">
        <v>143</v>
      </c>
      <c r="R3580" t="s">
        <v>251</v>
      </c>
      <c r="S3580" t="s">
        <v>11</v>
      </c>
      <c r="T3580">
        <v>16</v>
      </c>
    </row>
    <row r="3581" spans="4:20" ht="15.75" customHeight="1" x14ac:dyDescent="0.2">
      <c r="D3581" t="s">
        <v>285</v>
      </c>
      <c r="E3581" t="s">
        <v>485</v>
      </c>
      <c r="F3581">
        <v>19</v>
      </c>
      <c r="P3581" t="s">
        <v>447</v>
      </c>
      <c r="Q3581">
        <v>143</v>
      </c>
      <c r="R3581" t="s">
        <v>253</v>
      </c>
      <c r="S3581" t="s">
        <v>12</v>
      </c>
      <c r="T3581">
        <v>104</v>
      </c>
    </row>
    <row r="3582" spans="4:20" ht="15.75" customHeight="1" x14ac:dyDescent="0.2">
      <c r="D3582" t="s">
        <v>285</v>
      </c>
      <c r="E3582" t="s">
        <v>485</v>
      </c>
      <c r="F3582">
        <v>19</v>
      </c>
      <c r="P3582" t="s">
        <v>447</v>
      </c>
      <c r="Q3582">
        <v>143</v>
      </c>
      <c r="R3582" t="s">
        <v>255</v>
      </c>
      <c r="S3582" t="s">
        <v>15</v>
      </c>
      <c r="T3582">
        <v>18</v>
      </c>
    </row>
    <row r="3583" spans="4:20" ht="15.75" customHeight="1" x14ac:dyDescent="0.2">
      <c r="D3583" t="s">
        <v>285</v>
      </c>
      <c r="E3583" t="s">
        <v>485</v>
      </c>
      <c r="F3583">
        <v>19</v>
      </c>
      <c r="P3583" t="s">
        <v>447</v>
      </c>
      <c r="Q3583">
        <v>143</v>
      </c>
      <c r="R3583" t="s">
        <v>293</v>
      </c>
      <c r="S3583" t="s">
        <v>13</v>
      </c>
      <c r="T3583">
        <v>1</v>
      </c>
    </row>
    <row r="3584" spans="4:20" ht="15.75" customHeight="1" x14ac:dyDescent="0.2">
      <c r="D3584" t="s">
        <v>285</v>
      </c>
      <c r="E3584" t="s">
        <v>485</v>
      </c>
      <c r="F3584">
        <v>19</v>
      </c>
      <c r="P3584" t="s">
        <v>447</v>
      </c>
      <c r="Q3584">
        <v>143</v>
      </c>
      <c r="R3584" t="s">
        <v>294</v>
      </c>
      <c r="S3584" t="s">
        <v>14</v>
      </c>
      <c r="T3584">
        <v>0</v>
      </c>
    </row>
    <row r="3585" spans="4:20" ht="15.75" customHeight="1" x14ac:dyDescent="0.2">
      <c r="D3585" t="s">
        <v>285</v>
      </c>
      <c r="E3585" t="s">
        <v>485</v>
      </c>
      <c r="F3585">
        <v>19</v>
      </c>
      <c r="P3585" t="s">
        <v>447</v>
      </c>
      <c r="Q3585">
        <v>143</v>
      </c>
      <c r="R3585" t="s">
        <v>257</v>
      </c>
      <c r="S3585" t="s">
        <v>16</v>
      </c>
      <c r="T3585">
        <v>58.3078</v>
      </c>
    </row>
    <row r="3586" spans="4:20" ht="15.75" customHeight="1" x14ac:dyDescent="0.2">
      <c r="D3586" t="s">
        <v>285</v>
      </c>
      <c r="E3586" t="s">
        <v>485</v>
      </c>
      <c r="F3586">
        <v>19</v>
      </c>
      <c r="P3586" t="s">
        <v>447</v>
      </c>
      <c r="Q3586">
        <v>143</v>
      </c>
      <c r="R3586" t="s">
        <v>295</v>
      </c>
      <c r="S3586" t="s">
        <v>17</v>
      </c>
      <c r="T3586">
        <v>1</v>
      </c>
    </row>
    <row r="3587" spans="4:20" ht="15.75" customHeight="1" x14ac:dyDescent="0.2">
      <c r="D3587" t="s">
        <v>285</v>
      </c>
      <c r="E3587" t="s">
        <v>485</v>
      </c>
      <c r="F3587">
        <v>19</v>
      </c>
      <c r="P3587" t="s">
        <v>447</v>
      </c>
      <c r="Q3587">
        <v>143</v>
      </c>
      <c r="R3587" t="s">
        <v>296</v>
      </c>
      <c r="S3587" t="s">
        <v>1</v>
      </c>
      <c r="T3587">
        <v>4</v>
      </c>
    </row>
    <row r="3588" spans="4:20" ht="15.75" customHeight="1" x14ac:dyDescent="0.2">
      <c r="D3588" t="s">
        <v>285</v>
      </c>
      <c r="E3588" t="s">
        <v>485</v>
      </c>
      <c r="F3588">
        <v>19</v>
      </c>
      <c r="P3588" t="s">
        <v>447</v>
      </c>
      <c r="Q3588">
        <v>143</v>
      </c>
      <c r="R3588" t="s">
        <v>297</v>
      </c>
      <c r="S3588" t="s">
        <v>18</v>
      </c>
      <c r="T3588">
        <v>4</v>
      </c>
    </row>
    <row r="3589" spans="4:20" ht="15.75" customHeight="1" x14ac:dyDescent="0.2">
      <c r="D3589" t="s">
        <v>285</v>
      </c>
      <c r="E3589" t="s">
        <v>485</v>
      </c>
      <c r="F3589">
        <v>19</v>
      </c>
      <c r="P3589" t="s">
        <v>447</v>
      </c>
      <c r="Q3589">
        <v>143</v>
      </c>
      <c r="R3589" t="s">
        <v>298</v>
      </c>
      <c r="S3589" t="s">
        <v>19</v>
      </c>
      <c r="T3589">
        <v>0</v>
      </c>
    </row>
    <row r="3590" spans="4:20" ht="15.75" customHeight="1" x14ac:dyDescent="0.2">
      <c r="D3590" t="s">
        <v>285</v>
      </c>
      <c r="E3590" t="s">
        <v>485</v>
      </c>
      <c r="F3590">
        <v>19</v>
      </c>
      <c r="P3590" t="s">
        <v>447</v>
      </c>
      <c r="Q3590">
        <v>143</v>
      </c>
      <c r="R3590" t="s">
        <v>299</v>
      </c>
      <c r="S3590" t="s">
        <v>20</v>
      </c>
      <c r="T3590">
        <v>1</v>
      </c>
    </row>
    <row r="3591" spans="4:20" ht="15.75" customHeight="1" x14ac:dyDescent="0.2">
      <c r="D3591" t="s">
        <v>285</v>
      </c>
      <c r="E3591" t="s">
        <v>485</v>
      </c>
      <c r="F3591">
        <v>19</v>
      </c>
      <c r="P3591" t="s">
        <v>448</v>
      </c>
      <c r="Q3591">
        <v>144</v>
      </c>
      <c r="R3591" t="s">
        <v>288</v>
      </c>
      <c r="S3591" t="s">
        <v>2</v>
      </c>
      <c r="T3591">
        <v>0</v>
      </c>
    </row>
    <row r="3592" spans="4:20" ht="15.75" customHeight="1" x14ac:dyDescent="0.2">
      <c r="D3592" t="s">
        <v>285</v>
      </c>
      <c r="E3592" t="s">
        <v>485</v>
      </c>
      <c r="F3592">
        <v>19</v>
      </c>
      <c r="P3592" t="s">
        <v>448</v>
      </c>
      <c r="Q3592">
        <v>144</v>
      </c>
      <c r="R3592" t="s">
        <v>289</v>
      </c>
      <c r="S3592" t="s">
        <v>5</v>
      </c>
      <c r="T3592">
        <v>0</v>
      </c>
    </row>
    <row r="3593" spans="4:20" ht="15.75" customHeight="1" x14ac:dyDescent="0.2">
      <c r="D3593" t="s">
        <v>285</v>
      </c>
      <c r="E3593" t="s">
        <v>485</v>
      </c>
      <c r="F3593">
        <v>19</v>
      </c>
      <c r="P3593" t="s">
        <v>448</v>
      </c>
      <c r="Q3593">
        <v>144</v>
      </c>
      <c r="R3593" t="s">
        <v>290</v>
      </c>
      <c r="S3593" t="s">
        <v>3</v>
      </c>
      <c r="T3593">
        <v>0</v>
      </c>
    </row>
    <row r="3594" spans="4:20" ht="15.75" customHeight="1" x14ac:dyDescent="0.2">
      <c r="D3594" t="s">
        <v>285</v>
      </c>
      <c r="E3594" t="s">
        <v>485</v>
      </c>
      <c r="F3594">
        <v>19</v>
      </c>
      <c r="P3594" t="s">
        <v>448</v>
      </c>
      <c r="Q3594">
        <v>144</v>
      </c>
      <c r="R3594" t="s">
        <v>291</v>
      </c>
      <c r="S3594" t="s">
        <v>4</v>
      </c>
      <c r="T3594">
        <v>0</v>
      </c>
    </row>
    <row r="3595" spans="4:20" ht="15.75" customHeight="1" x14ac:dyDescent="0.2">
      <c r="D3595" t="s">
        <v>285</v>
      </c>
      <c r="E3595" t="s">
        <v>485</v>
      </c>
      <c r="F3595">
        <v>19</v>
      </c>
      <c r="P3595" t="s">
        <v>448</v>
      </c>
      <c r="Q3595">
        <v>144</v>
      </c>
      <c r="R3595" t="s">
        <v>292</v>
      </c>
      <c r="S3595" t="s">
        <v>6</v>
      </c>
      <c r="T3595">
        <v>0</v>
      </c>
    </row>
    <row r="3596" spans="4:20" ht="15.75" customHeight="1" x14ac:dyDescent="0.2">
      <c r="D3596" t="s">
        <v>285</v>
      </c>
      <c r="E3596" t="s">
        <v>485</v>
      </c>
      <c r="F3596">
        <v>19</v>
      </c>
      <c r="P3596" t="s">
        <v>448</v>
      </c>
      <c r="Q3596">
        <v>144</v>
      </c>
      <c r="R3596" t="s">
        <v>243</v>
      </c>
      <c r="S3596" t="s">
        <v>7</v>
      </c>
      <c r="T3596">
        <v>2</v>
      </c>
    </row>
    <row r="3597" spans="4:20" ht="15.75" customHeight="1" x14ac:dyDescent="0.2">
      <c r="D3597" t="s">
        <v>285</v>
      </c>
      <c r="E3597" t="s">
        <v>485</v>
      </c>
      <c r="F3597">
        <v>19</v>
      </c>
      <c r="P3597" t="s">
        <v>448</v>
      </c>
      <c r="Q3597">
        <v>144</v>
      </c>
      <c r="R3597" t="s">
        <v>245</v>
      </c>
      <c r="S3597" t="s">
        <v>8</v>
      </c>
      <c r="T3597">
        <v>31.019600000000001</v>
      </c>
    </row>
    <row r="3598" spans="4:20" ht="15.75" customHeight="1" x14ac:dyDescent="0.2">
      <c r="D3598" t="s">
        <v>285</v>
      </c>
      <c r="E3598" t="s">
        <v>485</v>
      </c>
      <c r="F3598">
        <v>19</v>
      </c>
      <c r="P3598" t="s">
        <v>448</v>
      </c>
      <c r="Q3598">
        <v>144</v>
      </c>
      <c r="R3598" t="s">
        <v>247</v>
      </c>
      <c r="S3598" t="s">
        <v>9</v>
      </c>
      <c r="T3598">
        <v>3.3E-3</v>
      </c>
    </row>
    <row r="3599" spans="4:20" ht="15.75" customHeight="1" x14ac:dyDescent="0.2">
      <c r="D3599" t="s">
        <v>285</v>
      </c>
      <c r="E3599" t="s">
        <v>485</v>
      </c>
      <c r="F3599">
        <v>19</v>
      </c>
      <c r="P3599" t="s">
        <v>448</v>
      </c>
      <c r="Q3599">
        <v>144</v>
      </c>
      <c r="R3599" t="s">
        <v>249</v>
      </c>
      <c r="S3599" t="s">
        <v>10</v>
      </c>
      <c r="T3599">
        <v>6</v>
      </c>
    </row>
    <row r="3600" spans="4:20" ht="15.75" customHeight="1" x14ac:dyDescent="0.2">
      <c r="D3600" t="s">
        <v>285</v>
      </c>
      <c r="E3600" t="s">
        <v>485</v>
      </c>
      <c r="F3600">
        <v>19</v>
      </c>
      <c r="P3600" t="s">
        <v>448</v>
      </c>
      <c r="Q3600">
        <v>144</v>
      </c>
      <c r="R3600" t="s">
        <v>251</v>
      </c>
      <c r="S3600" t="s">
        <v>11</v>
      </c>
      <c r="T3600">
        <v>6</v>
      </c>
    </row>
    <row r="3601" spans="4:20" ht="15.75" customHeight="1" x14ac:dyDescent="0.2">
      <c r="D3601" t="s">
        <v>285</v>
      </c>
      <c r="E3601" t="s">
        <v>485</v>
      </c>
      <c r="F3601">
        <v>19</v>
      </c>
      <c r="P3601" t="s">
        <v>448</v>
      </c>
      <c r="Q3601">
        <v>144</v>
      </c>
      <c r="R3601" t="s">
        <v>253</v>
      </c>
      <c r="S3601" t="s">
        <v>12</v>
      </c>
      <c r="T3601">
        <v>15.5098</v>
      </c>
    </row>
    <row r="3602" spans="4:20" ht="15.75" customHeight="1" x14ac:dyDescent="0.2">
      <c r="D3602" t="s">
        <v>285</v>
      </c>
      <c r="E3602" t="s">
        <v>485</v>
      </c>
      <c r="F3602">
        <v>19</v>
      </c>
      <c r="P3602" t="s">
        <v>448</v>
      </c>
      <c r="Q3602">
        <v>144</v>
      </c>
      <c r="R3602" t="s">
        <v>255</v>
      </c>
      <c r="S3602" t="s">
        <v>15</v>
      </c>
      <c r="T3602">
        <v>8</v>
      </c>
    </row>
    <row r="3603" spans="4:20" ht="15.75" customHeight="1" x14ac:dyDescent="0.2">
      <c r="D3603" t="s">
        <v>285</v>
      </c>
      <c r="E3603" t="s">
        <v>485</v>
      </c>
      <c r="F3603">
        <v>19</v>
      </c>
      <c r="P3603" t="s">
        <v>448</v>
      </c>
      <c r="Q3603">
        <v>144</v>
      </c>
      <c r="R3603" t="s">
        <v>293</v>
      </c>
      <c r="S3603" t="s">
        <v>13</v>
      </c>
      <c r="T3603">
        <v>1</v>
      </c>
    </row>
    <row r="3604" spans="4:20" ht="15.75" customHeight="1" x14ac:dyDescent="0.2">
      <c r="D3604" t="s">
        <v>285</v>
      </c>
      <c r="E3604" t="s">
        <v>485</v>
      </c>
      <c r="F3604">
        <v>19</v>
      </c>
      <c r="P3604" t="s">
        <v>448</v>
      </c>
      <c r="Q3604">
        <v>144</v>
      </c>
      <c r="R3604" t="s">
        <v>294</v>
      </c>
      <c r="S3604" t="s">
        <v>14</v>
      </c>
      <c r="T3604">
        <v>0</v>
      </c>
    </row>
    <row r="3605" spans="4:20" ht="15.75" customHeight="1" x14ac:dyDescent="0.2">
      <c r="D3605" t="s">
        <v>285</v>
      </c>
      <c r="E3605" t="s">
        <v>485</v>
      </c>
      <c r="F3605">
        <v>19</v>
      </c>
      <c r="P3605" t="s">
        <v>448</v>
      </c>
      <c r="Q3605">
        <v>144</v>
      </c>
      <c r="R3605" t="s">
        <v>257</v>
      </c>
      <c r="S3605" t="s">
        <v>16</v>
      </c>
      <c r="T3605">
        <v>72.064999999999998</v>
      </c>
    </row>
    <row r="3606" spans="4:20" ht="15.75" customHeight="1" x14ac:dyDescent="0.2">
      <c r="D3606" t="s">
        <v>285</v>
      </c>
      <c r="E3606" t="s">
        <v>485</v>
      </c>
      <c r="F3606">
        <v>19</v>
      </c>
      <c r="P3606" t="s">
        <v>448</v>
      </c>
      <c r="Q3606">
        <v>144</v>
      </c>
      <c r="R3606" t="s">
        <v>295</v>
      </c>
      <c r="S3606" t="s">
        <v>17</v>
      </c>
      <c r="T3606">
        <v>0</v>
      </c>
    </row>
    <row r="3607" spans="4:20" ht="15.75" customHeight="1" x14ac:dyDescent="0.2">
      <c r="D3607" t="s">
        <v>285</v>
      </c>
      <c r="E3607" t="s">
        <v>485</v>
      </c>
      <c r="F3607">
        <v>19</v>
      </c>
      <c r="P3607" t="s">
        <v>448</v>
      </c>
      <c r="Q3607">
        <v>144</v>
      </c>
      <c r="R3607" t="s">
        <v>296</v>
      </c>
      <c r="S3607" t="s">
        <v>1</v>
      </c>
      <c r="T3607">
        <v>1</v>
      </c>
    </row>
    <row r="3608" spans="4:20" ht="15.75" customHeight="1" x14ac:dyDescent="0.2">
      <c r="D3608" t="s">
        <v>285</v>
      </c>
      <c r="E3608" t="s">
        <v>485</v>
      </c>
      <c r="F3608">
        <v>19</v>
      </c>
      <c r="P3608" t="s">
        <v>448</v>
      </c>
      <c r="Q3608">
        <v>144</v>
      </c>
      <c r="R3608" t="s">
        <v>297</v>
      </c>
      <c r="S3608" t="s">
        <v>18</v>
      </c>
      <c r="T3608">
        <v>1</v>
      </c>
    </row>
    <row r="3609" spans="4:20" ht="15.75" customHeight="1" x14ac:dyDescent="0.2">
      <c r="D3609" t="s">
        <v>285</v>
      </c>
      <c r="E3609" t="s">
        <v>485</v>
      </c>
      <c r="F3609">
        <v>19</v>
      </c>
      <c r="P3609" t="s">
        <v>448</v>
      </c>
      <c r="Q3609">
        <v>144</v>
      </c>
      <c r="R3609" t="s">
        <v>298</v>
      </c>
      <c r="S3609" t="s">
        <v>19</v>
      </c>
      <c r="T3609">
        <v>0</v>
      </c>
    </row>
    <row r="3610" spans="4:20" ht="15.75" customHeight="1" x14ac:dyDescent="0.2">
      <c r="D3610" t="s">
        <v>285</v>
      </c>
      <c r="E3610" t="s">
        <v>485</v>
      </c>
      <c r="F3610">
        <v>19</v>
      </c>
      <c r="P3610" t="s">
        <v>448</v>
      </c>
      <c r="Q3610">
        <v>144</v>
      </c>
      <c r="R3610" t="s">
        <v>299</v>
      </c>
      <c r="S3610" t="s">
        <v>20</v>
      </c>
      <c r="T3610">
        <v>0</v>
      </c>
    </row>
    <row r="3611" spans="4:20" ht="15.75" customHeight="1" x14ac:dyDescent="0.2">
      <c r="D3611" t="s">
        <v>285</v>
      </c>
      <c r="E3611" t="s">
        <v>485</v>
      </c>
      <c r="F3611">
        <v>19</v>
      </c>
      <c r="P3611" t="s">
        <v>449</v>
      </c>
      <c r="Q3611">
        <v>145</v>
      </c>
      <c r="R3611" t="s">
        <v>288</v>
      </c>
      <c r="S3611" t="s">
        <v>2</v>
      </c>
      <c r="T3611">
        <v>0</v>
      </c>
    </row>
    <row r="3612" spans="4:20" ht="15.75" customHeight="1" x14ac:dyDescent="0.2">
      <c r="D3612" t="s">
        <v>285</v>
      </c>
      <c r="E3612" t="s">
        <v>485</v>
      </c>
      <c r="F3612">
        <v>19</v>
      </c>
      <c r="P3612" t="s">
        <v>449</v>
      </c>
      <c r="Q3612">
        <v>145</v>
      </c>
      <c r="R3612" t="s">
        <v>289</v>
      </c>
      <c r="S3612" t="s">
        <v>5</v>
      </c>
      <c r="T3612">
        <v>0</v>
      </c>
    </row>
    <row r="3613" spans="4:20" ht="15.75" customHeight="1" x14ac:dyDescent="0.2">
      <c r="D3613" t="s">
        <v>285</v>
      </c>
      <c r="E3613" t="s">
        <v>485</v>
      </c>
      <c r="F3613">
        <v>19</v>
      </c>
      <c r="P3613" t="s">
        <v>449</v>
      </c>
      <c r="Q3613">
        <v>145</v>
      </c>
      <c r="R3613" t="s">
        <v>290</v>
      </c>
      <c r="S3613" t="s">
        <v>3</v>
      </c>
      <c r="T3613">
        <v>0</v>
      </c>
    </row>
    <row r="3614" spans="4:20" ht="15.75" customHeight="1" x14ac:dyDescent="0.2">
      <c r="D3614" t="s">
        <v>285</v>
      </c>
      <c r="E3614" t="s">
        <v>485</v>
      </c>
      <c r="F3614">
        <v>19</v>
      </c>
      <c r="P3614" t="s">
        <v>449</v>
      </c>
      <c r="Q3614">
        <v>145</v>
      </c>
      <c r="R3614" t="s">
        <v>291</v>
      </c>
      <c r="S3614" t="s">
        <v>4</v>
      </c>
      <c r="T3614">
        <v>0</v>
      </c>
    </row>
    <row r="3615" spans="4:20" ht="15.75" customHeight="1" x14ac:dyDescent="0.2">
      <c r="D3615" t="s">
        <v>285</v>
      </c>
      <c r="E3615" t="s">
        <v>485</v>
      </c>
      <c r="F3615">
        <v>19</v>
      </c>
      <c r="P3615" t="s">
        <v>449</v>
      </c>
      <c r="Q3615">
        <v>145</v>
      </c>
      <c r="R3615" t="s">
        <v>292</v>
      </c>
      <c r="S3615" t="s">
        <v>6</v>
      </c>
      <c r="T3615">
        <v>0</v>
      </c>
    </row>
    <row r="3616" spans="4:20" ht="15.75" customHeight="1" x14ac:dyDescent="0.2">
      <c r="D3616" t="s">
        <v>285</v>
      </c>
      <c r="E3616" t="s">
        <v>485</v>
      </c>
      <c r="F3616">
        <v>19</v>
      </c>
      <c r="P3616" t="s">
        <v>449</v>
      </c>
      <c r="Q3616">
        <v>145</v>
      </c>
      <c r="R3616" t="s">
        <v>243</v>
      </c>
      <c r="S3616" t="s">
        <v>7</v>
      </c>
      <c r="T3616">
        <v>2</v>
      </c>
    </row>
    <row r="3617" spans="4:20" ht="15.75" customHeight="1" x14ac:dyDescent="0.2">
      <c r="D3617" t="s">
        <v>285</v>
      </c>
      <c r="E3617" t="s">
        <v>485</v>
      </c>
      <c r="F3617">
        <v>19</v>
      </c>
      <c r="P3617" t="s">
        <v>449</v>
      </c>
      <c r="Q3617">
        <v>145</v>
      </c>
      <c r="R3617" t="s">
        <v>245</v>
      </c>
      <c r="S3617" t="s">
        <v>8</v>
      </c>
      <c r="T3617">
        <v>36.189500000000002</v>
      </c>
    </row>
    <row r="3618" spans="4:20" ht="15.75" customHeight="1" x14ac:dyDescent="0.2">
      <c r="D3618" t="s">
        <v>285</v>
      </c>
      <c r="E3618" t="s">
        <v>485</v>
      </c>
      <c r="F3618">
        <v>19</v>
      </c>
      <c r="P3618" t="s">
        <v>449</v>
      </c>
      <c r="Q3618">
        <v>145</v>
      </c>
      <c r="R3618" t="s">
        <v>247</v>
      </c>
      <c r="S3618" t="s">
        <v>9</v>
      </c>
      <c r="T3618">
        <v>3.5999999999999999E-3</v>
      </c>
    </row>
    <row r="3619" spans="4:20" ht="15.75" customHeight="1" x14ac:dyDescent="0.2">
      <c r="D3619" t="s">
        <v>285</v>
      </c>
      <c r="E3619" t="s">
        <v>485</v>
      </c>
      <c r="F3619">
        <v>19</v>
      </c>
      <c r="P3619" t="s">
        <v>449</v>
      </c>
      <c r="Q3619">
        <v>145</v>
      </c>
      <c r="R3619" t="s">
        <v>249</v>
      </c>
      <c r="S3619" t="s">
        <v>10</v>
      </c>
      <c r="T3619">
        <v>7</v>
      </c>
    </row>
    <row r="3620" spans="4:20" ht="15.75" customHeight="1" x14ac:dyDescent="0.2">
      <c r="D3620" t="s">
        <v>285</v>
      </c>
      <c r="E3620" t="s">
        <v>485</v>
      </c>
      <c r="F3620">
        <v>19</v>
      </c>
      <c r="P3620" t="s">
        <v>449</v>
      </c>
      <c r="Q3620">
        <v>145</v>
      </c>
      <c r="R3620" t="s">
        <v>251</v>
      </c>
      <c r="S3620" t="s">
        <v>11</v>
      </c>
      <c r="T3620">
        <v>6</v>
      </c>
    </row>
    <row r="3621" spans="4:20" ht="15.75" customHeight="1" x14ac:dyDescent="0.2">
      <c r="D3621" t="s">
        <v>285</v>
      </c>
      <c r="E3621" t="s">
        <v>485</v>
      </c>
      <c r="F3621">
        <v>19</v>
      </c>
      <c r="P3621" t="s">
        <v>449</v>
      </c>
      <c r="Q3621">
        <v>145</v>
      </c>
      <c r="R3621" t="s">
        <v>253</v>
      </c>
      <c r="S3621" t="s">
        <v>12</v>
      </c>
      <c r="T3621">
        <v>18.0947</v>
      </c>
    </row>
    <row r="3622" spans="4:20" ht="15.75" customHeight="1" x14ac:dyDescent="0.2">
      <c r="D3622" t="s">
        <v>285</v>
      </c>
      <c r="E3622" t="s">
        <v>485</v>
      </c>
      <c r="F3622">
        <v>19</v>
      </c>
      <c r="P3622" t="s">
        <v>449</v>
      </c>
      <c r="Q3622">
        <v>145</v>
      </c>
      <c r="R3622" t="s">
        <v>255</v>
      </c>
      <c r="S3622" t="s">
        <v>15</v>
      </c>
      <c r="T3622">
        <v>8</v>
      </c>
    </row>
    <row r="3623" spans="4:20" ht="15.75" customHeight="1" x14ac:dyDescent="0.2">
      <c r="D3623" t="s">
        <v>285</v>
      </c>
      <c r="E3623" t="s">
        <v>485</v>
      </c>
      <c r="F3623">
        <v>19</v>
      </c>
      <c r="P3623" t="s">
        <v>449</v>
      </c>
      <c r="Q3623">
        <v>145</v>
      </c>
      <c r="R3623" t="s">
        <v>293</v>
      </c>
      <c r="S3623" t="s">
        <v>13</v>
      </c>
      <c r="T3623">
        <v>1</v>
      </c>
    </row>
    <row r="3624" spans="4:20" ht="15.75" customHeight="1" x14ac:dyDescent="0.2">
      <c r="D3624" t="s">
        <v>285</v>
      </c>
      <c r="E3624" t="s">
        <v>485</v>
      </c>
      <c r="F3624">
        <v>19</v>
      </c>
      <c r="P3624" t="s">
        <v>449</v>
      </c>
      <c r="Q3624">
        <v>145</v>
      </c>
      <c r="R3624" t="s">
        <v>294</v>
      </c>
      <c r="S3624" t="s">
        <v>14</v>
      </c>
      <c r="T3624">
        <v>0</v>
      </c>
    </row>
    <row r="3625" spans="4:20" ht="15.75" customHeight="1" x14ac:dyDescent="0.2">
      <c r="D3625" t="s">
        <v>285</v>
      </c>
      <c r="E3625" t="s">
        <v>485</v>
      </c>
      <c r="F3625">
        <v>19</v>
      </c>
      <c r="P3625" t="s">
        <v>449</v>
      </c>
      <c r="Q3625">
        <v>145</v>
      </c>
      <c r="R3625" t="s">
        <v>257</v>
      </c>
      <c r="S3625" t="s">
        <v>16</v>
      </c>
      <c r="T3625">
        <v>71.510599999999997</v>
      </c>
    </row>
    <row r="3626" spans="4:20" ht="15.75" customHeight="1" x14ac:dyDescent="0.2">
      <c r="D3626" t="s">
        <v>285</v>
      </c>
      <c r="E3626" t="s">
        <v>485</v>
      </c>
      <c r="F3626">
        <v>19</v>
      </c>
      <c r="P3626" t="s">
        <v>449</v>
      </c>
      <c r="Q3626">
        <v>145</v>
      </c>
      <c r="R3626" t="s">
        <v>295</v>
      </c>
      <c r="S3626" t="s">
        <v>17</v>
      </c>
      <c r="T3626">
        <v>0</v>
      </c>
    </row>
    <row r="3627" spans="4:20" ht="15.75" customHeight="1" x14ac:dyDescent="0.2">
      <c r="D3627" t="s">
        <v>285</v>
      </c>
      <c r="E3627" t="s">
        <v>485</v>
      </c>
      <c r="F3627">
        <v>19</v>
      </c>
      <c r="P3627" t="s">
        <v>449</v>
      </c>
      <c r="Q3627">
        <v>145</v>
      </c>
      <c r="R3627" t="s">
        <v>296</v>
      </c>
      <c r="S3627" t="s">
        <v>1</v>
      </c>
      <c r="T3627">
        <v>1</v>
      </c>
    </row>
    <row r="3628" spans="4:20" ht="15.75" customHeight="1" x14ac:dyDescent="0.2">
      <c r="D3628" t="s">
        <v>285</v>
      </c>
      <c r="E3628" t="s">
        <v>485</v>
      </c>
      <c r="F3628">
        <v>19</v>
      </c>
      <c r="P3628" t="s">
        <v>449</v>
      </c>
      <c r="Q3628">
        <v>145</v>
      </c>
      <c r="R3628" t="s">
        <v>297</v>
      </c>
      <c r="S3628" t="s">
        <v>18</v>
      </c>
      <c r="T3628">
        <v>1</v>
      </c>
    </row>
    <row r="3629" spans="4:20" ht="15.75" customHeight="1" x14ac:dyDescent="0.2">
      <c r="D3629" t="s">
        <v>285</v>
      </c>
      <c r="E3629" t="s">
        <v>485</v>
      </c>
      <c r="F3629">
        <v>19</v>
      </c>
      <c r="P3629" t="s">
        <v>449</v>
      </c>
      <c r="Q3629">
        <v>145</v>
      </c>
      <c r="R3629" t="s">
        <v>298</v>
      </c>
      <c r="S3629" t="s">
        <v>19</v>
      </c>
      <c r="T3629">
        <v>0</v>
      </c>
    </row>
    <row r="3630" spans="4:20" ht="15.75" customHeight="1" x14ac:dyDescent="0.2">
      <c r="D3630" t="s">
        <v>285</v>
      </c>
      <c r="E3630" t="s">
        <v>485</v>
      </c>
      <c r="F3630">
        <v>19</v>
      </c>
      <c r="P3630" t="s">
        <v>449</v>
      </c>
      <c r="Q3630">
        <v>145</v>
      </c>
      <c r="R3630" t="s">
        <v>299</v>
      </c>
      <c r="S3630" t="s">
        <v>20</v>
      </c>
      <c r="T3630">
        <v>0</v>
      </c>
    </row>
    <row r="3631" spans="4:20" ht="15.75" customHeight="1" x14ac:dyDescent="0.2">
      <c r="D3631" t="s">
        <v>285</v>
      </c>
      <c r="E3631" t="s">
        <v>485</v>
      </c>
      <c r="F3631">
        <v>19</v>
      </c>
      <c r="P3631" t="s">
        <v>450</v>
      </c>
      <c r="Q3631">
        <v>146</v>
      </c>
      <c r="R3631" t="s">
        <v>288</v>
      </c>
      <c r="S3631" t="s">
        <v>2</v>
      </c>
      <c r="T3631">
        <v>0</v>
      </c>
    </row>
    <row r="3632" spans="4:20" ht="15.75" customHeight="1" x14ac:dyDescent="0.2">
      <c r="D3632" t="s">
        <v>285</v>
      </c>
      <c r="E3632" t="s">
        <v>485</v>
      </c>
      <c r="F3632">
        <v>19</v>
      </c>
      <c r="P3632" t="s">
        <v>450</v>
      </c>
      <c r="Q3632">
        <v>146</v>
      </c>
      <c r="R3632" t="s">
        <v>289</v>
      </c>
      <c r="S3632" t="s">
        <v>5</v>
      </c>
      <c r="T3632">
        <v>0</v>
      </c>
    </row>
    <row r="3633" spans="4:20" ht="15.75" customHeight="1" x14ac:dyDescent="0.2">
      <c r="D3633" t="s">
        <v>285</v>
      </c>
      <c r="E3633" t="s">
        <v>485</v>
      </c>
      <c r="F3633">
        <v>19</v>
      </c>
      <c r="P3633" t="s">
        <v>450</v>
      </c>
      <c r="Q3633">
        <v>146</v>
      </c>
      <c r="R3633" t="s">
        <v>290</v>
      </c>
      <c r="S3633" t="s">
        <v>3</v>
      </c>
      <c r="T3633">
        <v>0</v>
      </c>
    </row>
    <row r="3634" spans="4:20" ht="15.75" customHeight="1" x14ac:dyDescent="0.2">
      <c r="D3634" t="s">
        <v>285</v>
      </c>
      <c r="E3634" t="s">
        <v>485</v>
      </c>
      <c r="F3634">
        <v>19</v>
      </c>
      <c r="P3634" t="s">
        <v>450</v>
      </c>
      <c r="Q3634">
        <v>146</v>
      </c>
      <c r="R3634" t="s">
        <v>291</v>
      </c>
      <c r="S3634" t="s">
        <v>4</v>
      </c>
      <c r="T3634">
        <v>0</v>
      </c>
    </row>
    <row r="3635" spans="4:20" ht="15.75" customHeight="1" x14ac:dyDescent="0.2">
      <c r="D3635" t="s">
        <v>285</v>
      </c>
      <c r="E3635" t="s">
        <v>485</v>
      </c>
      <c r="F3635">
        <v>19</v>
      </c>
      <c r="P3635" t="s">
        <v>450</v>
      </c>
      <c r="Q3635">
        <v>146</v>
      </c>
      <c r="R3635" t="s">
        <v>292</v>
      </c>
      <c r="S3635" t="s">
        <v>6</v>
      </c>
      <c r="T3635">
        <v>0</v>
      </c>
    </row>
    <row r="3636" spans="4:20" ht="15.75" customHeight="1" x14ac:dyDescent="0.2">
      <c r="D3636" t="s">
        <v>285</v>
      </c>
      <c r="E3636" t="s">
        <v>485</v>
      </c>
      <c r="F3636">
        <v>19</v>
      </c>
      <c r="P3636" t="s">
        <v>450</v>
      </c>
      <c r="Q3636">
        <v>146</v>
      </c>
      <c r="R3636" t="s">
        <v>243</v>
      </c>
      <c r="S3636" t="s">
        <v>7</v>
      </c>
      <c r="T3636">
        <v>1.5</v>
      </c>
    </row>
    <row r="3637" spans="4:20" ht="15.75" customHeight="1" x14ac:dyDescent="0.2">
      <c r="D3637" t="s">
        <v>285</v>
      </c>
      <c r="E3637" t="s">
        <v>485</v>
      </c>
      <c r="F3637">
        <v>19</v>
      </c>
      <c r="P3637" t="s">
        <v>450</v>
      </c>
      <c r="Q3637">
        <v>146</v>
      </c>
      <c r="R3637" t="s">
        <v>245</v>
      </c>
      <c r="S3637" t="s">
        <v>8</v>
      </c>
      <c r="T3637">
        <v>12</v>
      </c>
    </row>
    <row r="3638" spans="4:20" ht="15.75" customHeight="1" x14ac:dyDescent="0.2">
      <c r="D3638" t="s">
        <v>285</v>
      </c>
      <c r="E3638" t="s">
        <v>485</v>
      </c>
      <c r="F3638">
        <v>19</v>
      </c>
      <c r="P3638" t="s">
        <v>450</v>
      </c>
      <c r="Q3638">
        <v>146</v>
      </c>
      <c r="R3638" t="s">
        <v>247</v>
      </c>
      <c r="S3638" t="s">
        <v>9</v>
      </c>
      <c r="T3638">
        <v>1.6999999999999999E-3</v>
      </c>
    </row>
    <row r="3639" spans="4:20" ht="15.75" customHeight="1" x14ac:dyDescent="0.2">
      <c r="D3639" t="s">
        <v>285</v>
      </c>
      <c r="E3639" t="s">
        <v>485</v>
      </c>
      <c r="F3639">
        <v>19</v>
      </c>
      <c r="P3639" t="s">
        <v>450</v>
      </c>
      <c r="Q3639">
        <v>146</v>
      </c>
      <c r="R3639" t="s">
        <v>249</v>
      </c>
      <c r="S3639" t="s">
        <v>10</v>
      </c>
      <c r="T3639">
        <v>4</v>
      </c>
    </row>
    <row r="3640" spans="4:20" ht="15.75" customHeight="1" x14ac:dyDescent="0.2">
      <c r="D3640" t="s">
        <v>285</v>
      </c>
      <c r="E3640" t="s">
        <v>485</v>
      </c>
      <c r="F3640">
        <v>19</v>
      </c>
      <c r="P3640" t="s">
        <v>450</v>
      </c>
      <c r="Q3640">
        <v>146</v>
      </c>
      <c r="R3640" t="s">
        <v>251</v>
      </c>
      <c r="S3640" t="s">
        <v>11</v>
      </c>
      <c r="T3640">
        <v>4</v>
      </c>
    </row>
    <row r="3641" spans="4:20" ht="15.75" customHeight="1" x14ac:dyDescent="0.2">
      <c r="D3641" t="s">
        <v>285</v>
      </c>
      <c r="E3641" t="s">
        <v>485</v>
      </c>
      <c r="F3641">
        <v>19</v>
      </c>
      <c r="P3641" t="s">
        <v>450</v>
      </c>
      <c r="Q3641">
        <v>146</v>
      </c>
      <c r="R3641" t="s">
        <v>253</v>
      </c>
      <c r="S3641" t="s">
        <v>12</v>
      </c>
      <c r="T3641">
        <v>8</v>
      </c>
    </row>
    <row r="3642" spans="4:20" ht="15.75" customHeight="1" x14ac:dyDescent="0.2">
      <c r="D3642" t="s">
        <v>285</v>
      </c>
      <c r="E3642" t="s">
        <v>485</v>
      </c>
      <c r="F3642">
        <v>19</v>
      </c>
      <c r="P3642" t="s">
        <v>450</v>
      </c>
      <c r="Q3642">
        <v>146</v>
      </c>
      <c r="R3642" t="s">
        <v>255</v>
      </c>
      <c r="S3642" t="s">
        <v>15</v>
      </c>
      <c r="T3642">
        <v>9</v>
      </c>
    </row>
    <row r="3643" spans="4:20" ht="15.75" customHeight="1" x14ac:dyDescent="0.2">
      <c r="D3643" t="s">
        <v>285</v>
      </c>
      <c r="E3643" t="s">
        <v>485</v>
      </c>
      <c r="F3643">
        <v>19</v>
      </c>
      <c r="P3643" t="s">
        <v>450</v>
      </c>
      <c r="Q3643">
        <v>146</v>
      </c>
      <c r="R3643" t="s">
        <v>293</v>
      </c>
      <c r="S3643" t="s">
        <v>13</v>
      </c>
      <c r="T3643">
        <v>1</v>
      </c>
    </row>
    <row r="3644" spans="4:20" ht="15.75" customHeight="1" x14ac:dyDescent="0.2">
      <c r="D3644" t="s">
        <v>285</v>
      </c>
      <c r="E3644" t="s">
        <v>485</v>
      </c>
      <c r="F3644">
        <v>19</v>
      </c>
      <c r="P3644" t="s">
        <v>450</v>
      </c>
      <c r="Q3644">
        <v>146</v>
      </c>
      <c r="R3644" t="s">
        <v>294</v>
      </c>
      <c r="S3644" t="s">
        <v>14</v>
      </c>
      <c r="T3644">
        <v>0</v>
      </c>
    </row>
    <row r="3645" spans="4:20" ht="15.75" customHeight="1" x14ac:dyDescent="0.2">
      <c r="D3645" t="s">
        <v>285</v>
      </c>
      <c r="E3645" t="s">
        <v>485</v>
      </c>
      <c r="F3645">
        <v>19</v>
      </c>
      <c r="P3645" t="s">
        <v>450</v>
      </c>
      <c r="Q3645">
        <v>146</v>
      </c>
      <c r="R3645" t="s">
        <v>257</v>
      </c>
      <c r="S3645" t="s">
        <v>16</v>
      </c>
      <c r="T3645">
        <v>72.860699999999994</v>
      </c>
    </row>
    <row r="3646" spans="4:20" ht="15.75" customHeight="1" x14ac:dyDescent="0.2">
      <c r="D3646" t="s">
        <v>285</v>
      </c>
      <c r="E3646" t="s">
        <v>485</v>
      </c>
      <c r="F3646">
        <v>19</v>
      </c>
      <c r="P3646" t="s">
        <v>450</v>
      </c>
      <c r="Q3646">
        <v>146</v>
      </c>
      <c r="R3646" t="s">
        <v>295</v>
      </c>
      <c r="S3646" t="s">
        <v>17</v>
      </c>
      <c r="T3646">
        <v>0</v>
      </c>
    </row>
    <row r="3647" spans="4:20" ht="15.75" customHeight="1" x14ac:dyDescent="0.2">
      <c r="D3647" t="s">
        <v>285</v>
      </c>
      <c r="E3647" t="s">
        <v>485</v>
      </c>
      <c r="F3647">
        <v>19</v>
      </c>
      <c r="P3647" t="s">
        <v>450</v>
      </c>
      <c r="Q3647">
        <v>146</v>
      </c>
      <c r="R3647" t="s">
        <v>296</v>
      </c>
      <c r="S3647" t="s">
        <v>1</v>
      </c>
      <c r="T3647">
        <v>1</v>
      </c>
    </row>
    <row r="3648" spans="4:20" ht="15.75" customHeight="1" x14ac:dyDescent="0.2">
      <c r="D3648" t="s">
        <v>285</v>
      </c>
      <c r="E3648" t="s">
        <v>485</v>
      </c>
      <c r="F3648">
        <v>19</v>
      </c>
      <c r="P3648" t="s">
        <v>450</v>
      </c>
      <c r="Q3648">
        <v>146</v>
      </c>
      <c r="R3648" t="s">
        <v>297</v>
      </c>
      <c r="S3648" t="s">
        <v>18</v>
      </c>
      <c r="T3648">
        <v>1</v>
      </c>
    </row>
    <row r="3649" spans="4:20" ht="15.75" customHeight="1" x14ac:dyDescent="0.2">
      <c r="D3649" t="s">
        <v>285</v>
      </c>
      <c r="E3649" t="s">
        <v>485</v>
      </c>
      <c r="F3649">
        <v>19</v>
      </c>
      <c r="P3649" t="s">
        <v>450</v>
      </c>
      <c r="Q3649">
        <v>146</v>
      </c>
      <c r="R3649" t="s">
        <v>298</v>
      </c>
      <c r="S3649" t="s">
        <v>19</v>
      </c>
      <c r="T3649">
        <v>0</v>
      </c>
    </row>
    <row r="3650" spans="4:20" ht="15.75" customHeight="1" x14ac:dyDescent="0.2">
      <c r="D3650" t="s">
        <v>285</v>
      </c>
      <c r="E3650" t="s">
        <v>485</v>
      </c>
      <c r="F3650">
        <v>19</v>
      </c>
      <c r="P3650" t="s">
        <v>450</v>
      </c>
      <c r="Q3650">
        <v>146</v>
      </c>
      <c r="R3650" t="s">
        <v>299</v>
      </c>
      <c r="S3650" t="s">
        <v>20</v>
      </c>
      <c r="T3650">
        <v>0</v>
      </c>
    </row>
    <row r="3651" spans="4:20" ht="15.75" customHeight="1" x14ac:dyDescent="0.2">
      <c r="D3651" t="s">
        <v>285</v>
      </c>
      <c r="E3651" t="s">
        <v>485</v>
      </c>
      <c r="F3651">
        <v>19</v>
      </c>
      <c r="P3651" t="s">
        <v>451</v>
      </c>
      <c r="Q3651">
        <v>147</v>
      </c>
      <c r="R3651" t="s">
        <v>288</v>
      </c>
      <c r="S3651" t="s">
        <v>2</v>
      </c>
      <c r="T3651">
        <v>0</v>
      </c>
    </row>
    <row r="3652" spans="4:20" ht="15.75" customHeight="1" x14ac:dyDescent="0.2">
      <c r="D3652" t="s">
        <v>285</v>
      </c>
      <c r="E3652" t="s">
        <v>485</v>
      </c>
      <c r="F3652">
        <v>19</v>
      </c>
      <c r="P3652" t="s">
        <v>451</v>
      </c>
      <c r="Q3652">
        <v>147</v>
      </c>
      <c r="R3652" t="s">
        <v>289</v>
      </c>
      <c r="S3652" t="s">
        <v>5</v>
      </c>
      <c r="T3652">
        <v>0</v>
      </c>
    </row>
    <row r="3653" spans="4:20" ht="15.75" customHeight="1" x14ac:dyDescent="0.2">
      <c r="D3653" t="s">
        <v>285</v>
      </c>
      <c r="E3653" t="s">
        <v>485</v>
      </c>
      <c r="F3653">
        <v>19</v>
      </c>
      <c r="P3653" t="s">
        <v>451</v>
      </c>
      <c r="Q3653">
        <v>147</v>
      </c>
      <c r="R3653" t="s">
        <v>290</v>
      </c>
      <c r="S3653" t="s">
        <v>3</v>
      </c>
      <c r="T3653">
        <v>0</v>
      </c>
    </row>
    <row r="3654" spans="4:20" ht="15.75" customHeight="1" x14ac:dyDescent="0.2">
      <c r="D3654" t="s">
        <v>285</v>
      </c>
      <c r="E3654" t="s">
        <v>485</v>
      </c>
      <c r="F3654">
        <v>19</v>
      </c>
      <c r="P3654" t="s">
        <v>451</v>
      </c>
      <c r="Q3654">
        <v>147</v>
      </c>
      <c r="R3654" t="s">
        <v>291</v>
      </c>
      <c r="S3654" t="s">
        <v>4</v>
      </c>
      <c r="T3654">
        <v>0</v>
      </c>
    </row>
    <row r="3655" spans="4:20" ht="15.75" customHeight="1" x14ac:dyDescent="0.2">
      <c r="D3655" t="s">
        <v>285</v>
      </c>
      <c r="E3655" t="s">
        <v>485</v>
      </c>
      <c r="F3655">
        <v>19</v>
      </c>
      <c r="P3655" t="s">
        <v>451</v>
      </c>
      <c r="Q3655">
        <v>147</v>
      </c>
      <c r="R3655" t="s">
        <v>292</v>
      </c>
      <c r="S3655" t="s">
        <v>6</v>
      </c>
      <c r="T3655">
        <v>0</v>
      </c>
    </row>
    <row r="3656" spans="4:20" ht="15.75" customHeight="1" x14ac:dyDescent="0.2">
      <c r="D3656" t="s">
        <v>285</v>
      </c>
      <c r="E3656" t="s">
        <v>485</v>
      </c>
      <c r="F3656">
        <v>19</v>
      </c>
      <c r="P3656" t="s">
        <v>451</v>
      </c>
      <c r="Q3656">
        <v>147</v>
      </c>
      <c r="R3656" t="s">
        <v>243</v>
      </c>
      <c r="S3656" t="s">
        <v>7</v>
      </c>
      <c r="T3656">
        <v>1.5</v>
      </c>
    </row>
    <row r="3657" spans="4:20" ht="15.75" customHeight="1" x14ac:dyDescent="0.2">
      <c r="D3657" t="s">
        <v>285</v>
      </c>
      <c r="E3657" t="s">
        <v>485</v>
      </c>
      <c r="F3657">
        <v>19</v>
      </c>
      <c r="P3657" t="s">
        <v>451</v>
      </c>
      <c r="Q3657">
        <v>147</v>
      </c>
      <c r="R3657" t="s">
        <v>245</v>
      </c>
      <c r="S3657" t="s">
        <v>8</v>
      </c>
      <c r="T3657">
        <v>12</v>
      </c>
    </row>
    <row r="3658" spans="4:20" ht="15.75" customHeight="1" x14ac:dyDescent="0.2">
      <c r="D3658" t="s">
        <v>285</v>
      </c>
      <c r="E3658" t="s">
        <v>485</v>
      </c>
      <c r="F3658">
        <v>19</v>
      </c>
      <c r="P3658" t="s">
        <v>451</v>
      </c>
      <c r="Q3658">
        <v>147</v>
      </c>
      <c r="R3658" t="s">
        <v>247</v>
      </c>
      <c r="S3658" t="s">
        <v>9</v>
      </c>
      <c r="T3658">
        <v>1.6999999999999999E-3</v>
      </c>
    </row>
    <row r="3659" spans="4:20" ht="15.75" customHeight="1" x14ac:dyDescent="0.2">
      <c r="D3659" t="s">
        <v>285</v>
      </c>
      <c r="E3659" t="s">
        <v>485</v>
      </c>
      <c r="F3659">
        <v>19</v>
      </c>
      <c r="P3659" t="s">
        <v>451</v>
      </c>
      <c r="Q3659">
        <v>147</v>
      </c>
      <c r="R3659" t="s">
        <v>249</v>
      </c>
      <c r="S3659" t="s">
        <v>10</v>
      </c>
      <c r="T3659">
        <v>4</v>
      </c>
    </row>
    <row r="3660" spans="4:20" ht="15.75" customHeight="1" x14ac:dyDescent="0.2">
      <c r="D3660" t="s">
        <v>285</v>
      </c>
      <c r="E3660" t="s">
        <v>485</v>
      </c>
      <c r="F3660">
        <v>19</v>
      </c>
      <c r="P3660" t="s">
        <v>451</v>
      </c>
      <c r="Q3660">
        <v>147</v>
      </c>
      <c r="R3660" t="s">
        <v>251</v>
      </c>
      <c r="S3660" t="s">
        <v>11</v>
      </c>
      <c r="T3660">
        <v>4</v>
      </c>
    </row>
    <row r="3661" spans="4:20" ht="15.75" customHeight="1" x14ac:dyDescent="0.2">
      <c r="D3661" t="s">
        <v>285</v>
      </c>
      <c r="E3661" t="s">
        <v>485</v>
      </c>
      <c r="F3661">
        <v>19</v>
      </c>
      <c r="P3661" t="s">
        <v>451</v>
      </c>
      <c r="Q3661">
        <v>147</v>
      </c>
      <c r="R3661" t="s">
        <v>253</v>
      </c>
      <c r="S3661" t="s">
        <v>12</v>
      </c>
      <c r="T3661">
        <v>8</v>
      </c>
    </row>
    <row r="3662" spans="4:20" ht="15.75" customHeight="1" x14ac:dyDescent="0.2">
      <c r="D3662" t="s">
        <v>285</v>
      </c>
      <c r="E3662" t="s">
        <v>485</v>
      </c>
      <c r="F3662">
        <v>19</v>
      </c>
      <c r="P3662" t="s">
        <v>451</v>
      </c>
      <c r="Q3662">
        <v>147</v>
      </c>
      <c r="R3662" t="s">
        <v>255</v>
      </c>
      <c r="S3662" t="s">
        <v>15</v>
      </c>
      <c r="T3662">
        <v>9</v>
      </c>
    </row>
    <row r="3663" spans="4:20" ht="15.75" customHeight="1" x14ac:dyDescent="0.2">
      <c r="D3663" t="s">
        <v>285</v>
      </c>
      <c r="E3663" t="s">
        <v>485</v>
      </c>
      <c r="F3663">
        <v>19</v>
      </c>
      <c r="P3663" t="s">
        <v>451</v>
      </c>
      <c r="Q3663">
        <v>147</v>
      </c>
      <c r="R3663" t="s">
        <v>293</v>
      </c>
      <c r="S3663" t="s">
        <v>13</v>
      </c>
      <c r="T3663">
        <v>1</v>
      </c>
    </row>
    <row r="3664" spans="4:20" ht="15.75" customHeight="1" x14ac:dyDescent="0.2">
      <c r="D3664" t="s">
        <v>285</v>
      </c>
      <c r="E3664" t="s">
        <v>485</v>
      </c>
      <c r="F3664">
        <v>19</v>
      </c>
      <c r="P3664" t="s">
        <v>451</v>
      </c>
      <c r="Q3664">
        <v>147</v>
      </c>
      <c r="R3664" t="s">
        <v>294</v>
      </c>
      <c r="S3664" t="s">
        <v>14</v>
      </c>
      <c r="T3664">
        <v>0</v>
      </c>
    </row>
    <row r="3665" spans="4:20" ht="15.75" customHeight="1" x14ac:dyDescent="0.2">
      <c r="D3665" t="s">
        <v>285</v>
      </c>
      <c r="E3665" t="s">
        <v>485</v>
      </c>
      <c r="F3665">
        <v>19</v>
      </c>
      <c r="P3665" t="s">
        <v>451</v>
      </c>
      <c r="Q3665">
        <v>147</v>
      </c>
      <c r="R3665" t="s">
        <v>257</v>
      </c>
      <c r="S3665" t="s">
        <v>16</v>
      </c>
      <c r="T3665">
        <v>72.860699999999994</v>
      </c>
    </row>
    <row r="3666" spans="4:20" ht="15.75" customHeight="1" x14ac:dyDescent="0.2">
      <c r="D3666" t="s">
        <v>285</v>
      </c>
      <c r="E3666" t="s">
        <v>485</v>
      </c>
      <c r="F3666">
        <v>19</v>
      </c>
      <c r="P3666" t="s">
        <v>451</v>
      </c>
      <c r="Q3666">
        <v>147</v>
      </c>
      <c r="R3666" t="s">
        <v>295</v>
      </c>
      <c r="S3666" t="s">
        <v>17</v>
      </c>
      <c r="T3666">
        <v>0</v>
      </c>
    </row>
    <row r="3667" spans="4:20" ht="15.75" customHeight="1" x14ac:dyDescent="0.2">
      <c r="D3667" t="s">
        <v>285</v>
      </c>
      <c r="E3667" t="s">
        <v>485</v>
      </c>
      <c r="F3667">
        <v>19</v>
      </c>
      <c r="P3667" t="s">
        <v>451</v>
      </c>
      <c r="Q3667">
        <v>147</v>
      </c>
      <c r="R3667" t="s">
        <v>296</v>
      </c>
      <c r="S3667" t="s">
        <v>1</v>
      </c>
      <c r="T3667">
        <v>1</v>
      </c>
    </row>
    <row r="3668" spans="4:20" ht="15.75" customHeight="1" x14ac:dyDescent="0.2">
      <c r="D3668" t="s">
        <v>285</v>
      </c>
      <c r="E3668" t="s">
        <v>485</v>
      </c>
      <c r="F3668">
        <v>19</v>
      </c>
      <c r="P3668" t="s">
        <v>451</v>
      </c>
      <c r="Q3668">
        <v>147</v>
      </c>
      <c r="R3668" t="s">
        <v>297</v>
      </c>
      <c r="S3668" t="s">
        <v>18</v>
      </c>
      <c r="T3668">
        <v>1</v>
      </c>
    </row>
    <row r="3669" spans="4:20" ht="15.75" customHeight="1" x14ac:dyDescent="0.2">
      <c r="D3669" t="s">
        <v>285</v>
      </c>
      <c r="E3669" t="s">
        <v>485</v>
      </c>
      <c r="F3669">
        <v>19</v>
      </c>
      <c r="P3669" t="s">
        <v>451</v>
      </c>
      <c r="Q3669">
        <v>147</v>
      </c>
      <c r="R3669" t="s">
        <v>298</v>
      </c>
      <c r="S3669" t="s">
        <v>19</v>
      </c>
      <c r="T3669">
        <v>0</v>
      </c>
    </row>
    <row r="3670" spans="4:20" ht="15.75" customHeight="1" x14ac:dyDescent="0.2">
      <c r="D3670" t="s">
        <v>285</v>
      </c>
      <c r="E3670" t="s">
        <v>485</v>
      </c>
      <c r="F3670">
        <v>19</v>
      </c>
      <c r="P3670" t="s">
        <v>451</v>
      </c>
      <c r="Q3670">
        <v>147</v>
      </c>
      <c r="R3670" t="s">
        <v>299</v>
      </c>
      <c r="S3670" t="s">
        <v>20</v>
      </c>
      <c r="T3670">
        <v>0</v>
      </c>
    </row>
    <row r="3671" spans="4:20" ht="15.75" customHeight="1" x14ac:dyDescent="0.2">
      <c r="D3671" t="s">
        <v>285</v>
      </c>
      <c r="E3671" t="s">
        <v>485</v>
      </c>
      <c r="F3671">
        <v>19</v>
      </c>
      <c r="P3671" t="s">
        <v>488</v>
      </c>
      <c r="Q3671">
        <v>148</v>
      </c>
      <c r="R3671" t="s">
        <v>288</v>
      </c>
      <c r="S3671" t="s">
        <v>2</v>
      </c>
      <c r="T3671">
        <v>0</v>
      </c>
    </row>
    <row r="3672" spans="4:20" ht="15.75" customHeight="1" x14ac:dyDescent="0.2">
      <c r="D3672" t="s">
        <v>285</v>
      </c>
      <c r="E3672" t="s">
        <v>485</v>
      </c>
      <c r="F3672">
        <v>19</v>
      </c>
      <c r="P3672" t="s">
        <v>488</v>
      </c>
      <c r="Q3672">
        <v>148</v>
      </c>
      <c r="R3672" t="s">
        <v>289</v>
      </c>
      <c r="S3672" t="s">
        <v>5</v>
      </c>
      <c r="T3672">
        <v>0</v>
      </c>
    </row>
    <row r="3673" spans="4:20" ht="15.75" customHeight="1" x14ac:dyDescent="0.2">
      <c r="D3673" t="s">
        <v>285</v>
      </c>
      <c r="E3673" t="s">
        <v>485</v>
      </c>
      <c r="F3673">
        <v>19</v>
      </c>
      <c r="P3673" t="s">
        <v>488</v>
      </c>
      <c r="Q3673">
        <v>148</v>
      </c>
      <c r="R3673" t="s">
        <v>290</v>
      </c>
      <c r="S3673" t="s">
        <v>3</v>
      </c>
      <c r="T3673">
        <v>1</v>
      </c>
    </row>
    <row r="3674" spans="4:20" ht="15.75" customHeight="1" x14ac:dyDescent="0.2">
      <c r="D3674" t="s">
        <v>285</v>
      </c>
      <c r="E3674" t="s">
        <v>485</v>
      </c>
      <c r="F3674">
        <v>19</v>
      </c>
      <c r="P3674" t="s">
        <v>488</v>
      </c>
      <c r="Q3674">
        <v>148</v>
      </c>
      <c r="R3674" t="s">
        <v>291</v>
      </c>
      <c r="S3674" t="s">
        <v>4</v>
      </c>
      <c r="T3674">
        <v>1</v>
      </c>
    </row>
    <row r="3675" spans="4:20" ht="15.75" customHeight="1" x14ac:dyDescent="0.2">
      <c r="D3675" t="s">
        <v>285</v>
      </c>
      <c r="E3675" t="s">
        <v>485</v>
      </c>
      <c r="F3675">
        <v>19</v>
      </c>
      <c r="P3675" t="s">
        <v>488</v>
      </c>
      <c r="Q3675">
        <v>148</v>
      </c>
      <c r="R3675" t="s">
        <v>292</v>
      </c>
      <c r="S3675" t="s">
        <v>6</v>
      </c>
      <c r="T3675">
        <v>0</v>
      </c>
    </row>
    <row r="3676" spans="4:20" ht="15.75" customHeight="1" x14ac:dyDescent="0.2">
      <c r="D3676" t="s">
        <v>285</v>
      </c>
      <c r="E3676" t="s">
        <v>485</v>
      </c>
      <c r="F3676">
        <v>19</v>
      </c>
      <c r="P3676" t="s">
        <v>488</v>
      </c>
      <c r="Q3676">
        <v>148</v>
      </c>
      <c r="R3676" t="s">
        <v>243</v>
      </c>
      <c r="S3676" t="s">
        <v>7</v>
      </c>
      <c r="T3676">
        <v>2</v>
      </c>
    </row>
    <row r="3677" spans="4:20" ht="15.75" customHeight="1" x14ac:dyDescent="0.2">
      <c r="D3677" t="s">
        <v>285</v>
      </c>
      <c r="E3677" t="s">
        <v>485</v>
      </c>
      <c r="F3677">
        <v>19</v>
      </c>
      <c r="P3677" t="s">
        <v>488</v>
      </c>
      <c r="Q3677">
        <v>148</v>
      </c>
      <c r="R3677" t="s">
        <v>245</v>
      </c>
      <c r="S3677" t="s">
        <v>8</v>
      </c>
      <c r="T3677">
        <v>48</v>
      </c>
    </row>
    <row r="3678" spans="4:20" ht="15.75" customHeight="1" x14ac:dyDescent="0.2">
      <c r="D3678" t="s">
        <v>285</v>
      </c>
      <c r="E3678" t="s">
        <v>485</v>
      </c>
      <c r="F3678">
        <v>19</v>
      </c>
      <c r="P3678" t="s">
        <v>488</v>
      </c>
      <c r="Q3678">
        <v>148</v>
      </c>
      <c r="R3678" t="s">
        <v>247</v>
      </c>
      <c r="S3678" t="s">
        <v>9</v>
      </c>
      <c r="T3678">
        <v>4.4000000000000003E-3</v>
      </c>
    </row>
    <row r="3679" spans="4:20" ht="15.75" customHeight="1" x14ac:dyDescent="0.2">
      <c r="D3679" t="s">
        <v>285</v>
      </c>
      <c r="E3679" t="s">
        <v>485</v>
      </c>
      <c r="F3679">
        <v>19</v>
      </c>
      <c r="P3679" t="s">
        <v>488</v>
      </c>
      <c r="Q3679">
        <v>148</v>
      </c>
      <c r="R3679" t="s">
        <v>249</v>
      </c>
      <c r="S3679" t="s">
        <v>10</v>
      </c>
      <c r="T3679">
        <v>8</v>
      </c>
    </row>
    <row r="3680" spans="4:20" ht="15.75" customHeight="1" x14ac:dyDescent="0.2">
      <c r="D3680" t="s">
        <v>285</v>
      </c>
      <c r="E3680" t="s">
        <v>485</v>
      </c>
      <c r="F3680">
        <v>19</v>
      </c>
      <c r="P3680" t="s">
        <v>488</v>
      </c>
      <c r="Q3680">
        <v>148</v>
      </c>
      <c r="R3680" t="s">
        <v>251</v>
      </c>
      <c r="S3680" t="s">
        <v>11</v>
      </c>
      <c r="T3680">
        <v>8</v>
      </c>
    </row>
    <row r="3681" spans="4:20" ht="15.75" customHeight="1" x14ac:dyDescent="0.2">
      <c r="D3681" t="s">
        <v>285</v>
      </c>
      <c r="E3681" t="s">
        <v>485</v>
      </c>
      <c r="F3681">
        <v>19</v>
      </c>
      <c r="P3681" t="s">
        <v>488</v>
      </c>
      <c r="Q3681">
        <v>148</v>
      </c>
      <c r="R3681" t="s">
        <v>253</v>
      </c>
      <c r="S3681" t="s">
        <v>12</v>
      </c>
      <c r="T3681">
        <v>24</v>
      </c>
    </row>
    <row r="3682" spans="4:20" ht="15.75" customHeight="1" x14ac:dyDescent="0.2">
      <c r="D3682" t="s">
        <v>285</v>
      </c>
      <c r="E3682" t="s">
        <v>485</v>
      </c>
      <c r="F3682">
        <v>19</v>
      </c>
      <c r="P3682" t="s">
        <v>488</v>
      </c>
      <c r="Q3682">
        <v>148</v>
      </c>
      <c r="R3682" t="s">
        <v>255</v>
      </c>
      <c r="S3682" t="s">
        <v>15</v>
      </c>
      <c r="T3682">
        <v>9</v>
      </c>
    </row>
    <row r="3683" spans="4:20" ht="15.75" customHeight="1" x14ac:dyDescent="0.2">
      <c r="D3683" t="s">
        <v>285</v>
      </c>
      <c r="E3683" t="s">
        <v>485</v>
      </c>
      <c r="F3683">
        <v>19</v>
      </c>
      <c r="P3683" t="s">
        <v>488</v>
      </c>
      <c r="Q3683">
        <v>148</v>
      </c>
      <c r="R3683" t="s">
        <v>293</v>
      </c>
      <c r="S3683" t="s">
        <v>13</v>
      </c>
      <c r="T3683">
        <v>1</v>
      </c>
    </row>
    <row r="3684" spans="4:20" ht="15.75" customHeight="1" x14ac:dyDescent="0.2">
      <c r="D3684" t="s">
        <v>285</v>
      </c>
      <c r="E3684" t="s">
        <v>485</v>
      </c>
      <c r="F3684">
        <v>19</v>
      </c>
      <c r="P3684" t="s">
        <v>488</v>
      </c>
      <c r="Q3684">
        <v>148</v>
      </c>
      <c r="R3684" t="s">
        <v>294</v>
      </c>
      <c r="S3684" t="s">
        <v>14</v>
      </c>
      <c r="T3684">
        <v>0</v>
      </c>
    </row>
    <row r="3685" spans="4:20" ht="15.75" customHeight="1" x14ac:dyDescent="0.2">
      <c r="D3685" t="s">
        <v>285</v>
      </c>
      <c r="E3685" t="s">
        <v>485</v>
      </c>
      <c r="F3685">
        <v>19</v>
      </c>
      <c r="P3685" t="s">
        <v>488</v>
      </c>
      <c r="Q3685">
        <v>148</v>
      </c>
      <c r="R3685" t="s">
        <v>257</v>
      </c>
      <c r="S3685" t="s">
        <v>16</v>
      </c>
      <c r="T3685">
        <v>69.519900000000007</v>
      </c>
    </row>
    <row r="3686" spans="4:20" ht="15.75" customHeight="1" x14ac:dyDescent="0.2">
      <c r="D3686" t="s">
        <v>285</v>
      </c>
      <c r="E3686" t="s">
        <v>485</v>
      </c>
      <c r="F3686">
        <v>19</v>
      </c>
      <c r="P3686" t="s">
        <v>488</v>
      </c>
      <c r="Q3686">
        <v>148</v>
      </c>
      <c r="R3686" t="s">
        <v>295</v>
      </c>
      <c r="S3686" t="s">
        <v>17</v>
      </c>
      <c r="T3686">
        <v>0</v>
      </c>
    </row>
    <row r="3687" spans="4:20" ht="15.75" customHeight="1" x14ac:dyDescent="0.2">
      <c r="D3687" t="s">
        <v>285</v>
      </c>
      <c r="E3687" t="s">
        <v>485</v>
      </c>
      <c r="F3687">
        <v>19</v>
      </c>
      <c r="P3687" t="s">
        <v>488</v>
      </c>
      <c r="Q3687">
        <v>148</v>
      </c>
      <c r="R3687" t="s">
        <v>296</v>
      </c>
      <c r="S3687" t="s">
        <v>1</v>
      </c>
      <c r="T3687">
        <v>1</v>
      </c>
    </row>
    <row r="3688" spans="4:20" ht="15.75" customHeight="1" x14ac:dyDescent="0.2">
      <c r="D3688" t="s">
        <v>285</v>
      </c>
      <c r="E3688" t="s">
        <v>485</v>
      </c>
      <c r="F3688">
        <v>19</v>
      </c>
      <c r="P3688" t="s">
        <v>488</v>
      </c>
      <c r="Q3688">
        <v>148</v>
      </c>
      <c r="R3688" t="s">
        <v>297</v>
      </c>
      <c r="S3688" t="s">
        <v>18</v>
      </c>
      <c r="T3688">
        <v>4</v>
      </c>
    </row>
    <row r="3689" spans="4:20" ht="15.75" customHeight="1" x14ac:dyDescent="0.2">
      <c r="D3689" t="s">
        <v>285</v>
      </c>
      <c r="E3689" t="s">
        <v>485</v>
      </c>
      <c r="F3689">
        <v>19</v>
      </c>
      <c r="P3689" t="s">
        <v>488</v>
      </c>
      <c r="Q3689">
        <v>148</v>
      </c>
      <c r="R3689" t="s">
        <v>298</v>
      </c>
      <c r="S3689" t="s">
        <v>19</v>
      </c>
      <c r="T3689">
        <v>0</v>
      </c>
    </row>
    <row r="3690" spans="4:20" ht="15.75" customHeight="1" x14ac:dyDescent="0.2">
      <c r="D3690" t="s">
        <v>285</v>
      </c>
      <c r="E3690" t="s">
        <v>485</v>
      </c>
      <c r="F3690">
        <v>19</v>
      </c>
      <c r="P3690" t="s">
        <v>488</v>
      </c>
      <c r="Q3690">
        <v>148</v>
      </c>
      <c r="R3690" t="s">
        <v>299</v>
      </c>
      <c r="S3690" t="s">
        <v>20</v>
      </c>
      <c r="T3690">
        <v>0</v>
      </c>
    </row>
    <row r="3691" spans="4:20" ht="15.75" customHeight="1" x14ac:dyDescent="0.2">
      <c r="D3691" t="s">
        <v>285</v>
      </c>
      <c r="E3691" t="s">
        <v>485</v>
      </c>
      <c r="F3691">
        <v>19</v>
      </c>
      <c r="P3691" t="s">
        <v>452</v>
      </c>
      <c r="Q3691">
        <v>149</v>
      </c>
      <c r="R3691" t="s">
        <v>288</v>
      </c>
      <c r="S3691" t="s">
        <v>2</v>
      </c>
      <c r="T3691">
        <v>1</v>
      </c>
    </row>
    <row r="3692" spans="4:20" ht="15.75" customHeight="1" x14ac:dyDescent="0.2">
      <c r="D3692" t="s">
        <v>285</v>
      </c>
      <c r="E3692" t="s">
        <v>485</v>
      </c>
      <c r="F3692">
        <v>19</v>
      </c>
      <c r="P3692" t="s">
        <v>452</v>
      </c>
      <c r="Q3692">
        <v>149</v>
      </c>
      <c r="R3692" t="s">
        <v>289</v>
      </c>
      <c r="S3692" t="s">
        <v>5</v>
      </c>
      <c r="T3692">
        <v>0</v>
      </c>
    </row>
    <row r="3693" spans="4:20" ht="15.75" customHeight="1" x14ac:dyDescent="0.2">
      <c r="D3693" t="s">
        <v>285</v>
      </c>
      <c r="E3693" t="s">
        <v>485</v>
      </c>
      <c r="F3693">
        <v>19</v>
      </c>
      <c r="P3693" t="s">
        <v>452</v>
      </c>
      <c r="Q3693">
        <v>149</v>
      </c>
      <c r="R3693" t="s">
        <v>290</v>
      </c>
      <c r="S3693" t="s">
        <v>3</v>
      </c>
      <c r="T3693">
        <v>0.66669999999999996</v>
      </c>
    </row>
    <row r="3694" spans="4:20" ht="15.75" customHeight="1" x14ac:dyDescent="0.2">
      <c r="D3694" t="s">
        <v>285</v>
      </c>
      <c r="E3694" t="s">
        <v>485</v>
      </c>
      <c r="F3694">
        <v>19</v>
      </c>
      <c r="P3694" t="s">
        <v>452</v>
      </c>
      <c r="Q3694">
        <v>149</v>
      </c>
      <c r="R3694" t="s">
        <v>291</v>
      </c>
      <c r="S3694" t="s">
        <v>4</v>
      </c>
      <c r="T3694">
        <v>3</v>
      </c>
    </row>
    <row r="3695" spans="4:20" ht="15.75" customHeight="1" x14ac:dyDescent="0.2">
      <c r="D3695" t="s">
        <v>285</v>
      </c>
      <c r="E3695" t="s">
        <v>485</v>
      </c>
      <c r="F3695">
        <v>19</v>
      </c>
      <c r="P3695" t="s">
        <v>452</v>
      </c>
      <c r="Q3695">
        <v>149</v>
      </c>
      <c r="R3695" t="s">
        <v>292</v>
      </c>
      <c r="S3695" t="s">
        <v>6</v>
      </c>
      <c r="T3695">
        <v>0</v>
      </c>
    </row>
    <row r="3696" spans="4:20" ht="15.75" customHeight="1" x14ac:dyDescent="0.2">
      <c r="D3696" t="s">
        <v>285</v>
      </c>
      <c r="E3696" t="s">
        <v>485</v>
      </c>
      <c r="F3696">
        <v>19</v>
      </c>
      <c r="P3696" t="s">
        <v>452</v>
      </c>
      <c r="Q3696">
        <v>149</v>
      </c>
      <c r="R3696" t="s">
        <v>243</v>
      </c>
      <c r="S3696" t="s">
        <v>7</v>
      </c>
      <c r="T3696">
        <v>7.5</v>
      </c>
    </row>
    <row r="3697" spans="4:20" ht="15.75" customHeight="1" x14ac:dyDescent="0.2">
      <c r="D3697" t="s">
        <v>285</v>
      </c>
      <c r="E3697" t="s">
        <v>485</v>
      </c>
      <c r="F3697">
        <v>19</v>
      </c>
      <c r="P3697" t="s">
        <v>452</v>
      </c>
      <c r="Q3697">
        <v>149</v>
      </c>
      <c r="R3697" t="s">
        <v>245</v>
      </c>
      <c r="S3697" t="s">
        <v>8</v>
      </c>
      <c r="T3697">
        <v>571.10320000000002</v>
      </c>
    </row>
    <row r="3698" spans="4:20" ht="15.75" customHeight="1" x14ac:dyDescent="0.2">
      <c r="D3698" t="s">
        <v>285</v>
      </c>
      <c r="E3698" t="s">
        <v>485</v>
      </c>
      <c r="F3698">
        <v>19</v>
      </c>
      <c r="P3698" t="s">
        <v>452</v>
      </c>
      <c r="Q3698">
        <v>149</v>
      </c>
      <c r="R3698" t="s">
        <v>247</v>
      </c>
      <c r="S3698" t="s">
        <v>9</v>
      </c>
      <c r="T3698">
        <v>2.29E-2</v>
      </c>
    </row>
    <row r="3699" spans="4:20" ht="15.75" customHeight="1" x14ac:dyDescent="0.2">
      <c r="D3699" t="s">
        <v>285</v>
      </c>
      <c r="E3699" t="s">
        <v>485</v>
      </c>
      <c r="F3699">
        <v>19</v>
      </c>
      <c r="P3699" t="s">
        <v>452</v>
      </c>
      <c r="Q3699">
        <v>149</v>
      </c>
      <c r="R3699" t="s">
        <v>249</v>
      </c>
      <c r="S3699" t="s">
        <v>10</v>
      </c>
      <c r="T3699">
        <v>20</v>
      </c>
    </row>
    <row r="3700" spans="4:20" ht="15.75" customHeight="1" x14ac:dyDescent="0.2">
      <c r="D3700" t="s">
        <v>285</v>
      </c>
      <c r="E3700" t="s">
        <v>485</v>
      </c>
      <c r="F3700">
        <v>19</v>
      </c>
      <c r="P3700" t="s">
        <v>452</v>
      </c>
      <c r="Q3700">
        <v>149</v>
      </c>
      <c r="R3700" t="s">
        <v>251</v>
      </c>
      <c r="S3700" t="s">
        <v>11</v>
      </c>
      <c r="T3700">
        <v>14</v>
      </c>
    </row>
    <row r="3701" spans="4:20" ht="15.75" customHeight="1" x14ac:dyDescent="0.2">
      <c r="D3701" t="s">
        <v>285</v>
      </c>
      <c r="E3701" t="s">
        <v>485</v>
      </c>
      <c r="F3701">
        <v>19</v>
      </c>
      <c r="P3701" t="s">
        <v>452</v>
      </c>
      <c r="Q3701">
        <v>149</v>
      </c>
      <c r="R3701" t="s">
        <v>253</v>
      </c>
      <c r="S3701" t="s">
        <v>12</v>
      </c>
      <c r="T3701">
        <v>76.147099999999995</v>
      </c>
    </row>
    <row r="3702" spans="4:20" ht="15.75" customHeight="1" x14ac:dyDescent="0.2">
      <c r="D3702" t="s">
        <v>285</v>
      </c>
      <c r="E3702" t="s">
        <v>485</v>
      </c>
      <c r="F3702">
        <v>19</v>
      </c>
      <c r="P3702" t="s">
        <v>452</v>
      </c>
      <c r="Q3702">
        <v>149</v>
      </c>
      <c r="R3702" t="s">
        <v>255</v>
      </c>
      <c r="S3702" t="s">
        <v>15</v>
      </c>
      <c r="T3702">
        <v>11</v>
      </c>
    </row>
    <row r="3703" spans="4:20" ht="15.75" customHeight="1" x14ac:dyDescent="0.2">
      <c r="D3703" t="s">
        <v>285</v>
      </c>
      <c r="E3703" t="s">
        <v>485</v>
      </c>
      <c r="F3703">
        <v>19</v>
      </c>
      <c r="P3703" t="s">
        <v>452</v>
      </c>
      <c r="Q3703">
        <v>149</v>
      </c>
      <c r="R3703" t="s">
        <v>293</v>
      </c>
      <c r="S3703" t="s">
        <v>13</v>
      </c>
      <c r="T3703">
        <v>1</v>
      </c>
    </row>
    <row r="3704" spans="4:20" ht="15.75" customHeight="1" x14ac:dyDescent="0.2">
      <c r="D3704" t="s">
        <v>285</v>
      </c>
      <c r="E3704" t="s">
        <v>485</v>
      </c>
      <c r="F3704">
        <v>19</v>
      </c>
      <c r="P3704" t="s">
        <v>452</v>
      </c>
      <c r="Q3704">
        <v>149</v>
      </c>
      <c r="R3704" t="s">
        <v>294</v>
      </c>
      <c r="S3704" t="s">
        <v>14</v>
      </c>
      <c r="T3704">
        <v>0</v>
      </c>
    </row>
    <row r="3705" spans="4:20" ht="15.75" customHeight="1" x14ac:dyDescent="0.2">
      <c r="D3705" t="s">
        <v>285</v>
      </c>
      <c r="E3705" t="s">
        <v>485</v>
      </c>
      <c r="F3705">
        <v>19</v>
      </c>
      <c r="P3705" t="s">
        <v>452</v>
      </c>
      <c r="Q3705">
        <v>149</v>
      </c>
      <c r="R3705" t="s">
        <v>257</v>
      </c>
      <c r="S3705" t="s">
        <v>16</v>
      </c>
      <c r="T3705">
        <v>64.020399999999995</v>
      </c>
    </row>
    <row r="3706" spans="4:20" ht="15.75" customHeight="1" x14ac:dyDescent="0.2">
      <c r="D3706" t="s">
        <v>285</v>
      </c>
      <c r="E3706" t="s">
        <v>485</v>
      </c>
      <c r="F3706">
        <v>19</v>
      </c>
      <c r="P3706" t="s">
        <v>452</v>
      </c>
      <c r="Q3706">
        <v>149</v>
      </c>
      <c r="R3706" t="s">
        <v>295</v>
      </c>
      <c r="S3706" t="s">
        <v>17</v>
      </c>
      <c r="T3706">
        <v>0</v>
      </c>
    </row>
    <row r="3707" spans="4:20" ht="15.75" customHeight="1" x14ac:dyDescent="0.2">
      <c r="D3707" t="s">
        <v>285</v>
      </c>
      <c r="E3707" t="s">
        <v>485</v>
      </c>
      <c r="F3707">
        <v>19</v>
      </c>
      <c r="P3707" t="s">
        <v>452</v>
      </c>
      <c r="Q3707">
        <v>149</v>
      </c>
      <c r="R3707" t="s">
        <v>296</v>
      </c>
      <c r="S3707" t="s">
        <v>1</v>
      </c>
      <c r="T3707">
        <v>2</v>
      </c>
    </row>
    <row r="3708" spans="4:20" ht="15.75" customHeight="1" x14ac:dyDescent="0.2">
      <c r="D3708" t="s">
        <v>285</v>
      </c>
      <c r="E3708" t="s">
        <v>485</v>
      </c>
      <c r="F3708">
        <v>19</v>
      </c>
      <c r="P3708" t="s">
        <v>452</v>
      </c>
      <c r="Q3708">
        <v>149</v>
      </c>
      <c r="R3708" t="s">
        <v>297</v>
      </c>
      <c r="S3708" t="s">
        <v>18</v>
      </c>
      <c r="T3708">
        <v>3</v>
      </c>
    </row>
    <row r="3709" spans="4:20" ht="15.75" customHeight="1" x14ac:dyDescent="0.2">
      <c r="D3709" t="s">
        <v>285</v>
      </c>
      <c r="E3709" t="s">
        <v>485</v>
      </c>
      <c r="F3709">
        <v>19</v>
      </c>
      <c r="P3709" t="s">
        <v>452</v>
      </c>
      <c r="Q3709">
        <v>149</v>
      </c>
      <c r="R3709" t="s">
        <v>298</v>
      </c>
      <c r="S3709" t="s">
        <v>19</v>
      </c>
      <c r="T3709">
        <v>0</v>
      </c>
    </row>
    <row r="3710" spans="4:20" ht="15.75" customHeight="1" x14ac:dyDescent="0.2">
      <c r="D3710" t="s">
        <v>285</v>
      </c>
      <c r="E3710" t="s">
        <v>485</v>
      </c>
      <c r="F3710">
        <v>19</v>
      </c>
      <c r="P3710" t="s">
        <v>452</v>
      </c>
      <c r="Q3710">
        <v>149</v>
      </c>
      <c r="R3710" t="s">
        <v>299</v>
      </c>
      <c r="S3710" t="s">
        <v>20</v>
      </c>
      <c r="T3710">
        <v>1</v>
      </c>
    </row>
    <row r="3711" spans="4:20" ht="15.75" customHeight="1" x14ac:dyDescent="0.2">
      <c r="D3711" t="s">
        <v>285</v>
      </c>
      <c r="E3711" t="s">
        <v>485</v>
      </c>
      <c r="F3711">
        <v>19</v>
      </c>
      <c r="P3711" t="s">
        <v>453</v>
      </c>
      <c r="Q3711">
        <v>150</v>
      </c>
      <c r="R3711" t="s">
        <v>288</v>
      </c>
      <c r="S3711" t="s">
        <v>2</v>
      </c>
      <c r="T3711">
        <v>0</v>
      </c>
    </row>
    <row r="3712" spans="4:20" ht="15.75" customHeight="1" x14ac:dyDescent="0.2">
      <c r="D3712" t="s">
        <v>285</v>
      </c>
      <c r="E3712" t="s">
        <v>485</v>
      </c>
      <c r="F3712">
        <v>19</v>
      </c>
      <c r="P3712" t="s">
        <v>453</v>
      </c>
      <c r="Q3712">
        <v>150</v>
      </c>
      <c r="R3712" t="s">
        <v>289</v>
      </c>
      <c r="S3712" t="s">
        <v>5</v>
      </c>
      <c r="T3712">
        <v>0</v>
      </c>
    </row>
    <row r="3713" spans="4:20" ht="15.75" customHeight="1" x14ac:dyDescent="0.2">
      <c r="D3713" t="s">
        <v>285</v>
      </c>
      <c r="E3713" t="s">
        <v>485</v>
      </c>
      <c r="F3713">
        <v>19</v>
      </c>
      <c r="P3713" t="s">
        <v>453</v>
      </c>
      <c r="Q3713">
        <v>150</v>
      </c>
      <c r="R3713" t="s">
        <v>290</v>
      </c>
      <c r="S3713" t="s">
        <v>3</v>
      </c>
      <c r="T3713">
        <v>0</v>
      </c>
    </row>
    <row r="3714" spans="4:20" ht="15.75" customHeight="1" x14ac:dyDescent="0.2">
      <c r="D3714" t="s">
        <v>285</v>
      </c>
      <c r="E3714" t="s">
        <v>485</v>
      </c>
      <c r="F3714">
        <v>19</v>
      </c>
      <c r="P3714" t="s">
        <v>453</v>
      </c>
      <c r="Q3714">
        <v>150</v>
      </c>
      <c r="R3714" t="s">
        <v>291</v>
      </c>
      <c r="S3714" t="s">
        <v>4</v>
      </c>
      <c r="T3714">
        <v>0</v>
      </c>
    </row>
    <row r="3715" spans="4:20" ht="15.75" customHeight="1" x14ac:dyDescent="0.2">
      <c r="D3715" t="s">
        <v>285</v>
      </c>
      <c r="E3715" t="s">
        <v>485</v>
      </c>
      <c r="F3715">
        <v>19</v>
      </c>
      <c r="P3715" t="s">
        <v>453</v>
      </c>
      <c r="Q3715">
        <v>150</v>
      </c>
      <c r="R3715" t="s">
        <v>292</v>
      </c>
      <c r="S3715" t="s">
        <v>6</v>
      </c>
      <c r="T3715">
        <v>0</v>
      </c>
    </row>
    <row r="3716" spans="4:20" ht="15.75" customHeight="1" x14ac:dyDescent="0.2">
      <c r="D3716" t="s">
        <v>285</v>
      </c>
      <c r="E3716" t="s">
        <v>485</v>
      </c>
      <c r="F3716">
        <v>19</v>
      </c>
      <c r="P3716" t="s">
        <v>453</v>
      </c>
      <c r="Q3716">
        <v>150</v>
      </c>
      <c r="R3716" t="s">
        <v>243</v>
      </c>
      <c r="S3716" t="s">
        <v>7</v>
      </c>
      <c r="T3716">
        <v>1.5</v>
      </c>
    </row>
    <row r="3717" spans="4:20" ht="15.75" customHeight="1" x14ac:dyDescent="0.2">
      <c r="D3717" t="s">
        <v>285</v>
      </c>
      <c r="E3717" t="s">
        <v>485</v>
      </c>
      <c r="F3717">
        <v>19</v>
      </c>
      <c r="P3717" t="s">
        <v>453</v>
      </c>
      <c r="Q3717">
        <v>150</v>
      </c>
      <c r="R3717" t="s">
        <v>245</v>
      </c>
      <c r="S3717" t="s">
        <v>8</v>
      </c>
      <c r="T3717">
        <v>12</v>
      </c>
    </row>
    <row r="3718" spans="4:20" ht="15.75" customHeight="1" x14ac:dyDescent="0.2">
      <c r="D3718" t="s">
        <v>285</v>
      </c>
      <c r="E3718" t="s">
        <v>485</v>
      </c>
      <c r="F3718">
        <v>19</v>
      </c>
      <c r="P3718" t="s">
        <v>453</v>
      </c>
      <c r="Q3718">
        <v>150</v>
      </c>
      <c r="R3718" t="s">
        <v>247</v>
      </c>
      <c r="S3718" t="s">
        <v>9</v>
      </c>
      <c r="T3718">
        <v>1.6999999999999999E-3</v>
      </c>
    </row>
    <row r="3719" spans="4:20" ht="15.75" customHeight="1" x14ac:dyDescent="0.2">
      <c r="D3719" t="s">
        <v>285</v>
      </c>
      <c r="E3719" t="s">
        <v>485</v>
      </c>
      <c r="F3719">
        <v>19</v>
      </c>
      <c r="P3719" t="s">
        <v>453</v>
      </c>
      <c r="Q3719">
        <v>150</v>
      </c>
      <c r="R3719" t="s">
        <v>249</v>
      </c>
      <c r="S3719" t="s">
        <v>10</v>
      </c>
      <c r="T3719">
        <v>4</v>
      </c>
    </row>
    <row r="3720" spans="4:20" ht="15.75" customHeight="1" x14ac:dyDescent="0.2">
      <c r="D3720" t="s">
        <v>285</v>
      </c>
      <c r="E3720" t="s">
        <v>485</v>
      </c>
      <c r="F3720">
        <v>19</v>
      </c>
      <c r="P3720" t="s">
        <v>453</v>
      </c>
      <c r="Q3720">
        <v>150</v>
      </c>
      <c r="R3720" t="s">
        <v>251</v>
      </c>
      <c r="S3720" t="s">
        <v>11</v>
      </c>
      <c r="T3720">
        <v>4</v>
      </c>
    </row>
    <row r="3721" spans="4:20" ht="15.75" customHeight="1" x14ac:dyDescent="0.2">
      <c r="D3721" t="s">
        <v>285</v>
      </c>
      <c r="E3721" t="s">
        <v>485</v>
      </c>
      <c r="F3721">
        <v>19</v>
      </c>
      <c r="P3721" t="s">
        <v>453</v>
      </c>
      <c r="Q3721">
        <v>150</v>
      </c>
      <c r="R3721" t="s">
        <v>253</v>
      </c>
      <c r="S3721" t="s">
        <v>12</v>
      </c>
      <c r="T3721">
        <v>8</v>
      </c>
    </row>
    <row r="3722" spans="4:20" ht="15.75" customHeight="1" x14ac:dyDescent="0.2">
      <c r="D3722" t="s">
        <v>285</v>
      </c>
      <c r="E3722" t="s">
        <v>485</v>
      </c>
      <c r="F3722">
        <v>19</v>
      </c>
      <c r="P3722" t="s">
        <v>453</v>
      </c>
      <c r="Q3722">
        <v>150</v>
      </c>
      <c r="R3722" t="s">
        <v>255</v>
      </c>
      <c r="S3722" t="s">
        <v>15</v>
      </c>
      <c r="T3722">
        <v>9</v>
      </c>
    </row>
    <row r="3723" spans="4:20" ht="15.75" customHeight="1" x14ac:dyDescent="0.2">
      <c r="D3723" t="s">
        <v>285</v>
      </c>
      <c r="E3723" t="s">
        <v>485</v>
      </c>
      <c r="F3723">
        <v>19</v>
      </c>
      <c r="P3723" t="s">
        <v>453</v>
      </c>
      <c r="Q3723">
        <v>150</v>
      </c>
      <c r="R3723" t="s">
        <v>293</v>
      </c>
      <c r="S3723" t="s">
        <v>13</v>
      </c>
      <c r="T3723">
        <v>1</v>
      </c>
    </row>
    <row r="3724" spans="4:20" ht="15.75" customHeight="1" x14ac:dyDescent="0.2">
      <c r="D3724" t="s">
        <v>285</v>
      </c>
      <c r="E3724" t="s">
        <v>485</v>
      </c>
      <c r="F3724">
        <v>19</v>
      </c>
      <c r="P3724" t="s">
        <v>453</v>
      </c>
      <c r="Q3724">
        <v>150</v>
      </c>
      <c r="R3724" t="s">
        <v>294</v>
      </c>
      <c r="S3724" t="s">
        <v>14</v>
      </c>
      <c r="T3724">
        <v>0</v>
      </c>
    </row>
    <row r="3725" spans="4:20" ht="15.75" customHeight="1" x14ac:dyDescent="0.2">
      <c r="D3725" t="s">
        <v>285</v>
      </c>
      <c r="E3725" t="s">
        <v>485</v>
      </c>
      <c r="F3725">
        <v>19</v>
      </c>
      <c r="P3725" t="s">
        <v>453</v>
      </c>
      <c r="Q3725">
        <v>150</v>
      </c>
      <c r="R3725" t="s">
        <v>257</v>
      </c>
      <c r="S3725" t="s">
        <v>16</v>
      </c>
      <c r="T3725">
        <v>72.860699999999994</v>
      </c>
    </row>
    <row r="3726" spans="4:20" ht="15.75" customHeight="1" x14ac:dyDescent="0.2">
      <c r="D3726" t="s">
        <v>285</v>
      </c>
      <c r="E3726" t="s">
        <v>485</v>
      </c>
      <c r="F3726">
        <v>19</v>
      </c>
      <c r="P3726" t="s">
        <v>453</v>
      </c>
      <c r="Q3726">
        <v>150</v>
      </c>
      <c r="R3726" t="s">
        <v>295</v>
      </c>
      <c r="S3726" t="s">
        <v>17</v>
      </c>
      <c r="T3726">
        <v>0</v>
      </c>
    </row>
    <row r="3727" spans="4:20" ht="15.75" customHeight="1" x14ac:dyDescent="0.2">
      <c r="D3727" t="s">
        <v>285</v>
      </c>
      <c r="E3727" t="s">
        <v>485</v>
      </c>
      <c r="F3727">
        <v>19</v>
      </c>
      <c r="P3727" t="s">
        <v>453</v>
      </c>
      <c r="Q3727">
        <v>150</v>
      </c>
      <c r="R3727" t="s">
        <v>296</v>
      </c>
      <c r="S3727" t="s">
        <v>1</v>
      </c>
      <c r="T3727">
        <v>1</v>
      </c>
    </row>
    <row r="3728" spans="4:20" ht="15.75" customHeight="1" x14ac:dyDescent="0.2">
      <c r="D3728" t="s">
        <v>285</v>
      </c>
      <c r="E3728" t="s">
        <v>485</v>
      </c>
      <c r="F3728">
        <v>19</v>
      </c>
      <c r="P3728" t="s">
        <v>453</v>
      </c>
      <c r="Q3728">
        <v>150</v>
      </c>
      <c r="R3728" t="s">
        <v>297</v>
      </c>
      <c r="S3728" t="s">
        <v>18</v>
      </c>
      <c r="T3728">
        <v>1</v>
      </c>
    </row>
    <row r="3729" spans="4:20" ht="15.75" customHeight="1" x14ac:dyDescent="0.2">
      <c r="D3729" t="s">
        <v>285</v>
      </c>
      <c r="E3729" t="s">
        <v>485</v>
      </c>
      <c r="F3729">
        <v>19</v>
      </c>
      <c r="P3729" t="s">
        <v>453</v>
      </c>
      <c r="Q3729">
        <v>150</v>
      </c>
      <c r="R3729" t="s">
        <v>298</v>
      </c>
      <c r="S3729" t="s">
        <v>19</v>
      </c>
      <c r="T3729">
        <v>0</v>
      </c>
    </row>
    <row r="3730" spans="4:20" ht="15.75" customHeight="1" x14ac:dyDescent="0.2">
      <c r="D3730" t="s">
        <v>285</v>
      </c>
      <c r="E3730" t="s">
        <v>485</v>
      </c>
      <c r="F3730">
        <v>19</v>
      </c>
      <c r="P3730" t="s">
        <v>453</v>
      </c>
      <c r="Q3730">
        <v>150</v>
      </c>
      <c r="R3730" t="s">
        <v>299</v>
      </c>
      <c r="S3730" t="s">
        <v>20</v>
      </c>
      <c r="T3730">
        <v>0</v>
      </c>
    </row>
    <row r="3731" spans="4:20" ht="15.75" customHeight="1" x14ac:dyDescent="0.2">
      <c r="D3731" t="s">
        <v>285</v>
      </c>
      <c r="E3731" t="s">
        <v>485</v>
      </c>
      <c r="F3731">
        <v>19</v>
      </c>
      <c r="P3731" t="s">
        <v>454</v>
      </c>
      <c r="Q3731">
        <v>151</v>
      </c>
      <c r="R3731" t="s">
        <v>288</v>
      </c>
      <c r="S3731" t="s">
        <v>2</v>
      </c>
      <c r="T3731">
        <v>1</v>
      </c>
    </row>
    <row r="3732" spans="4:20" ht="15.75" customHeight="1" x14ac:dyDescent="0.2">
      <c r="D3732" t="s">
        <v>285</v>
      </c>
      <c r="E3732" t="s">
        <v>485</v>
      </c>
      <c r="F3732">
        <v>19</v>
      </c>
      <c r="P3732" t="s">
        <v>454</v>
      </c>
      <c r="Q3732">
        <v>151</v>
      </c>
      <c r="R3732" t="s">
        <v>289</v>
      </c>
      <c r="S3732" t="s">
        <v>5</v>
      </c>
      <c r="T3732">
        <v>0</v>
      </c>
    </row>
    <row r="3733" spans="4:20" ht="15.75" customHeight="1" x14ac:dyDescent="0.2">
      <c r="D3733" t="s">
        <v>285</v>
      </c>
      <c r="E3733" t="s">
        <v>485</v>
      </c>
      <c r="F3733">
        <v>19</v>
      </c>
      <c r="P3733" t="s">
        <v>454</v>
      </c>
      <c r="Q3733">
        <v>151</v>
      </c>
      <c r="R3733" t="s">
        <v>290</v>
      </c>
      <c r="S3733" t="s">
        <v>3</v>
      </c>
      <c r="T3733">
        <v>0</v>
      </c>
    </row>
    <row r="3734" spans="4:20" ht="15.75" customHeight="1" x14ac:dyDescent="0.2">
      <c r="D3734" t="s">
        <v>285</v>
      </c>
      <c r="E3734" t="s">
        <v>485</v>
      </c>
      <c r="F3734">
        <v>19</v>
      </c>
      <c r="P3734" t="s">
        <v>454</v>
      </c>
      <c r="Q3734">
        <v>151</v>
      </c>
      <c r="R3734" t="s">
        <v>291</v>
      </c>
      <c r="S3734" t="s">
        <v>4</v>
      </c>
      <c r="T3734">
        <v>0</v>
      </c>
    </row>
    <row r="3735" spans="4:20" ht="15.75" customHeight="1" x14ac:dyDescent="0.2">
      <c r="D3735" t="s">
        <v>285</v>
      </c>
      <c r="E3735" t="s">
        <v>485</v>
      </c>
      <c r="F3735">
        <v>19</v>
      </c>
      <c r="P3735" t="s">
        <v>454</v>
      </c>
      <c r="Q3735">
        <v>151</v>
      </c>
      <c r="R3735" t="s">
        <v>292</v>
      </c>
      <c r="S3735" t="s">
        <v>6</v>
      </c>
      <c r="T3735">
        <v>1</v>
      </c>
    </row>
    <row r="3736" spans="4:20" ht="15.75" customHeight="1" x14ac:dyDescent="0.2">
      <c r="D3736" t="s">
        <v>285</v>
      </c>
      <c r="E3736" t="s">
        <v>485</v>
      </c>
      <c r="F3736">
        <v>19</v>
      </c>
      <c r="P3736" t="s">
        <v>454</v>
      </c>
      <c r="Q3736">
        <v>151</v>
      </c>
      <c r="R3736" t="s">
        <v>243</v>
      </c>
      <c r="S3736" t="s">
        <v>7</v>
      </c>
      <c r="T3736">
        <v>5</v>
      </c>
    </row>
    <row r="3737" spans="4:20" ht="15.75" customHeight="1" x14ac:dyDescent="0.2">
      <c r="D3737" t="s">
        <v>285</v>
      </c>
      <c r="E3737" t="s">
        <v>485</v>
      </c>
      <c r="F3737">
        <v>19</v>
      </c>
      <c r="P3737" t="s">
        <v>454</v>
      </c>
      <c r="Q3737">
        <v>151</v>
      </c>
      <c r="R3737" t="s">
        <v>245</v>
      </c>
      <c r="S3737" t="s">
        <v>8</v>
      </c>
      <c r="T3737">
        <v>237.74440000000001</v>
      </c>
    </row>
    <row r="3738" spans="4:20" ht="15.75" customHeight="1" x14ac:dyDescent="0.2">
      <c r="D3738" t="s">
        <v>285</v>
      </c>
      <c r="E3738" t="s">
        <v>485</v>
      </c>
      <c r="F3738">
        <v>19</v>
      </c>
      <c r="P3738" t="s">
        <v>454</v>
      </c>
      <c r="Q3738">
        <v>151</v>
      </c>
      <c r="R3738" t="s">
        <v>247</v>
      </c>
      <c r="S3738" t="s">
        <v>9</v>
      </c>
      <c r="T3738">
        <v>1.2800000000000001E-2</v>
      </c>
    </row>
    <row r="3739" spans="4:20" ht="15.75" customHeight="1" x14ac:dyDescent="0.2">
      <c r="D3739" t="s">
        <v>285</v>
      </c>
      <c r="E3739" t="s">
        <v>485</v>
      </c>
      <c r="F3739">
        <v>19</v>
      </c>
      <c r="P3739" t="s">
        <v>454</v>
      </c>
      <c r="Q3739">
        <v>151</v>
      </c>
      <c r="R3739" t="s">
        <v>249</v>
      </c>
      <c r="S3739" t="s">
        <v>10</v>
      </c>
      <c r="T3739">
        <v>15</v>
      </c>
    </row>
    <row r="3740" spans="4:20" ht="15.75" customHeight="1" x14ac:dyDescent="0.2">
      <c r="D3740" t="s">
        <v>285</v>
      </c>
      <c r="E3740" t="s">
        <v>485</v>
      </c>
      <c r="F3740">
        <v>19</v>
      </c>
      <c r="P3740" t="s">
        <v>454</v>
      </c>
      <c r="Q3740">
        <v>151</v>
      </c>
      <c r="R3740" t="s">
        <v>251</v>
      </c>
      <c r="S3740" t="s">
        <v>11</v>
      </c>
      <c r="T3740">
        <v>9</v>
      </c>
    </row>
    <row r="3741" spans="4:20" ht="15.75" customHeight="1" x14ac:dyDescent="0.2">
      <c r="D3741" t="s">
        <v>285</v>
      </c>
      <c r="E3741" t="s">
        <v>485</v>
      </c>
      <c r="F3741">
        <v>19</v>
      </c>
      <c r="P3741" t="s">
        <v>454</v>
      </c>
      <c r="Q3741">
        <v>151</v>
      </c>
      <c r="R3741" t="s">
        <v>253</v>
      </c>
      <c r="S3741" t="s">
        <v>12</v>
      </c>
      <c r="T3741">
        <v>47.548900000000003</v>
      </c>
    </row>
    <row r="3742" spans="4:20" ht="15.75" customHeight="1" x14ac:dyDescent="0.2">
      <c r="D3742" t="s">
        <v>285</v>
      </c>
      <c r="E3742" t="s">
        <v>485</v>
      </c>
      <c r="F3742">
        <v>19</v>
      </c>
      <c r="P3742" t="s">
        <v>454</v>
      </c>
      <c r="Q3742">
        <v>151</v>
      </c>
      <c r="R3742" t="s">
        <v>255</v>
      </c>
      <c r="S3742" t="s">
        <v>15</v>
      </c>
      <c r="T3742">
        <v>10</v>
      </c>
    </row>
    <row r="3743" spans="4:20" ht="15.75" customHeight="1" x14ac:dyDescent="0.2">
      <c r="D3743" t="s">
        <v>285</v>
      </c>
      <c r="E3743" t="s">
        <v>485</v>
      </c>
      <c r="F3743">
        <v>19</v>
      </c>
      <c r="P3743" t="s">
        <v>454</v>
      </c>
      <c r="Q3743">
        <v>151</v>
      </c>
      <c r="R3743" t="s">
        <v>293</v>
      </c>
      <c r="S3743" t="s">
        <v>13</v>
      </c>
      <c r="T3743">
        <v>0.66669999999999996</v>
      </c>
    </row>
    <row r="3744" spans="4:20" ht="15.75" customHeight="1" x14ac:dyDescent="0.2">
      <c r="D3744" t="s">
        <v>285</v>
      </c>
      <c r="E3744" t="s">
        <v>485</v>
      </c>
      <c r="F3744">
        <v>19</v>
      </c>
      <c r="P3744" t="s">
        <v>454</v>
      </c>
      <c r="Q3744">
        <v>151</v>
      </c>
      <c r="R3744" t="s">
        <v>294</v>
      </c>
      <c r="S3744" t="s">
        <v>14</v>
      </c>
      <c r="T3744">
        <v>0</v>
      </c>
    </row>
    <row r="3745" spans="4:20" ht="15.75" customHeight="1" x14ac:dyDescent="0.2">
      <c r="D3745" t="s">
        <v>285</v>
      </c>
      <c r="E3745" t="s">
        <v>485</v>
      </c>
      <c r="F3745">
        <v>19</v>
      </c>
      <c r="P3745" t="s">
        <v>454</v>
      </c>
      <c r="Q3745">
        <v>151</v>
      </c>
      <c r="R3745" t="s">
        <v>257</v>
      </c>
      <c r="S3745" t="s">
        <v>16</v>
      </c>
      <c r="T3745">
        <v>66.291499999999999</v>
      </c>
    </row>
    <row r="3746" spans="4:20" ht="15.75" customHeight="1" x14ac:dyDescent="0.2">
      <c r="D3746" t="s">
        <v>285</v>
      </c>
      <c r="E3746" t="s">
        <v>485</v>
      </c>
      <c r="F3746">
        <v>19</v>
      </c>
      <c r="P3746" t="s">
        <v>454</v>
      </c>
      <c r="Q3746">
        <v>151</v>
      </c>
      <c r="R3746" t="s">
        <v>295</v>
      </c>
      <c r="S3746" t="s">
        <v>17</v>
      </c>
      <c r="T3746">
        <v>0</v>
      </c>
    </row>
    <row r="3747" spans="4:20" ht="15.75" customHeight="1" x14ac:dyDescent="0.2">
      <c r="D3747" t="s">
        <v>285</v>
      </c>
      <c r="E3747" t="s">
        <v>485</v>
      </c>
      <c r="F3747">
        <v>19</v>
      </c>
      <c r="P3747" t="s">
        <v>454</v>
      </c>
      <c r="Q3747">
        <v>151</v>
      </c>
      <c r="R3747" t="s">
        <v>296</v>
      </c>
      <c r="S3747" t="s">
        <v>1</v>
      </c>
      <c r="T3747">
        <v>4</v>
      </c>
    </row>
    <row r="3748" spans="4:20" ht="15.75" customHeight="1" x14ac:dyDescent="0.2">
      <c r="D3748" t="s">
        <v>285</v>
      </c>
      <c r="E3748" t="s">
        <v>485</v>
      </c>
      <c r="F3748">
        <v>19</v>
      </c>
      <c r="P3748" t="s">
        <v>454</v>
      </c>
      <c r="Q3748">
        <v>151</v>
      </c>
      <c r="R3748" t="s">
        <v>297</v>
      </c>
      <c r="S3748" t="s">
        <v>18</v>
      </c>
      <c r="T3748">
        <v>3</v>
      </c>
    </row>
    <row r="3749" spans="4:20" ht="15.75" customHeight="1" x14ac:dyDescent="0.2">
      <c r="D3749" t="s">
        <v>285</v>
      </c>
      <c r="E3749" t="s">
        <v>485</v>
      </c>
      <c r="F3749">
        <v>19</v>
      </c>
      <c r="P3749" t="s">
        <v>454</v>
      </c>
      <c r="Q3749">
        <v>151</v>
      </c>
      <c r="R3749" t="s">
        <v>298</v>
      </c>
      <c r="S3749" t="s">
        <v>19</v>
      </c>
      <c r="T3749">
        <v>0</v>
      </c>
    </row>
    <row r="3750" spans="4:20" ht="15.75" customHeight="1" x14ac:dyDescent="0.2">
      <c r="D3750" t="s">
        <v>285</v>
      </c>
      <c r="E3750" t="s">
        <v>485</v>
      </c>
      <c r="F3750">
        <v>19</v>
      </c>
      <c r="P3750" t="s">
        <v>454</v>
      </c>
      <c r="Q3750">
        <v>151</v>
      </c>
      <c r="R3750" t="s">
        <v>299</v>
      </c>
      <c r="S3750" t="s">
        <v>20</v>
      </c>
      <c r="T3750">
        <v>0</v>
      </c>
    </row>
    <row r="3751" spans="4:20" ht="15.75" customHeight="1" x14ac:dyDescent="0.2">
      <c r="D3751" t="s">
        <v>285</v>
      </c>
      <c r="E3751" t="s">
        <v>485</v>
      </c>
      <c r="F3751">
        <v>19</v>
      </c>
      <c r="P3751" t="s">
        <v>455</v>
      </c>
      <c r="Q3751">
        <v>152</v>
      </c>
      <c r="R3751" t="s">
        <v>288</v>
      </c>
      <c r="S3751" t="s">
        <v>2</v>
      </c>
      <c r="T3751">
        <v>0</v>
      </c>
    </row>
    <row r="3752" spans="4:20" ht="15.75" customHeight="1" x14ac:dyDescent="0.2">
      <c r="D3752" t="s">
        <v>285</v>
      </c>
      <c r="E3752" t="s">
        <v>485</v>
      </c>
      <c r="F3752">
        <v>19</v>
      </c>
      <c r="P3752" t="s">
        <v>455</v>
      </c>
      <c r="Q3752">
        <v>152</v>
      </c>
      <c r="R3752" t="s">
        <v>289</v>
      </c>
      <c r="S3752" t="s">
        <v>5</v>
      </c>
      <c r="T3752">
        <v>0</v>
      </c>
    </row>
    <row r="3753" spans="4:20" ht="15.75" customHeight="1" x14ac:dyDescent="0.2">
      <c r="D3753" t="s">
        <v>285</v>
      </c>
      <c r="E3753" t="s">
        <v>485</v>
      </c>
      <c r="F3753">
        <v>19</v>
      </c>
      <c r="P3753" t="s">
        <v>455</v>
      </c>
      <c r="Q3753">
        <v>152</v>
      </c>
      <c r="R3753" t="s">
        <v>290</v>
      </c>
      <c r="S3753" t="s">
        <v>3</v>
      </c>
      <c r="T3753">
        <v>0</v>
      </c>
    </row>
    <row r="3754" spans="4:20" ht="15.75" customHeight="1" x14ac:dyDescent="0.2">
      <c r="D3754" t="s">
        <v>285</v>
      </c>
      <c r="E3754" t="s">
        <v>485</v>
      </c>
      <c r="F3754">
        <v>19</v>
      </c>
      <c r="P3754" t="s">
        <v>455</v>
      </c>
      <c r="Q3754">
        <v>152</v>
      </c>
      <c r="R3754" t="s">
        <v>291</v>
      </c>
      <c r="S3754" t="s">
        <v>4</v>
      </c>
      <c r="T3754">
        <v>0</v>
      </c>
    </row>
    <row r="3755" spans="4:20" ht="15.75" customHeight="1" x14ac:dyDescent="0.2">
      <c r="D3755" t="s">
        <v>285</v>
      </c>
      <c r="E3755" t="s">
        <v>485</v>
      </c>
      <c r="F3755">
        <v>19</v>
      </c>
      <c r="P3755" t="s">
        <v>455</v>
      </c>
      <c r="Q3755">
        <v>152</v>
      </c>
      <c r="R3755" t="s">
        <v>292</v>
      </c>
      <c r="S3755" t="s">
        <v>6</v>
      </c>
      <c r="T3755">
        <v>0</v>
      </c>
    </row>
    <row r="3756" spans="4:20" ht="15.75" customHeight="1" x14ac:dyDescent="0.2">
      <c r="D3756" t="s">
        <v>285</v>
      </c>
      <c r="E3756" t="s">
        <v>485</v>
      </c>
      <c r="F3756">
        <v>19</v>
      </c>
      <c r="P3756" t="s">
        <v>455</v>
      </c>
      <c r="Q3756">
        <v>152</v>
      </c>
      <c r="R3756" t="s">
        <v>243</v>
      </c>
      <c r="S3756" t="s">
        <v>7</v>
      </c>
      <c r="T3756">
        <v>1.5</v>
      </c>
    </row>
    <row r="3757" spans="4:20" ht="15.75" customHeight="1" x14ac:dyDescent="0.2">
      <c r="D3757" t="s">
        <v>285</v>
      </c>
      <c r="E3757" t="s">
        <v>485</v>
      </c>
      <c r="F3757">
        <v>19</v>
      </c>
      <c r="P3757" t="s">
        <v>455</v>
      </c>
      <c r="Q3757">
        <v>152</v>
      </c>
      <c r="R3757" t="s">
        <v>245</v>
      </c>
      <c r="S3757" t="s">
        <v>8</v>
      </c>
      <c r="T3757">
        <v>12</v>
      </c>
    </row>
    <row r="3758" spans="4:20" ht="15.75" customHeight="1" x14ac:dyDescent="0.2">
      <c r="D3758" t="s">
        <v>285</v>
      </c>
      <c r="E3758" t="s">
        <v>485</v>
      </c>
      <c r="F3758">
        <v>19</v>
      </c>
      <c r="P3758" t="s">
        <v>455</v>
      </c>
      <c r="Q3758">
        <v>152</v>
      </c>
      <c r="R3758" t="s">
        <v>247</v>
      </c>
      <c r="S3758" t="s">
        <v>9</v>
      </c>
      <c r="T3758">
        <v>1.6999999999999999E-3</v>
      </c>
    </row>
    <row r="3759" spans="4:20" ht="15.75" customHeight="1" x14ac:dyDescent="0.2">
      <c r="D3759" t="s">
        <v>285</v>
      </c>
      <c r="E3759" t="s">
        <v>485</v>
      </c>
      <c r="F3759">
        <v>19</v>
      </c>
      <c r="P3759" t="s">
        <v>455</v>
      </c>
      <c r="Q3759">
        <v>152</v>
      </c>
      <c r="R3759" t="s">
        <v>249</v>
      </c>
      <c r="S3759" t="s">
        <v>10</v>
      </c>
      <c r="T3759">
        <v>4</v>
      </c>
    </row>
    <row r="3760" spans="4:20" ht="15.75" customHeight="1" x14ac:dyDescent="0.2">
      <c r="D3760" t="s">
        <v>285</v>
      </c>
      <c r="E3760" t="s">
        <v>485</v>
      </c>
      <c r="F3760">
        <v>19</v>
      </c>
      <c r="P3760" t="s">
        <v>455</v>
      </c>
      <c r="Q3760">
        <v>152</v>
      </c>
      <c r="R3760" t="s">
        <v>251</v>
      </c>
      <c r="S3760" t="s">
        <v>11</v>
      </c>
      <c r="T3760">
        <v>4</v>
      </c>
    </row>
    <row r="3761" spans="4:20" ht="15.75" customHeight="1" x14ac:dyDescent="0.2">
      <c r="D3761" t="s">
        <v>285</v>
      </c>
      <c r="E3761" t="s">
        <v>485</v>
      </c>
      <c r="F3761">
        <v>19</v>
      </c>
      <c r="P3761" t="s">
        <v>455</v>
      </c>
      <c r="Q3761">
        <v>152</v>
      </c>
      <c r="R3761" t="s">
        <v>253</v>
      </c>
      <c r="S3761" t="s">
        <v>12</v>
      </c>
      <c r="T3761">
        <v>8</v>
      </c>
    </row>
    <row r="3762" spans="4:20" ht="15.75" customHeight="1" x14ac:dyDescent="0.2">
      <c r="D3762" t="s">
        <v>285</v>
      </c>
      <c r="E3762" t="s">
        <v>485</v>
      </c>
      <c r="F3762">
        <v>19</v>
      </c>
      <c r="P3762" t="s">
        <v>455</v>
      </c>
      <c r="Q3762">
        <v>152</v>
      </c>
      <c r="R3762" t="s">
        <v>255</v>
      </c>
      <c r="S3762" t="s">
        <v>15</v>
      </c>
      <c r="T3762">
        <v>9</v>
      </c>
    </row>
    <row r="3763" spans="4:20" ht="15.75" customHeight="1" x14ac:dyDescent="0.2">
      <c r="D3763" t="s">
        <v>285</v>
      </c>
      <c r="E3763" t="s">
        <v>485</v>
      </c>
      <c r="F3763">
        <v>19</v>
      </c>
      <c r="P3763" t="s">
        <v>455</v>
      </c>
      <c r="Q3763">
        <v>152</v>
      </c>
      <c r="R3763" t="s">
        <v>293</v>
      </c>
      <c r="S3763" t="s">
        <v>13</v>
      </c>
      <c r="T3763">
        <v>1</v>
      </c>
    </row>
    <row r="3764" spans="4:20" ht="15.75" customHeight="1" x14ac:dyDescent="0.2">
      <c r="D3764" t="s">
        <v>285</v>
      </c>
      <c r="E3764" t="s">
        <v>485</v>
      </c>
      <c r="F3764">
        <v>19</v>
      </c>
      <c r="P3764" t="s">
        <v>455</v>
      </c>
      <c r="Q3764">
        <v>152</v>
      </c>
      <c r="R3764" t="s">
        <v>294</v>
      </c>
      <c r="S3764" t="s">
        <v>14</v>
      </c>
      <c r="T3764">
        <v>0</v>
      </c>
    </row>
    <row r="3765" spans="4:20" ht="15.75" customHeight="1" x14ac:dyDescent="0.2">
      <c r="D3765" t="s">
        <v>285</v>
      </c>
      <c r="E3765" t="s">
        <v>485</v>
      </c>
      <c r="F3765">
        <v>19</v>
      </c>
      <c r="P3765" t="s">
        <v>455</v>
      </c>
      <c r="Q3765">
        <v>152</v>
      </c>
      <c r="R3765" t="s">
        <v>257</v>
      </c>
      <c r="S3765" t="s">
        <v>16</v>
      </c>
      <c r="T3765">
        <v>72.860699999999994</v>
      </c>
    </row>
    <row r="3766" spans="4:20" ht="15.75" customHeight="1" x14ac:dyDescent="0.2">
      <c r="D3766" t="s">
        <v>285</v>
      </c>
      <c r="E3766" t="s">
        <v>485</v>
      </c>
      <c r="F3766">
        <v>19</v>
      </c>
      <c r="P3766" t="s">
        <v>455</v>
      </c>
      <c r="Q3766">
        <v>152</v>
      </c>
      <c r="R3766" t="s">
        <v>295</v>
      </c>
      <c r="S3766" t="s">
        <v>17</v>
      </c>
      <c r="T3766">
        <v>0</v>
      </c>
    </row>
    <row r="3767" spans="4:20" ht="15.75" customHeight="1" x14ac:dyDescent="0.2">
      <c r="D3767" t="s">
        <v>285</v>
      </c>
      <c r="E3767" t="s">
        <v>485</v>
      </c>
      <c r="F3767">
        <v>19</v>
      </c>
      <c r="P3767" t="s">
        <v>455</v>
      </c>
      <c r="Q3767">
        <v>152</v>
      </c>
      <c r="R3767" t="s">
        <v>296</v>
      </c>
      <c r="S3767" t="s">
        <v>1</v>
      </c>
      <c r="T3767">
        <v>1</v>
      </c>
    </row>
    <row r="3768" spans="4:20" ht="15.75" customHeight="1" x14ac:dyDescent="0.2">
      <c r="D3768" t="s">
        <v>285</v>
      </c>
      <c r="E3768" t="s">
        <v>485</v>
      </c>
      <c r="F3768">
        <v>19</v>
      </c>
      <c r="P3768" t="s">
        <v>455</v>
      </c>
      <c r="Q3768">
        <v>152</v>
      </c>
      <c r="R3768" t="s">
        <v>297</v>
      </c>
      <c r="S3768" t="s">
        <v>18</v>
      </c>
      <c r="T3768">
        <v>1</v>
      </c>
    </row>
    <row r="3769" spans="4:20" ht="15.75" customHeight="1" x14ac:dyDescent="0.2">
      <c r="D3769" t="s">
        <v>285</v>
      </c>
      <c r="E3769" t="s">
        <v>485</v>
      </c>
      <c r="F3769">
        <v>19</v>
      </c>
      <c r="P3769" t="s">
        <v>455</v>
      </c>
      <c r="Q3769">
        <v>152</v>
      </c>
      <c r="R3769" t="s">
        <v>298</v>
      </c>
      <c r="S3769" t="s">
        <v>19</v>
      </c>
      <c r="T3769">
        <v>0</v>
      </c>
    </row>
    <row r="3770" spans="4:20" ht="15.75" customHeight="1" x14ac:dyDescent="0.2">
      <c r="D3770" t="s">
        <v>285</v>
      </c>
      <c r="E3770" t="s">
        <v>485</v>
      </c>
      <c r="F3770">
        <v>19</v>
      </c>
      <c r="P3770" t="s">
        <v>455</v>
      </c>
      <c r="Q3770">
        <v>152</v>
      </c>
      <c r="R3770" t="s">
        <v>299</v>
      </c>
      <c r="S3770" t="s">
        <v>20</v>
      </c>
      <c r="T3770">
        <v>0</v>
      </c>
    </row>
    <row r="3771" spans="4:20" ht="15.75" customHeight="1" x14ac:dyDescent="0.2">
      <c r="D3771" t="s">
        <v>285</v>
      </c>
      <c r="E3771" t="s">
        <v>485</v>
      </c>
      <c r="F3771">
        <v>19</v>
      </c>
      <c r="P3771" t="s">
        <v>456</v>
      </c>
      <c r="Q3771">
        <v>153</v>
      </c>
      <c r="R3771" t="s">
        <v>288</v>
      </c>
      <c r="S3771" t="s">
        <v>2</v>
      </c>
      <c r="T3771">
        <v>0</v>
      </c>
    </row>
    <row r="3772" spans="4:20" ht="15.75" customHeight="1" x14ac:dyDescent="0.2">
      <c r="D3772" t="s">
        <v>285</v>
      </c>
      <c r="E3772" t="s">
        <v>485</v>
      </c>
      <c r="F3772">
        <v>19</v>
      </c>
      <c r="P3772" t="s">
        <v>456</v>
      </c>
      <c r="Q3772">
        <v>153</v>
      </c>
      <c r="R3772" t="s">
        <v>289</v>
      </c>
      <c r="S3772" t="s">
        <v>5</v>
      </c>
      <c r="T3772">
        <v>0</v>
      </c>
    </row>
    <row r="3773" spans="4:20" ht="15.75" customHeight="1" x14ac:dyDescent="0.2">
      <c r="D3773" t="s">
        <v>285</v>
      </c>
      <c r="E3773" t="s">
        <v>485</v>
      </c>
      <c r="F3773">
        <v>19</v>
      </c>
      <c r="P3773" t="s">
        <v>456</v>
      </c>
      <c r="Q3773">
        <v>153</v>
      </c>
      <c r="R3773" t="s">
        <v>290</v>
      </c>
      <c r="S3773" t="s">
        <v>3</v>
      </c>
      <c r="T3773">
        <v>0</v>
      </c>
    </row>
    <row r="3774" spans="4:20" ht="15.75" customHeight="1" x14ac:dyDescent="0.2">
      <c r="D3774" t="s">
        <v>285</v>
      </c>
      <c r="E3774" t="s">
        <v>485</v>
      </c>
      <c r="F3774">
        <v>19</v>
      </c>
      <c r="P3774" t="s">
        <v>456</v>
      </c>
      <c r="Q3774">
        <v>153</v>
      </c>
      <c r="R3774" t="s">
        <v>291</v>
      </c>
      <c r="S3774" t="s">
        <v>4</v>
      </c>
      <c r="T3774">
        <v>0</v>
      </c>
    </row>
    <row r="3775" spans="4:20" ht="15.75" customHeight="1" x14ac:dyDescent="0.2">
      <c r="D3775" t="s">
        <v>285</v>
      </c>
      <c r="E3775" t="s">
        <v>485</v>
      </c>
      <c r="F3775">
        <v>19</v>
      </c>
      <c r="P3775" t="s">
        <v>456</v>
      </c>
      <c r="Q3775">
        <v>153</v>
      </c>
      <c r="R3775" t="s">
        <v>292</v>
      </c>
      <c r="S3775" t="s">
        <v>6</v>
      </c>
      <c r="T3775">
        <v>0</v>
      </c>
    </row>
    <row r="3776" spans="4:20" ht="15.75" customHeight="1" x14ac:dyDescent="0.2">
      <c r="D3776" t="s">
        <v>285</v>
      </c>
      <c r="E3776" t="s">
        <v>485</v>
      </c>
      <c r="F3776">
        <v>19</v>
      </c>
      <c r="P3776" t="s">
        <v>456</v>
      </c>
      <c r="Q3776">
        <v>153</v>
      </c>
      <c r="R3776" t="s">
        <v>243</v>
      </c>
      <c r="S3776" t="s">
        <v>7</v>
      </c>
      <c r="T3776">
        <v>1</v>
      </c>
    </row>
    <row r="3777" spans="4:20" ht="15.75" customHeight="1" x14ac:dyDescent="0.2">
      <c r="D3777" t="s">
        <v>285</v>
      </c>
      <c r="E3777" t="s">
        <v>485</v>
      </c>
      <c r="F3777">
        <v>19</v>
      </c>
      <c r="P3777" t="s">
        <v>456</v>
      </c>
      <c r="Q3777">
        <v>153</v>
      </c>
      <c r="R3777" t="s">
        <v>245</v>
      </c>
      <c r="S3777" t="s">
        <v>8</v>
      </c>
      <c r="T3777">
        <v>8</v>
      </c>
    </row>
    <row r="3778" spans="4:20" ht="15.75" customHeight="1" x14ac:dyDescent="0.2">
      <c r="D3778" t="s">
        <v>285</v>
      </c>
      <c r="E3778" t="s">
        <v>485</v>
      </c>
      <c r="F3778">
        <v>19</v>
      </c>
      <c r="P3778" t="s">
        <v>456</v>
      </c>
      <c r="Q3778">
        <v>153</v>
      </c>
      <c r="R3778" t="s">
        <v>247</v>
      </c>
      <c r="S3778" t="s">
        <v>9</v>
      </c>
      <c r="T3778">
        <v>1.2999999999999999E-3</v>
      </c>
    </row>
    <row r="3779" spans="4:20" ht="15.75" customHeight="1" x14ac:dyDescent="0.2">
      <c r="D3779" t="s">
        <v>285</v>
      </c>
      <c r="E3779" t="s">
        <v>485</v>
      </c>
      <c r="F3779">
        <v>19</v>
      </c>
      <c r="P3779" t="s">
        <v>456</v>
      </c>
      <c r="Q3779">
        <v>153</v>
      </c>
      <c r="R3779" t="s">
        <v>249</v>
      </c>
      <c r="S3779" t="s">
        <v>10</v>
      </c>
      <c r="T3779">
        <v>4</v>
      </c>
    </row>
    <row r="3780" spans="4:20" ht="15.75" customHeight="1" x14ac:dyDescent="0.2">
      <c r="D3780" t="s">
        <v>285</v>
      </c>
      <c r="E3780" t="s">
        <v>485</v>
      </c>
      <c r="F3780">
        <v>19</v>
      </c>
      <c r="P3780" t="s">
        <v>456</v>
      </c>
      <c r="Q3780">
        <v>153</v>
      </c>
      <c r="R3780" t="s">
        <v>251</v>
      </c>
      <c r="S3780" t="s">
        <v>11</v>
      </c>
      <c r="T3780">
        <v>4</v>
      </c>
    </row>
    <row r="3781" spans="4:20" ht="15.75" customHeight="1" x14ac:dyDescent="0.2">
      <c r="D3781" t="s">
        <v>285</v>
      </c>
      <c r="E3781" t="s">
        <v>485</v>
      </c>
      <c r="F3781">
        <v>19</v>
      </c>
      <c r="P3781" t="s">
        <v>456</v>
      </c>
      <c r="Q3781">
        <v>153</v>
      </c>
      <c r="R3781" t="s">
        <v>253</v>
      </c>
      <c r="S3781" t="s">
        <v>12</v>
      </c>
      <c r="T3781">
        <v>8</v>
      </c>
    </row>
    <row r="3782" spans="4:20" ht="15.75" customHeight="1" x14ac:dyDescent="0.2">
      <c r="D3782" t="s">
        <v>285</v>
      </c>
      <c r="E3782" t="s">
        <v>485</v>
      </c>
      <c r="F3782">
        <v>19</v>
      </c>
      <c r="P3782" t="s">
        <v>456</v>
      </c>
      <c r="Q3782">
        <v>153</v>
      </c>
      <c r="R3782" t="s">
        <v>255</v>
      </c>
      <c r="S3782" t="s">
        <v>15</v>
      </c>
      <c r="T3782">
        <v>7</v>
      </c>
    </row>
    <row r="3783" spans="4:20" ht="15.75" customHeight="1" x14ac:dyDescent="0.2">
      <c r="D3783" t="s">
        <v>285</v>
      </c>
      <c r="E3783" t="s">
        <v>485</v>
      </c>
      <c r="F3783">
        <v>19</v>
      </c>
      <c r="P3783" t="s">
        <v>456</v>
      </c>
      <c r="Q3783">
        <v>153</v>
      </c>
      <c r="R3783" t="s">
        <v>293</v>
      </c>
      <c r="S3783" t="s">
        <v>13</v>
      </c>
      <c r="T3783">
        <v>1</v>
      </c>
    </row>
    <row r="3784" spans="4:20" ht="15.75" customHeight="1" x14ac:dyDescent="0.2">
      <c r="D3784" t="s">
        <v>285</v>
      </c>
      <c r="E3784" t="s">
        <v>485</v>
      </c>
      <c r="F3784">
        <v>19</v>
      </c>
      <c r="P3784" t="s">
        <v>456</v>
      </c>
      <c r="Q3784">
        <v>153</v>
      </c>
      <c r="R3784" t="s">
        <v>294</v>
      </c>
      <c r="S3784" t="s">
        <v>14</v>
      </c>
      <c r="T3784">
        <v>0</v>
      </c>
    </row>
    <row r="3785" spans="4:20" ht="15.75" customHeight="1" x14ac:dyDescent="0.2">
      <c r="D3785" t="s">
        <v>285</v>
      </c>
      <c r="E3785" t="s">
        <v>485</v>
      </c>
      <c r="F3785">
        <v>19</v>
      </c>
      <c r="P3785" t="s">
        <v>456</v>
      </c>
      <c r="Q3785">
        <v>153</v>
      </c>
      <c r="R3785" t="s">
        <v>257</v>
      </c>
      <c r="S3785" t="s">
        <v>16</v>
      </c>
      <c r="T3785">
        <v>75.241600000000005</v>
      </c>
    </row>
    <row r="3786" spans="4:20" ht="15.75" customHeight="1" x14ac:dyDescent="0.2">
      <c r="D3786" t="s">
        <v>285</v>
      </c>
      <c r="E3786" t="s">
        <v>485</v>
      </c>
      <c r="F3786">
        <v>19</v>
      </c>
      <c r="P3786" t="s">
        <v>456</v>
      </c>
      <c r="Q3786">
        <v>153</v>
      </c>
      <c r="R3786" t="s">
        <v>295</v>
      </c>
      <c r="S3786" t="s">
        <v>17</v>
      </c>
      <c r="T3786">
        <v>0</v>
      </c>
    </row>
    <row r="3787" spans="4:20" ht="15.75" customHeight="1" x14ac:dyDescent="0.2">
      <c r="D3787" t="s">
        <v>285</v>
      </c>
      <c r="E3787" t="s">
        <v>485</v>
      </c>
      <c r="F3787">
        <v>19</v>
      </c>
      <c r="P3787" t="s">
        <v>456</v>
      </c>
      <c r="Q3787">
        <v>153</v>
      </c>
      <c r="R3787" t="s">
        <v>296</v>
      </c>
      <c r="S3787" t="s">
        <v>1</v>
      </c>
      <c r="T3787">
        <v>1</v>
      </c>
    </row>
    <row r="3788" spans="4:20" ht="15.75" customHeight="1" x14ac:dyDescent="0.2">
      <c r="D3788" t="s">
        <v>285</v>
      </c>
      <c r="E3788" t="s">
        <v>485</v>
      </c>
      <c r="F3788">
        <v>19</v>
      </c>
      <c r="P3788" t="s">
        <v>456</v>
      </c>
      <c r="Q3788">
        <v>153</v>
      </c>
      <c r="R3788" t="s">
        <v>297</v>
      </c>
      <c r="S3788" t="s">
        <v>18</v>
      </c>
      <c r="T3788">
        <v>1</v>
      </c>
    </row>
    <row r="3789" spans="4:20" ht="15.75" customHeight="1" x14ac:dyDescent="0.2">
      <c r="D3789" t="s">
        <v>285</v>
      </c>
      <c r="E3789" t="s">
        <v>485</v>
      </c>
      <c r="F3789">
        <v>19</v>
      </c>
      <c r="P3789" t="s">
        <v>456</v>
      </c>
      <c r="Q3789">
        <v>153</v>
      </c>
      <c r="R3789" t="s">
        <v>298</v>
      </c>
      <c r="S3789" t="s">
        <v>19</v>
      </c>
      <c r="T3789">
        <v>0</v>
      </c>
    </row>
    <row r="3790" spans="4:20" ht="15.75" customHeight="1" x14ac:dyDescent="0.2">
      <c r="D3790" t="s">
        <v>285</v>
      </c>
      <c r="E3790" t="s">
        <v>485</v>
      </c>
      <c r="F3790">
        <v>19</v>
      </c>
      <c r="P3790" t="s">
        <v>456</v>
      </c>
      <c r="Q3790">
        <v>153</v>
      </c>
      <c r="R3790" t="s">
        <v>299</v>
      </c>
      <c r="S3790" t="s">
        <v>20</v>
      </c>
      <c r="T3790">
        <v>0</v>
      </c>
    </row>
    <row r="3791" spans="4:20" ht="15.75" customHeight="1" x14ac:dyDescent="0.2">
      <c r="D3791" t="s">
        <v>285</v>
      </c>
      <c r="E3791" t="s">
        <v>485</v>
      </c>
      <c r="F3791">
        <v>19</v>
      </c>
      <c r="P3791" t="s">
        <v>489</v>
      </c>
      <c r="Q3791">
        <v>154</v>
      </c>
      <c r="R3791" t="s">
        <v>288</v>
      </c>
      <c r="S3791" t="s">
        <v>2</v>
      </c>
      <c r="T3791">
        <v>0</v>
      </c>
    </row>
    <row r="3792" spans="4:20" ht="15.75" customHeight="1" x14ac:dyDescent="0.2">
      <c r="D3792" t="s">
        <v>285</v>
      </c>
      <c r="E3792" t="s">
        <v>485</v>
      </c>
      <c r="F3792">
        <v>19</v>
      </c>
      <c r="P3792" t="s">
        <v>489</v>
      </c>
      <c r="Q3792">
        <v>154</v>
      </c>
      <c r="R3792" t="s">
        <v>289</v>
      </c>
      <c r="S3792" t="s">
        <v>5</v>
      </c>
      <c r="T3792">
        <v>0</v>
      </c>
    </row>
    <row r="3793" spans="4:20" ht="15.75" customHeight="1" x14ac:dyDescent="0.2">
      <c r="D3793" t="s">
        <v>285</v>
      </c>
      <c r="E3793" t="s">
        <v>485</v>
      </c>
      <c r="F3793">
        <v>19</v>
      </c>
      <c r="P3793" t="s">
        <v>489</v>
      </c>
      <c r="Q3793">
        <v>154</v>
      </c>
      <c r="R3793" t="s">
        <v>290</v>
      </c>
      <c r="S3793" t="s">
        <v>3</v>
      </c>
      <c r="T3793">
        <v>1</v>
      </c>
    </row>
    <row r="3794" spans="4:20" ht="15.75" customHeight="1" x14ac:dyDescent="0.2">
      <c r="D3794" t="s">
        <v>285</v>
      </c>
      <c r="E3794" t="s">
        <v>485</v>
      </c>
      <c r="F3794">
        <v>19</v>
      </c>
      <c r="P3794" t="s">
        <v>489</v>
      </c>
      <c r="Q3794">
        <v>154</v>
      </c>
      <c r="R3794" t="s">
        <v>291</v>
      </c>
      <c r="S3794" t="s">
        <v>4</v>
      </c>
      <c r="T3794">
        <v>1</v>
      </c>
    </row>
    <row r="3795" spans="4:20" ht="15.75" customHeight="1" x14ac:dyDescent="0.2">
      <c r="D3795" t="s">
        <v>285</v>
      </c>
      <c r="E3795" t="s">
        <v>485</v>
      </c>
      <c r="F3795">
        <v>19</v>
      </c>
      <c r="P3795" t="s">
        <v>489</v>
      </c>
      <c r="Q3795">
        <v>154</v>
      </c>
      <c r="R3795" t="s">
        <v>292</v>
      </c>
      <c r="S3795" t="s">
        <v>6</v>
      </c>
      <c r="T3795">
        <v>1</v>
      </c>
    </row>
    <row r="3796" spans="4:20" ht="15.75" customHeight="1" x14ac:dyDescent="0.2">
      <c r="D3796" t="s">
        <v>285</v>
      </c>
      <c r="E3796" t="s">
        <v>485</v>
      </c>
      <c r="F3796">
        <v>19</v>
      </c>
      <c r="P3796" t="s">
        <v>489</v>
      </c>
      <c r="Q3796">
        <v>154</v>
      </c>
      <c r="R3796" t="s">
        <v>243</v>
      </c>
      <c r="S3796" t="s">
        <v>7</v>
      </c>
      <c r="T3796">
        <v>4.6666999999999996</v>
      </c>
    </row>
    <row r="3797" spans="4:20" ht="15.75" customHeight="1" x14ac:dyDescent="0.2">
      <c r="D3797" t="s">
        <v>285</v>
      </c>
      <c r="E3797" t="s">
        <v>485</v>
      </c>
      <c r="F3797">
        <v>19</v>
      </c>
      <c r="P3797" t="s">
        <v>489</v>
      </c>
      <c r="Q3797">
        <v>154</v>
      </c>
      <c r="R3797" t="s">
        <v>245</v>
      </c>
      <c r="S3797" t="s">
        <v>8</v>
      </c>
      <c r="T3797">
        <v>248.03729999999999</v>
      </c>
    </row>
    <row r="3798" spans="4:20" ht="15.75" customHeight="1" x14ac:dyDescent="0.2">
      <c r="D3798" t="s">
        <v>285</v>
      </c>
      <c r="E3798" t="s">
        <v>485</v>
      </c>
      <c r="F3798">
        <v>19</v>
      </c>
      <c r="P3798" t="s">
        <v>489</v>
      </c>
      <c r="Q3798">
        <v>154</v>
      </c>
      <c r="R3798" t="s">
        <v>247</v>
      </c>
      <c r="S3798" t="s">
        <v>9</v>
      </c>
      <c r="T3798">
        <v>1.32E-2</v>
      </c>
    </row>
    <row r="3799" spans="4:20" ht="15.75" customHeight="1" x14ac:dyDescent="0.2">
      <c r="D3799" t="s">
        <v>285</v>
      </c>
      <c r="E3799" t="s">
        <v>485</v>
      </c>
      <c r="F3799">
        <v>19</v>
      </c>
      <c r="P3799" t="s">
        <v>489</v>
      </c>
      <c r="Q3799">
        <v>154</v>
      </c>
      <c r="R3799" t="s">
        <v>249</v>
      </c>
      <c r="S3799" t="s">
        <v>10</v>
      </c>
      <c r="T3799">
        <v>16</v>
      </c>
    </row>
    <row r="3800" spans="4:20" ht="15.75" customHeight="1" x14ac:dyDescent="0.2">
      <c r="D3800" t="s">
        <v>285</v>
      </c>
      <c r="E3800" t="s">
        <v>485</v>
      </c>
      <c r="F3800">
        <v>19</v>
      </c>
      <c r="P3800" t="s">
        <v>489</v>
      </c>
      <c r="Q3800">
        <v>154</v>
      </c>
      <c r="R3800" t="s">
        <v>251</v>
      </c>
      <c r="S3800" t="s">
        <v>11</v>
      </c>
      <c r="T3800">
        <v>10</v>
      </c>
    </row>
    <row r="3801" spans="4:20" ht="15.75" customHeight="1" x14ac:dyDescent="0.2">
      <c r="D3801" t="s">
        <v>285</v>
      </c>
      <c r="E3801" t="s">
        <v>485</v>
      </c>
      <c r="F3801">
        <v>19</v>
      </c>
      <c r="P3801" t="s">
        <v>489</v>
      </c>
      <c r="Q3801">
        <v>154</v>
      </c>
      <c r="R3801" t="s">
        <v>253</v>
      </c>
      <c r="S3801" t="s">
        <v>12</v>
      </c>
      <c r="T3801">
        <v>53.150799999999997</v>
      </c>
    </row>
    <row r="3802" spans="4:20" ht="15.75" customHeight="1" x14ac:dyDescent="0.2">
      <c r="D3802" t="s">
        <v>285</v>
      </c>
      <c r="E3802" t="s">
        <v>485</v>
      </c>
      <c r="F3802">
        <v>19</v>
      </c>
      <c r="P3802" t="s">
        <v>489</v>
      </c>
      <c r="Q3802">
        <v>154</v>
      </c>
      <c r="R3802" t="s">
        <v>255</v>
      </c>
      <c r="S3802" t="s">
        <v>15</v>
      </c>
      <c r="T3802">
        <v>7</v>
      </c>
    </row>
    <row r="3803" spans="4:20" ht="15.75" customHeight="1" x14ac:dyDescent="0.2">
      <c r="D3803" t="s">
        <v>285</v>
      </c>
      <c r="E3803" t="s">
        <v>485</v>
      </c>
      <c r="F3803">
        <v>19</v>
      </c>
      <c r="P3803" t="s">
        <v>489</v>
      </c>
      <c r="Q3803">
        <v>154</v>
      </c>
      <c r="R3803" t="s">
        <v>293</v>
      </c>
      <c r="S3803" t="s">
        <v>13</v>
      </c>
      <c r="T3803">
        <v>0</v>
      </c>
    </row>
    <row r="3804" spans="4:20" ht="15.75" customHeight="1" x14ac:dyDescent="0.2">
      <c r="D3804" t="s">
        <v>285</v>
      </c>
      <c r="E3804" t="s">
        <v>485</v>
      </c>
      <c r="F3804">
        <v>19</v>
      </c>
      <c r="P3804" t="s">
        <v>489</v>
      </c>
      <c r="Q3804">
        <v>154</v>
      </c>
      <c r="R3804" t="s">
        <v>294</v>
      </c>
      <c r="S3804" t="s">
        <v>14</v>
      </c>
      <c r="T3804">
        <v>0</v>
      </c>
    </row>
    <row r="3805" spans="4:20" ht="15.75" customHeight="1" x14ac:dyDescent="0.2">
      <c r="D3805" t="s">
        <v>285</v>
      </c>
      <c r="E3805" t="s">
        <v>485</v>
      </c>
      <c r="F3805">
        <v>19</v>
      </c>
      <c r="P3805" t="s">
        <v>489</v>
      </c>
      <c r="Q3805">
        <v>154</v>
      </c>
      <c r="R3805" t="s">
        <v>257</v>
      </c>
      <c r="S3805" t="s">
        <v>16</v>
      </c>
      <c r="T3805">
        <v>69.491699999999994</v>
      </c>
    </row>
    <row r="3806" spans="4:20" ht="15.75" customHeight="1" x14ac:dyDescent="0.2">
      <c r="D3806" t="s">
        <v>285</v>
      </c>
      <c r="E3806" t="s">
        <v>485</v>
      </c>
      <c r="F3806">
        <v>19</v>
      </c>
      <c r="P3806" t="s">
        <v>489</v>
      </c>
      <c r="Q3806">
        <v>154</v>
      </c>
      <c r="R3806" t="s">
        <v>295</v>
      </c>
      <c r="S3806" t="s">
        <v>17</v>
      </c>
      <c r="T3806">
        <v>0</v>
      </c>
    </row>
    <row r="3807" spans="4:20" ht="15.75" customHeight="1" x14ac:dyDescent="0.2">
      <c r="D3807" t="s">
        <v>285</v>
      </c>
      <c r="E3807" t="s">
        <v>485</v>
      </c>
      <c r="F3807">
        <v>19</v>
      </c>
      <c r="P3807" t="s">
        <v>489</v>
      </c>
      <c r="Q3807">
        <v>154</v>
      </c>
      <c r="R3807" t="s">
        <v>296</v>
      </c>
      <c r="S3807" t="s">
        <v>1</v>
      </c>
      <c r="T3807">
        <v>1</v>
      </c>
    </row>
    <row r="3808" spans="4:20" ht="15.75" customHeight="1" x14ac:dyDescent="0.2">
      <c r="D3808" t="s">
        <v>285</v>
      </c>
      <c r="E3808" t="s">
        <v>485</v>
      </c>
      <c r="F3808">
        <v>19</v>
      </c>
      <c r="P3808" t="s">
        <v>489</v>
      </c>
      <c r="Q3808">
        <v>154</v>
      </c>
      <c r="R3808" t="s">
        <v>297</v>
      </c>
      <c r="S3808" t="s">
        <v>18</v>
      </c>
      <c r="T3808">
        <v>3</v>
      </c>
    </row>
    <row r="3809" spans="4:20" ht="15.75" customHeight="1" x14ac:dyDescent="0.2">
      <c r="D3809" t="s">
        <v>285</v>
      </c>
      <c r="E3809" t="s">
        <v>485</v>
      </c>
      <c r="F3809">
        <v>19</v>
      </c>
      <c r="P3809" t="s">
        <v>489</v>
      </c>
      <c r="Q3809">
        <v>154</v>
      </c>
      <c r="R3809" t="s">
        <v>298</v>
      </c>
      <c r="S3809" t="s">
        <v>19</v>
      </c>
      <c r="T3809">
        <v>0</v>
      </c>
    </row>
    <row r="3810" spans="4:20" ht="15.75" customHeight="1" x14ac:dyDescent="0.2">
      <c r="D3810" t="s">
        <v>285</v>
      </c>
      <c r="E3810" t="s">
        <v>485</v>
      </c>
      <c r="F3810">
        <v>19</v>
      </c>
      <c r="P3810" t="s">
        <v>489</v>
      </c>
      <c r="Q3810">
        <v>154</v>
      </c>
      <c r="R3810" t="s">
        <v>299</v>
      </c>
      <c r="S3810" t="s">
        <v>20</v>
      </c>
      <c r="T3810">
        <v>0</v>
      </c>
    </row>
    <row r="3811" spans="4:20" ht="15.75" customHeight="1" x14ac:dyDescent="0.2">
      <c r="D3811" t="s">
        <v>285</v>
      </c>
      <c r="E3811" t="s">
        <v>485</v>
      </c>
      <c r="F3811">
        <v>19</v>
      </c>
      <c r="P3811" t="s">
        <v>457</v>
      </c>
      <c r="Q3811">
        <v>155</v>
      </c>
      <c r="R3811" t="s">
        <v>288</v>
      </c>
      <c r="S3811" t="s">
        <v>2</v>
      </c>
      <c r="T3811">
        <v>0</v>
      </c>
    </row>
    <row r="3812" spans="4:20" ht="15.75" customHeight="1" x14ac:dyDescent="0.2">
      <c r="D3812" t="s">
        <v>285</v>
      </c>
      <c r="E3812" t="s">
        <v>485</v>
      </c>
      <c r="F3812">
        <v>19</v>
      </c>
      <c r="P3812" t="s">
        <v>457</v>
      </c>
      <c r="Q3812">
        <v>155</v>
      </c>
      <c r="R3812" t="s">
        <v>289</v>
      </c>
      <c r="S3812" t="s">
        <v>5</v>
      </c>
      <c r="T3812">
        <v>0</v>
      </c>
    </row>
    <row r="3813" spans="4:20" ht="15.75" customHeight="1" x14ac:dyDescent="0.2">
      <c r="D3813" t="s">
        <v>285</v>
      </c>
      <c r="E3813" t="s">
        <v>485</v>
      </c>
      <c r="F3813">
        <v>19</v>
      </c>
      <c r="P3813" t="s">
        <v>457</v>
      </c>
      <c r="Q3813">
        <v>155</v>
      </c>
      <c r="R3813" t="s">
        <v>290</v>
      </c>
      <c r="S3813" t="s">
        <v>3</v>
      </c>
      <c r="T3813">
        <v>0</v>
      </c>
    </row>
    <row r="3814" spans="4:20" ht="15.75" customHeight="1" x14ac:dyDescent="0.2">
      <c r="D3814" t="s">
        <v>285</v>
      </c>
      <c r="E3814" t="s">
        <v>485</v>
      </c>
      <c r="F3814">
        <v>19</v>
      </c>
      <c r="P3814" t="s">
        <v>457</v>
      </c>
      <c r="Q3814">
        <v>155</v>
      </c>
      <c r="R3814" t="s">
        <v>291</v>
      </c>
      <c r="S3814" t="s">
        <v>4</v>
      </c>
      <c r="T3814">
        <v>0</v>
      </c>
    </row>
    <row r="3815" spans="4:20" ht="15.75" customHeight="1" x14ac:dyDescent="0.2">
      <c r="D3815" t="s">
        <v>285</v>
      </c>
      <c r="E3815" t="s">
        <v>485</v>
      </c>
      <c r="F3815">
        <v>19</v>
      </c>
      <c r="P3815" t="s">
        <v>457</v>
      </c>
      <c r="Q3815">
        <v>155</v>
      </c>
      <c r="R3815" t="s">
        <v>292</v>
      </c>
      <c r="S3815" t="s">
        <v>6</v>
      </c>
      <c r="T3815">
        <v>0</v>
      </c>
    </row>
    <row r="3816" spans="4:20" ht="15.75" customHeight="1" x14ac:dyDescent="0.2">
      <c r="D3816" t="s">
        <v>285</v>
      </c>
      <c r="E3816" t="s">
        <v>485</v>
      </c>
      <c r="F3816">
        <v>19</v>
      </c>
      <c r="P3816" t="s">
        <v>457</v>
      </c>
      <c r="Q3816">
        <v>155</v>
      </c>
      <c r="R3816" t="s">
        <v>243</v>
      </c>
      <c r="S3816" t="s">
        <v>7</v>
      </c>
      <c r="T3816">
        <v>1</v>
      </c>
    </row>
    <row r="3817" spans="4:20" ht="15.75" customHeight="1" x14ac:dyDescent="0.2">
      <c r="D3817" t="s">
        <v>285</v>
      </c>
      <c r="E3817" t="s">
        <v>485</v>
      </c>
      <c r="F3817">
        <v>19</v>
      </c>
      <c r="P3817" t="s">
        <v>457</v>
      </c>
      <c r="Q3817">
        <v>155</v>
      </c>
      <c r="R3817" t="s">
        <v>245</v>
      </c>
      <c r="S3817" t="s">
        <v>8</v>
      </c>
      <c r="T3817">
        <v>8</v>
      </c>
    </row>
    <row r="3818" spans="4:20" ht="15.75" customHeight="1" x14ac:dyDescent="0.2">
      <c r="D3818" t="s">
        <v>285</v>
      </c>
      <c r="E3818" t="s">
        <v>485</v>
      </c>
      <c r="F3818">
        <v>19</v>
      </c>
      <c r="P3818" t="s">
        <v>457</v>
      </c>
      <c r="Q3818">
        <v>155</v>
      </c>
      <c r="R3818" t="s">
        <v>247</v>
      </c>
      <c r="S3818" t="s">
        <v>9</v>
      </c>
      <c r="T3818">
        <v>1.2999999999999999E-3</v>
      </c>
    </row>
    <row r="3819" spans="4:20" ht="15.75" customHeight="1" x14ac:dyDescent="0.2">
      <c r="D3819" t="s">
        <v>285</v>
      </c>
      <c r="E3819" t="s">
        <v>485</v>
      </c>
      <c r="F3819">
        <v>19</v>
      </c>
      <c r="P3819" t="s">
        <v>457</v>
      </c>
      <c r="Q3819">
        <v>155</v>
      </c>
      <c r="R3819" t="s">
        <v>249</v>
      </c>
      <c r="S3819" t="s">
        <v>10</v>
      </c>
      <c r="T3819">
        <v>4</v>
      </c>
    </row>
    <row r="3820" spans="4:20" ht="15.75" customHeight="1" x14ac:dyDescent="0.2">
      <c r="D3820" t="s">
        <v>285</v>
      </c>
      <c r="E3820" t="s">
        <v>485</v>
      </c>
      <c r="F3820">
        <v>19</v>
      </c>
      <c r="P3820" t="s">
        <v>457</v>
      </c>
      <c r="Q3820">
        <v>155</v>
      </c>
      <c r="R3820" t="s">
        <v>251</v>
      </c>
      <c r="S3820" t="s">
        <v>11</v>
      </c>
      <c r="T3820">
        <v>4</v>
      </c>
    </row>
    <row r="3821" spans="4:20" ht="15.75" customHeight="1" x14ac:dyDescent="0.2">
      <c r="D3821" t="s">
        <v>285</v>
      </c>
      <c r="E3821" t="s">
        <v>485</v>
      </c>
      <c r="F3821">
        <v>19</v>
      </c>
      <c r="P3821" t="s">
        <v>457</v>
      </c>
      <c r="Q3821">
        <v>155</v>
      </c>
      <c r="R3821" t="s">
        <v>253</v>
      </c>
      <c r="S3821" t="s">
        <v>12</v>
      </c>
      <c r="T3821">
        <v>8</v>
      </c>
    </row>
    <row r="3822" spans="4:20" ht="15.75" customHeight="1" x14ac:dyDescent="0.2">
      <c r="D3822" t="s">
        <v>285</v>
      </c>
      <c r="E3822" t="s">
        <v>485</v>
      </c>
      <c r="F3822">
        <v>19</v>
      </c>
      <c r="P3822" t="s">
        <v>457</v>
      </c>
      <c r="Q3822">
        <v>155</v>
      </c>
      <c r="R3822" t="s">
        <v>255</v>
      </c>
      <c r="S3822" t="s">
        <v>15</v>
      </c>
      <c r="T3822">
        <v>7</v>
      </c>
    </row>
    <row r="3823" spans="4:20" ht="15.75" customHeight="1" x14ac:dyDescent="0.2">
      <c r="D3823" t="s">
        <v>285</v>
      </c>
      <c r="E3823" t="s">
        <v>485</v>
      </c>
      <c r="F3823">
        <v>19</v>
      </c>
      <c r="P3823" t="s">
        <v>457</v>
      </c>
      <c r="Q3823">
        <v>155</v>
      </c>
      <c r="R3823" t="s">
        <v>293</v>
      </c>
      <c r="S3823" t="s">
        <v>13</v>
      </c>
      <c r="T3823">
        <v>1</v>
      </c>
    </row>
    <row r="3824" spans="4:20" ht="15.75" customHeight="1" x14ac:dyDescent="0.2">
      <c r="D3824" t="s">
        <v>285</v>
      </c>
      <c r="E3824" t="s">
        <v>485</v>
      </c>
      <c r="F3824">
        <v>19</v>
      </c>
      <c r="P3824" t="s">
        <v>457</v>
      </c>
      <c r="Q3824">
        <v>155</v>
      </c>
      <c r="R3824" t="s">
        <v>294</v>
      </c>
      <c r="S3824" t="s">
        <v>14</v>
      </c>
      <c r="T3824">
        <v>0</v>
      </c>
    </row>
    <row r="3825" spans="4:20" ht="15.75" customHeight="1" x14ac:dyDescent="0.2">
      <c r="D3825" t="s">
        <v>285</v>
      </c>
      <c r="E3825" t="s">
        <v>485</v>
      </c>
      <c r="F3825">
        <v>19</v>
      </c>
      <c r="P3825" t="s">
        <v>457</v>
      </c>
      <c r="Q3825">
        <v>155</v>
      </c>
      <c r="R3825" t="s">
        <v>257</v>
      </c>
      <c r="S3825" t="s">
        <v>16</v>
      </c>
      <c r="T3825">
        <v>75.241600000000005</v>
      </c>
    </row>
    <row r="3826" spans="4:20" ht="15.75" customHeight="1" x14ac:dyDescent="0.2">
      <c r="D3826" t="s">
        <v>285</v>
      </c>
      <c r="E3826" t="s">
        <v>485</v>
      </c>
      <c r="F3826">
        <v>19</v>
      </c>
      <c r="P3826" t="s">
        <v>457</v>
      </c>
      <c r="Q3826">
        <v>155</v>
      </c>
      <c r="R3826" t="s">
        <v>295</v>
      </c>
      <c r="S3826" t="s">
        <v>17</v>
      </c>
      <c r="T3826">
        <v>0</v>
      </c>
    </row>
    <row r="3827" spans="4:20" ht="15.75" customHeight="1" x14ac:dyDescent="0.2">
      <c r="D3827" t="s">
        <v>285</v>
      </c>
      <c r="E3827" t="s">
        <v>485</v>
      </c>
      <c r="F3827">
        <v>19</v>
      </c>
      <c r="P3827" t="s">
        <v>457</v>
      </c>
      <c r="Q3827">
        <v>155</v>
      </c>
      <c r="R3827" t="s">
        <v>296</v>
      </c>
      <c r="S3827" t="s">
        <v>1</v>
      </c>
      <c r="T3827">
        <v>1</v>
      </c>
    </row>
    <row r="3828" spans="4:20" ht="15.75" customHeight="1" x14ac:dyDescent="0.2">
      <c r="D3828" t="s">
        <v>285</v>
      </c>
      <c r="E3828" t="s">
        <v>485</v>
      </c>
      <c r="F3828">
        <v>19</v>
      </c>
      <c r="P3828" t="s">
        <v>457</v>
      </c>
      <c r="Q3828">
        <v>155</v>
      </c>
      <c r="R3828" t="s">
        <v>297</v>
      </c>
      <c r="S3828" t="s">
        <v>18</v>
      </c>
      <c r="T3828">
        <v>1</v>
      </c>
    </row>
    <row r="3829" spans="4:20" ht="15.75" customHeight="1" x14ac:dyDescent="0.2">
      <c r="D3829" t="s">
        <v>285</v>
      </c>
      <c r="E3829" t="s">
        <v>485</v>
      </c>
      <c r="F3829">
        <v>19</v>
      </c>
      <c r="P3829" t="s">
        <v>457</v>
      </c>
      <c r="Q3829">
        <v>155</v>
      </c>
      <c r="R3829" t="s">
        <v>298</v>
      </c>
      <c r="S3829" t="s">
        <v>19</v>
      </c>
      <c r="T3829">
        <v>0</v>
      </c>
    </row>
    <row r="3830" spans="4:20" ht="15.75" customHeight="1" x14ac:dyDescent="0.2">
      <c r="D3830" t="s">
        <v>285</v>
      </c>
      <c r="E3830" t="s">
        <v>485</v>
      </c>
      <c r="F3830">
        <v>19</v>
      </c>
      <c r="P3830" t="s">
        <v>457</v>
      </c>
      <c r="Q3830">
        <v>155</v>
      </c>
      <c r="R3830" t="s">
        <v>299</v>
      </c>
      <c r="S3830" t="s">
        <v>20</v>
      </c>
      <c r="T3830">
        <v>0</v>
      </c>
    </row>
    <row r="3831" spans="4:20" ht="15.75" customHeight="1" x14ac:dyDescent="0.2">
      <c r="D3831" t="s">
        <v>285</v>
      </c>
      <c r="E3831" t="s">
        <v>485</v>
      </c>
      <c r="F3831">
        <v>19</v>
      </c>
      <c r="P3831" t="s">
        <v>362</v>
      </c>
      <c r="Q3831">
        <v>156</v>
      </c>
      <c r="R3831" t="s">
        <v>288</v>
      </c>
      <c r="S3831" t="s">
        <v>2</v>
      </c>
      <c r="T3831">
        <v>0</v>
      </c>
    </row>
    <row r="3832" spans="4:20" ht="15.75" customHeight="1" x14ac:dyDescent="0.2">
      <c r="D3832" t="s">
        <v>285</v>
      </c>
      <c r="E3832" t="s">
        <v>485</v>
      </c>
      <c r="F3832">
        <v>19</v>
      </c>
      <c r="P3832" t="s">
        <v>362</v>
      </c>
      <c r="Q3832">
        <v>156</v>
      </c>
      <c r="R3832" t="s">
        <v>289</v>
      </c>
      <c r="S3832" t="s">
        <v>5</v>
      </c>
      <c r="T3832">
        <v>0</v>
      </c>
    </row>
    <row r="3833" spans="4:20" ht="15.75" customHeight="1" x14ac:dyDescent="0.2">
      <c r="D3833" t="s">
        <v>285</v>
      </c>
      <c r="E3833" t="s">
        <v>485</v>
      </c>
      <c r="F3833">
        <v>19</v>
      </c>
      <c r="P3833" t="s">
        <v>362</v>
      </c>
      <c r="Q3833">
        <v>156</v>
      </c>
      <c r="R3833" t="s">
        <v>290</v>
      </c>
      <c r="S3833" t="s">
        <v>3</v>
      </c>
      <c r="T3833">
        <v>0</v>
      </c>
    </row>
    <row r="3834" spans="4:20" ht="15.75" customHeight="1" x14ac:dyDescent="0.2">
      <c r="D3834" t="s">
        <v>285</v>
      </c>
      <c r="E3834" t="s">
        <v>485</v>
      </c>
      <c r="F3834">
        <v>19</v>
      </c>
      <c r="P3834" t="s">
        <v>362</v>
      </c>
      <c r="Q3834">
        <v>156</v>
      </c>
      <c r="R3834" t="s">
        <v>291</v>
      </c>
      <c r="S3834" t="s">
        <v>4</v>
      </c>
      <c r="T3834">
        <v>0</v>
      </c>
    </row>
    <row r="3835" spans="4:20" ht="15.75" customHeight="1" x14ac:dyDescent="0.2">
      <c r="D3835" t="s">
        <v>285</v>
      </c>
      <c r="E3835" t="s">
        <v>485</v>
      </c>
      <c r="F3835">
        <v>19</v>
      </c>
      <c r="P3835" t="s">
        <v>362</v>
      </c>
      <c r="Q3835">
        <v>156</v>
      </c>
      <c r="R3835" t="s">
        <v>292</v>
      </c>
      <c r="S3835" t="s">
        <v>6</v>
      </c>
      <c r="T3835">
        <v>0</v>
      </c>
    </row>
    <row r="3836" spans="4:20" ht="15.75" customHeight="1" x14ac:dyDescent="0.2">
      <c r="D3836" t="s">
        <v>285</v>
      </c>
      <c r="E3836" t="s">
        <v>485</v>
      </c>
      <c r="F3836">
        <v>19</v>
      </c>
      <c r="P3836" t="s">
        <v>362</v>
      </c>
      <c r="Q3836">
        <v>156</v>
      </c>
      <c r="R3836" t="s">
        <v>243</v>
      </c>
      <c r="S3836" t="s">
        <v>7</v>
      </c>
      <c r="T3836">
        <v>2</v>
      </c>
    </row>
    <row r="3837" spans="4:20" ht="15.75" customHeight="1" x14ac:dyDescent="0.2">
      <c r="D3837" t="s">
        <v>285</v>
      </c>
      <c r="E3837" t="s">
        <v>485</v>
      </c>
      <c r="F3837">
        <v>19</v>
      </c>
      <c r="P3837" t="s">
        <v>362</v>
      </c>
      <c r="Q3837">
        <v>156</v>
      </c>
      <c r="R3837" t="s">
        <v>245</v>
      </c>
      <c r="S3837" t="s">
        <v>8</v>
      </c>
      <c r="T3837">
        <v>63.398499999999999</v>
      </c>
    </row>
    <row r="3838" spans="4:20" ht="15.75" customHeight="1" x14ac:dyDescent="0.2">
      <c r="D3838" t="s">
        <v>285</v>
      </c>
      <c r="E3838" t="s">
        <v>485</v>
      </c>
      <c r="F3838">
        <v>19</v>
      </c>
      <c r="P3838" t="s">
        <v>362</v>
      </c>
      <c r="Q3838">
        <v>156</v>
      </c>
      <c r="R3838" t="s">
        <v>247</v>
      </c>
      <c r="S3838" t="s">
        <v>9</v>
      </c>
      <c r="T3838">
        <v>5.3E-3</v>
      </c>
    </row>
    <row r="3839" spans="4:20" ht="15.75" customHeight="1" x14ac:dyDescent="0.2">
      <c r="D3839" t="s">
        <v>285</v>
      </c>
      <c r="E3839" t="s">
        <v>485</v>
      </c>
      <c r="F3839">
        <v>19</v>
      </c>
      <c r="P3839" t="s">
        <v>362</v>
      </c>
      <c r="Q3839">
        <v>156</v>
      </c>
      <c r="R3839" t="s">
        <v>249</v>
      </c>
      <c r="S3839" t="s">
        <v>10</v>
      </c>
      <c r="T3839">
        <v>10</v>
      </c>
    </row>
    <row r="3840" spans="4:20" ht="15.75" customHeight="1" x14ac:dyDescent="0.2">
      <c r="D3840" t="s">
        <v>285</v>
      </c>
      <c r="E3840" t="s">
        <v>485</v>
      </c>
      <c r="F3840">
        <v>19</v>
      </c>
      <c r="P3840" t="s">
        <v>362</v>
      </c>
      <c r="Q3840">
        <v>156</v>
      </c>
      <c r="R3840" t="s">
        <v>251</v>
      </c>
      <c r="S3840" t="s">
        <v>11</v>
      </c>
      <c r="T3840">
        <v>9</v>
      </c>
    </row>
    <row r="3841" spans="4:23" ht="15.75" customHeight="1" x14ac:dyDescent="0.2">
      <c r="D3841" t="s">
        <v>285</v>
      </c>
      <c r="E3841" t="s">
        <v>485</v>
      </c>
      <c r="F3841">
        <v>19</v>
      </c>
      <c r="P3841" t="s">
        <v>362</v>
      </c>
      <c r="Q3841">
        <v>156</v>
      </c>
      <c r="R3841" t="s">
        <v>253</v>
      </c>
      <c r="S3841" t="s">
        <v>12</v>
      </c>
      <c r="T3841">
        <v>31.699300000000001</v>
      </c>
    </row>
    <row r="3842" spans="4:23" ht="15.75" customHeight="1" x14ac:dyDescent="0.2">
      <c r="D3842" t="s">
        <v>285</v>
      </c>
      <c r="E3842" t="s">
        <v>485</v>
      </c>
      <c r="F3842">
        <v>19</v>
      </c>
      <c r="P3842" t="s">
        <v>362</v>
      </c>
      <c r="Q3842">
        <v>156</v>
      </c>
      <c r="R3842" t="s">
        <v>255</v>
      </c>
      <c r="S3842" t="s">
        <v>15</v>
      </c>
      <c r="T3842">
        <v>11</v>
      </c>
    </row>
    <row r="3843" spans="4:23" ht="15.75" customHeight="1" x14ac:dyDescent="0.2">
      <c r="D3843" t="s">
        <v>285</v>
      </c>
      <c r="E3843" t="s">
        <v>485</v>
      </c>
      <c r="F3843">
        <v>19</v>
      </c>
      <c r="P3843" t="s">
        <v>362</v>
      </c>
      <c r="Q3843">
        <v>156</v>
      </c>
      <c r="R3843" t="s">
        <v>293</v>
      </c>
      <c r="S3843" t="s">
        <v>13</v>
      </c>
      <c r="T3843">
        <v>1</v>
      </c>
    </row>
    <row r="3844" spans="4:23" ht="15.75" customHeight="1" x14ac:dyDescent="0.2">
      <c r="D3844" t="s">
        <v>285</v>
      </c>
      <c r="E3844" t="s">
        <v>485</v>
      </c>
      <c r="F3844">
        <v>19</v>
      </c>
      <c r="P3844" t="s">
        <v>362</v>
      </c>
      <c r="Q3844">
        <v>156</v>
      </c>
      <c r="R3844" t="s">
        <v>294</v>
      </c>
      <c r="S3844" t="s">
        <v>14</v>
      </c>
      <c r="T3844">
        <v>0</v>
      </c>
    </row>
    <row r="3845" spans="4:23" ht="15.75" customHeight="1" x14ac:dyDescent="0.2">
      <c r="D3845" t="s">
        <v>285</v>
      </c>
      <c r="E3845" t="s">
        <v>485</v>
      </c>
      <c r="F3845">
        <v>19</v>
      </c>
      <c r="P3845" t="s">
        <v>362</v>
      </c>
      <c r="Q3845">
        <v>156</v>
      </c>
      <c r="R3845" t="s">
        <v>257</v>
      </c>
      <c r="S3845" t="s">
        <v>16</v>
      </c>
      <c r="T3845">
        <v>66.840599999999995</v>
      </c>
    </row>
    <row r="3846" spans="4:23" ht="15.75" customHeight="1" x14ac:dyDescent="0.2">
      <c r="D3846" t="s">
        <v>285</v>
      </c>
      <c r="E3846" t="s">
        <v>485</v>
      </c>
      <c r="F3846">
        <v>19</v>
      </c>
      <c r="P3846" t="s">
        <v>362</v>
      </c>
      <c r="Q3846">
        <v>156</v>
      </c>
      <c r="R3846" t="s">
        <v>295</v>
      </c>
      <c r="S3846" t="s">
        <v>17</v>
      </c>
      <c r="T3846">
        <v>0</v>
      </c>
    </row>
    <row r="3847" spans="4:23" ht="15.75" customHeight="1" x14ac:dyDescent="0.2">
      <c r="D3847" t="s">
        <v>285</v>
      </c>
      <c r="E3847" t="s">
        <v>485</v>
      </c>
      <c r="F3847">
        <v>19</v>
      </c>
      <c r="P3847" t="s">
        <v>362</v>
      </c>
      <c r="Q3847">
        <v>156</v>
      </c>
      <c r="R3847" t="s">
        <v>296</v>
      </c>
      <c r="S3847" t="s">
        <v>1</v>
      </c>
      <c r="T3847">
        <v>1</v>
      </c>
    </row>
    <row r="3848" spans="4:23" ht="15.75" customHeight="1" x14ac:dyDescent="0.2">
      <c r="D3848" t="s">
        <v>285</v>
      </c>
      <c r="E3848" t="s">
        <v>485</v>
      </c>
      <c r="F3848">
        <v>19</v>
      </c>
      <c r="P3848" t="s">
        <v>362</v>
      </c>
      <c r="Q3848">
        <v>156</v>
      </c>
      <c r="R3848" t="s">
        <v>297</v>
      </c>
      <c r="S3848" t="s">
        <v>18</v>
      </c>
      <c r="T3848">
        <v>2</v>
      </c>
    </row>
    <row r="3849" spans="4:23" ht="15.75" customHeight="1" x14ac:dyDescent="0.2">
      <c r="D3849" t="s">
        <v>285</v>
      </c>
      <c r="E3849" t="s">
        <v>485</v>
      </c>
      <c r="F3849">
        <v>19</v>
      </c>
      <c r="P3849" t="s">
        <v>362</v>
      </c>
      <c r="Q3849">
        <v>156</v>
      </c>
      <c r="R3849" t="s">
        <v>298</v>
      </c>
      <c r="S3849" t="s">
        <v>19</v>
      </c>
      <c r="T3849">
        <v>0</v>
      </c>
    </row>
    <row r="3850" spans="4:23" ht="15.75" customHeight="1" x14ac:dyDescent="0.2">
      <c r="D3850" t="s">
        <v>285</v>
      </c>
      <c r="E3850" t="s">
        <v>485</v>
      </c>
      <c r="F3850">
        <v>19</v>
      </c>
      <c r="P3850" t="s">
        <v>362</v>
      </c>
      <c r="Q3850">
        <v>156</v>
      </c>
      <c r="R3850" t="s">
        <v>299</v>
      </c>
      <c r="S3850" t="s">
        <v>20</v>
      </c>
      <c r="T3850">
        <v>0</v>
      </c>
    </row>
    <row r="3851" spans="4:23" ht="15.75" customHeight="1" x14ac:dyDescent="0.2">
      <c r="D3851" t="s">
        <v>285</v>
      </c>
      <c r="E3851" t="s">
        <v>485</v>
      </c>
      <c r="F3851">
        <v>19</v>
      </c>
      <c r="U3851" t="s">
        <v>300</v>
      </c>
      <c r="V3851" t="s">
        <v>301</v>
      </c>
      <c r="W3851">
        <v>0</v>
      </c>
    </row>
    <row r="3852" spans="4:23" ht="15.75" customHeight="1" x14ac:dyDescent="0.2">
      <c r="D3852" t="s">
        <v>285</v>
      </c>
      <c r="E3852" t="s">
        <v>485</v>
      </c>
      <c r="F3852">
        <v>19</v>
      </c>
      <c r="U3852" t="s">
        <v>288</v>
      </c>
      <c r="V3852" t="s">
        <v>302</v>
      </c>
      <c r="W3852">
        <v>7</v>
      </c>
    </row>
    <row r="3853" spans="4:23" ht="15.75" customHeight="1" x14ac:dyDescent="0.2">
      <c r="D3853" t="s">
        <v>285</v>
      </c>
      <c r="E3853" t="s">
        <v>485</v>
      </c>
      <c r="F3853">
        <v>19</v>
      </c>
      <c r="U3853" t="s">
        <v>303</v>
      </c>
      <c r="V3853" t="s">
        <v>304</v>
      </c>
      <c r="W3853">
        <v>10</v>
      </c>
    </row>
    <row r="3854" spans="4:23" ht="15.75" customHeight="1" x14ac:dyDescent="0.2">
      <c r="D3854" t="s">
        <v>285</v>
      </c>
      <c r="E3854" t="s">
        <v>485</v>
      </c>
      <c r="F3854">
        <v>19</v>
      </c>
      <c r="U3854" t="s">
        <v>305</v>
      </c>
      <c r="V3854" t="s">
        <v>306</v>
      </c>
      <c r="W3854">
        <v>0</v>
      </c>
    </row>
    <row r="3855" spans="4:23" ht="15.75" customHeight="1" x14ac:dyDescent="0.2">
      <c r="D3855" t="s">
        <v>285</v>
      </c>
      <c r="E3855" t="s">
        <v>485</v>
      </c>
      <c r="F3855">
        <v>19</v>
      </c>
      <c r="U3855" t="s">
        <v>307</v>
      </c>
      <c r="V3855" t="s">
        <v>308</v>
      </c>
      <c r="W3855">
        <v>1</v>
      </c>
    </row>
    <row r="3856" spans="4:23" ht="15.75" customHeight="1" x14ac:dyDescent="0.2">
      <c r="D3856" t="s">
        <v>285</v>
      </c>
      <c r="E3856" t="s">
        <v>485</v>
      </c>
      <c r="F3856">
        <v>19</v>
      </c>
      <c r="U3856" t="s">
        <v>243</v>
      </c>
      <c r="V3856" t="s">
        <v>309</v>
      </c>
      <c r="W3856">
        <v>63.24</v>
      </c>
    </row>
    <row r="3857" spans="4:23" ht="15.75" customHeight="1" x14ac:dyDescent="0.2">
      <c r="D3857" t="s">
        <v>285</v>
      </c>
      <c r="E3857" t="s">
        <v>485</v>
      </c>
      <c r="F3857">
        <v>19</v>
      </c>
      <c r="U3857" t="s">
        <v>245</v>
      </c>
      <c r="V3857" t="s">
        <v>310</v>
      </c>
      <c r="W3857">
        <v>85936.237999999998</v>
      </c>
    </row>
    <row r="3858" spans="4:23" ht="15.75" customHeight="1" x14ac:dyDescent="0.2">
      <c r="D3858" t="s">
        <v>285</v>
      </c>
      <c r="E3858" t="s">
        <v>485</v>
      </c>
      <c r="F3858">
        <v>19</v>
      </c>
      <c r="U3858" t="s">
        <v>247</v>
      </c>
      <c r="V3858" t="s">
        <v>311</v>
      </c>
      <c r="W3858">
        <v>0.64910000000000001</v>
      </c>
    </row>
    <row r="3859" spans="4:23" ht="15.75" customHeight="1" x14ac:dyDescent="0.2">
      <c r="D3859" t="s">
        <v>285</v>
      </c>
      <c r="E3859" t="s">
        <v>485</v>
      </c>
      <c r="F3859">
        <v>19</v>
      </c>
      <c r="U3859" t="s">
        <v>249</v>
      </c>
      <c r="V3859" t="s">
        <v>312</v>
      </c>
      <c r="W3859">
        <v>231</v>
      </c>
    </row>
    <row r="3860" spans="4:23" ht="15.75" customHeight="1" x14ac:dyDescent="0.2">
      <c r="D3860" t="s">
        <v>285</v>
      </c>
      <c r="E3860" t="s">
        <v>485</v>
      </c>
      <c r="F3860">
        <v>19</v>
      </c>
      <c r="U3860" t="s">
        <v>251</v>
      </c>
      <c r="V3860" t="s">
        <v>313</v>
      </c>
      <c r="W3860">
        <v>59</v>
      </c>
    </row>
    <row r="3861" spans="4:23" ht="15.75" customHeight="1" x14ac:dyDescent="0.2">
      <c r="D3861" t="s">
        <v>285</v>
      </c>
      <c r="E3861" t="s">
        <v>485</v>
      </c>
      <c r="F3861">
        <v>19</v>
      </c>
      <c r="U3861" t="s">
        <v>253</v>
      </c>
      <c r="V3861" t="s">
        <v>314</v>
      </c>
      <c r="W3861">
        <v>1358.8905</v>
      </c>
    </row>
    <row r="3862" spans="4:23" ht="15.75" customHeight="1" x14ac:dyDescent="0.2">
      <c r="D3862" t="s">
        <v>285</v>
      </c>
      <c r="E3862" t="s">
        <v>485</v>
      </c>
      <c r="F3862">
        <v>19</v>
      </c>
      <c r="U3862" t="s">
        <v>315</v>
      </c>
      <c r="V3862" t="s">
        <v>316</v>
      </c>
      <c r="W3862">
        <v>3</v>
      </c>
    </row>
    <row r="3863" spans="4:23" ht="15.75" customHeight="1" x14ac:dyDescent="0.2">
      <c r="D3863" t="s">
        <v>285</v>
      </c>
      <c r="E3863" t="s">
        <v>485</v>
      </c>
      <c r="F3863">
        <v>19</v>
      </c>
      <c r="U3863" t="s">
        <v>317</v>
      </c>
      <c r="V3863" t="s">
        <v>318</v>
      </c>
      <c r="W3863">
        <v>189</v>
      </c>
    </row>
    <row r="3864" spans="4:23" ht="15.75" customHeight="1" x14ac:dyDescent="0.2">
      <c r="D3864" t="s">
        <v>285</v>
      </c>
      <c r="E3864" t="s">
        <v>485</v>
      </c>
      <c r="F3864">
        <v>19</v>
      </c>
      <c r="U3864" t="s">
        <v>257</v>
      </c>
      <c r="V3864" t="s">
        <v>319</v>
      </c>
      <c r="W3864">
        <v>27.9665</v>
      </c>
    </row>
    <row r="3865" spans="4:23" ht="15.75" customHeight="1" x14ac:dyDescent="0.2">
      <c r="D3865" t="s">
        <v>285</v>
      </c>
      <c r="E3865" t="s">
        <v>485</v>
      </c>
      <c r="F3865">
        <v>19</v>
      </c>
      <c r="U3865" t="s">
        <v>320</v>
      </c>
      <c r="V3865" t="s">
        <v>321</v>
      </c>
      <c r="W3865">
        <v>14</v>
      </c>
    </row>
    <row r="3866" spans="4:23" ht="15.75" customHeight="1" x14ac:dyDescent="0.2">
      <c r="D3866" t="s">
        <v>285</v>
      </c>
      <c r="E3866" t="s">
        <v>485</v>
      </c>
      <c r="F3866">
        <v>19</v>
      </c>
      <c r="U3866" t="s">
        <v>263</v>
      </c>
      <c r="V3866" t="s">
        <v>322</v>
      </c>
      <c r="W3866">
        <v>60</v>
      </c>
    </row>
    <row r="3867" spans="4:23" ht="15.75" customHeight="1" x14ac:dyDescent="0.2">
      <c r="D3867" t="s">
        <v>285</v>
      </c>
      <c r="E3867" t="s">
        <v>485</v>
      </c>
      <c r="F3867">
        <v>19</v>
      </c>
      <c r="U3867" t="s">
        <v>323</v>
      </c>
      <c r="V3867" t="s">
        <v>324</v>
      </c>
      <c r="W3867">
        <v>4</v>
      </c>
    </row>
    <row r="3868" spans="4:23" ht="15.75" customHeight="1" x14ac:dyDescent="0.2">
      <c r="D3868" t="s">
        <v>285</v>
      </c>
      <c r="E3868" t="s">
        <v>485</v>
      </c>
      <c r="F3868">
        <v>19</v>
      </c>
      <c r="U3868" t="s">
        <v>325</v>
      </c>
      <c r="V3868" t="s">
        <v>326</v>
      </c>
      <c r="W3868">
        <v>12</v>
      </c>
    </row>
    <row r="3869" spans="4:23" ht="15.75" customHeight="1" x14ac:dyDescent="0.2">
      <c r="D3869" t="s">
        <v>285</v>
      </c>
      <c r="E3869" t="s">
        <v>485</v>
      </c>
      <c r="F3869">
        <v>19</v>
      </c>
      <c r="U3869" t="s">
        <v>327</v>
      </c>
      <c r="V3869" t="s">
        <v>328</v>
      </c>
      <c r="W3869">
        <v>4</v>
      </c>
    </row>
    <row r="3870" spans="4:23" ht="15.75" customHeight="1" x14ac:dyDescent="0.2">
      <c r="D3870" t="s">
        <v>285</v>
      </c>
      <c r="E3870" t="s">
        <v>485</v>
      </c>
      <c r="F3870">
        <v>19</v>
      </c>
      <c r="U3870" t="s">
        <v>329</v>
      </c>
      <c r="V3870" t="s">
        <v>330</v>
      </c>
      <c r="W3870">
        <v>45</v>
      </c>
    </row>
    <row r="3871" spans="4:23" ht="15.75" customHeight="1" x14ac:dyDescent="0.2">
      <c r="D3871" t="s">
        <v>285</v>
      </c>
      <c r="E3871" t="s">
        <v>485</v>
      </c>
      <c r="F3871">
        <v>19</v>
      </c>
      <c r="U3871" t="s">
        <v>331</v>
      </c>
      <c r="V3871" t="s">
        <v>332</v>
      </c>
      <c r="W3871">
        <v>0</v>
      </c>
    </row>
    <row r="3872" spans="4:23" ht="15.75" customHeight="1" x14ac:dyDescent="0.2">
      <c r="D3872" t="s">
        <v>285</v>
      </c>
      <c r="E3872" t="s">
        <v>485</v>
      </c>
      <c r="F3872">
        <v>19</v>
      </c>
      <c r="U3872" t="s">
        <v>333</v>
      </c>
      <c r="V3872" t="s">
        <v>334</v>
      </c>
      <c r="W3872">
        <v>17</v>
      </c>
    </row>
    <row r="3873" spans="4:23" ht="15.75" customHeight="1" x14ac:dyDescent="0.2">
      <c r="D3873" t="s">
        <v>285</v>
      </c>
      <c r="E3873" t="s">
        <v>485</v>
      </c>
      <c r="F3873">
        <v>19</v>
      </c>
      <c r="U3873" t="s">
        <v>335</v>
      </c>
      <c r="V3873" t="s">
        <v>336</v>
      </c>
      <c r="W3873">
        <v>42</v>
      </c>
    </row>
    <row r="3874" spans="4:23" ht="15.75" customHeight="1" x14ac:dyDescent="0.2">
      <c r="D3874" t="s">
        <v>285</v>
      </c>
      <c r="E3874" t="s">
        <v>485</v>
      </c>
      <c r="F3874">
        <v>19</v>
      </c>
      <c r="U3874" t="s">
        <v>337</v>
      </c>
      <c r="V3874" t="s">
        <v>338</v>
      </c>
      <c r="W3874">
        <v>3</v>
      </c>
    </row>
    <row r="3875" spans="4:23" ht="15.75" customHeight="1" x14ac:dyDescent="0.2">
      <c r="D3875" t="s">
        <v>285</v>
      </c>
      <c r="E3875" t="s">
        <v>485</v>
      </c>
      <c r="F3875">
        <v>19</v>
      </c>
      <c r="U3875" t="s">
        <v>339</v>
      </c>
      <c r="V3875" t="s">
        <v>340</v>
      </c>
      <c r="W3875">
        <v>0</v>
      </c>
    </row>
    <row r="3876" spans="4:23" ht="15.75" customHeight="1" x14ac:dyDescent="0.2">
      <c r="D3876" t="s">
        <v>285</v>
      </c>
      <c r="E3876" t="s">
        <v>485</v>
      </c>
      <c r="F3876">
        <v>19</v>
      </c>
      <c r="U3876" t="s">
        <v>341</v>
      </c>
      <c r="V3876" t="s">
        <v>342</v>
      </c>
      <c r="W3876">
        <v>25</v>
      </c>
    </row>
    <row r="3877" spans="4:23" ht="15.75" customHeight="1" x14ac:dyDescent="0.2">
      <c r="D3877" t="s">
        <v>285</v>
      </c>
      <c r="E3877" t="s">
        <v>485</v>
      </c>
      <c r="F3877">
        <v>19</v>
      </c>
      <c r="U3877" t="s">
        <v>343</v>
      </c>
      <c r="V3877" t="s">
        <v>344</v>
      </c>
      <c r="W3877">
        <v>0.2364</v>
      </c>
    </row>
    <row r="3878" spans="4:23" ht="15.75" customHeight="1" x14ac:dyDescent="0.2">
      <c r="D3878" t="s">
        <v>285</v>
      </c>
      <c r="E3878" t="s">
        <v>485</v>
      </c>
      <c r="F3878">
        <v>19</v>
      </c>
      <c r="U3878" t="s">
        <v>345</v>
      </c>
      <c r="V3878" t="s">
        <v>346</v>
      </c>
      <c r="W3878">
        <v>0.5333</v>
      </c>
    </row>
    <row r="3879" spans="4:23" ht="15.75" customHeight="1" x14ac:dyDescent="0.2">
      <c r="D3879" t="s">
        <v>285</v>
      </c>
      <c r="E3879" t="s">
        <v>485</v>
      </c>
      <c r="F3879">
        <v>19</v>
      </c>
      <c r="U3879" t="s">
        <v>347</v>
      </c>
      <c r="V3879" t="s">
        <v>348</v>
      </c>
      <c r="W3879">
        <v>26</v>
      </c>
    </row>
    <row r="3880" spans="4:23" ht="15.75" customHeight="1" x14ac:dyDescent="0.2">
      <c r="D3880" t="s">
        <v>285</v>
      </c>
      <c r="E3880" t="s">
        <v>490</v>
      </c>
      <c r="F3880">
        <v>20</v>
      </c>
      <c r="P3880" t="s">
        <v>491</v>
      </c>
      <c r="Q3880">
        <v>157</v>
      </c>
      <c r="R3880" t="s">
        <v>288</v>
      </c>
      <c r="S3880" t="s">
        <v>2</v>
      </c>
      <c r="T3880">
        <v>5</v>
      </c>
    </row>
    <row r="3881" spans="4:23" ht="15.75" customHeight="1" x14ac:dyDescent="0.2">
      <c r="D3881" t="s">
        <v>285</v>
      </c>
      <c r="E3881" t="s">
        <v>490</v>
      </c>
      <c r="F3881">
        <v>20</v>
      </c>
      <c r="P3881" t="s">
        <v>491</v>
      </c>
      <c r="Q3881">
        <v>157</v>
      </c>
      <c r="R3881" t="s">
        <v>289</v>
      </c>
      <c r="S3881" t="s">
        <v>5</v>
      </c>
      <c r="T3881">
        <v>1</v>
      </c>
    </row>
    <row r="3882" spans="4:23" ht="15.75" customHeight="1" x14ac:dyDescent="0.2">
      <c r="D3882" t="s">
        <v>285</v>
      </c>
      <c r="E3882" t="s">
        <v>490</v>
      </c>
      <c r="F3882">
        <v>20</v>
      </c>
      <c r="P3882" t="s">
        <v>491</v>
      </c>
      <c r="Q3882">
        <v>157</v>
      </c>
      <c r="R3882" t="s">
        <v>290</v>
      </c>
      <c r="S3882" t="s">
        <v>3</v>
      </c>
      <c r="T3882">
        <v>0.57140000000000002</v>
      </c>
    </row>
    <row r="3883" spans="4:23" ht="15.75" customHeight="1" x14ac:dyDescent="0.2">
      <c r="D3883" t="s">
        <v>285</v>
      </c>
      <c r="E3883" t="s">
        <v>490</v>
      </c>
      <c r="F3883">
        <v>20</v>
      </c>
      <c r="P3883" t="s">
        <v>491</v>
      </c>
      <c r="Q3883">
        <v>157</v>
      </c>
      <c r="R3883" t="s">
        <v>291</v>
      </c>
      <c r="S3883" t="s">
        <v>4</v>
      </c>
      <c r="T3883">
        <v>13</v>
      </c>
    </row>
    <row r="3884" spans="4:23" ht="15.75" customHeight="1" x14ac:dyDescent="0.2">
      <c r="D3884" t="s">
        <v>285</v>
      </c>
      <c r="E3884" t="s">
        <v>490</v>
      </c>
      <c r="F3884">
        <v>20</v>
      </c>
      <c r="P3884" t="s">
        <v>491</v>
      </c>
      <c r="Q3884">
        <v>157</v>
      </c>
      <c r="R3884" t="s">
        <v>292</v>
      </c>
      <c r="S3884" t="s">
        <v>6</v>
      </c>
      <c r="T3884">
        <v>2</v>
      </c>
    </row>
    <row r="3885" spans="4:23" ht="15.75" customHeight="1" x14ac:dyDescent="0.2">
      <c r="D3885" t="s">
        <v>285</v>
      </c>
      <c r="E3885" t="s">
        <v>490</v>
      </c>
      <c r="F3885">
        <v>20</v>
      </c>
      <c r="P3885" t="s">
        <v>491</v>
      </c>
      <c r="Q3885">
        <v>157</v>
      </c>
      <c r="R3885" t="s">
        <v>243</v>
      </c>
      <c r="S3885" t="s">
        <v>7</v>
      </c>
      <c r="T3885">
        <v>20.16</v>
      </c>
    </row>
    <row r="3886" spans="4:23" ht="15.75" customHeight="1" x14ac:dyDescent="0.2">
      <c r="D3886" t="s">
        <v>285</v>
      </c>
      <c r="E3886" t="s">
        <v>490</v>
      </c>
      <c r="F3886">
        <v>20</v>
      </c>
      <c r="P3886" t="s">
        <v>491</v>
      </c>
      <c r="Q3886">
        <v>157</v>
      </c>
      <c r="R3886" t="s">
        <v>245</v>
      </c>
      <c r="S3886" t="s">
        <v>8</v>
      </c>
      <c r="T3886">
        <v>9168.5966000000008</v>
      </c>
    </row>
    <row r="3887" spans="4:23" ht="15.75" customHeight="1" x14ac:dyDescent="0.2">
      <c r="D3887" t="s">
        <v>285</v>
      </c>
      <c r="E3887" t="s">
        <v>490</v>
      </c>
      <c r="F3887">
        <v>20</v>
      </c>
      <c r="P3887" t="s">
        <v>491</v>
      </c>
      <c r="Q3887">
        <v>157</v>
      </c>
      <c r="R3887" t="s">
        <v>247</v>
      </c>
      <c r="S3887" t="s">
        <v>9</v>
      </c>
      <c r="T3887">
        <v>0.14599999999999999</v>
      </c>
    </row>
    <row r="3888" spans="4:23" ht="15.75" customHeight="1" x14ac:dyDescent="0.2">
      <c r="D3888" t="s">
        <v>285</v>
      </c>
      <c r="E3888" t="s">
        <v>490</v>
      </c>
      <c r="F3888">
        <v>20</v>
      </c>
      <c r="P3888" t="s">
        <v>491</v>
      </c>
      <c r="Q3888">
        <v>157</v>
      </c>
      <c r="R3888" t="s">
        <v>249</v>
      </c>
      <c r="S3888" t="s">
        <v>10</v>
      </c>
      <c r="T3888">
        <v>81</v>
      </c>
    </row>
    <row r="3889" spans="4:20" ht="15.75" customHeight="1" x14ac:dyDescent="0.2">
      <c r="D3889" t="s">
        <v>285</v>
      </c>
      <c r="E3889" t="s">
        <v>490</v>
      </c>
      <c r="F3889">
        <v>20</v>
      </c>
      <c r="P3889" t="s">
        <v>491</v>
      </c>
      <c r="Q3889">
        <v>157</v>
      </c>
      <c r="R3889" t="s">
        <v>251</v>
      </c>
      <c r="S3889" t="s">
        <v>11</v>
      </c>
      <c r="T3889">
        <v>49</v>
      </c>
    </row>
    <row r="3890" spans="4:20" ht="15.75" customHeight="1" x14ac:dyDescent="0.2">
      <c r="D3890" t="s">
        <v>285</v>
      </c>
      <c r="E3890" t="s">
        <v>490</v>
      </c>
      <c r="F3890">
        <v>20</v>
      </c>
      <c r="P3890" t="s">
        <v>491</v>
      </c>
      <c r="Q3890">
        <v>157</v>
      </c>
      <c r="R3890" t="s">
        <v>253</v>
      </c>
      <c r="S3890" t="s">
        <v>12</v>
      </c>
      <c r="T3890">
        <v>454.79149999999998</v>
      </c>
    </row>
    <row r="3891" spans="4:20" ht="15.75" customHeight="1" x14ac:dyDescent="0.2">
      <c r="D3891" t="s">
        <v>285</v>
      </c>
      <c r="E3891" t="s">
        <v>490</v>
      </c>
      <c r="F3891">
        <v>20</v>
      </c>
      <c r="P3891" t="s">
        <v>491</v>
      </c>
      <c r="Q3891">
        <v>157</v>
      </c>
      <c r="R3891" t="s">
        <v>255</v>
      </c>
      <c r="S3891" t="s">
        <v>15</v>
      </c>
      <c r="T3891">
        <v>44</v>
      </c>
    </row>
    <row r="3892" spans="4:20" ht="15.75" customHeight="1" x14ac:dyDescent="0.2">
      <c r="D3892" t="s">
        <v>285</v>
      </c>
      <c r="E3892" t="s">
        <v>490</v>
      </c>
      <c r="F3892">
        <v>20</v>
      </c>
      <c r="P3892" t="s">
        <v>491</v>
      </c>
      <c r="Q3892">
        <v>157</v>
      </c>
      <c r="R3892" t="s">
        <v>293</v>
      </c>
      <c r="S3892" t="s">
        <v>13</v>
      </c>
      <c r="T3892">
        <v>0.33329999999999999</v>
      </c>
    </row>
    <row r="3893" spans="4:20" ht="15.75" customHeight="1" x14ac:dyDescent="0.2">
      <c r="D3893" t="s">
        <v>285</v>
      </c>
      <c r="E3893" t="s">
        <v>490</v>
      </c>
      <c r="F3893">
        <v>20</v>
      </c>
      <c r="P3893" t="s">
        <v>491</v>
      </c>
      <c r="Q3893">
        <v>157</v>
      </c>
      <c r="R3893" t="s">
        <v>294</v>
      </c>
      <c r="S3893" t="s">
        <v>14</v>
      </c>
      <c r="T3893">
        <v>0</v>
      </c>
    </row>
    <row r="3894" spans="4:20" ht="15.75" customHeight="1" x14ac:dyDescent="0.2">
      <c r="D3894" t="s">
        <v>285</v>
      </c>
      <c r="E3894" t="s">
        <v>490</v>
      </c>
      <c r="F3894">
        <v>20</v>
      </c>
      <c r="P3894" t="s">
        <v>491</v>
      </c>
      <c r="Q3894">
        <v>157</v>
      </c>
      <c r="R3894" t="s">
        <v>257</v>
      </c>
      <c r="S3894" t="s">
        <v>16</v>
      </c>
      <c r="T3894">
        <v>45.328600000000002</v>
      </c>
    </row>
    <row r="3895" spans="4:20" ht="15.75" customHeight="1" x14ac:dyDescent="0.2">
      <c r="D3895" t="s">
        <v>285</v>
      </c>
      <c r="E3895" t="s">
        <v>490</v>
      </c>
      <c r="F3895">
        <v>20</v>
      </c>
      <c r="P3895" t="s">
        <v>491</v>
      </c>
      <c r="Q3895">
        <v>157</v>
      </c>
      <c r="R3895" t="s">
        <v>295</v>
      </c>
      <c r="S3895" t="s">
        <v>17</v>
      </c>
      <c r="T3895">
        <v>1</v>
      </c>
    </row>
    <row r="3896" spans="4:20" ht="15.75" customHeight="1" x14ac:dyDescent="0.2">
      <c r="D3896" t="s">
        <v>285</v>
      </c>
      <c r="E3896" t="s">
        <v>490</v>
      </c>
      <c r="F3896">
        <v>20</v>
      </c>
      <c r="P3896" t="s">
        <v>491</v>
      </c>
      <c r="Q3896">
        <v>157</v>
      </c>
      <c r="R3896" t="s">
        <v>296</v>
      </c>
      <c r="S3896" t="s">
        <v>1</v>
      </c>
      <c r="T3896">
        <v>5</v>
      </c>
    </row>
    <row r="3897" spans="4:20" ht="15.75" customHeight="1" x14ac:dyDescent="0.2">
      <c r="D3897" t="s">
        <v>285</v>
      </c>
      <c r="E3897" t="s">
        <v>490</v>
      </c>
      <c r="F3897">
        <v>20</v>
      </c>
      <c r="P3897" t="s">
        <v>491</v>
      </c>
      <c r="Q3897">
        <v>157</v>
      </c>
      <c r="R3897" t="s">
        <v>297</v>
      </c>
      <c r="S3897" t="s">
        <v>18</v>
      </c>
      <c r="T3897">
        <v>13</v>
      </c>
    </row>
    <row r="3898" spans="4:20" ht="15.75" customHeight="1" x14ac:dyDescent="0.2">
      <c r="D3898" t="s">
        <v>285</v>
      </c>
      <c r="E3898" t="s">
        <v>490</v>
      </c>
      <c r="F3898">
        <v>20</v>
      </c>
      <c r="P3898" t="s">
        <v>491</v>
      </c>
      <c r="Q3898">
        <v>157</v>
      </c>
      <c r="R3898" t="s">
        <v>298</v>
      </c>
      <c r="S3898" t="s">
        <v>19</v>
      </c>
      <c r="T3898">
        <v>0</v>
      </c>
    </row>
    <row r="3899" spans="4:20" ht="15.75" customHeight="1" x14ac:dyDescent="0.2">
      <c r="D3899" t="s">
        <v>285</v>
      </c>
      <c r="E3899" t="s">
        <v>490</v>
      </c>
      <c r="F3899">
        <v>20</v>
      </c>
      <c r="P3899" t="s">
        <v>491</v>
      </c>
      <c r="Q3899">
        <v>157</v>
      </c>
      <c r="R3899" t="s">
        <v>299</v>
      </c>
      <c r="S3899" t="s">
        <v>20</v>
      </c>
      <c r="T3899">
        <v>1</v>
      </c>
    </row>
    <row r="3900" spans="4:20" ht="15.75" customHeight="1" x14ac:dyDescent="0.2">
      <c r="D3900" t="s">
        <v>285</v>
      </c>
      <c r="E3900" t="s">
        <v>490</v>
      </c>
      <c r="F3900">
        <v>20</v>
      </c>
      <c r="P3900" t="s">
        <v>492</v>
      </c>
      <c r="Q3900">
        <v>158</v>
      </c>
      <c r="R3900" t="s">
        <v>288</v>
      </c>
      <c r="S3900" t="s">
        <v>2</v>
      </c>
      <c r="T3900">
        <v>2</v>
      </c>
    </row>
    <row r="3901" spans="4:20" ht="15.75" customHeight="1" x14ac:dyDescent="0.2">
      <c r="D3901" t="s">
        <v>285</v>
      </c>
      <c r="E3901" t="s">
        <v>490</v>
      </c>
      <c r="F3901">
        <v>20</v>
      </c>
      <c r="P3901" t="s">
        <v>492</v>
      </c>
      <c r="Q3901">
        <v>158</v>
      </c>
      <c r="R3901" t="s">
        <v>289</v>
      </c>
      <c r="S3901" t="s">
        <v>5</v>
      </c>
      <c r="T3901">
        <v>2</v>
      </c>
    </row>
    <row r="3902" spans="4:20" ht="15.75" customHeight="1" x14ac:dyDescent="0.2">
      <c r="D3902" t="s">
        <v>285</v>
      </c>
      <c r="E3902" t="s">
        <v>490</v>
      </c>
      <c r="F3902">
        <v>20</v>
      </c>
      <c r="P3902" t="s">
        <v>492</v>
      </c>
      <c r="Q3902">
        <v>158</v>
      </c>
      <c r="R3902" t="s">
        <v>290</v>
      </c>
      <c r="S3902" t="s">
        <v>3</v>
      </c>
      <c r="T3902">
        <v>0.4</v>
      </c>
    </row>
    <row r="3903" spans="4:20" ht="15.75" customHeight="1" x14ac:dyDescent="0.2">
      <c r="D3903" t="s">
        <v>285</v>
      </c>
      <c r="E3903" t="s">
        <v>490</v>
      </c>
      <c r="F3903">
        <v>20</v>
      </c>
      <c r="P3903" t="s">
        <v>492</v>
      </c>
      <c r="Q3903">
        <v>158</v>
      </c>
      <c r="R3903" t="s">
        <v>291</v>
      </c>
      <c r="S3903" t="s">
        <v>4</v>
      </c>
      <c r="T3903">
        <v>4</v>
      </c>
    </row>
    <row r="3904" spans="4:20" ht="15.75" customHeight="1" x14ac:dyDescent="0.2">
      <c r="D3904" t="s">
        <v>285</v>
      </c>
      <c r="E3904" t="s">
        <v>490</v>
      </c>
      <c r="F3904">
        <v>20</v>
      </c>
      <c r="P3904" t="s">
        <v>492</v>
      </c>
      <c r="Q3904">
        <v>158</v>
      </c>
      <c r="R3904" t="s">
        <v>292</v>
      </c>
      <c r="S3904" t="s">
        <v>6</v>
      </c>
      <c r="T3904">
        <v>1</v>
      </c>
    </row>
    <row r="3905" spans="4:20" ht="15.75" customHeight="1" x14ac:dyDescent="0.2">
      <c r="D3905" t="s">
        <v>285</v>
      </c>
      <c r="E3905" t="s">
        <v>490</v>
      </c>
      <c r="F3905">
        <v>20</v>
      </c>
      <c r="P3905" t="s">
        <v>492</v>
      </c>
      <c r="Q3905">
        <v>158</v>
      </c>
      <c r="R3905" t="s">
        <v>243</v>
      </c>
      <c r="S3905" t="s">
        <v>7</v>
      </c>
      <c r="T3905">
        <v>8.8000000000000007</v>
      </c>
    </row>
    <row r="3906" spans="4:20" ht="15.75" customHeight="1" x14ac:dyDescent="0.2">
      <c r="D3906" t="s">
        <v>285</v>
      </c>
      <c r="E3906" t="s">
        <v>490</v>
      </c>
      <c r="F3906">
        <v>20</v>
      </c>
      <c r="P3906" t="s">
        <v>492</v>
      </c>
      <c r="Q3906">
        <v>158</v>
      </c>
      <c r="R3906" t="s">
        <v>245</v>
      </c>
      <c r="S3906" t="s">
        <v>8</v>
      </c>
      <c r="T3906">
        <v>1198.2242000000001</v>
      </c>
    </row>
    <row r="3907" spans="4:20" ht="15.75" customHeight="1" x14ac:dyDescent="0.2">
      <c r="D3907" t="s">
        <v>285</v>
      </c>
      <c r="E3907" t="s">
        <v>490</v>
      </c>
      <c r="F3907">
        <v>20</v>
      </c>
      <c r="P3907" t="s">
        <v>492</v>
      </c>
      <c r="Q3907">
        <v>158</v>
      </c>
      <c r="R3907" t="s">
        <v>247</v>
      </c>
      <c r="S3907" t="s">
        <v>9</v>
      </c>
      <c r="T3907">
        <v>3.7600000000000001E-2</v>
      </c>
    </row>
    <row r="3908" spans="4:20" ht="15.75" customHeight="1" x14ac:dyDescent="0.2">
      <c r="D3908" t="s">
        <v>285</v>
      </c>
      <c r="E3908" t="s">
        <v>490</v>
      </c>
      <c r="F3908">
        <v>20</v>
      </c>
      <c r="P3908" t="s">
        <v>492</v>
      </c>
      <c r="Q3908">
        <v>158</v>
      </c>
      <c r="R3908" t="s">
        <v>249</v>
      </c>
      <c r="S3908" t="s">
        <v>10</v>
      </c>
      <c r="T3908">
        <v>31</v>
      </c>
    </row>
    <row r="3909" spans="4:20" ht="15.75" customHeight="1" x14ac:dyDescent="0.2">
      <c r="D3909" t="s">
        <v>285</v>
      </c>
      <c r="E3909" t="s">
        <v>490</v>
      </c>
      <c r="F3909">
        <v>20</v>
      </c>
      <c r="P3909" t="s">
        <v>492</v>
      </c>
      <c r="Q3909">
        <v>158</v>
      </c>
      <c r="R3909" t="s">
        <v>251</v>
      </c>
      <c r="S3909" t="s">
        <v>11</v>
      </c>
      <c r="T3909">
        <v>21</v>
      </c>
    </row>
    <row r="3910" spans="4:20" ht="15.75" customHeight="1" x14ac:dyDescent="0.2">
      <c r="D3910" t="s">
        <v>285</v>
      </c>
      <c r="E3910" t="s">
        <v>490</v>
      </c>
      <c r="F3910">
        <v>20</v>
      </c>
      <c r="P3910" t="s">
        <v>492</v>
      </c>
      <c r="Q3910">
        <v>158</v>
      </c>
      <c r="R3910" t="s">
        <v>253</v>
      </c>
      <c r="S3910" t="s">
        <v>12</v>
      </c>
      <c r="T3910">
        <v>136.1618</v>
      </c>
    </row>
    <row r="3911" spans="4:20" ht="15.75" customHeight="1" x14ac:dyDescent="0.2">
      <c r="D3911" t="s">
        <v>285</v>
      </c>
      <c r="E3911" t="s">
        <v>490</v>
      </c>
      <c r="F3911">
        <v>20</v>
      </c>
      <c r="P3911" t="s">
        <v>492</v>
      </c>
      <c r="Q3911">
        <v>158</v>
      </c>
      <c r="R3911" t="s">
        <v>255</v>
      </c>
      <c r="S3911" t="s">
        <v>15</v>
      </c>
      <c r="T3911">
        <v>17</v>
      </c>
    </row>
    <row r="3912" spans="4:20" ht="15.75" customHeight="1" x14ac:dyDescent="0.2">
      <c r="D3912" t="s">
        <v>285</v>
      </c>
      <c r="E3912" t="s">
        <v>490</v>
      </c>
      <c r="F3912">
        <v>20</v>
      </c>
      <c r="P3912" t="s">
        <v>492</v>
      </c>
      <c r="Q3912">
        <v>158</v>
      </c>
      <c r="R3912" t="s">
        <v>293</v>
      </c>
      <c r="S3912" t="s">
        <v>13</v>
      </c>
      <c r="T3912">
        <v>0</v>
      </c>
    </row>
    <row r="3913" spans="4:20" ht="15.75" customHeight="1" x14ac:dyDescent="0.2">
      <c r="D3913" t="s">
        <v>285</v>
      </c>
      <c r="E3913" t="s">
        <v>490</v>
      </c>
      <c r="F3913">
        <v>20</v>
      </c>
      <c r="P3913" t="s">
        <v>492</v>
      </c>
      <c r="Q3913">
        <v>158</v>
      </c>
      <c r="R3913" t="s">
        <v>294</v>
      </c>
      <c r="S3913" t="s">
        <v>14</v>
      </c>
      <c r="T3913">
        <v>0</v>
      </c>
    </row>
    <row r="3914" spans="4:20" ht="15.75" customHeight="1" x14ac:dyDescent="0.2">
      <c r="D3914" t="s">
        <v>285</v>
      </c>
      <c r="E3914" t="s">
        <v>490</v>
      </c>
      <c r="F3914">
        <v>20</v>
      </c>
      <c r="P3914" t="s">
        <v>492</v>
      </c>
      <c r="Q3914">
        <v>158</v>
      </c>
      <c r="R3914" t="s">
        <v>257</v>
      </c>
      <c r="S3914" t="s">
        <v>16</v>
      </c>
      <c r="T3914">
        <v>58.072200000000002</v>
      </c>
    </row>
    <row r="3915" spans="4:20" ht="15.75" customHeight="1" x14ac:dyDescent="0.2">
      <c r="D3915" t="s">
        <v>285</v>
      </c>
      <c r="E3915" t="s">
        <v>490</v>
      </c>
      <c r="F3915">
        <v>20</v>
      </c>
      <c r="P3915" t="s">
        <v>492</v>
      </c>
      <c r="Q3915">
        <v>158</v>
      </c>
      <c r="R3915" t="s">
        <v>295</v>
      </c>
      <c r="S3915" t="s">
        <v>17</v>
      </c>
      <c r="T3915">
        <v>1</v>
      </c>
    </row>
    <row r="3916" spans="4:20" ht="15.75" customHeight="1" x14ac:dyDescent="0.2">
      <c r="D3916" t="s">
        <v>285</v>
      </c>
      <c r="E3916" t="s">
        <v>490</v>
      </c>
      <c r="F3916">
        <v>20</v>
      </c>
      <c r="P3916" t="s">
        <v>492</v>
      </c>
      <c r="Q3916">
        <v>158</v>
      </c>
      <c r="R3916" t="s">
        <v>296</v>
      </c>
      <c r="S3916" t="s">
        <v>1</v>
      </c>
      <c r="T3916">
        <v>3</v>
      </c>
    </row>
    <row r="3917" spans="4:20" ht="15.75" customHeight="1" x14ac:dyDescent="0.2">
      <c r="D3917" t="s">
        <v>285</v>
      </c>
      <c r="E3917" t="s">
        <v>490</v>
      </c>
      <c r="F3917">
        <v>20</v>
      </c>
      <c r="P3917" t="s">
        <v>492</v>
      </c>
      <c r="Q3917">
        <v>158</v>
      </c>
      <c r="R3917" t="s">
        <v>297</v>
      </c>
      <c r="S3917" t="s">
        <v>18</v>
      </c>
      <c r="T3917">
        <v>4</v>
      </c>
    </row>
    <row r="3918" spans="4:20" ht="15.75" customHeight="1" x14ac:dyDescent="0.2">
      <c r="D3918" t="s">
        <v>285</v>
      </c>
      <c r="E3918" t="s">
        <v>490</v>
      </c>
      <c r="F3918">
        <v>20</v>
      </c>
      <c r="P3918" t="s">
        <v>492</v>
      </c>
      <c r="Q3918">
        <v>158</v>
      </c>
      <c r="R3918" t="s">
        <v>298</v>
      </c>
      <c r="S3918" t="s">
        <v>19</v>
      </c>
      <c r="T3918">
        <v>0</v>
      </c>
    </row>
    <row r="3919" spans="4:20" ht="15.75" customHeight="1" x14ac:dyDescent="0.2">
      <c r="D3919" t="s">
        <v>285</v>
      </c>
      <c r="E3919" t="s">
        <v>490</v>
      </c>
      <c r="F3919">
        <v>20</v>
      </c>
      <c r="P3919" t="s">
        <v>492</v>
      </c>
      <c r="Q3919">
        <v>158</v>
      </c>
      <c r="R3919" t="s">
        <v>299</v>
      </c>
      <c r="S3919" t="s">
        <v>20</v>
      </c>
      <c r="T3919">
        <v>1</v>
      </c>
    </row>
    <row r="3920" spans="4:20" ht="15.75" customHeight="1" x14ac:dyDescent="0.2">
      <c r="D3920" t="s">
        <v>285</v>
      </c>
      <c r="E3920" t="s">
        <v>490</v>
      </c>
      <c r="F3920">
        <v>20</v>
      </c>
      <c r="P3920" t="s">
        <v>493</v>
      </c>
      <c r="Q3920">
        <v>159</v>
      </c>
      <c r="R3920" t="s">
        <v>288</v>
      </c>
      <c r="S3920" t="s">
        <v>2</v>
      </c>
      <c r="T3920">
        <v>2</v>
      </c>
    </row>
    <row r="3921" spans="4:20" ht="15.75" customHeight="1" x14ac:dyDescent="0.2">
      <c r="D3921" t="s">
        <v>285</v>
      </c>
      <c r="E3921" t="s">
        <v>490</v>
      </c>
      <c r="F3921">
        <v>20</v>
      </c>
      <c r="P3921" t="s">
        <v>493</v>
      </c>
      <c r="Q3921">
        <v>159</v>
      </c>
      <c r="R3921" t="s">
        <v>289</v>
      </c>
      <c r="S3921" t="s">
        <v>5</v>
      </c>
      <c r="T3921">
        <v>1</v>
      </c>
    </row>
    <row r="3922" spans="4:20" ht="15.75" customHeight="1" x14ac:dyDescent="0.2">
      <c r="D3922" t="s">
        <v>285</v>
      </c>
      <c r="E3922" t="s">
        <v>490</v>
      </c>
      <c r="F3922">
        <v>20</v>
      </c>
      <c r="P3922" t="s">
        <v>493</v>
      </c>
      <c r="Q3922">
        <v>159</v>
      </c>
      <c r="R3922" t="s">
        <v>290</v>
      </c>
      <c r="S3922" t="s">
        <v>3</v>
      </c>
      <c r="T3922">
        <v>1</v>
      </c>
    </row>
    <row r="3923" spans="4:20" ht="15.75" customHeight="1" x14ac:dyDescent="0.2">
      <c r="D3923" t="s">
        <v>285</v>
      </c>
      <c r="E3923" t="s">
        <v>490</v>
      </c>
      <c r="F3923">
        <v>20</v>
      </c>
      <c r="P3923" t="s">
        <v>493</v>
      </c>
      <c r="Q3923">
        <v>159</v>
      </c>
      <c r="R3923" t="s">
        <v>291</v>
      </c>
      <c r="S3923" t="s">
        <v>4</v>
      </c>
      <c r="T3923">
        <v>4</v>
      </c>
    </row>
    <row r="3924" spans="4:20" ht="15.75" customHeight="1" x14ac:dyDescent="0.2">
      <c r="D3924" t="s">
        <v>285</v>
      </c>
      <c r="E3924" t="s">
        <v>490</v>
      </c>
      <c r="F3924">
        <v>20</v>
      </c>
      <c r="P3924" t="s">
        <v>493</v>
      </c>
      <c r="Q3924">
        <v>159</v>
      </c>
      <c r="R3924" t="s">
        <v>292</v>
      </c>
      <c r="S3924" t="s">
        <v>6</v>
      </c>
      <c r="T3924">
        <v>2</v>
      </c>
    </row>
    <row r="3925" spans="4:20" ht="15.75" customHeight="1" x14ac:dyDescent="0.2">
      <c r="D3925" t="s">
        <v>285</v>
      </c>
      <c r="E3925" t="s">
        <v>490</v>
      </c>
      <c r="F3925">
        <v>20</v>
      </c>
      <c r="P3925" t="s">
        <v>493</v>
      </c>
      <c r="Q3925">
        <v>159</v>
      </c>
      <c r="R3925" t="s">
        <v>243</v>
      </c>
      <c r="S3925" t="s">
        <v>7</v>
      </c>
      <c r="T3925">
        <v>7.5833000000000004</v>
      </c>
    </row>
    <row r="3926" spans="4:20" ht="15.75" customHeight="1" x14ac:dyDescent="0.2">
      <c r="D3926" t="s">
        <v>285</v>
      </c>
      <c r="E3926" t="s">
        <v>490</v>
      </c>
      <c r="F3926">
        <v>20</v>
      </c>
      <c r="P3926" t="s">
        <v>493</v>
      </c>
      <c r="Q3926">
        <v>159</v>
      </c>
      <c r="R3926" t="s">
        <v>245</v>
      </c>
      <c r="S3926" t="s">
        <v>8</v>
      </c>
      <c r="T3926">
        <v>805.33630000000005</v>
      </c>
    </row>
    <row r="3927" spans="4:20" ht="15.75" customHeight="1" x14ac:dyDescent="0.2">
      <c r="D3927" t="s">
        <v>285</v>
      </c>
      <c r="E3927" t="s">
        <v>490</v>
      </c>
      <c r="F3927">
        <v>20</v>
      </c>
      <c r="P3927" t="s">
        <v>493</v>
      </c>
      <c r="Q3927">
        <v>159</v>
      </c>
      <c r="R3927" t="s">
        <v>247</v>
      </c>
      <c r="S3927" t="s">
        <v>9</v>
      </c>
      <c r="T3927">
        <v>2.8899999999999999E-2</v>
      </c>
    </row>
    <row r="3928" spans="4:20" ht="15.75" customHeight="1" x14ac:dyDescent="0.2">
      <c r="D3928" t="s">
        <v>285</v>
      </c>
      <c r="E3928" t="s">
        <v>490</v>
      </c>
      <c r="F3928">
        <v>20</v>
      </c>
      <c r="P3928" t="s">
        <v>493</v>
      </c>
      <c r="Q3928">
        <v>159</v>
      </c>
      <c r="R3928" t="s">
        <v>249</v>
      </c>
      <c r="S3928" t="s">
        <v>10</v>
      </c>
      <c r="T3928">
        <v>25</v>
      </c>
    </row>
    <row r="3929" spans="4:20" ht="15.75" customHeight="1" x14ac:dyDescent="0.2">
      <c r="D3929" t="s">
        <v>285</v>
      </c>
      <c r="E3929" t="s">
        <v>490</v>
      </c>
      <c r="F3929">
        <v>20</v>
      </c>
      <c r="P3929" t="s">
        <v>493</v>
      </c>
      <c r="Q3929">
        <v>159</v>
      </c>
      <c r="R3929" t="s">
        <v>251</v>
      </c>
      <c r="S3929" t="s">
        <v>11</v>
      </c>
      <c r="T3929">
        <v>19</v>
      </c>
    </row>
    <row r="3930" spans="4:20" ht="15.75" customHeight="1" x14ac:dyDescent="0.2">
      <c r="D3930" t="s">
        <v>285</v>
      </c>
      <c r="E3930" t="s">
        <v>490</v>
      </c>
      <c r="F3930">
        <v>20</v>
      </c>
      <c r="P3930" t="s">
        <v>493</v>
      </c>
      <c r="Q3930">
        <v>159</v>
      </c>
      <c r="R3930" t="s">
        <v>253</v>
      </c>
      <c r="S3930" t="s">
        <v>12</v>
      </c>
      <c r="T3930">
        <v>106.1982</v>
      </c>
    </row>
    <row r="3931" spans="4:20" ht="15.75" customHeight="1" x14ac:dyDescent="0.2">
      <c r="D3931" t="s">
        <v>285</v>
      </c>
      <c r="E3931" t="s">
        <v>490</v>
      </c>
      <c r="F3931">
        <v>20</v>
      </c>
      <c r="P3931" t="s">
        <v>493</v>
      </c>
      <c r="Q3931">
        <v>159</v>
      </c>
      <c r="R3931" t="s">
        <v>255</v>
      </c>
      <c r="S3931" t="s">
        <v>15</v>
      </c>
      <c r="T3931">
        <v>15</v>
      </c>
    </row>
    <row r="3932" spans="4:20" ht="15.75" customHeight="1" x14ac:dyDescent="0.2">
      <c r="D3932" t="s">
        <v>285</v>
      </c>
      <c r="E3932" t="s">
        <v>490</v>
      </c>
      <c r="F3932">
        <v>20</v>
      </c>
      <c r="P3932" t="s">
        <v>493</v>
      </c>
      <c r="Q3932">
        <v>159</v>
      </c>
      <c r="R3932" t="s">
        <v>293</v>
      </c>
      <c r="S3932" t="s">
        <v>13</v>
      </c>
      <c r="T3932">
        <v>0.5</v>
      </c>
    </row>
    <row r="3933" spans="4:20" ht="15.75" customHeight="1" x14ac:dyDescent="0.2">
      <c r="D3933" t="s">
        <v>285</v>
      </c>
      <c r="E3933" t="s">
        <v>490</v>
      </c>
      <c r="F3933">
        <v>20</v>
      </c>
      <c r="P3933" t="s">
        <v>493</v>
      </c>
      <c r="Q3933">
        <v>159</v>
      </c>
      <c r="R3933" t="s">
        <v>294</v>
      </c>
      <c r="S3933" t="s">
        <v>14</v>
      </c>
      <c r="T3933">
        <v>0</v>
      </c>
    </row>
    <row r="3934" spans="4:20" ht="15.75" customHeight="1" x14ac:dyDescent="0.2">
      <c r="D3934" t="s">
        <v>285</v>
      </c>
      <c r="E3934" t="s">
        <v>490</v>
      </c>
      <c r="F3934">
        <v>20</v>
      </c>
      <c r="P3934" t="s">
        <v>493</v>
      </c>
      <c r="Q3934">
        <v>159</v>
      </c>
      <c r="R3934" t="s">
        <v>257</v>
      </c>
      <c r="S3934" t="s">
        <v>16</v>
      </c>
      <c r="T3934">
        <v>60.015799999999999</v>
      </c>
    </row>
    <row r="3935" spans="4:20" ht="15.75" customHeight="1" x14ac:dyDescent="0.2">
      <c r="D3935" t="s">
        <v>285</v>
      </c>
      <c r="E3935" t="s">
        <v>490</v>
      </c>
      <c r="F3935">
        <v>20</v>
      </c>
      <c r="P3935" t="s">
        <v>493</v>
      </c>
      <c r="Q3935">
        <v>159</v>
      </c>
      <c r="R3935" t="s">
        <v>295</v>
      </c>
      <c r="S3935" t="s">
        <v>17</v>
      </c>
      <c r="T3935">
        <v>2</v>
      </c>
    </row>
    <row r="3936" spans="4:20" ht="15.75" customHeight="1" x14ac:dyDescent="0.2">
      <c r="D3936" t="s">
        <v>285</v>
      </c>
      <c r="E3936" t="s">
        <v>490</v>
      </c>
      <c r="F3936">
        <v>20</v>
      </c>
      <c r="P3936" t="s">
        <v>493</v>
      </c>
      <c r="Q3936">
        <v>159</v>
      </c>
      <c r="R3936" t="s">
        <v>296</v>
      </c>
      <c r="S3936" t="s">
        <v>1</v>
      </c>
      <c r="T3936">
        <v>3</v>
      </c>
    </row>
    <row r="3937" spans="4:20" ht="15.75" customHeight="1" x14ac:dyDescent="0.2">
      <c r="D3937" t="s">
        <v>285</v>
      </c>
      <c r="E3937" t="s">
        <v>490</v>
      </c>
      <c r="F3937">
        <v>20</v>
      </c>
      <c r="P3937" t="s">
        <v>493</v>
      </c>
      <c r="Q3937">
        <v>159</v>
      </c>
      <c r="R3937" t="s">
        <v>297</v>
      </c>
      <c r="S3937" t="s">
        <v>18</v>
      </c>
      <c r="T3937">
        <v>5</v>
      </c>
    </row>
    <row r="3938" spans="4:20" ht="15.75" customHeight="1" x14ac:dyDescent="0.2">
      <c r="D3938" t="s">
        <v>285</v>
      </c>
      <c r="E3938" t="s">
        <v>490</v>
      </c>
      <c r="F3938">
        <v>20</v>
      </c>
      <c r="P3938" t="s">
        <v>493</v>
      </c>
      <c r="Q3938">
        <v>159</v>
      </c>
      <c r="R3938" t="s">
        <v>298</v>
      </c>
      <c r="S3938" t="s">
        <v>19</v>
      </c>
      <c r="T3938">
        <v>0</v>
      </c>
    </row>
    <row r="3939" spans="4:20" ht="15.75" customHeight="1" x14ac:dyDescent="0.2">
      <c r="D3939" t="s">
        <v>285</v>
      </c>
      <c r="E3939" t="s">
        <v>490</v>
      </c>
      <c r="F3939">
        <v>20</v>
      </c>
      <c r="P3939" t="s">
        <v>493</v>
      </c>
      <c r="Q3939">
        <v>159</v>
      </c>
      <c r="R3939" t="s">
        <v>299</v>
      </c>
      <c r="S3939" t="s">
        <v>20</v>
      </c>
      <c r="T3939">
        <v>0</v>
      </c>
    </row>
    <row r="3940" spans="4:20" ht="15.75" customHeight="1" x14ac:dyDescent="0.2">
      <c r="D3940" t="s">
        <v>285</v>
      </c>
      <c r="E3940" t="s">
        <v>490</v>
      </c>
      <c r="F3940">
        <v>20</v>
      </c>
      <c r="P3940" t="s">
        <v>494</v>
      </c>
      <c r="Q3940">
        <v>160</v>
      </c>
      <c r="R3940" t="s">
        <v>288</v>
      </c>
      <c r="S3940" t="s">
        <v>2</v>
      </c>
      <c r="T3940">
        <v>1</v>
      </c>
    </row>
    <row r="3941" spans="4:20" ht="15.75" customHeight="1" x14ac:dyDescent="0.2">
      <c r="D3941" t="s">
        <v>285</v>
      </c>
      <c r="E3941" t="s">
        <v>490</v>
      </c>
      <c r="F3941">
        <v>20</v>
      </c>
      <c r="P3941" t="s">
        <v>494</v>
      </c>
      <c r="Q3941">
        <v>160</v>
      </c>
      <c r="R3941" t="s">
        <v>289</v>
      </c>
      <c r="S3941" t="s">
        <v>5</v>
      </c>
      <c r="T3941">
        <v>0</v>
      </c>
    </row>
    <row r="3942" spans="4:20" ht="15.75" customHeight="1" x14ac:dyDescent="0.2">
      <c r="D3942" t="s">
        <v>285</v>
      </c>
      <c r="E3942" t="s">
        <v>490</v>
      </c>
      <c r="F3942">
        <v>20</v>
      </c>
      <c r="P3942" t="s">
        <v>494</v>
      </c>
      <c r="Q3942">
        <v>160</v>
      </c>
      <c r="R3942" t="s">
        <v>290</v>
      </c>
      <c r="S3942" t="s">
        <v>3</v>
      </c>
      <c r="T3942">
        <v>0.75</v>
      </c>
    </row>
    <row r="3943" spans="4:20" ht="15.75" customHeight="1" x14ac:dyDescent="0.2">
      <c r="D3943" t="s">
        <v>285</v>
      </c>
      <c r="E3943" t="s">
        <v>490</v>
      </c>
      <c r="F3943">
        <v>20</v>
      </c>
      <c r="P3943" t="s">
        <v>494</v>
      </c>
      <c r="Q3943">
        <v>160</v>
      </c>
      <c r="R3943" t="s">
        <v>291</v>
      </c>
      <c r="S3943" t="s">
        <v>4</v>
      </c>
      <c r="T3943">
        <v>7</v>
      </c>
    </row>
    <row r="3944" spans="4:20" ht="15.75" customHeight="1" x14ac:dyDescent="0.2">
      <c r="D3944" t="s">
        <v>285</v>
      </c>
      <c r="E3944" t="s">
        <v>490</v>
      </c>
      <c r="F3944">
        <v>20</v>
      </c>
      <c r="P3944" t="s">
        <v>494</v>
      </c>
      <c r="Q3944">
        <v>160</v>
      </c>
      <c r="R3944" t="s">
        <v>292</v>
      </c>
      <c r="S3944" t="s">
        <v>6</v>
      </c>
      <c r="T3944">
        <v>2</v>
      </c>
    </row>
    <row r="3945" spans="4:20" ht="15.75" customHeight="1" x14ac:dyDescent="0.2">
      <c r="D3945" t="s">
        <v>285</v>
      </c>
      <c r="E3945" t="s">
        <v>490</v>
      </c>
      <c r="F3945">
        <v>20</v>
      </c>
      <c r="P3945" t="s">
        <v>494</v>
      </c>
      <c r="Q3945">
        <v>160</v>
      </c>
      <c r="R3945" t="s">
        <v>243</v>
      </c>
      <c r="S3945" t="s">
        <v>7</v>
      </c>
      <c r="T3945">
        <v>9</v>
      </c>
    </row>
    <row r="3946" spans="4:20" ht="15.75" customHeight="1" x14ac:dyDescent="0.2">
      <c r="D3946" t="s">
        <v>285</v>
      </c>
      <c r="E3946" t="s">
        <v>490</v>
      </c>
      <c r="F3946">
        <v>20</v>
      </c>
      <c r="P3946" t="s">
        <v>494</v>
      </c>
      <c r="Q3946">
        <v>160</v>
      </c>
      <c r="R3946" t="s">
        <v>245</v>
      </c>
      <c r="S3946" t="s">
        <v>8</v>
      </c>
      <c r="T3946">
        <v>1170.2518</v>
      </c>
    </row>
    <row r="3947" spans="4:20" ht="15.75" customHeight="1" x14ac:dyDescent="0.2">
      <c r="D3947" t="s">
        <v>285</v>
      </c>
      <c r="E3947" t="s">
        <v>490</v>
      </c>
      <c r="F3947">
        <v>20</v>
      </c>
      <c r="P3947" t="s">
        <v>494</v>
      </c>
      <c r="Q3947">
        <v>160</v>
      </c>
      <c r="R3947" t="s">
        <v>247</v>
      </c>
      <c r="S3947" t="s">
        <v>9</v>
      </c>
      <c r="T3947">
        <v>3.6999999999999998E-2</v>
      </c>
    </row>
    <row r="3948" spans="4:20" ht="15.75" customHeight="1" x14ac:dyDescent="0.2">
      <c r="D3948" t="s">
        <v>285</v>
      </c>
      <c r="E3948" t="s">
        <v>490</v>
      </c>
      <c r="F3948">
        <v>20</v>
      </c>
      <c r="P3948" t="s">
        <v>494</v>
      </c>
      <c r="Q3948">
        <v>160</v>
      </c>
      <c r="R3948" t="s">
        <v>249</v>
      </c>
      <c r="S3948" t="s">
        <v>10</v>
      </c>
      <c r="T3948">
        <v>28</v>
      </c>
    </row>
    <row r="3949" spans="4:20" ht="15.75" customHeight="1" x14ac:dyDescent="0.2">
      <c r="D3949" t="s">
        <v>285</v>
      </c>
      <c r="E3949" t="s">
        <v>490</v>
      </c>
      <c r="F3949">
        <v>20</v>
      </c>
      <c r="P3949" t="s">
        <v>494</v>
      </c>
      <c r="Q3949">
        <v>160</v>
      </c>
      <c r="R3949" t="s">
        <v>251</v>
      </c>
      <c r="S3949" t="s">
        <v>11</v>
      </c>
      <c r="T3949">
        <v>25</v>
      </c>
    </row>
    <row r="3950" spans="4:20" ht="15.75" customHeight="1" x14ac:dyDescent="0.2">
      <c r="D3950" t="s">
        <v>285</v>
      </c>
      <c r="E3950" t="s">
        <v>490</v>
      </c>
      <c r="F3950">
        <v>20</v>
      </c>
      <c r="P3950" t="s">
        <v>494</v>
      </c>
      <c r="Q3950">
        <v>160</v>
      </c>
      <c r="R3950" t="s">
        <v>253</v>
      </c>
      <c r="S3950" t="s">
        <v>12</v>
      </c>
      <c r="T3950">
        <v>130.02799999999999</v>
      </c>
    </row>
    <row r="3951" spans="4:20" ht="15.75" customHeight="1" x14ac:dyDescent="0.2">
      <c r="D3951" t="s">
        <v>285</v>
      </c>
      <c r="E3951" t="s">
        <v>490</v>
      </c>
      <c r="F3951">
        <v>20</v>
      </c>
      <c r="P3951" t="s">
        <v>494</v>
      </c>
      <c r="Q3951">
        <v>160</v>
      </c>
      <c r="R3951" t="s">
        <v>255</v>
      </c>
      <c r="S3951" t="s">
        <v>15</v>
      </c>
      <c r="T3951">
        <v>17</v>
      </c>
    </row>
    <row r="3952" spans="4:20" ht="15.75" customHeight="1" x14ac:dyDescent="0.2">
      <c r="D3952" t="s">
        <v>285</v>
      </c>
      <c r="E3952" t="s">
        <v>490</v>
      </c>
      <c r="F3952">
        <v>20</v>
      </c>
      <c r="P3952" t="s">
        <v>494</v>
      </c>
      <c r="Q3952">
        <v>160</v>
      </c>
      <c r="R3952" t="s">
        <v>293</v>
      </c>
      <c r="S3952" t="s">
        <v>13</v>
      </c>
      <c r="T3952">
        <v>0.4</v>
      </c>
    </row>
    <row r="3953" spans="4:23" ht="15.75" customHeight="1" x14ac:dyDescent="0.2">
      <c r="D3953" t="s">
        <v>285</v>
      </c>
      <c r="E3953" t="s">
        <v>490</v>
      </c>
      <c r="F3953">
        <v>20</v>
      </c>
      <c r="P3953" t="s">
        <v>494</v>
      </c>
      <c r="Q3953">
        <v>160</v>
      </c>
      <c r="R3953" t="s">
        <v>294</v>
      </c>
      <c r="S3953" t="s">
        <v>14</v>
      </c>
      <c r="T3953">
        <v>0</v>
      </c>
    </row>
    <row r="3954" spans="4:23" ht="15.75" customHeight="1" x14ac:dyDescent="0.2">
      <c r="D3954" t="s">
        <v>285</v>
      </c>
      <c r="E3954" t="s">
        <v>490</v>
      </c>
      <c r="F3954">
        <v>20</v>
      </c>
      <c r="P3954" t="s">
        <v>494</v>
      </c>
      <c r="Q3954">
        <v>160</v>
      </c>
      <c r="R3954" t="s">
        <v>257</v>
      </c>
      <c r="S3954" t="s">
        <v>16</v>
      </c>
      <c r="T3954">
        <v>58.2639</v>
      </c>
    </row>
    <row r="3955" spans="4:23" ht="15.75" customHeight="1" x14ac:dyDescent="0.2">
      <c r="D3955" t="s">
        <v>285</v>
      </c>
      <c r="E3955" t="s">
        <v>490</v>
      </c>
      <c r="F3955">
        <v>20</v>
      </c>
      <c r="P3955" t="s">
        <v>494</v>
      </c>
      <c r="Q3955">
        <v>160</v>
      </c>
      <c r="R3955" t="s">
        <v>295</v>
      </c>
      <c r="S3955" t="s">
        <v>17</v>
      </c>
      <c r="T3955">
        <v>1</v>
      </c>
    </row>
    <row r="3956" spans="4:23" ht="15.75" customHeight="1" x14ac:dyDescent="0.2">
      <c r="D3956" t="s">
        <v>285</v>
      </c>
      <c r="E3956" t="s">
        <v>490</v>
      </c>
      <c r="F3956">
        <v>20</v>
      </c>
      <c r="P3956" t="s">
        <v>494</v>
      </c>
      <c r="Q3956">
        <v>160</v>
      </c>
      <c r="R3956" t="s">
        <v>296</v>
      </c>
      <c r="S3956" t="s">
        <v>1</v>
      </c>
      <c r="T3956">
        <v>2</v>
      </c>
    </row>
    <row r="3957" spans="4:23" ht="15.75" customHeight="1" x14ac:dyDescent="0.2">
      <c r="D3957" t="s">
        <v>285</v>
      </c>
      <c r="E3957" t="s">
        <v>490</v>
      </c>
      <c r="F3957">
        <v>20</v>
      </c>
      <c r="P3957" t="s">
        <v>494</v>
      </c>
      <c r="Q3957">
        <v>160</v>
      </c>
      <c r="R3957" t="s">
        <v>297</v>
      </c>
      <c r="S3957" t="s">
        <v>18</v>
      </c>
      <c r="T3957">
        <v>8</v>
      </c>
    </row>
    <row r="3958" spans="4:23" ht="15.75" customHeight="1" x14ac:dyDescent="0.2">
      <c r="D3958" t="s">
        <v>285</v>
      </c>
      <c r="E3958" t="s">
        <v>490</v>
      </c>
      <c r="F3958">
        <v>20</v>
      </c>
      <c r="P3958" t="s">
        <v>494</v>
      </c>
      <c r="Q3958">
        <v>160</v>
      </c>
      <c r="R3958" t="s">
        <v>298</v>
      </c>
      <c r="S3958" t="s">
        <v>19</v>
      </c>
      <c r="T3958">
        <v>0</v>
      </c>
    </row>
    <row r="3959" spans="4:23" ht="15.75" customHeight="1" x14ac:dyDescent="0.2">
      <c r="D3959" t="s">
        <v>285</v>
      </c>
      <c r="E3959" t="s">
        <v>490</v>
      </c>
      <c r="F3959">
        <v>20</v>
      </c>
      <c r="P3959" t="s">
        <v>494</v>
      </c>
      <c r="Q3959">
        <v>160</v>
      </c>
      <c r="R3959" t="s">
        <v>299</v>
      </c>
      <c r="S3959" t="s">
        <v>20</v>
      </c>
      <c r="T3959">
        <v>1</v>
      </c>
    </row>
    <row r="3960" spans="4:23" ht="15.75" customHeight="1" x14ac:dyDescent="0.2">
      <c r="D3960" t="s">
        <v>285</v>
      </c>
      <c r="E3960" t="s">
        <v>490</v>
      </c>
      <c r="F3960">
        <v>20</v>
      </c>
      <c r="U3960" t="s">
        <v>300</v>
      </c>
      <c r="V3960" t="s">
        <v>301</v>
      </c>
      <c r="W3960">
        <v>1</v>
      </c>
    </row>
    <row r="3961" spans="4:23" ht="15.75" customHeight="1" x14ac:dyDescent="0.2">
      <c r="D3961" t="s">
        <v>285</v>
      </c>
      <c r="E3961" t="s">
        <v>490</v>
      </c>
      <c r="F3961">
        <v>20</v>
      </c>
      <c r="U3961" t="s">
        <v>288</v>
      </c>
      <c r="V3961" t="s">
        <v>302</v>
      </c>
      <c r="W3961">
        <v>10</v>
      </c>
    </row>
    <row r="3962" spans="4:23" ht="15.75" customHeight="1" x14ac:dyDescent="0.2">
      <c r="D3962" t="s">
        <v>285</v>
      </c>
      <c r="E3962" t="s">
        <v>490</v>
      </c>
      <c r="F3962">
        <v>20</v>
      </c>
      <c r="U3962" t="s">
        <v>303</v>
      </c>
      <c r="V3962" t="s">
        <v>304</v>
      </c>
      <c r="W3962">
        <v>21</v>
      </c>
    </row>
    <row r="3963" spans="4:23" ht="15.75" customHeight="1" x14ac:dyDescent="0.2">
      <c r="D3963" t="s">
        <v>285</v>
      </c>
      <c r="E3963" t="s">
        <v>490</v>
      </c>
      <c r="F3963">
        <v>20</v>
      </c>
      <c r="U3963" t="s">
        <v>305</v>
      </c>
      <c r="V3963" t="s">
        <v>306</v>
      </c>
      <c r="W3963">
        <v>2</v>
      </c>
    </row>
    <row r="3964" spans="4:23" ht="15.75" customHeight="1" x14ac:dyDescent="0.2">
      <c r="D3964" t="s">
        <v>285</v>
      </c>
      <c r="E3964" t="s">
        <v>490</v>
      </c>
      <c r="F3964">
        <v>20</v>
      </c>
      <c r="U3964" t="s">
        <v>307</v>
      </c>
      <c r="V3964" t="s">
        <v>308</v>
      </c>
      <c r="W3964">
        <v>1</v>
      </c>
    </row>
    <row r="3965" spans="4:23" ht="15.75" customHeight="1" x14ac:dyDescent="0.2">
      <c r="D3965" t="s">
        <v>285</v>
      </c>
      <c r="E3965" t="s">
        <v>490</v>
      </c>
      <c r="F3965">
        <v>20</v>
      </c>
      <c r="U3965" t="s">
        <v>243</v>
      </c>
      <c r="V3965" t="s">
        <v>309</v>
      </c>
      <c r="W3965">
        <v>38.6023</v>
      </c>
    </row>
    <row r="3966" spans="4:23" ht="15.75" customHeight="1" x14ac:dyDescent="0.2">
      <c r="D3966" t="s">
        <v>285</v>
      </c>
      <c r="E3966" t="s">
        <v>490</v>
      </c>
      <c r="F3966">
        <v>20</v>
      </c>
      <c r="U3966" t="s">
        <v>245</v>
      </c>
      <c r="V3966" t="s">
        <v>310</v>
      </c>
      <c r="W3966">
        <v>45016.919399999999</v>
      </c>
    </row>
    <row r="3967" spans="4:23" ht="15.75" customHeight="1" x14ac:dyDescent="0.2">
      <c r="D3967" t="s">
        <v>285</v>
      </c>
      <c r="E3967" t="s">
        <v>490</v>
      </c>
      <c r="F3967">
        <v>20</v>
      </c>
      <c r="U3967" t="s">
        <v>247</v>
      </c>
      <c r="V3967" t="s">
        <v>311</v>
      </c>
      <c r="W3967">
        <v>0.42180000000000001</v>
      </c>
    </row>
    <row r="3968" spans="4:23" ht="15.75" customHeight="1" x14ac:dyDescent="0.2">
      <c r="D3968" t="s">
        <v>285</v>
      </c>
      <c r="E3968" t="s">
        <v>490</v>
      </c>
      <c r="F3968">
        <v>20</v>
      </c>
      <c r="U3968" t="s">
        <v>249</v>
      </c>
      <c r="V3968" t="s">
        <v>312</v>
      </c>
      <c r="W3968">
        <v>181</v>
      </c>
    </row>
    <row r="3969" spans="4:23" ht="15.75" customHeight="1" x14ac:dyDescent="0.2">
      <c r="D3969" t="s">
        <v>285</v>
      </c>
      <c r="E3969" t="s">
        <v>490</v>
      </c>
      <c r="F3969">
        <v>20</v>
      </c>
      <c r="U3969" t="s">
        <v>251</v>
      </c>
      <c r="V3969" t="s">
        <v>313</v>
      </c>
      <c r="W3969">
        <v>87</v>
      </c>
    </row>
    <row r="3970" spans="4:23" ht="15.75" customHeight="1" x14ac:dyDescent="0.2">
      <c r="D3970" t="s">
        <v>285</v>
      </c>
      <c r="E3970" t="s">
        <v>490</v>
      </c>
      <c r="F3970">
        <v>20</v>
      </c>
      <c r="U3970" t="s">
        <v>253</v>
      </c>
      <c r="V3970" t="s">
        <v>314</v>
      </c>
      <c r="W3970">
        <v>1166.1728000000001</v>
      </c>
    </row>
    <row r="3971" spans="4:23" ht="15.75" customHeight="1" x14ac:dyDescent="0.2">
      <c r="D3971" t="s">
        <v>285</v>
      </c>
      <c r="E3971" t="s">
        <v>490</v>
      </c>
      <c r="F3971">
        <v>20</v>
      </c>
      <c r="U3971" t="s">
        <v>315</v>
      </c>
      <c r="V3971" t="s">
        <v>316</v>
      </c>
      <c r="W3971">
        <v>0</v>
      </c>
    </row>
    <row r="3972" spans="4:23" ht="15.75" customHeight="1" x14ac:dyDescent="0.2">
      <c r="D3972" t="s">
        <v>285</v>
      </c>
      <c r="E3972" t="s">
        <v>490</v>
      </c>
      <c r="F3972">
        <v>20</v>
      </c>
      <c r="U3972" t="s">
        <v>317</v>
      </c>
      <c r="V3972" t="s">
        <v>318</v>
      </c>
      <c r="W3972">
        <v>93</v>
      </c>
    </row>
    <row r="3973" spans="4:23" ht="15.75" customHeight="1" x14ac:dyDescent="0.2">
      <c r="D3973" t="s">
        <v>285</v>
      </c>
      <c r="E3973" t="s">
        <v>490</v>
      </c>
      <c r="F3973">
        <v>20</v>
      </c>
      <c r="U3973" t="s">
        <v>257</v>
      </c>
      <c r="V3973" t="s">
        <v>319</v>
      </c>
      <c r="W3973">
        <v>35.241500000000002</v>
      </c>
    </row>
    <row r="3974" spans="4:23" ht="15.75" customHeight="1" x14ac:dyDescent="0.2">
      <c r="D3974" t="s">
        <v>285</v>
      </c>
      <c r="E3974" t="s">
        <v>490</v>
      </c>
      <c r="F3974">
        <v>20</v>
      </c>
      <c r="U3974" t="s">
        <v>320</v>
      </c>
      <c r="V3974" t="s">
        <v>321</v>
      </c>
      <c r="W3974">
        <v>59</v>
      </c>
    </row>
    <row r="3975" spans="4:23" ht="15.75" customHeight="1" x14ac:dyDescent="0.2">
      <c r="D3975" t="s">
        <v>285</v>
      </c>
      <c r="E3975" t="s">
        <v>490</v>
      </c>
      <c r="F3975">
        <v>20</v>
      </c>
      <c r="U3975" t="s">
        <v>263</v>
      </c>
      <c r="V3975" t="s">
        <v>322</v>
      </c>
      <c r="W3975">
        <v>53</v>
      </c>
    </row>
    <row r="3976" spans="4:23" ht="15.75" customHeight="1" x14ac:dyDescent="0.2">
      <c r="D3976" t="s">
        <v>285</v>
      </c>
      <c r="E3976" t="s">
        <v>490</v>
      </c>
      <c r="F3976">
        <v>20</v>
      </c>
      <c r="U3976" t="s">
        <v>323</v>
      </c>
      <c r="V3976" t="s">
        <v>324</v>
      </c>
      <c r="W3976">
        <v>0</v>
      </c>
    </row>
    <row r="3977" spans="4:23" ht="15.75" customHeight="1" x14ac:dyDescent="0.2">
      <c r="D3977" t="s">
        <v>285</v>
      </c>
      <c r="E3977" t="s">
        <v>490</v>
      </c>
      <c r="F3977">
        <v>20</v>
      </c>
      <c r="U3977" t="s">
        <v>325</v>
      </c>
      <c r="V3977" t="s">
        <v>326</v>
      </c>
      <c r="W3977">
        <v>4</v>
      </c>
    </row>
    <row r="3978" spans="4:23" ht="15.75" customHeight="1" x14ac:dyDescent="0.2">
      <c r="D3978" t="s">
        <v>285</v>
      </c>
      <c r="E3978" t="s">
        <v>490</v>
      </c>
      <c r="F3978">
        <v>20</v>
      </c>
      <c r="U3978" t="s">
        <v>327</v>
      </c>
      <c r="V3978" t="s">
        <v>328</v>
      </c>
      <c r="W3978">
        <v>3</v>
      </c>
    </row>
    <row r="3979" spans="4:23" ht="15.75" customHeight="1" x14ac:dyDescent="0.2">
      <c r="D3979" t="s">
        <v>285</v>
      </c>
      <c r="E3979" t="s">
        <v>490</v>
      </c>
      <c r="F3979">
        <v>20</v>
      </c>
      <c r="U3979" t="s">
        <v>329</v>
      </c>
      <c r="V3979" t="s">
        <v>330</v>
      </c>
      <c r="W3979">
        <v>13</v>
      </c>
    </row>
    <row r="3980" spans="4:23" ht="15.75" customHeight="1" x14ac:dyDescent="0.2">
      <c r="D3980" t="s">
        <v>285</v>
      </c>
      <c r="E3980" t="s">
        <v>490</v>
      </c>
      <c r="F3980">
        <v>20</v>
      </c>
      <c r="U3980" t="s">
        <v>331</v>
      </c>
      <c r="V3980" t="s">
        <v>332</v>
      </c>
      <c r="W3980">
        <v>0</v>
      </c>
    </row>
    <row r="3981" spans="4:23" ht="15.75" customHeight="1" x14ac:dyDescent="0.2">
      <c r="D3981" t="s">
        <v>285</v>
      </c>
      <c r="E3981" t="s">
        <v>490</v>
      </c>
      <c r="F3981">
        <v>20</v>
      </c>
      <c r="U3981" t="s">
        <v>333</v>
      </c>
      <c r="V3981" t="s">
        <v>334</v>
      </c>
      <c r="W3981">
        <v>4</v>
      </c>
    </row>
    <row r="3982" spans="4:23" ht="15.75" customHeight="1" x14ac:dyDescent="0.2">
      <c r="D3982" t="s">
        <v>285</v>
      </c>
      <c r="E3982" t="s">
        <v>490</v>
      </c>
      <c r="F3982">
        <v>20</v>
      </c>
      <c r="U3982" t="s">
        <v>335</v>
      </c>
      <c r="V3982" t="s">
        <v>336</v>
      </c>
      <c r="W3982">
        <v>17</v>
      </c>
    </row>
    <row r="3983" spans="4:23" ht="15.75" customHeight="1" x14ac:dyDescent="0.2">
      <c r="D3983" t="s">
        <v>285</v>
      </c>
      <c r="E3983" t="s">
        <v>490</v>
      </c>
      <c r="F3983">
        <v>20</v>
      </c>
      <c r="U3983" t="s">
        <v>337</v>
      </c>
      <c r="V3983" t="s">
        <v>338</v>
      </c>
      <c r="W3983">
        <v>0</v>
      </c>
    </row>
    <row r="3984" spans="4:23" ht="15.75" customHeight="1" x14ac:dyDescent="0.2">
      <c r="D3984" t="s">
        <v>285</v>
      </c>
      <c r="E3984" t="s">
        <v>490</v>
      </c>
      <c r="F3984">
        <v>20</v>
      </c>
      <c r="U3984" t="s">
        <v>339</v>
      </c>
      <c r="V3984" t="s">
        <v>340</v>
      </c>
      <c r="W3984">
        <v>0</v>
      </c>
    </row>
    <row r="3985" spans="4:23" ht="15.75" customHeight="1" x14ac:dyDescent="0.2">
      <c r="D3985" t="s">
        <v>285</v>
      </c>
      <c r="E3985" t="s">
        <v>490</v>
      </c>
      <c r="F3985">
        <v>20</v>
      </c>
      <c r="U3985" t="s">
        <v>341</v>
      </c>
      <c r="V3985" t="s">
        <v>342</v>
      </c>
      <c r="W3985">
        <v>33</v>
      </c>
    </row>
    <row r="3986" spans="4:23" ht="15.75" customHeight="1" x14ac:dyDescent="0.2">
      <c r="D3986" t="s">
        <v>285</v>
      </c>
      <c r="E3986" t="s">
        <v>490</v>
      </c>
      <c r="F3986">
        <v>20</v>
      </c>
      <c r="U3986" t="s">
        <v>343</v>
      </c>
      <c r="V3986" t="s">
        <v>344</v>
      </c>
      <c r="W3986">
        <v>0</v>
      </c>
    </row>
    <row r="3987" spans="4:23" ht="15.75" customHeight="1" x14ac:dyDescent="0.2">
      <c r="D3987" t="s">
        <v>285</v>
      </c>
      <c r="E3987" t="s">
        <v>490</v>
      </c>
      <c r="F3987">
        <v>20</v>
      </c>
      <c r="U3987" t="s">
        <v>345</v>
      </c>
      <c r="V3987" t="s">
        <v>346</v>
      </c>
      <c r="W3987">
        <v>1</v>
      </c>
    </row>
    <row r="3988" spans="4:23" ht="15.75" customHeight="1" x14ac:dyDescent="0.2">
      <c r="D3988" t="s">
        <v>285</v>
      </c>
      <c r="E3988" t="s">
        <v>490</v>
      </c>
      <c r="F3988">
        <v>20</v>
      </c>
      <c r="U3988" t="s">
        <v>347</v>
      </c>
      <c r="V3988" t="s">
        <v>348</v>
      </c>
      <c r="W3988">
        <v>13</v>
      </c>
    </row>
    <row r="3989" spans="4:23" ht="15.75" customHeight="1" x14ac:dyDescent="0.2">
      <c r="D3989" t="s">
        <v>285</v>
      </c>
      <c r="E3989" t="s">
        <v>495</v>
      </c>
      <c r="F3989">
        <v>21</v>
      </c>
      <c r="P3989" t="s">
        <v>496</v>
      </c>
      <c r="Q3989">
        <v>161</v>
      </c>
      <c r="R3989" t="s">
        <v>288</v>
      </c>
      <c r="S3989" t="s">
        <v>2</v>
      </c>
      <c r="T3989">
        <v>0</v>
      </c>
    </row>
    <row r="3990" spans="4:23" ht="15.75" customHeight="1" x14ac:dyDescent="0.2">
      <c r="D3990" t="s">
        <v>285</v>
      </c>
      <c r="E3990" t="s">
        <v>495</v>
      </c>
      <c r="F3990">
        <v>21</v>
      </c>
      <c r="P3990" t="s">
        <v>496</v>
      </c>
      <c r="Q3990">
        <v>161</v>
      </c>
      <c r="R3990" t="s">
        <v>289</v>
      </c>
      <c r="S3990" t="s">
        <v>5</v>
      </c>
      <c r="T3990">
        <v>0</v>
      </c>
    </row>
    <row r="3991" spans="4:23" ht="15.75" customHeight="1" x14ac:dyDescent="0.2">
      <c r="D3991" t="s">
        <v>285</v>
      </c>
      <c r="E3991" t="s">
        <v>495</v>
      </c>
      <c r="F3991">
        <v>21</v>
      </c>
      <c r="P3991" t="s">
        <v>496</v>
      </c>
      <c r="Q3991">
        <v>161</v>
      </c>
      <c r="R3991" t="s">
        <v>290</v>
      </c>
      <c r="S3991" t="s">
        <v>3</v>
      </c>
      <c r="T3991">
        <v>1</v>
      </c>
    </row>
    <row r="3992" spans="4:23" ht="15.75" customHeight="1" x14ac:dyDescent="0.2">
      <c r="D3992" t="s">
        <v>285</v>
      </c>
      <c r="E3992" t="s">
        <v>495</v>
      </c>
      <c r="F3992">
        <v>21</v>
      </c>
      <c r="P3992" t="s">
        <v>496</v>
      </c>
      <c r="Q3992">
        <v>161</v>
      </c>
      <c r="R3992" t="s">
        <v>291</v>
      </c>
      <c r="S3992" t="s">
        <v>4</v>
      </c>
      <c r="T3992">
        <v>1</v>
      </c>
    </row>
    <row r="3993" spans="4:23" ht="15.75" customHeight="1" x14ac:dyDescent="0.2">
      <c r="D3993" t="s">
        <v>285</v>
      </c>
      <c r="E3993" t="s">
        <v>495</v>
      </c>
      <c r="F3993">
        <v>21</v>
      </c>
      <c r="P3993" t="s">
        <v>496</v>
      </c>
      <c r="Q3993">
        <v>161</v>
      </c>
      <c r="R3993" t="s">
        <v>292</v>
      </c>
      <c r="S3993" t="s">
        <v>6</v>
      </c>
      <c r="T3993">
        <v>0</v>
      </c>
    </row>
    <row r="3994" spans="4:23" ht="15.75" customHeight="1" x14ac:dyDescent="0.2">
      <c r="D3994" t="s">
        <v>285</v>
      </c>
      <c r="E3994" t="s">
        <v>495</v>
      </c>
      <c r="F3994">
        <v>21</v>
      </c>
      <c r="P3994" t="s">
        <v>496</v>
      </c>
      <c r="Q3994">
        <v>161</v>
      </c>
      <c r="R3994" t="s">
        <v>243</v>
      </c>
      <c r="S3994" t="s">
        <v>7</v>
      </c>
      <c r="T3994">
        <v>3.75</v>
      </c>
    </row>
    <row r="3995" spans="4:23" ht="15.75" customHeight="1" x14ac:dyDescent="0.2">
      <c r="D3995" t="s">
        <v>285</v>
      </c>
      <c r="E3995" t="s">
        <v>495</v>
      </c>
      <c r="F3995">
        <v>21</v>
      </c>
      <c r="P3995" t="s">
        <v>496</v>
      </c>
      <c r="Q3995">
        <v>161</v>
      </c>
      <c r="R3995" t="s">
        <v>245</v>
      </c>
      <c r="S3995" t="s">
        <v>8</v>
      </c>
      <c r="T3995">
        <v>475.16759999999999</v>
      </c>
    </row>
    <row r="3996" spans="4:23" ht="15.75" customHeight="1" x14ac:dyDescent="0.2">
      <c r="D3996" t="s">
        <v>285</v>
      </c>
      <c r="E3996" t="s">
        <v>495</v>
      </c>
      <c r="F3996">
        <v>21</v>
      </c>
      <c r="P3996" t="s">
        <v>496</v>
      </c>
      <c r="Q3996">
        <v>161</v>
      </c>
      <c r="R3996" t="s">
        <v>247</v>
      </c>
      <c r="S3996" t="s">
        <v>9</v>
      </c>
      <c r="T3996">
        <v>2.0299999999999999E-2</v>
      </c>
    </row>
    <row r="3997" spans="4:23" ht="15.75" customHeight="1" x14ac:dyDescent="0.2">
      <c r="D3997" t="s">
        <v>285</v>
      </c>
      <c r="E3997" t="s">
        <v>495</v>
      </c>
      <c r="F3997">
        <v>21</v>
      </c>
      <c r="P3997" t="s">
        <v>496</v>
      </c>
      <c r="Q3997">
        <v>161</v>
      </c>
      <c r="R3997" t="s">
        <v>249</v>
      </c>
      <c r="S3997" t="s">
        <v>10</v>
      </c>
      <c r="T3997">
        <v>31</v>
      </c>
    </row>
    <row r="3998" spans="4:23" ht="15.75" customHeight="1" x14ac:dyDescent="0.2">
      <c r="D3998" t="s">
        <v>285</v>
      </c>
      <c r="E3998" t="s">
        <v>495</v>
      </c>
      <c r="F3998">
        <v>21</v>
      </c>
      <c r="P3998" t="s">
        <v>496</v>
      </c>
      <c r="Q3998">
        <v>161</v>
      </c>
      <c r="R3998" t="s">
        <v>251</v>
      </c>
      <c r="S3998" t="s">
        <v>11</v>
      </c>
      <c r="T3998">
        <v>17</v>
      </c>
    </row>
    <row r="3999" spans="4:23" ht="15.75" customHeight="1" x14ac:dyDescent="0.2">
      <c r="D3999" t="s">
        <v>285</v>
      </c>
      <c r="E3999" t="s">
        <v>495</v>
      </c>
      <c r="F3999">
        <v>21</v>
      </c>
      <c r="P3999" t="s">
        <v>496</v>
      </c>
      <c r="Q3999">
        <v>161</v>
      </c>
      <c r="R3999" t="s">
        <v>253</v>
      </c>
      <c r="S3999" t="s">
        <v>12</v>
      </c>
      <c r="T3999">
        <v>126.71129999999999</v>
      </c>
    </row>
    <row r="4000" spans="4:23" ht="15.75" customHeight="1" x14ac:dyDescent="0.2">
      <c r="D4000" t="s">
        <v>285</v>
      </c>
      <c r="E4000" t="s">
        <v>495</v>
      </c>
      <c r="F4000">
        <v>21</v>
      </c>
      <c r="P4000" t="s">
        <v>496</v>
      </c>
      <c r="Q4000">
        <v>161</v>
      </c>
      <c r="R4000" t="s">
        <v>255</v>
      </c>
      <c r="S4000" t="s">
        <v>15</v>
      </c>
      <c r="T4000">
        <v>19</v>
      </c>
    </row>
    <row r="4001" spans="4:20" ht="15.75" customHeight="1" x14ac:dyDescent="0.2">
      <c r="D4001" t="s">
        <v>285</v>
      </c>
      <c r="E4001" t="s">
        <v>495</v>
      </c>
      <c r="F4001">
        <v>21</v>
      </c>
      <c r="P4001" t="s">
        <v>496</v>
      </c>
      <c r="Q4001">
        <v>161</v>
      </c>
      <c r="R4001" t="s">
        <v>293</v>
      </c>
      <c r="S4001" t="s">
        <v>13</v>
      </c>
      <c r="T4001">
        <v>1</v>
      </c>
    </row>
    <row r="4002" spans="4:20" ht="15.75" customHeight="1" x14ac:dyDescent="0.2">
      <c r="D4002" t="s">
        <v>285</v>
      </c>
      <c r="E4002" t="s">
        <v>495</v>
      </c>
      <c r="F4002">
        <v>21</v>
      </c>
      <c r="P4002" t="s">
        <v>496</v>
      </c>
      <c r="Q4002">
        <v>161</v>
      </c>
      <c r="R4002" t="s">
        <v>294</v>
      </c>
      <c r="S4002" t="s">
        <v>14</v>
      </c>
      <c r="T4002">
        <v>0</v>
      </c>
    </row>
    <row r="4003" spans="4:20" ht="15.75" customHeight="1" x14ac:dyDescent="0.2">
      <c r="D4003" t="s">
        <v>285</v>
      </c>
      <c r="E4003" t="s">
        <v>495</v>
      </c>
      <c r="F4003">
        <v>21</v>
      </c>
      <c r="P4003" t="s">
        <v>496</v>
      </c>
      <c r="Q4003">
        <v>161</v>
      </c>
      <c r="R4003" t="s">
        <v>257</v>
      </c>
      <c r="S4003" t="s">
        <v>16</v>
      </c>
      <c r="T4003">
        <v>57.398499999999999</v>
      </c>
    </row>
    <row r="4004" spans="4:20" ht="15.75" customHeight="1" x14ac:dyDescent="0.2">
      <c r="D4004" t="s">
        <v>285</v>
      </c>
      <c r="E4004" t="s">
        <v>495</v>
      </c>
      <c r="F4004">
        <v>21</v>
      </c>
      <c r="P4004" t="s">
        <v>496</v>
      </c>
      <c r="Q4004">
        <v>161</v>
      </c>
      <c r="R4004" t="s">
        <v>295</v>
      </c>
      <c r="S4004" t="s">
        <v>17</v>
      </c>
      <c r="T4004">
        <v>0</v>
      </c>
    </row>
    <row r="4005" spans="4:20" ht="15.75" customHeight="1" x14ac:dyDescent="0.2">
      <c r="D4005" t="s">
        <v>285</v>
      </c>
      <c r="E4005" t="s">
        <v>495</v>
      </c>
      <c r="F4005">
        <v>21</v>
      </c>
      <c r="P4005" t="s">
        <v>496</v>
      </c>
      <c r="Q4005">
        <v>161</v>
      </c>
      <c r="R4005" t="s">
        <v>296</v>
      </c>
      <c r="S4005" t="s">
        <v>1</v>
      </c>
      <c r="T4005">
        <v>1</v>
      </c>
    </row>
    <row r="4006" spans="4:20" ht="15.75" customHeight="1" x14ac:dyDescent="0.2">
      <c r="D4006" t="s">
        <v>285</v>
      </c>
      <c r="E4006" t="s">
        <v>495</v>
      </c>
      <c r="F4006">
        <v>21</v>
      </c>
      <c r="P4006" t="s">
        <v>496</v>
      </c>
      <c r="Q4006">
        <v>161</v>
      </c>
      <c r="R4006" t="s">
        <v>297</v>
      </c>
      <c r="S4006" t="s">
        <v>18</v>
      </c>
      <c r="T4006">
        <v>9</v>
      </c>
    </row>
    <row r="4007" spans="4:20" ht="15.75" customHeight="1" x14ac:dyDescent="0.2">
      <c r="D4007" t="s">
        <v>285</v>
      </c>
      <c r="E4007" t="s">
        <v>495</v>
      </c>
      <c r="F4007">
        <v>21</v>
      </c>
      <c r="P4007" t="s">
        <v>496</v>
      </c>
      <c r="Q4007">
        <v>161</v>
      </c>
      <c r="R4007" t="s">
        <v>298</v>
      </c>
      <c r="S4007" t="s">
        <v>19</v>
      </c>
      <c r="T4007">
        <v>0</v>
      </c>
    </row>
    <row r="4008" spans="4:20" ht="15.75" customHeight="1" x14ac:dyDescent="0.2">
      <c r="D4008" t="s">
        <v>285</v>
      </c>
      <c r="E4008" t="s">
        <v>495</v>
      </c>
      <c r="F4008">
        <v>21</v>
      </c>
      <c r="P4008" t="s">
        <v>496</v>
      </c>
      <c r="Q4008">
        <v>161</v>
      </c>
      <c r="R4008" t="s">
        <v>299</v>
      </c>
      <c r="S4008" t="s">
        <v>20</v>
      </c>
      <c r="T4008">
        <v>4</v>
      </c>
    </row>
    <row r="4009" spans="4:20" ht="15.75" customHeight="1" x14ac:dyDescent="0.2">
      <c r="D4009" t="s">
        <v>285</v>
      </c>
      <c r="E4009" t="s">
        <v>495</v>
      </c>
      <c r="F4009">
        <v>21</v>
      </c>
      <c r="P4009" t="s">
        <v>497</v>
      </c>
      <c r="Q4009">
        <v>162</v>
      </c>
      <c r="R4009" t="s">
        <v>288</v>
      </c>
      <c r="S4009" t="s">
        <v>2</v>
      </c>
      <c r="T4009">
        <v>1</v>
      </c>
    </row>
    <row r="4010" spans="4:20" ht="15.75" customHeight="1" x14ac:dyDescent="0.2">
      <c r="D4010" t="s">
        <v>285</v>
      </c>
      <c r="E4010" t="s">
        <v>495</v>
      </c>
      <c r="F4010">
        <v>21</v>
      </c>
      <c r="P4010" t="s">
        <v>497</v>
      </c>
      <c r="Q4010">
        <v>162</v>
      </c>
      <c r="R4010" t="s">
        <v>289</v>
      </c>
      <c r="S4010" t="s">
        <v>5</v>
      </c>
      <c r="T4010">
        <v>0</v>
      </c>
    </row>
    <row r="4011" spans="4:20" ht="15.75" customHeight="1" x14ac:dyDescent="0.2">
      <c r="D4011" t="s">
        <v>285</v>
      </c>
      <c r="E4011" t="s">
        <v>495</v>
      </c>
      <c r="F4011">
        <v>21</v>
      </c>
      <c r="P4011" t="s">
        <v>497</v>
      </c>
      <c r="Q4011">
        <v>162</v>
      </c>
      <c r="R4011" t="s">
        <v>290</v>
      </c>
      <c r="S4011" t="s">
        <v>3</v>
      </c>
      <c r="T4011">
        <v>0</v>
      </c>
    </row>
    <row r="4012" spans="4:20" ht="15.75" customHeight="1" x14ac:dyDescent="0.2">
      <c r="D4012" t="s">
        <v>285</v>
      </c>
      <c r="E4012" t="s">
        <v>495</v>
      </c>
      <c r="F4012">
        <v>21</v>
      </c>
      <c r="P4012" t="s">
        <v>497</v>
      </c>
      <c r="Q4012">
        <v>162</v>
      </c>
      <c r="R4012" t="s">
        <v>291</v>
      </c>
      <c r="S4012" t="s">
        <v>4</v>
      </c>
      <c r="T4012">
        <v>0</v>
      </c>
    </row>
    <row r="4013" spans="4:20" ht="15.75" customHeight="1" x14ac:dyDescent="0.2">
      <c r="D4013" t="s">
        <v>285</v>
      </c>
      <c r="E4013" t="s">
        <v>495</v>
      </c>
      <c r="F4013">
        <v>21</v>
      </c>
      <c r="P4013" t="s">
        <v>497</v>
      </c>
      <c r="Q4013">
        <v>162</v>
      </c>
      <c r="R4013" t="s">
        <v>292</v>
      </c>
      <c r="S4013" t="s">
        <v>6</v>
      </c>
      <c r="T4013">
        <v>0</v>
      </c>
    </row>
    <row r="4014" spans="4:20" ht="15.75" customHeight="1" x14ac:dyDescent="0.2">
      <c r="D4014" t="s">
        <v>285</v>
      </c>
      <c r="E4014" t="s">
        <v>495</v>
      </c>
      <c r="F4014">
        <v>21</v>
      </c>
      <c r="P4014" t="s">
        <v>497</v>
      </c>
      <c r="Q4014">
        <v>162</v>
      </c>
      <c r="R4014" t="s">
        <v>243</v>
      </c>
      <c r="S4014" t="s">
        <v>7</v>
      </c>
      <c r="T4014">
        <v>13.5</v>
      </c>
    </row>
    <row r="4015" spans="4:20" ht="15.75" customHeight="1" x14ac:dyDescent="0.2">
      <c r="D4015" t="s">
        <v>285</v>
      </c>
      <c r="E4015" t="s">
        <v>495</v>
      </c>
      <c r="F4015">
        <v>21</v>
      </c>
      <c r="P4015" t="s">
        <v>497</v>
      </c>
      <c r="Q4015">
        <v>162</v>
      </c>
      <c r="R4015" t="s">
        <v>245</v>
      </c>
      <c r="S4015" t="s">
        <v>8</v>
      </c>
      <c r="T4015">
        <v>3154.0862000000002</v>
      </c>
    </row>
    <row r="4016" spans="4:20" ht="15.75" customHeight="1" x14ac:dyDescent="0.2">
      <c r="D4016" t="s">
        <v>285</v>
      </c>
      <c r="E4016" t="s">
        <v>495</v>
      </c>
      <c r="F4016">
        <v>21</v>
      </c>
      <c r="P4016" t="s">
        <v>497</v>
      </c>
      <c r="Q4016">
        <v>162</v>
      </c>
      <c r="R4016" t="s">
        <v>247</v>
      </c>
      <c r="S4016" t="s">
        <v>9</v>
      </c>
      <c r="T4016">
        <v>7.17E-2</v>
      </c>
    </row>
    <row r="4017" spans="4:20" ht="15.75" customHeight="1" x14ac:dyDescent="0.2">
      <c r="D4017" t="s">
        <v>285</v>
      </c>
      <c r="E4017" t="s">
        <v>495</v>
      </c>
      <c r="F4017">
        <v>21</v>
      </c>
      <c r="P4017" t="s">
        <v>497</v>
      </c>
      <c r="Q4017">
        <v>162</v>
      </c>
      <c r="R4017" t="s">
        <v>249</v>
      </c>
      <c r="S4017" t="s">
        <v>10</v>
      </c>
      <c r="T4017">
        <v>55</v>
      </c>
    </row>
    <row r="4018" spans="4:20" ht="15.75" customHeight="1" x14ac:dyDescent="0.2">
      <c r="D4018" t="s">
        <v>285</v>
      </c>
      <c r="E4018" t="s">
        <v>495</v>
      </c>
      <c r="F4018">
        <v>21</v>
      </c>
      <c r="P4018" t="s">
        <v>497</v>
      </c>
      <c r="Q4018">
        <v>162</v>
      </c>
      <c r="R4018" t="s">
        <v>251</v>
      </c>
      <c r="S4018" t="s">
        <v>11</v>
      </c>
      <c r="T4018">
        <v>19</v>
      </c>
    </row>
    <row r="4019" spans="4:20" ht="15.75" customHeight="1" x14ac:dyDescent="0.2">
      <c r="D4019" t="s">
        <v>285</v>
      </c>
      <c r="E4019" t="s">
        <v>495</v>
      </c>
      <c r="F4019">
        <v>21</v>
      </c>
      <c r="P4019" t="s">
        <v>497</v>
      </c>
      <c r="Q4019">
        <v>162</v>
      </c>
      <c r="R4019" t="s">
        <v>253</v>
      </c>
      <c r="S4019" t="s">
        <v>12</v>
      </c>
      <c r="T4019">
        <v>233.636</v>
      </c>
    </row>
    <row r="4020" spans="4:20" ht="15.75" customHeight="1" x14ac:dyDescent="0.2">
      <c r="D4020" t="s">
        <v>285</v>
      </c>
      <c r="E4020" t="s">
        <v>495</v>
      </c>
      <c r="F4020">
        <v>21</v>
      </c>
      <c r="P4020" t="s">
        <v>497</v>
      </c>
      <c r="Q4020">
        <v>162</v>
      </c>
      <c r="R4020" t="s">
        <v>255</v>
      </c>
      <c r="S4020" t="s">
        <v>15</v>
      </c>
      <c r="T4020">
        <v>36</v>
      </c>
    </row>
    <row r="4021" spans="4:20" ht="15.75" customHeight="1" x14ac:dyDescent="0.2">
      <c r="D4021" t="s">
        <v>285</v>
      </c>
      <c r="E4021" t="s">
        <v>495</v>
      </c>
      <c r="F4021">
        <v>21</v>
      </c>
      <c r="P4021" t="s">
        <v>497</v>
      </c>
      <c r="Q4021">
        <v>162</v>
      </c>
      <c r="R4021" t="s">
        <v>293</v>
      </c>
      <c r="S4021" t="s">
        <v>13</v>
      </c>
      <c r="T4021">
        <v>1</v>
      </c>
    </row>
    <row r="4022" spans="4:20" ht="15.75" customHeight="1" x14ac:dyDescent="0.2">
      <c r="D4022" t="s">
        <v>285</v>
      </c>
      <c r="E4022" t="s">
        <v>495</v>
      </c>
      <c r="F4022">
        <v>21</v>
      </c>
      <c r="P4022" t="s">
        <v>497</v>
      </c>
      <c r="Q4022">
        <v>162</v>
      </c>
      <c r="R4022" t="s">
        <v>294</v>
      </c>
      <c r="S4022" t="s">
        <v>14</v>
      </c>
      <c r="T4022">
        <v>0</v>
      </c>
    </row>
    <row r="4023" spans="4:20" ht="15.75" customHeight="1" x14ac:dyDescent="0.2">
      <c r="D4023" t="s">
        <v>285</v>
      </c>
      <c r="E4023" t="s">
        <v>495</v>
      </c>
      <c r="F4023">
        <v>21</v>
      </c>
      <c r="P4023" t="s">
        <v>497</v>
      </c>
      <c r="Q4023">
        <v>162</v>
      </c>
      <c r="R4023" t="s">
        <v>257</v>
      </c>
      <c r="S4023" t="s">
        <v>16</v>
      </c>
      <c r="T4023">
        <v>49.212899999999998</v>
      </c>
    </row>
    <row r="4024" spans="4:20" ht="15.75" customHeight="1" x14ac:dyDescent="0.2">
      <c r="D4024" t="s">
        <v>285</v>
      </c>
      <c r="E4024" t="s">
        <v>495</v>
      </c>
      <c r="F4024">
        <v>21</v>
      </c>
      <c r="P4024" t="s">
        <v>497</v>
      </c>
      <c r="Q4024">
        <v>162</v>
      </c>
      <c r="R4024" t="s">
        <v>295</v>
      </c>
      <c r="S4024" t="s">
        <v>17</v>
      </c>
      <c r="T4024">
        <v>1</v>
      </c>
    </row>
    <row r="4025" spans="4:20" ht="15.75" customHeight="1" x14ac:dyDescent="0.2">
      <c r="D4025" t="s">
        <v>285</v>
      </c>
      <c r="E4025" t="s">
        <v>495</v>
      </c>
      <c r="F4025">
        <v>21</v>
      </c>
      <c r="P4025" t="s">
        <v>497</v>
      </c>
      <c r="Q4025">
        <v>162</v>
      </c>
      <c r="R4025" t="s">
        <v>296</v>
      </c>
      <c r="S4025" t="s">
        <v>1</v>
      </c>
      <c r="T4025">
        <v>7</v>
      </c>
    </row>
    <row r="4026" spans="4:20" ht="15.75" customHeight="1" x14ac:dyDescent="0.2">
      <c r="D4026" t="s">
        <v>285</v>
      </c>
      <c r="E4026" t="s">
        <v>495</v>
      </c>
      <c r="F4026">
        <v>21</v>
      </c>
      <c r="P4026" t="s">
        <v>497</v>
      </c>
      <c r="Q4026">
        <v>162</v>
      </c>
      <c r="R4026" t="s">
        <v>297</v>
      </c>
      <c r="S4026" t="s">
        <v>18</v>
      </c>
      <c r="T4026">
        <v>9</v>
      </c>
    </row>
    <row r="4027" spans="4:20" ht="15.75" customHeight="1" x14ac:dyDescent="0.2">
      <c r="D4027" t="s">
        <v>285</v>
      </c>
      <c r="E4027" t="s">
        <v>495</v>
      </c>
      <c r="F4027">
        <v>21</v>
      </c>
      <c r="P4027" t="s">
        <v>497</v>
      </c>
      <c r="Q4027">
        <v>162</v>
      </c>
      <c r="R4027" t="s">
        <v>298</v>
      </c>
      <c r="S4027" t="s">
        <v>19</v>
      </c>
      <c r="T4027">
        <v>0</v>
      </c>
    </row>
    <row r="4028" spans="4:20" ht="15.75" customHeight="1" x14ac:dyDescent="0.2">
      <c r="D4028" t="s">
        <v>285</v>
      </c>
      <c r="E4028" t="s">
        <v>495</v>
      </c>
      <c r="F4028">
        <v>21</v>
      </c>
      <c r="P4028" t="s">
        <v>497</v>
      </c>
      <c r="Q4028">
        <v>162</v>
      </c>
      <c r="R4028" t="s">
        <v>299</v>
      </c>
      <c r="S4028" t="s">
        <v>20</v>
      </c>
      <c r="T4028">
        <v>3</v>
      </c>
    </row>
    <row r="4029" spans="4:20" ht="15.75" customHeight="1" x14ac:dyDescent="0.2">
      <c r="D4029" t="s">
        <v>285</v>
      </c>
      <c r="E4029" t="s">
        <v>495</v>
      </c>
      <c r="F4029">
        <v>21</v>
      </c>
      <c r="P4029" t="s">
        <v>459</v>
      </c>
      <c r="Q4029">
        <v>163</v>
      </c>
      <c r="R4029" t="s">
        <v>288</v>
      </c>
      <c r="S4029" t="s">
        <v>2</v>
      </c>
      <c r="T4029">
        <v>4</v>
      </c>
    </row>
    <row r="4030" spans="4:20" ht="15.75" customHeight="1" x14ac:dyDescent="0.2">
      <c r="D4030" t="s">
        <v>285</v>
      </c>
      <c r="E4030" t="s">
        <v>495</v>
      </c>
      <c r="F4030">
        <v>21</v>
      </c>
      <c r="P4030" t="s">
        <v>459</v>
      </c>
      <c r="Q4030">
        <v>163</v>
      </c>
      <c r="R4030" t="s">
        <v>289</v>
      </c>
      <c r="S4030" t="s">
        <v>5</v>
      </c>
      <c r="T4030">
        <v>1</v>
      </c>
    </row>
    <row r="4031" spans="4:20" ht="15.75" customHeight="1" x14ac:dyDescent="0.2">
      <c r="D4031" t="s">
        <v>285</v>
      </c>
      <c r="E4031" t="s">
        <v>495</v>
      </c>
      <c r="F4031">
        <v>21</v>
      </c>
      <c r="P4031" t="s">
        <v>459</v>
      </c>
      <c r="Q4031">
        <v>163</v>
      </c>
      <c r="R4031" t="s">
        <v>290</v>
      </c>
      <c r="S4031" t="s">
        <v>3</v>
      </c>
      <c r="T4031">
        <v>0.5</v>
      </c>
    </row>
    <row r="4032" spans="4:20" ht="15.75" customHeight="1" x14ac:dyDescent="0.2">
      <c r="D4032" t="s">
        <v>285</v>
      </c>
      <c r="E4032" t="s">
        <v>495</v>
      </c>
      <c r="F4032">
        <v>21</v>
      </c>
      <c r="P4032" t="s">
        <v>459</v>
      </c>
      <c r="Q4032">
        <v>163</v>
      </c>
      <c r="R4032" t="s">
        <v>291</v>
      </c>
      <c r="S4032" t="s">
        <v>4</v>
      </c>
      <c r="T4032">
        <v>3</v>
      </c>
    </row>
    <row r="4033" spans="4:20" ht="15.75" customHeight="1" x14ac:dyDescent="0.2">
      <c r="D4033" t="s">
        <v>285</v>
      </c>
      <c r="E4033" t="s">
        <v>495</v>
      </c>
      <c r="F4033">
        <v>21</v>
      </c>
      <c r="P4033" t="s">
        <v>459</v>
      </c>
      <c r="Q4033">
        <v>163</v>
      </c>
      <c r="R4033" t="s">
        <v>292</v>
      </c>
      <c r="S4033" t="s">
        <v>6</v>
      </c>
      <c r="T4033">
        <v>0</v>
      </c>
    </row>
    <row r="4034" spans="4:20" ht="15.75" customHeight="1" x14ac:dyDescent="0.2">
      <c r="D4034" t="s">
        <v>285</v>
      </c>
      <c r="E4034" t="s">
        <v>495</v>
      </c>
      <c r="F4034">
        <v>21</v>
      </c>
      <c r="P4034" t="s">
        <v>459</v>
      </c>
      <c r="Q4034">
        <v>163</v>
      </c>
      <c r="R4034" t="s">
        <v>243</v>
      </c>
      <c r="S4034" t="s">
        <v>7</v>
      </c>
      <c r="T4034">
        <v>11</v>
      </c>
    </row>
    <row r="4035" spans="4:20" ht="15.75" customHeight="1" x14ac:dyDescent="0.2">
      <c r="D4035" t="s">
        <v>285</v>
      </c>
      <c r="E4035" t="s">
        <v>495</v>
      </c>
      <c r="F4035">
        <v>21</v>
      </c>
      <c r="P4035" t="s">
        <v>459</v>
      </c>
      <c r="Q4035">
        <v>163</v>
      </c>
      <c r="R4035" t="s">
        <v>245</v>
      </c>
      <c r="S4035" t="s">
        <v>8</v>
      </c>
      <c r="T4035">
        <v>988.44330000000002</v>
      </c>
    </row>
    <row r="4036" spans="4:20" ht="15.75" customHeight="1" x14ac:dyDescent="0.2">
      <c r="D4036" t="s">
        <v>285</v>
      </c>
      <c r="E4036" t="s">
        <v>495</v>
      </c>
      <c r="F4036">
        <v>21</v>
      </c>
      <c r="P4036" t="s">
        <v>459</v>
      </c>
      <c r="Q4036">
        <v>163</v>
      </c>
      <c r="R4036" t="s">
        <v>247</v>
      </c>
      <c r="S4036" t="s">
        <v>9</v>
      </c>
      <c r="T4036">
        <v>3.3099999999999997E-2</v>
      </c>
    </row>
    <row r="4037" spans="4:20" ht="15.75" customHeight="1" x14ac:dyDescent="0.2">
      <c r="D4037" t="s">
        <v>285</v>
      </c>
      <c r="E4037" t="s">
        <v>495</v>
      </c>
      <c r="F4037">
        <v>21</v>
      </c>
      <c r="P4037" t="s">
        <v>459</v>
      </c>
      <c r="Q4037">
        <v>163</v>
      </c>
      <c r="R4037" t="s">
        <v>249</v>
      </c>
      <c r="S4037" t="s">
        <v>10</v>
      </c>
      <c r="T4037">
        <v>23</v>
      </c>
    </row>
    <row r="4038" spans="4:20" ht="15.75" customHeight="1" x14ac:dyDescent="0.2">
      <c r="D4038" t="s">
        <v>285</v>
      </c>
      <c r="E4038" t="s">
        <v>495</v>
      </c>
      <c r="F4038">
        <v>21</v>
      </c>
      <c r="P4038" t="s">
        <v>459</v>
      </c>
      <c r="Q4038">
        <v>163</v>
      </c>
      <c r="R4038" t="s">
        <v>251</v>
      </c>
      <c r="S4038" t="s">
        <v>11</v>
      </c>
      <c r="T4038">
        <v>15</v>
      </c>
    </row>
    <row r="4039" spans="4:20" ht="15.75" customHeight="1" x14ac:dyDescent="0.2">
      <c r="D4039" t="s">
        <v>285</v>
      </c>
      <c r="E4039" t="s">
        <v>495</v>
      </c>
      <c r="F4039">
        <v>21</v>
      </c>
      <c r="P4039" t="s">
        <v>459</v>
      </c>
      <c r="Q4039">
        <v>163</v>
      </c>
      <c r="R4039" t="s">
        <v>253</v>
      </c>
      <c r="S4039" t="s">
        <v>12</v>
      </c>
      <c r="T4039">
        <v>89.858500000000006</v>
      </c>
    </row>
    <row r="4040" spans="4:20" ht="15.75" customHeight="1" x14ac:dyDescent="0.2">
      <c r="D4040" t="s">
        <v>285</v>
      </c>
      <c r="E4040" t="s">
        <v>495</v>
      </c>
      <c r="F4040">
        <v>21</v>
      </c>
      <c r="P4040" t="s">
        <v>459</v>
      </c>
      <c r="Q4040">
        <v>163</v>
      </c>
      <c r="R4040" t="s">
        <v>255</v>
      </c>
      <c r="S4040" t="s">
        <v>15</v>
      </c>
      <c r="T4040">
        <v>19</v>
      </c>
    </row>
    <row r="4041" spans="4:20" ht="15.75" customHeight="1" x14ac:dyDescent="0.2">
      <c r="D4041" t="s">
        <v>285</v>
      </c>
      <c r="E4041" t="s">
        <v>495</v>
      </c>
      <c r="F4041">
        <v>21</v>
      </c>
      <c r="P4041" t="s">
        <v>459</v>
      </c>
      <c r="Q4041">
        <v>163</v>
      </c>
      <c r="R4041" t="s">
        <v>293</v>
      </c>
      <c r="S4041" t="s">
        <v>13</v>
      </c>
      <c r="T4041">
        <v>1</v>
      </c>
    </row>
    <row r="4042" spans="4:20" ht="15.75" customHeight="1" x14ac:dyDescent="0.2">
      <c r="D4042" t="s">
        <v>285</v>
      </c>
      <c r="E4042" t="s">
        <v>495</v>
      </c>
      <c r="F4042">
        <v>21</v>
      </c>
      <c r="P4042" t="s">
        <v>459</v>
      </c>
      <c r="Q4042">
        <v>163</v>
      </c>
      <c r="R4042" t="s">
        <v>294</v>
      </c>
      <c r="S4042" t="s">
        <v>14</v>
      </c>
      <c r="T4042">
        <v>2</v>
      </c>
    </row>
    <row r="4043" spans="4:20" ht="15.75" customHeight="1" x14ac:dyDescent="0.2">
      <c r="D4043" t="s">
        <v>285</v>
      </c>
      <c r="E4043" t="s">
        <v>495</v>
      </c>
      <c r="F4043">
        <v>21</v>
      </c>
      <c r="P4043" t="s">
        <v>459</v>
      </c>
      <c r="Q4043">
        <v>163</v>
      </c>
      <c r="R4043" t="s">
        <v>257</v>
      </c>
      <c r="S4043" t="s">
        <v>16</v>
      </c>
      <c r="T4043">
        <v>58.239199999999997</v>
      </c>
    </row>
    <row r="4044" spans="4:20" ht="15.75" customHeight="1" x14ac:dyDescent="0.2">
      <c r="D4044" t="s">
        <v>285</v>
      </c>
      <c r="E4044" t="s">
        <v>495</v>
      </c>
      <c r="F4044">
        <v>21</v>
      </c>
      <c r="P4044" t="s">
        <v>459</v>
      </c>
      <c r="Q4044">
        <v>163</v>
      </c>
      <c r="R4044" t="s">
        <v>295</v>
      </c>
      <c r="S4044" t="s">
        <v>17</v>
      </c>
      <c r="T4044">
        <v>1</v>
      </c>
    </row>
    <row r="4045" spans="4:20" ht="15.75" customHeight="1" x14ac:dyDescent="0.2">
      <c r="D4045" t="s">
        <v>285</v>
      </c>
      <c r="E4045" t="s">
        <v>495</v>
      </c>
      <c r="F4045">
        <v>21</v>
      </c>
      <c r="P4045" t="s">
        <v>459</v>
      </c>
      <c r="Q4045">
        <v>163</v>
      </c>
      <c r="R4045" t="s">
        <v>296</v>
      </c>
      <c r="S4045" t="s">
        <v>1</v>
      </c>
      <c r="T4045">
        <v>5</v>
      </c>
    </row>
    <row r="4046" spans="4:20" ht="15.75" customHeight="1" x14ac:dyDescent="0.2">
      <c r="D4046" t="s">
        <v>285</v>
      </c>
      <c r="E4046" t="s">
        <v>495</v>
      </c>
      <c r="F4046">
        <v>21</v>
      </c>
      <c r="P4046" t="s">
        <v>459</v>
      </c>
      <c r="Q4046">
        <v>163</v>
      </c>
      <c r="R4046" t="s">
        <v>297</v>
      </c>
      <c r="S4046" t="s">
        <v>18</v>
      </c>
      <c r="T4046">
        <v>4</v>
      </c>
    </row>
    <row r="4047" spans="4:20" ht="15.75" customHeight="1" x14ac:dyDescent="0.2">
      <c r="D4047" t="s">
        <v>285</v>
      </c>
      <c r="E4047" t="s">
        <v>495</v>
      </c>
      <c r="F4047">
        <v>21</v>
      </c>
      <c r="P4047" t="s">
        <v>459</v>
      </c>
      <c r="Q4047">
        <v>163</v>
      </c>
      <c r="R4047" t="s">
        <v>298</v>
      </c>
      <c r="S4047" t="s">
        <v>19</v>
      </c>
      <c r="T4047">
        <v>2</v>
      </c>
    </row>
    <row r="4048" spans="4:20" ht="15.75" customHeight="1" x14ac:dyDescent="0.2">
      <c r="D4048" t="s">
        <v>285</v>
      </c>
      <c r="E4048" t="s">
        <v>495</v>
      </c>
      <c r="F4048">
        <v>21</v>
      </c>
      <c r="P4048" t="s">
        <v>459</v>
      </c>
      <c r="Q4048">
        <v>163</v>
      </c>
      <c r="R4048" t="s">
        <v>299</v>
      </c>
      <c r="S4048" t="s">
        <v>20</v>
      </c>
      <c r="T4048">
        <v>0</v>
      </c>
    </row>
    <row r="4049" spans="4:20" ht="15.75" customHeight="1" x14ac:dyDescent="0.2">
      <c r="D4049" t="s">
        <v>285</v>
      </c>
      <c r="E4049" t="s">
        <v>495</v>
      </c>
      <c r="F4049">
        <v>21</v>
      </c>
      <c r="P4049" t="s">
        <v>460</v>
      </c>
      <c r="Q4049">
        <v>164</v>
      </c>
      <c r="R4049" t="s">
        <v>288</v>
      </c>
      <c r="S4049" t="s">
        <v>2</v>
      </c>
      <c r="T4049">
        <v>0</v>
      </c>
    </row>
    <row r="4050" spans="4:20" ht="15.75" customHeight="1" x14ac:dyDescent="0.2">
      <c r="D4050" t="s">
        <v>285</v>
      </c>
      <c r="E4050" t="s">
        <v>495</v>
      </c>
      <c r="F4050">
        <v>21</v>
      </c>
      <c r="P4050" t="s">
        <v>460</v>
      </c>
      <c r="Q4050">
        <v>164</v>
      </c>
      <c r="R4050" t="s">
        <v>289</v>
      </c>
      <c r="S4050" t="s">
        <v>5</v>
      </c>
      <c r="T4050">
        <v>0</v>
      </c>
    </row>
    <row r="4051" spans="4:20" ht="15.75" customHeight="1" x14ac:dyDescent="0.2">
      <c r="D4051" t="s">
        <v>285</v>
      </c>
      <c r="E4051" t="s">
        <v>495</v>
      </c>
      <c r="F4051">
        <v>21</v>
      </c>
      <c r="P4051" t="s">
        <v>460</v>
      </c>
      <c r="Q4051">
        <v>164</v>
      </c>
      <c r="R4051" t="s">
        <v>290</v>
      </c>
      <c r="S4051" t="s">
        <v>3</v>
      </c>
      <c r="T4051">
        <v>0</v>
      </c>
    </row>
    <row r="4052" spans="4:20" ht="15.75" customHeight="1" x14ac:dyDescent="0.2">
      <c r="D4052" t="s">
        <v>285</v>
      </c>
      <c r="E4052" t="s">
        <v>495</v>
      </c>
      <c r="F4052">
        <v>21</v>
      </c>
      <c r="P4052" t="s">
        <v>460</v>
      </c>
      <c r="Q4052">
        <v>164</v>
      </c>
      <c r="R4052" t="s">
        <v>291</v>
      </c>
      <c r="S4052" t="s">
        <v>4</v>
      </c>
      <c r="T4052">
        <v>0</v>
      </c>
    </row>
    <row r="4053" spans="4:20" ht="15.75" customHeight="1" x14ac:dyDescent="0.2">
      <c r="D4053" t="s">
        <v>285</v>
      </c>
      <c r="E4053" t="s">
        <v>495</v>
      </c>
      <c r="F4053">
        <v>21</v>
      </c>
      <c r="P4053" t="s">
        <v>460</v>
      </c>
      <c r="Q4053">
        <v>164</v>
      </c>
      <c r="R4053" t="s">
        <v>292</v>
      </c>
      <c r="S4053" t="s">
        <v>6</v>
      </c>
      <c r="T4053">
        <v>0</v>
      </c>
    </row>
    <row r="4054" spans="4:20" ht="15.75" customHeight="1" x14ac:dyDescent="0.2">
      <c r="D4054" t="s">
        <v>285</v>
      </c>
      <c r="E4054" t="s">
        <v>495</v>
      </c>
      <c r="F4054">
        <v>21</v>
      </c>
      <c r="P4054" t="s">
        <v>460</v>
      </c>
      <c r="Q4054">
        <v>164</v>
      </c>
      <c r="R4054" t="s">
        <v>243</v>
      </c>
      <c r="S4054" t="s">
        <v>7</v>
      </c>
      <c r="T4054">
        <v>1</v>
      </c>
    </row>
    <row r="4055" spans="4:20" ht="15.75" customHeight="1" x14ac:dyDescent="0.2">
      <c r="D4055" t="s">
        <v>285</v>
      </c>
      <c r="E4055" t="s">
        <v>495</v>
      </c>
      <c r="F4055">
        <v>21</v>
      </c>
      <c r="P4055" t="s">
        <v>460</v>
      </c>
      <c r="Q4055">
        <v>164</v>
      </c>
      <c r="R4055" t="s">
        <v>245</v>
      </c>
      <c r="S4055" t="s">
        <v>8</v>
      </c>
      <c r="T4055">
        <v>4.7549000000000001</v>
      </c>
    </row>
    <row r="4056" spans="4:20" ht="15.75" customHeight="1" x14ac:dyDescent="0.2">
      <c r="D4056" t="s">
        <v>285</v>
      </c>
      <c r="E4056" t="s">
        <v>495</v>
      </c>
      <c r="F4056">
        <v>21</v>
      </c>
      <c r="P4056" t="s">
        <v>460</v>
      </c>
      <c r="Q4056">
        <v>164</v>
      </c>
      <c r="R4056" t="s">
        <v>247</v>
      </c>
      <c r="S4056" t="s">
        <v>9</v>
      </c>
      <c r="T4056">
        <v>8.9999999999999998E-4</v>
      </c>
    </row>
    <row r="4057" spans="4:20" ht="15.75" customHeight="1" x14ac:dyDescent="0.2">
      <c r="D4057" t="s">
        <v>285</v>
      </c>
      <c r="E4057" t="s">
        <v>495</v>
      </c>
      <c r="F4057">
        <v>21</v>
      </c>
      <c r="P4057" t="s">
        <v>460</v>
      </c>
      <c r="Q4057">
        <v>164</v>
      </c>
      <c r="R4057" t="s">
        <v>249</v>
      </c>
      <c r="S4057" t="s">
        <v>10</v>
      </c>
      <c r="T4057">
        <v>3</v>
      </c>
    </row>
    <row r="4058" spans="4:20" ht="15.75" customHeight="1" x14ac:dyDescent="0.2">
      <c r="D4058" t="s">
        <v>285</v>
      </c>
      <c r="E4058" t="s">
        <v>495</v>
      </c>
      <c r="F4058">
        <v>21</v>
      </c>
      <c r="P4058" t="s">
        <v>460</v>
      </c>
      <c r="Q4058">
        <v>164</v>
      </c>
      <c r="R4058" t="s">
        <v>251</v>
      </c>
      <c r="S4058" t="s">
        <v>11</v>
      </c>
      <c r="T4058">
        <v>3</v>
      </c>
    </row>
    <row r="4059" spans="4:20" ht="15.75" customHeight="1" x14ac:dyDescent="0.2">
      <c r="D4059" t="s">
        <v>285</v>
      </c>
      <c r="E4059" t="s">
        <v>495</v>
      </c>
      <c r="F4059">
        <v>21</v>
      </c>
      <c r="P4059" t="s">
        <v>460</v>
      </c>
      <c r="Q4059">
        <v>164</v>
      </c>
      <c r="R4059" t="s">
        <v>253</v>
      </c>
      <c r="S4059" t="s">
        <v>12</v>
      </c>
      <c r="T4059">
        <v>4.7549000000000001</v>
      </c>
    </row>
    <row r="4060" spans="4:20" ht="15.75" customHeight="1" x14ac:dyDescent="0.2">
      <c r="D4060" t="s">
        <v>285</v>
      </c>
      <c r="E4060" t="s">
        <v>495</v>
      </c>
      <c r="F4060">
        <v>21</v>
      </c>
      <c r="P4060" t="s">
        <v>460</v>
      </c>
      <c r="Q4060">
        <v>164</v>
      </c>
      <c r="R4060" t="s">
        <v>255</v>
      </c>
      <c r="S4060" t="s">
        <v>15</v>
      </c>
      <c r="T4060">
        <v>15</v>
      </c>
    </row>
    <row r="4061" spans="4:20" ht="15.75" customHeight="1" x14ac:dyDescent="0.2">
      <c r="D4061" t="s">
        <v>285</v>
      </c>
      <c r="E4061" t="s">
        <v>495</v>
      </c>
      <c r="F4061">
        <v>21</v>
      </c>
      <c r="P4061" t="s">
        <v>460</v>
      </c>
      <c r="Q4061">
        <v>164</v>
      </c>
      <c r="R4061" t="s">
        <v>293</v>
      </c>
      <c r="S4061" t="s">
        <v>13</v>
      </c>
      <c r="T4061">
        <v>1</v>
      </c>
    </row>
    <row r="4062" spans="4:20" ht="15.75" customHeight="1" x14ac:dyDescent="0.2">
      <c r="D4062" t="s">
        <v>285</v>
      </c>
      <c r="E4062" t="s">
        <v>495</v>
      </c>
      <c r="F4062">
        <v>21</v>
      </c>
      <c r="P4062" t="s">
        <v>460</v>
      </c>
      <c r="Q4062">
        <v>164</v>
      </c>
      <c r="R4062" t="s">
        <v>294</v>
      </c>
      <c r="S4062" t="s">
        <v>14</v>
      </c>
      <c r="T4062">
        <v>0</v>
      </c>
    </row>
    <row r="4063" spans="4:20" ht="15.75" customHeight="1" x14ac:dyDescent="0.2">
      <c r="D4063" t="s">
        <v>285</v>
      </c>
      <c r="E4063" t="s">
        <v>495</v>
      </c>
      <c r="F4063">
        <v>21</v>
      </c>
      <c r="P4063" t="s">
        <v>460</v>
      </c>
      <c r="Q4063">
        <v>164</v>
      </c>
      <c r="R4063" t="s">
        <v>257</v>
      </c>
      <c r="S4063" t="s">
        <v>16</v>
      </c>
      <c r="T4063">
        <v>70.129199999999997</v>
      </c>
    </row>
    <row r="4064" spans="4:20" ht="15.75" customHeight="1" x14ac:dyDescent="0.2">
      <c r="D4064" t="s">
        <v>285</v>
      </c>
      <c r="E4064" t="s">
        <v>495</v>
      </c>
      <c r="F4064">
        <v>21</v>
      </c>
      <c r="P4064" t="s">
        <v>460</v>
      </c>
      <c r="Q4064">
        <v>164</v>
      </c>
      <c r="R4064" t="s">
        <v>295</v>
      </c>
      <c r="S4064" t="s">
        <v>17</v>
      </c>
      <c r="T4064">
        <v>0</v>
      </c>
    </row>
    <row r="4065" spans="4:20" ht="15.75" customHeight="1" x14ac:dyDescent="0.2">
      <c r="D4065" t="s">
        <v>285</v>
      </c>
      <c r="E4065" t="s">
        <v>495</v>
      </c>
      <c r="F4065">
        <v>21</v>
      </c>
      <c r="P4065" t="s">
        <v>460</v>
      </c>
      <c r="Q4065">
        <v>164</v>
      </c>
      <c r="R4065" t="s">
        <v>296</v>
      </c>
      <c r="S4065" t="s">
        <v>1</v>
      </c>
      <c r="T4065">
        <v>1</v>
      </c>
    </row>
    <row r="4066" spans="4:20" ht="15.75" customHeight="1" x14ac:dyDescent="0.2">
      <c r="D4066" t="s">
        <v>285</v>
      </c>
      <c r="E4066" t="s">
        <v>495</v>
      </c>
      <c r="F4066">
        <v>21</v>
      </c>
      <c r="P4066" t="s">
        <v>460</v>
      </c>
      <c r="Q4066">
        <v>164</v>
      </c>
      <c r="R4066" t="s">
        <v>297</v>
      </c>
      <c r="S4066" t="s">
        <v>18</v>
      </c>
      <c r="T4066">
        <v>1</v>
      </c>
    </row>
    <row r="4067" spans="4:20" ht="15.75" customHeight="1" x14ac:dyDescent="0.2">
      <c r="D4067" t="s">
        <v>285</v>
      </c>
      <c r="E4067" t="s">
        <v>495</v>
      </c>
      <c r="F4067">
        <v>21</v>
      </c>
      <c r="P4067" t="s">
        <v>460</v>
      </c>
      <c r="Q4067">
        <v>164</v>
      </c>
      <c r="R4067" t="s">
        <v>298</v>
      </c>
      <c r="S4067" t="s">
        <v>19</v>
      </c>
      <c r="T4067">
        <v>0</v>
      </c>
    </row>
    <row r="4068" spans="4:20" ht="15.75" customHeight="1" x14ac:dyDescent="0.2">
      <c r="D4068" t="s">
        <v>285</v>
      </c>
      <c r="E4068" t="s">
        <v>495</v>
      </c>
      <c r="F4068">
        <v>21</v>
      </c>
      <c r="P4068" t="s">
        <v>460</v>
      </c>
      <c r="Q4068">
        <v>164</v>
      </c>
      <c r="R4068" t="s">
        <v>299</v>
      </c>
      <c r="S4068" t="s">
        <v>20</v>
      </c>
      <c r="T4068">
        <v>0</v>
      </c>
    </row>
    <row r="4069" spans="4:20" ht="15.75" customHeight="1" x14ac:dyDescent="0.2">
      <c r="D4069" t="s">
        <v>285</v>
      </c>
      <c r="E4069" t="s">
        <v>495</v>
      </c>
      <c r="F4069">
        <v>21</v>
      </c>
      <c r="P4069" t="s">
        <v>461</v>
      </c>
      <c r="Q4069">
        <v>165</v>
      </c>
      <c r="R4069" t="s">
        <v>288</v>
      </c>
      <c r="S4069" t="s">
        <v>2</v>
      </c>
      <c r="T4069">
        <v>2</v>
      </c>
    </row>
    <row r="4070" spans="4:20" ht="15.75" customHeight="1" x14ac:dyDescent="0.2">
      <c r="D4070" t="s">
        <v>285</v>
      </c>
      <c r="E4070" t="s">
        <v>495</v>
      </c>
      <c r="F4070">
        <v>21</v>
      </c>
      <c r="P4070" t="s">
        <v>461</v>
      </c>
      <c r="Q4070">
        <v>165</v>
      </c>
      <c r="R4070" t="s">
        <v>289</v>
      </c>
      <c r="S4070" t="s">
        <v>5</v>
      </c>
      <c r="T4070">
        <v>1</v>
      </c>
    </row>
    <row r="4071" spans="4:20" ht="15.75" customHeight="1" x14ac:dyDescent="0.2">
      <c r="D4071" t="s">
        <v>285</v>
      </c>
      <c r="E4071" t="s">
        <v>495</v>
      </c>
      <c r="F4071">
        <v>21</v>
      </c>
      <c r="P4071" t="s">
        <v>461</v>
      </c>
      <c r="Q4071">
        <v>165</v>
      </c>
      <c r="R4071" t="s">
        <v>290</v>
      </c>
      <c r="S4071" t="s">
        <v>3</v>
      </c>
      <c r="T4071">
        <v>0.5</v>
      </c>
    </row>
    <row r="4072" spans="4:20" ht="15.75" customHeight="1" x14ac:dyDescent="0.2">
      <c r="D4072" t="s">
        <v>285</v>
      </c>
      <c r="E4072" t="s">
        <v>495</v>
      </c>
      <c r="F4072">
        <v>21</v>
      </c>
      <c r="P4072" t="s">
        <v>461</v>
      </c>
      <c r="Q4072">
        <v>165</v>
      </c>
      <c r="R4072" t="s">
        <v>291</v>
      </c>
      <c r="S4072" t="s">
        <v>4</v>
      </c>
      <c r="T4072">
        <v>2</v>
      </c>
    </row>
    <row r="4073" spans="4:20" ht="15.75" customHeight="1" x14ac:dyDescent="0.2">
      <c r="D4073" t="s">
        <v>285</v>
      </c>
      <c r="E4073" t="s">
        <v>495</v>
      </c>
      <c r="F4073">
        <v>21</v>
      </c>
      <c r="P4073" t="s">
        <v>461</v>
      </c>
      <c r="Q4073">
        <v>165</v>
      </c>
      <c r="R4073" t="s">
        <v>292</v>
      </c>
      <c r="S4073" t="s">
        <v>6</v>
      </c>
      <c r="T4073">
        <v>0</v>
      </c>
    </row>
    <row r="4074" spans="4:20" ht="15.75" customHeight="1" x14ac:dyDescent="0.2">
      <c r="D4074" t="s">
        <v>285</v>
      </c>
      <c r="E4074" t="s">
        <v>495</v>
      </c>
      <c r="F4074">
        <v>21</v>
      </c>
      <c r="P4074" t="s">
        <v>461</v>
      </c>
      <c r="Q4074">
        <v>165</v>
      </c>
      <c r="R4074" t="s">
        <v>243</v>
      </c>
      <c r="S4074" t="s">
        <v>7</v>
      </c>
      <c r="T4074">
        <v>13.5</v>
      </c>
    </row>
    <row r="4075" spans="4:20" ht="15.75" customHeight="1" x14ac:dyDescent="0.2">
      <c r="D4075" t="s">
        <v>285</v>
      </c>
      <c r="E4075" t="s">
        <v>495</v>
      </c>
      <c r="F4075">
        <v>21</v>
      </c>
      <c r="P4075" t="s">
        <v>461</v>
      </c>
      <c r="Q4075">
        <v>165</v>
      </c>
      <c r="R4075" t="s">
        <v>245</v>
      </c>
      <c r="S4075" t="s">
        <v>8</v>
      </c>
      <c r="T4075">
        <v>1566</v>
      </c>
    </row>
    <row r="4076" spans="4:20" ht="15.75" customHeight="1" x14ac:dyDescent="0.2">
      <c r="D4076" t="s">
        <v>285</v>
      </c>
      <c r="E4076" t="s">
        <v>495</v>
      </c>
      <c r="F4076">
        <v>21</v>
      </c>
      <c r="P4076" t="s">
        <v>461</v>
      </c>
      <c r="Q4076">
        <v>165</v>
      </c>
      <c r="R4076" t="s">
        <v>247</v>
      </c>
      <c r="S4076" t="s">
        <v>9</v>
      </c>
      <c r="T4076">
        <v>4.4999999999999998E-2</v>
      </c>
    </row>
    <row r="4077" spans="4:20" ht="15.75" customHeight="1" x14ac:dyDescent="0.2">
      <c r="D4077" t="s">
        <v>285</v>
      </c>
      <c r="E4077" t="s">
        <v>495</v>
      </c>
      <c r="F4077">
        <v>21</v>
      </c>
      <c r="P4077" t="s">
        <v>461</v>
      </c>
      <c r="Q4077">
        <v>165</v>
      </c>
      <c r="R4077" t="s">
        <v>249</v>
      </c>
      <c r="S4077" t="s">
        <v>10</v>
      </c>
      <c r="T4077">
        <v>29</v>
      </c>
    </row>
    <row r="4078" spans="4:20" ht="15.75" customHeight="1" x14ac:dyDescent="0.2">
      <c r="D4078" t="s">
        <v>285</v>
      </c>
      <c r="E4078" t="s">
        <v>495</v>
      </c>
      <c r="F4078">
        <v>21</v>
      </c>
      <c r="P4078" t="s">
        <v>461</v>
      </c>
      <c r="Q4078">
        <v>165</v>
      </c>
      <c r="R4078" t="s">
        <v>251</v>
      </c>
      <c r="S4078" t="s">
        <v>11</v>
      </c>
      <c r="T4078">
        <v>16</v>
      </c>
    </row>
    <row r="4079" spans="4:20" ht="15.75" customHeight="1" x14ac:dyDescent="0.2">
      <c r="D4079" t="s">
        <v>285</v>
      </c>
      <c r="E4079" t="s">
        <v>495</v>
      </c>
      <c r="F4079">
        <v>21</v>
      </c>
      <c r="P4079" t="s">
        <v>461</v>
      </c>
      <c r="Q4079">
        <v>165</v>
      </c>
      <c r="R4079" t="s">
        <v>253</v>
      </c>
      <c r="S4079" t="s">
        <v>12</v>
      </c>
      <c r="T4079">
        <v>116</v>
      </c>
    </row>
    <row r="4080" spans="4:20" ht="15.75" customHeight="1" x14ac:dyDescent="0.2">
      <c r="D4080" t="s">
        <v>285</v>
      </c>
      <c r="E4080" t="s">
        <v>495</v>
      </c>
      <c r="F4080">
        <v>21</v>
      </c>
      <c r="P4080" t="s">
        <v>461</v>
      </c>
      <c r="Q4080">
        <v>165</v>
      </c>
      <c r="R4080" t="s">
        <v>255</v>
      </c>
      <c r="S4080" t="s">
        <v>15</v>
      </c>
      <c r="T4080">
        <v>19</v>
      </c>
    </row>
    <row r="4081" spans="4:20" ht="15.75" customHeight="1" x14ac:dyDescent="0.2">
      <c r="D4081" t="s">
        <v>285</v>
      </c>
      <c r="E4081" t="s">
        <v>495</v>
      </c>
      <c r="F4081">
        <v>21</v>
      </c>
      <c r="P4081" t="s">
        <v>461</v>
      </c>
      <c r="Q4081">
        <v>165</v>
      </c>
      <c r="R4081" t="s">
        <v>293</v>
      </c>
      <c r="S4081" t="s">
        <v>13</v>
      </c>
      <c r="T4081">
        <v>1</v>
      </c>
    </row>
    <row r="4082" spans="4:20" ht="15.75" customHeight="1" x14ac:dyDescent="0.2">
      <c r="D4082" t="s">
        <v>285</v>
      </c>
      <c r="E4082" t="s">
        <v>495</v>
      </c>
      <c r="F4082">
        <v>21</v>
      </c>
      <c r="P4082" t="s">
        <v>461</v>
      </c>
      <c r="Q4082">
        <v>165</v>
      </c>
      <c r="R4082" t="s">
        <v>294</v>
      </c>
      <c r="S4082" t="s">
        <v>14</v>
      </c>
      <c r="T4082">
        <v>1</v>
      </c>
    </row>
    <row r="4083" spans="4:20" ht="15.75" customHeight="1" x14ac:dyDescent="0.2">
      <c r="D4083" t="s">
        <v>285</v>
      </c>
      <c r="E4083" t="s">
        <v>495</v>
      </c>
      <c r="F4083">
        <v>21</v>
      </c>
      <c r="P4083" t="s">
        <v>461</v>
      </c>
      <c r="Q4083">
        <v>165</v>
      </c>
      <c r="R4083" t="s">
        <v>257</v>
      </c>
      <c r="S4083" t="s">
        <v>16</v>
      </c>
      <c r="T4083">
        <v>57.502200000000002</v>
      </c>
    </row>
    <row r="4084" spans="4:20" ht="15.75" customHeight="1" x14ac:dyDescent="0.2">
      <c r="D4084" t="s">
        <v>285</v>
      </c>
      <c r="E4084" t="s">
        <v>495</v>
      </c>
      <c r="F4084">
        <v>21</v>
      </c>
      <c r="P4084" t="s">
        <v>461</v>
      </c>
      <c r="Q4084">
        <v>165</v>
      </c>
      <c r="R4084" t="s">
        <v>295</v>
      </c>
      <c r="S4084" t="s">
        <v>17</v>
      </c>
      <c r="T4084">
        <v>0</v>
      </c>
    </row>
    <row r="4085" spans="4:20" ht="15.75" customHeight="1" x14ac:dyDescent="0.2">
      <c r="D4085" t="s">
        <v>285</v>
      </c>
      <c r="E4085" t="s">
        <v>495</v>
      </c>
      <c r="F4085">
        <v>21</v>
      </c>
      <c r="P4085" t="s">
        <v>461</v>
      </c>
      <c r="Q4085">
        <v>165</v>
      </c>
      <c r="R4085" t="s">
        <v>296</v>
      </c>
      <c r="S4085" t="s">
        <v>1</v>
      </c>
      <c r="T4085">
        <v>3</v>
      </c>
    </row>
    <row r="4086" spans="4:20" ht="15.75" customHeight="1" x14ac:dyDescent="0.2">
      <c r="D4086" t="s">
        <v>285</v>
      </c>
      <c r="E4086" t="s">
        <v>495</v>
      </c>
      <c r="F4086">
        <v>21</v>
      </c>
      <c r="P4086" t="s">
        <v>461</v>
      </c>
      <c r="Q4086">
        <v>165</v>
      </c>
      <c r="R4086" t="s">
        <v>297</v>
      </c>
      <c r="S4086" t="s">
        <v>18</v>
      </c>
      <c r="T4086">
        <v>2</v>
      </c>
    </row>
    <row r="4087" spans="4:20" ht="15.75" customHeight="1" x14ac:dyDescent="0.2">
      <c r="D4087" t="s">
        <v>285</v>
      </c>
      <c r="E4087" t="s">
        <v>495</v>
      </c>
      <c r="F4087">
        <v>21</v>
      </c>
      <c r="P4087" t="s">
        <v>461</v>
      </c>
      <c r="Q4087">
        <v>165</v>
      </c>
      <c r="R4087" t="s">
        <v>298</v>
      </c>
      <c r="S4087" t="s">
        <v>19</v>
      </c>
      <c r="T4087">
        <v>1</v>
      </c>
    </row>
    <row r="4088" spans="4:20" ht="15.75" customHeight="1" x14ac:dyDescent="0.2">
      <c r="D4088" t="s">
        <v>285</v>
      </c>
      <c r="E4088" t="s">
        <v>495</v>
      </c>
      <c r="F4088">
        <v>21</v>
      </c>
      <c r="P4088" t="s">
        <v>461</v>
      </c>
      <c r="Q4088">
        <v>165</v>
      </c>
      <c r="R4088" t="s">
        <v>299</v>
      </c>
      <c r="S4088" t="s">
        <v>20</v>
      </c>
      <c r="T4088">
        <v>0</v>
      </c>
    </row>
    <row r="4089" spans="4:20" ht="15.75" customHeight="1" x14ac:dyDescent="0.2">
      <c r="D4089" t="s">
        <v>285</v>
      </c>
      <c r="E4089" t="s">
        <v>495</v>
      </c>
      <c r="F4089">
        <v>21</v>
      </c>
      <c r="P4089" t="s">
        <v>462</v>
      </c>
      <c r="Q4089">
        <v>166</v>
      </c>
      <c r="R4089" t="s">
        <v>288</v>
      </c>
      <c r="S4089" t="s">
        <v>2</v>
      </c>
      <c r="T4089">
        <v>0</v>
      </c>
    </row>
    <row r="4090" spans="4:20" ht="15.75" customHeight="1" x14ac:dyDescent="0.2">
      <c r="D4090" t="s">
        <v>285</v>
      </c>
      <c r="E4090" t="s">
        <v>495</v>
      </c>
      <c r="F4090">
        <v>21</v>
      </c>
      <c r="P4090" t="s">
        <v>462</v>
      </c>
      <c r="Q4090">
        <v>166</v>
      </c>
      <c r="R4090" t="s">
        <v>289</v>
      </c>
      <c r="S4090" t="s">
        <v>5</v>
      </c>
      <c r="T4090">
        <v>0</v>
      </c>
    </row>
    <row r="4091" spans="4:20" ht="15.75" customHeight="1" x14ac:dyDescent="0.2">
      <c r="D4091" t="s">
        <v>285</v>
      </c>
      <c r="E4091" t="s">
        <v>495</v>
      </c>
      <c r="F4091">
        <v>21</v>
      </c>
      <c r="P4091" t="s">
        <v>462</v>
      </c>
      <c r="Q4091">
        <v>166</v>
      </c>
      <c r="R4091" t="s">
        <v>290</v>
      </c>
      <c r="S4091" t="s">
        <v>3</v>
      </c>
      <c r="T4091">
        <v>0</v>
      </c>
    </row>
    <row r="4092" spans="4:20" ht="15.75" customHeight="1" x14ac:dyDescent="0.2">
      <c r="D4092" t="s">
        <v>285</v>
      </c>
      <c r="E4092" t="s">
        <v>495</v>
      </c>
      <c r="F4092">
        <v>21</v>
      </c>
      <c r="P4092" t="s">
        <v>462</v>
      </c>
      <c r="Q4092">
        <v>166</v>
      </c>
      <c r="R4092" t="s">
        <v>291</v>
      </c>
      <c r="S4092" t="s">
        <v>4</v>
      </c>
      <c r="T4092">
        <v>0</v>
      </c>
    </row>
    <row r="4093" spans="4:20" ht="15.75" customHeight="1" x14ac:dyDescent="0.2">
      <c r="D4093" t="s">
        <v>285</v>
      </c>
      <c r="E4093" t="s">
        <v>495</v>
      </c>
      <c r="F4093">
        <v>21</v>
      </c>
      <c r="P4093" t="s">
        <v>462</v>
      </c>
      <c r="Q4093">
        <v>166</v>
      </c>
      <c r="R4093" t="s">
        <v>292</v>
      </c>
      <c r="S4093" t="s">
        <v>6</v>
      </c>
      <c r="T4093">
        <v>0</v>
      </c>
    </row>
    <row r="4094" spans="4:20" ht="15.75" customHeight="1" x14ac:dyDescent="0.2">
      <c r="D4094" t="s">
        <v>285</v>
      </c>
      <c r="E4094" t="s">
        <v>495</v>
      </c>
      <c r="F4094">
        <v>21</v>
      </c>
      <c r="P4094" t="s">
        <v>462</v>
      </c>
      <c r="Q4094">
        <v>166</v>
      </c>
      <c r="R4094" t="s">
        <v>243</v>
      </c>
      <c r="S4094" t="s">
        <v>7</v>
      </c>
      <c r="T4094">
        <v>1</v>
      </c>
    </row>
    <row r="4095" spans="4:20" ht="15.75" customHeight="1" x14ac:dyDescent="0.2">
      <c r="D4095" t="s">
        <v>285</v>
      </c>
      <c r="E4095" t="s">
        <v>495</v>
      </c>
      <c r="F4095">
        <v>21</v>
      </c>
      <c r="P4095" t="s">
        <v>462</v>
      </c>
      <c r="Q4095">
        <v>166</v>
      </c>
      <c r="R4095" t="s">
        <v>245</v>
      </c>
      <c r="S4095" t="s">
        <v>8</v>
      </c>
      <c r="T4095">
        <v>4.7549000000000001</v>
      </c>
    </row>
    <row r="4096" spans="4:20" ht="15.75" customHeight="1" x14ac:dyDescent="0.2">
      <c r="D4096" t="s">
        <v>285</v>
      </c>
      <c r="E4096" t="s">
        <v>495</v>
      </c>
      <c r="F4096">
        <v>21</v>
      </c>
      <c r="P4096" t="s">
        <v>462</v>
      </c>
      <c r="Q4096">
        <v>166</v>
      </c>
      <c r="R4096" t="s">
        <v>247</v>
      </c>
      <c r="S4096" t="s">
        <v>9</v>
      </c>
      <c r="T4096">
        <v>8.9999999999999998E-4</v>
      </c>
    </row>
    <row r="4097" spans="4:20" ht="15.75" customHeight="1" x14ac:dyDescent="0.2">
      <c r="D4097" t="s">
        <v>285</v>
      </c>
      <c r="E4097" t="s">
        <v>495</v>
      </c>
      <c r="F4097">
        <v>21</v>
      </c>
      <c r="P4097" t="s">
        <v>462</v>
      </c>
      <c r="Q4097">
        <v>166</v>
      </c>
      <c r="R4097" t="s">
        <v>249</v>
      </c>
      <c r="S4097" t="s">
        <v>10</v>
      </c>
      <c r="T4097">
        <v>3</v>
      </c>
    </row>
    <row r="4098" spans="4:20" ht="15.75" customHeight="1" x14ac:dyDescent="0.2">
      <c r="D4098" t="s">
        <v>285</v>
      </c>
      <c r="E4098" t="s">
        <v>495</v>
      </c>
      <c r="F4098">
        <v>21</v>
      </c>
      <c r="P4098" t="s">
        <v>462</v>
      </c>
      <c r="Q4098">
        <v>166</v>
      </c>
      <c r="R4098" t="s">
        <v>251</v>
      </c>
      <c r="S4098" t="s">
        <v>11</v>
      </c>
      <c r="T4098">
        <v>3</v>
      </c>
    </row>
    <row r="4099" spans="4:20" ht="15.75" customHeight="1" x14ac:dyDescent="0.2">
      <c r="D4099" t="s">
        <v>285</v>
      </c>
      <c r="E4099" t="s">
        <v>495</v>
      </c>
      <c r="F4099">
        <v>21</v>
      </c>
      <c r="P4099" t="s">
        <v>462</v>
      </c>
      <c r="Q4099">
        <v>166</v>
      </c>
      <c r="R4099" t="s">
        <v>253</v>
      </c>
      <c r="S4099" t="s">
        <v>12</v>
      </c>
      <c r="T4099">
        <v>4.7549000000000001</v>
      </c>
    </row>
    <row r="4100" spans="4:20" ht="15.75" customHeight="1" x14ac:dyDescent="0.2">
      <c r="D4100" t="s">
        <v>285</v>
      </c>
      <c r="E4100" t="s">
        <v>495</v>
      </c>
      <c r="F4100">
        <v>21</v>
      </c>
      <c r="P4100" t="s">
        <v>462</v>
      </c>
      <c r="Q4100">
        <v>166</v>
      </c>
      <c r="R4100" t="s">
        <v>255</v>
      </c>
      <c r="S4100" t="s">
        <v>15</v>
      </c>
      <c r="T4100">
        <v>15</v>
      </c>
    </row>
    <row r="4101" spans="4:20" ht="15.75" customHeight="1" x14ac:dyDescent="0.2">
      <c r="D4101" t="s">
        <v>285</v>
      </c>
      <c r="E4101" t="s">
        <v>495</v>
      </c>
      <c r="F4101">
        <v>21</v>
      </c>
      <c r="P4101" t="s">
        <v>462</v>
      </c>
      <c r="Q4101">
        <v>166</v>
      </c>
      <c r="R4101" t="s">
        <v>293</v>
      </c>
      <c r="S4101" t="s">
        <v>13</v>
      </c>
      <c r="T4101">
        <v>1</v>
      </c>
    </row>
    <row r="4102" spans="4:20" ht="15.75" customHeight="1" x14ac:dyDescent="0.2">
      <c r="D4102" t="s">
        <v>285</v>
      </c>
      <c r="E4102" t="s">
        <v>495</v>
      </c>
      <c r="F4102">
        <v>21</v>
      </c>
      <c r="P4102" t="s">
        <v>462</v>
      </c>
      <c r="Q4102">
        <v>166</v>
      </c>
      <c r="R4102" t="s">
        <v>294</v>
      </c>
      <c r="S4102" t="s">
        <v>14</v>
      </c>
      <c r="T4102">
        <v>0</v>
      </c>
    </row>
    <row r="4103" spans="4:20" ht="15.75" customHeight="1" x14ac:dyDescent="0.2">
      <c r="D4103" t="s">
        <v>285</v>
      </c>
      <c r="E4103" t="s">
        <v>495</v>
      </c>
      <c r="F4103">
        <v>21</v>
      </c>
      <c r="P4103" t="s">
        <v>462</v>
      </c>
      <c r="Q4103">
        <v>166</v>
      </c>
      <c r="R4103" t="s">
        <v>257</v>
      </c>
      <c r="S4103" t="s">
        <v>16</v>
      </c>
      <c r="T4103">
        <v>70.129199999999997</v>
      </c>
    </row>
    <row r="4104" spans="4:20" ht="15.75" customHeight="1" x14ac:dyDescent="0.2">
      <c r="D4104" t="s">
        <v>285</v>
      </c>
      <c r="E4104" t="s">
        <v>495</v>
      </c>
      <c r="F4104">
        <v>21</v>
      </c>
      <c r="P4104" t="s">
        <v>462</v>
      </c>
      <c r="Q4104">
        <v>166</v>
      </c>
      <c r="R4104" t="s">
        <v>295</v>
      </c>
      <c r="S4104" t="s">
        <v>17</v>
      </c>
      <c r="T4104">
        <v>0</v>
      </c>
    </row>
    <row r="4105" spans="4:20" ht="15.75" customHeight="1" x14ac:dyDescent="0.2">
      <c r="D4105" t="s">
        <v>285</v>
      </c>
      <c r="E4105" t="s">
        <v>495</v>
      </c>
      <c r="F4105">
        <v>21</v>
      </c>
      <c r="P4105" t="s">
        <v>462</v>
      </c>
      <c r="Q4105">
        <v>166</v>
      </c>
      <c r="R4105" t="s">
        <v>296</v>
      </c>
      <c r="S4105" t="s">
        <v>1</v>
      </c>
      <c r="T4105">
        <v>1</v>
      </c>
    </row>
    <row r="4106" spans="4:20" ht="15.75" customHeight="1" x14ac:dyDescent="0.2">
      <c r="D4106" t="s">
        <v>285</v>
      </c>
      <c r="E4106" t="s">
        <v>495</v>
      </c>
      <c r="F4106">
        <v>21</v>
      </c>
      <c r="P4106" t="s">
        <v>462</v>
      </c>
      <c r="Q4106">
        <v>166</v>
      </c>
      <c r="R4106" t="s">
        <v>297</v>
      </c>
      <c r="S4106" t="s">
        <v>18</v>
      </c>
      <c r="T4106">
        <v>1</v>
      </c>
    </row>
    <row r="4107" spans="4:20" ht="15.75" customHeight="1" x14ac:dyDescent="0.2">
      <c r="D4107" t="s">
        <v>285</v>
      </c>
      <c r="E4107" t="s">
        <v>495</v>
      </c>
      <c r="F4107">
        <v>21</v>
      </c>
      <c r="P4107" t="s">
        <v>462</v>
      </c>
      <c r="Q4107">
        <v>166</v>
      </c>
      <c r="R4107" t="s">
        <v>298</v>
      </c>
      <c r="S4107" t="s">
        <v>19</v>
      </c>
      <c r="T4107">
        <v>0</v>
      </c>
    </row>
    <row r="4108" spans="4:20" ht="15.75" customHeight="1" x14ac:dyDescent="0.2">
      <c r="D4108" t="s">
        <v>285</v>
      </c>
      <c r="E4108" t="s">
        <v>495</v>
      </c>
      <c r="F4108">
        <v>21</v>
      </c>
      <c r="P4108" t="s">
        <v>462</v>
      </c>
      <c r="Q4108">
        <v>166</v>
      </c>
      <c r="R4108" t="s">
        <v>299</v>
      </c>
      <c r="S4108" t="s">
        <v>20</v>
      </c>
      <c r="T4108">
        <v>0</v>
      </c>
    </row>
    <row r="4109" spans="4:20" ht="15.75" customHeight="1" x14ac:dyDescent="0.2">
      <c r="D4109" t="s">
        <v>285</v>
      </c>
      <c r="E4109" t="s">
        <v>495</v>
      </c>
      <c r="F4109">
        <v>21</v>
      </c>
      <c r="P4109" t="s">
        <v>463</v>
      </c>
      <c r="Q4109">
        <v>167</v>
      </c>
      <c r="R4109" t="s">
        <v>288</v>
      </c>
      <c r="S4109" t="s">
        <v>2</v>
      </c>
      <c r="T4109">
        <v>2</v>
      </c>
    </row>
    <row r="4110" spans="4:20" ht="15.75" customHeight="1" x14ac:dyDescent="0.2">
      <c r="D4110" t="s">
        <v>285</v>
      </c>
      <c r="E4110" t="s">
        <v>495</v>
      </c>
      <c r="F4110">
        <v>21</v>
      </c>
      <c r="P4110" t="s">
        <v>463</v>
      </c>
      <c r="Q4110">
        <v>167</v>
      </c>
      <c r="R4110" t="s">
        <v>289</v>
      </c>
      <c r="S4110" t="s">
        <v>5</v>
      </c>
      <c r="T4110">
        <v>1</v>
      </c>
    </row>
    <row r="4111" spans="4:20" ht="15.75" customHeight="1" x14ac:dyDescent="0.2">
      <c r="D4111" t="s">
        <v>285</v>
      </c>
      <c r="E4111" t="s">
        <v>495</v>
      </c>
      <c r="F4111">
        <v>21</v>
      </c>
      <c r="P4111" t="s">
        <v>463</v>
      </c>
      <c r="Q4111">
        <v>167</v>
      </c>
      <c r="R4111" t="s">
        <v>290</v>
      </c>
      <c r="S4111" t="s">
        <v>3</v>
      </c>
      <c r="T4111">
        <v>0.5</v>
      </c>
    </row>
    <row r="4112" spans="4:20" ht="15.75" customHeight="1" x14ac:dyDescent="0.2">
      <c r="D4112" t="s">
        <v>285</v>
      </c>
      <c r="E4112" t="s">
        <v>495</v>
      </c>
      <c r="F4112">
        <v>21</v>
      </c>
      <c r="P4112" t="s">
        <v>463</v>
      </c>
      <c r="Q4112">
        <v>167</v>
      </c>
      <c r="R4112" t="s">
        <v>291</v>
      </c>
      <c r="S4112" t="s">
        <v>4</v>
      </c>
      <c r="T4112">
        <v>2</v>
      </c>
    </row>
    <row r="4113" spans="4:20" ht="15.75" customHeight="1" x14ac:dyDescent="0.2">
      <c r="D4113" t="s">
        <v>285</v>
      </c>
      <c r="E4113" t="s">
        <v>495</v>
      </c>
      <c r="F4113">
        <v>21</v>
      </c>
      <c r="P4113" t="s">
        <v>463</v>
      </c>
      <c r="Q4113">
        <v>167</v>
      </c>
      <c r="R4113" t="s">
        <v>292</v>
      </c>
      <c r="S4113" t="s">
        <v>6</v>
      </c>
      <c r="T4113">
        <v>0</v>
      </c>
    </row>
    <row r="4114" spans="4:20" ht="15.75" customHeight="1" x14ac:dyDescent="0.2">
      <c r="D4114" t="s">
        <v>285</v>
      </c>
      <c r="E4114" t="s">
        <v>495</v>
      </c>
      <c r="F4114">
        <v>21</v>
      </c>
      <c r="P4114" t="s">
        <v>463</v>
      </c>
      <c r="Q4114">
        <v>167</v>
      </c>
      <c r="R4114" t="s">
        <v>243</v>
      </c>
      <c r="S4114" t="s">
        <v>7</v>
      </c>
      <c r="T4114">
        <v>12.375</v>
      </c>
    </row>
    <row r="4115" spans="4:20" ht="15.75" customHeight="1" x14ac:dyDescent="0.2">
      <c r="D4115" t="s">
        <v>285</v>
      </c>
      <c r="E4115" t="s">
        <v>495</v>
      </c>
      <c r="F4115">
        <v>21</v>
      </c>
      <c r="P4115" t="s">
        <v>463</v>
      </c>
      <c r="Q4115">
        <v>167</v>
      </c>
      <c r="R4115" t="s">
        <v>245</v>
      </c>
      <c r="S4115" t="s">
        <v>8</v>
      </c>
      <c r="T4115">
        <v>1402.0853999999999</v>
      </c>
    </row>
    <row r="4116" spans="4:20" ht="15.75" customHeight="1" x14ac:dyDescent="0.2">
      <c r="D4116" t="s">
        <v>285</v>
      </c>
      <c r="E4116" t="s">
        <v>495</v>
      </c>
      <c r="F4116">
        <v>21</v>
      </c>
      <c r="P4116" t="s">
        <v>463</v>
      </c>
      <c r="Q4116">
        <v>167</v>
      </c>
      <c r="R4116" t="s">
        <v>247</v>
      </c>
      <c r="S4116" t="s">
        <v>9</v>
      </c>
      <c r="T4116">
        <v>4.1799999999999997E-2</v>
      </c>
    </row>
    <row r="4117" spans="4:20" ht="15.75" customHeight="1" x14ac:dyDescent="0.2">
      <c r="D4117" t="s">
        <v>285</v>
      </c>
      <c r="E4117" t="s">
        <v>495</v>
      </c>
      <c r="F4117">
        <v>21</v>
      </c>
      <c r="P4117" t="s">
        <v>463</v>
      </c>
      <c r="Q4117">
        <v>167</v>
      </c>
      <c r="R4117" t="s">
        <v>249</v>
      </c>
      <c r="S4117" t="s">
        <v>10</v>
      </c>
      <c r="T4117">
        <v>29</v>
      </c>
    </row>
    <row r="4118" spans="4:20" ht="15.75" customHeight="1" x14ac:dyDescent="0.2">
      <c r="D4118" t="s">
        <v>285</v>
      </c>
      <c r="E4118" t="s">
        <v>495</v>
      </c>
      <c r="F4118">
        <v>21</v>
      </c>
      <c r="P4118" t="s">
        <v>463</v>
      </c>
      <c r="Q4118">
        <v>167</v>
      </c>
      <c r="R4118" t="s">
        <v>251</v>
      </c>
      <c r="S4118" t="s">
        <v>11</v>
      </c>
      <c r="T4118">
        <v>15</v>
      </c>
    </row>
    <row r="4119" spans="4:20" ht="15.75" customHeight="1" x14ac:dyDescent="0.2">
      <c r="D4119" t="s">
        <v>285</v>
      </c>
      <c r="E4119" t="s">
        <v>495</v>
      </c>
      <c r="F4119">
        <v>21</v>
      </c>
      <c r="P4119" t="s">
        <v>463</v>
      </c>
      <c r="Q4119">
        <v>167</v>
      </c>
      <c r="R4119" t="s">
        <v>253</v>
      </c>
      <c r="S4119" t="s">
        <v>12</v>
      </c>
      <c r="T4119">
        <v>113.2998</v>
      </c>
    </row>
    <row r="4120" spans="4:20" ht="15.75" customHeight="1" x14ac:dyDescent="0.2">
      <c r="D4120" t="s">
        <v>285</v>
      </c>
      <c r="E4120" t="s">
        <v>495</v>
      </c>
      <c r="F4120">
        <v>21</v>
      </c>
      <c r="P4120" t="s">
        <v>463</v>
      </c>
      <c r="Q4120">
        <v>167</v>
      </c>
      <c r="R4120" t="s">
        <v>255</v>
      </c>
      <c r="S4120" t="s">
        <v>15</v>
      </c>
      <c r="T4120">
        <v>19</v>
      </c>
    </row>
    <row r="4121" spans="4:20" ht="15.75" customHeight="1" x14ac:dyDescent="0.2">
      <c r="D4121" t="s">
        <v>285</v>
      </c>
      <c r="E4121" t="s">
        <v>495</v>
      </c>
      <c r="F4121">
        <v>21</v>
      </c>
      <c r="P4121" t="s">
        <v>463</v>
      </c>
      <c r="Q4121">
        <v>167</v>
      </c>
      <c r="R4121" t="s">
        <v>293</v>
      </c>
      <c r="S4121" t="s">
        <v>13</v>
      </c>
      <c r="T4121">
        <v>1</v>
      </c>
    </row>
    <row r="4122" spans="4:20" ht="15.75" customHeight="1" x14ac:dyDescent="0.2">
      <c r="D4122" t="s">
        <v>285</v>
      </c>
      <c r="E4122" t="s">
        <v>495</v>
      </c>
      <c r="F4122">
        <v>21</v>
      </c>
      <c r="P4122" t="s">
        <v>463</v>
      </c>
      <c r="Q4122">
        <v>167</v>
      </c>
      <c r="R4122" t="s">
        <v>294</v>
      </c>
      <c r="S4122" t="s">
        <v>14</v>
      </c>
      <c r="T4122">
        <v>1</v>
      </c>
    </row>
    <row r="4123" spans="4:20" ht="15.75" customHeight="1" x14ac:dyDescent="0.2">
      <c r="D4123" t="s">
        <v>285</v>
      </c>
      <c r="E4123" t="s">
        <v>495</v>
      </c>
      <c r="F4123">
        <v>21</v>
      </c>
      <c r="P4123" t="s">
        <v>463</v>
      </c>
      <c r="Q4123">
        <v>167</v>
      </c>
      <c r="R4123" t="s">
        <v>257</v>
      </c>
      <c r="S4123" t="s">
        <v>16</v>
      </c>
      <c r="T4123">
        <v>57.581899999999997</v>
      </c>
    </row>
    <row r="4124" spans="4:20" ht="15.75" customHeight="1" x14ac:dyDescent="0.2">
      <c r="D4124" t="s">
        <v>285</v>
      </c>
      <c r="E4124" t="s">
        <v>495</v>
      </c>
      <c r="F4124">
        <v>21</v>
      </c>
      <c r="P4124" t="s">
        <v>463</v>
      </c>
      <c r="Q4124">
        <v>167</v>
      </c>
      <c r="R4124" t="s">
        <v>295</v>
      </c>
      <c r="S4124" t="s">
        <v>17</v>
      </c>
      <c r="T4124">
        <v>0</v>
      </c>
    </row>
    <row r="4125" spans="4:20" ht="15.75" customHeight="1" x14ac:dyDescent="0.2">
      <c r="D4125" t="s">
        <v>285</v>
      </c>
      <c r="E4125" t="s">
        <v>495</v>
      </c>
      <c r="F4125">
        <v>21</v>
      </c>
      <c r="P4125" t="s">
        <v>463</v>
      </c>
      <c r="Q4125">
        <v>167</v>
      </c>
      <c r="R4125" t="s">
        <v>296</v>
      </c>
      <c r="S4125" t="s">
        <v>1</v>
      </c>
      <c r="T4125">
        <v>3</v>
      </c>
    </row>
    <row r="4126" spans="4:20" ht="15.75" customHeight="1" x14ac:dyDescent="0.2">
      <c r="D4126" t="s">
        <v>285</v>
      </c>
      <c r="E4126" t="s">
        <v>495</v>
      </c>
      <c r="F4126">
        <v>21</v>
      </c>
      <c r="P4126" t="s">
        <v>463</v>
      </c>
      <c r="Q4126">
        <v>167</v>
      </c>
      <c r="R4126" t="s">
        <v>297</v>
      </c>
      <c r="S4126" t="s">
        <v>18</v>
      </c>
      <c r="T4126">
        <v>2</v>
      </c>
    </row>
    <row r="4127" spans="4:20" ht="15.75" customHeight="1" x14ac:dyDescent="0.2">
      <c r="D4127" t="s">
        <v>285</v>
      </c>
      <c r="E4127" t="s">
        <v>495</v>
      </c>
      <c r="F4127">
        <v>21</v>
      </c>
      <c r="P4127" t="s">
        <v>463</v>
      </c>
      <c r="Q4127">
        <v>167</v>
      </c>
      <c r="R4127" t="s">
        <v>298</v>
      </c>
      <c r="S4127" t="s">
        <v>19</v>
      </c>
      <c r="T4127">
        <v>1</v>
      </c>
    </row>
    <row r="4128" spans="4:20" ht="15.75" customHeight="1" x14ac:dyDescent="0.2">
      <c r="D4128" t="s">
        <v>285</v>
      </c>
      <c r="E4128" t="s">
        <v>495</v>
      </c>
      <c r="F4128">
        <v>21</v>
      </c>
      <c r="P4128" t="s">
        <v>463</v>
      </c>
      <c r="Q4128">
        <v>167</v>
      </c>
      <c r="R4128" t="s">
        <v>299</v>
      </c>
      <c r="S4128" t="s">
        <v>20</v>
      </c>
      <c r="T4128">
        <v>0</v>
      </c>
    </row>
    <row r="4129" spans="4:20" ht="15.75" customHeight="1" x14ac:dyDescent="0.2">
      <c r="D4129" t="s">
        <v>285</v>
      </c>
      <c r="E4129" t="s">
        <v>495</v>
      </c>
      <c r="F4129">
        <v>21</v>
      </c>
      <c r="P4129" t="s">
        <v>464</v>
      </c>
      <c r="Q4129">
        <v>168</v>
      </c>
      <c r="R4129" t="s">
        <v>288</v>
      </c>
      <c r="S4129" t="s">
        <v>2</v>
      </c>
      <c r="T4129">
        <v>0</v>
      </c>
    </row>
    <row r="4130" spans="4:20" ht="15.75" customHeight="1" x14ac:dyDescent="0.2">
      <c r="D4130" t="s">
        <v>285</v>
      </c>
      <c r="E4130" t="s">
        <v>495</v>
      </c>
      <c r="F4130">
        <v>21</v>
      </c>
      <c r="P4130" t="s">
        <v>464</v>
      </c>
      <c r="Q4130">
        <v>168</v>
      </c>
      <c r="R4130" t="s">
        <v>289</v>
      </c>
      <c r="S4130" t="s">
        <v>5</v>
      </c>
      <c r="T4130">
        <v>0</v>
      </c>
    </row>
    <row r="4131" spans="4:20" ht="15.75" customHeight="1" x14ac:dyDescent="0.2">
      <c r="D4131" t="s">
        <v>285</v>
      </c>
      <c r="E4131" t="s">
        <v>495</v>
      </c>
      <c r="F4131">
        <v>21</v>
      </c>
      <c r="P4131" t="s">
        <v>464</v>
      </c>
      <c r="Q4131">
        <v>168</v>
      </c>
      <c r="R4131" t="s">
        <v>290</v>
      </c>
      <c r="S4131" t="s">
        <v>3</v>
      </c>
      <c r="T4131">
        <v>0</v>
      </c>
    </row>
    <row r="4132" spans="4:20" ht="15.75" customHeight="1" x14ac:dyDescent="0.2">
      <c r="D4132" t="s">
        <v>285</v>
      </c>
      <c r="E4132" t="s">
        <v>495</v>
      </c>
      <c r="F4132">
        <v>21</v>
      </c>
      <c r="P4132" t="s">
        <v>464</v>
      </c>
      <c r="Q4132">
        <v>168</v>
      </c>
      <c r="R4132" t="s">
        <v>291</v>
      </c>
      <c r="S4132" t="s">
        <v>4</v>
      </c>
      <c r="T4132">
        <v>0</v>
      </c>
    </row>
    <row r="4133" spans="4:20" ht="15.75" customHeight="1" x14ac:dyDescent="0.2">
      <c r="D4133" t="s">
        <v>285</v>
      </c>
      <c r="E4133" t="s">
        <v>495</v>
      </c>
      <c r="F4133">
        <v>21</v>
      </c>
      <c r="P4133" t="s">
        <v>464</v>
      </c>
      <c r="Q4133">
        <v>168</v>
      </c>
      <c r="R4133" t="s">
        <v>292</v>
      </c>
      <c r="S4133" t="s">
        <v>6</v>
      </c>
      <c r="T4133">
        <v>0</v>
      </c>
    </row>
    <row r="4134" spans="4:20" ht="15.75" customHeight="1" x14ac:dyDescent="0.2">
      <c r="D4134" t="s">
        <v>285</v>
      </c>
      <c r="E4134" t="s">
        <v>495</v>
      </c>
      <c r="F4134">
        <v>21</v>
      </c>
      <c r="P4134" t="s">
        <v>464</v>
      </c>
      <c r="Q4134">
        <v>168</v>
      </c>
      <c r="R4134" t="s">
        <v>243</v>
      </c>
      <c r="S4134" t="s">
        <v>7</v>
      </c>
      <c r="T4134">
        <v>1</v>
      </c>
    </row>
    <row r="4135" spans="4:20" ht="15.75" customHeight="1" x14ac:dyDescent="0.2">
      <c r="D4135" t="s">
        <v>285</v>
      </c>
      <c r="E4135" t="s">
        <v>495</v>
      </c>
      <c r="F4135">
        <v>21</v>
      </c>
      <c r="P4135" t="s">
        <v>464</v>
      </c>
      <c r="Q4135">
        <v>168</v>
      </c>
      <c r="R4135" t="s">
        <v>245</v>
      </c>
      <c r="S4135" t="s">
        <v>8</v>
      </c>
      <c r="T4135">
        <v>4.7549000000000001</v>
      </c>
    </row>
    <row r="4136" spans="4:20" ht="15.75" customHeight="1" x14ac:dyDescent="0.2">
      <c r="D4136" t="s">
        <v>285</v>
      </c>
      <c r="E4136" t="s">
        <v>495</v>
      </c>
      <c r="F4136">
        <v>21</v>
      </c>
      <c r="P4136" t="s">
        <v>464</v>
      </c>
      <c r="Q4136">
        <v>168</v>
      </c>
      <c r="R4136" t="s">
        <v>247</v>
      </c>
      <c r="S4136" t="s">
        <v>9</v>
      </c>
      <c r="T4136">
        <v>8.9999999999999998E-4</v>
      </c>
    </row>
    <row r="4137" spans="4:20" ht="15.75" customHeight="1" x14ac:dyDescent="0.2">
      <c r="D4137" t="s">
        <v>285</v>
      </c>
      <c r="E4137" t="s">
        <v>495</v>
      </c>
      <c r="F4137">
        <v>21</v>
      </c>
      <c r="P4137" t="s">
        <v>464</v>
      </c>
      <c r="Q4137">
        <v>168</v>
      </c>
      <c r="R4137" t="s">
        <v>249</v>
      </c>
      <c r="S4137" t="s">
        <v>10</v>
      </c>
      <c r="T4137">
        <v>3</v>
      </c>
    </row>
    <row r="4138" spans="4:20" ht="15.75" customHeight="1" x14ac:dyDescent="0.2">
      <c r="D4138" t="s">
        <v>285</v>
      </c>
      <c r="E4138" t="s">
        <v>495</v>
      </c>
      <c r="F4138">
        <v>21</v>
      </c>
      <c r="P4138" t="s">
        <v>464</v>
      </c>
      <c r="Q4138">
        <v>168</v>
      </c>
      <c r="R4138" t="s">
        <v>251</v>
      </c>
      <c r="S4138" t="s">
        <v>11</v>
      </c>
      <c r="T4138">
        <v>3</v>
      </c>
    </row>
    <row r="4139" spans="4:20" ht="15.75" customHeight="1" x14ac:dyDescent="0.2">
      <c r="D4139" t="s">
        <v>285</v>
      </c>
      <c r="E4139" t="s">
        <v>495</v>
      </c>
      <c r="F4139">
        <v>21</v>
      </c>
      <c r="P4139" t="s">
        <v>464</v>
      </c>
      <c r="Q4139">
        <v>168</v>
      </c>
      <c r="R4139" t="s">
        <v>253</v>
      </c>
      <c r="S4139" t="s">
        <v>12</v>
      </c>
      <c r="T4139">
        <v>4.7549000000000001</v>
      </c>
    </row>
    <row r="4140" spans="4:20" ht="15.75" customHeight="1" x14ac:dyDescent="0.2">
      <c r="D4140" t="s">
        <v>285</v>
      </c>
      <c r="E4140" t="s">
        <v>495</v>
      </c>
      <c r="F4140">
        <v>21</v>
      </c>
      <c r="P4140" t="s">
        <v>464</v>
      </c>
      <c r="Q4140">
        <v>168</v>
      </c>
      <c r="R4140" t="s">
        <v>255</v>
      </c>
      <c r="S4140" t="s">
        <v>15</v>
      </c>
      <c r="T4140">
        <v>15</v>
      </c>
    </row>
    <row r="4141" spans="4:20" ht="15.75" customHeight="1" x14ac:dyDescent="0.2">
      <c r="D4141" t="s">
        <v>285</v>
      </c>
      <c r="E4141" t="s">
        <v>495</v>
      </c>
      <c r="F4141">
        <v>21</v>
      </c>
      <c r="P4141" t="s">
        <v>464</v>
      </c>
      <c r="Q4141">
        <v>168</v>
      </c>
      <c r="R4141" t="s">
        <v>293</v>
      </c>
      <c r="S4141" t="s">
        <v>13</v>
      </c>
      <c r="T4141">
        <v>1</v>
      </c>
    </row>
    <row r="4142" spans="4:20" ht="15.75" customHeight="1" x14ac:dyDescent="0.2">
      <c r="D4142" t="s">
        <v>285</v>
      </c>
      <c r="E4142" t="s">
        <v>495</v>
      </c>
      <c r="F4142">
        <v>21</v>
      </c>
      <c r="P4142" t="s">
        <v>464</v>
      </c>
      <c r="Q4142">
        <v>168</v>
      </c>
      <c r="R4142" t="s">
        <v>294</v>
      </c>
      <c r="S4142" t="s">
        <v>14</v>
      </c>
      <c r="T4142">
        <v>0</v>
      </c>
    </row>
    <row r="4143" spans="4:20" ht="15.75" customHeight="1" x14ac:dyDescent="0.2">
      <c r="D4143" t="s">
        <v>285</v>
      </c>
      <c r="E4143" t="s">
        <v>495</v>
      </c>
      <c r="F4143">
        <v>21</v>
      </c>
      <c r="P4143" t="s">
        <v>464</v>
      </c>
      <c r="Q4143">
        <v>168</v>
      </c>
      <c r="R4143" t="s">
        <v>257</v>
      </c>
      <c r="S4143" t="s">
        <v>16</v>
      </c>
      <c r="T4143">
        <v>70.129199999999997</v>
      </c>
    </row>
    <row r="4144" spans="4:20" ht="15.75" customHeight="1" x14ac:dyDescent="0.2">
      <c r="D4144" t="s">
        <v>285</v>
      </c>
      <c r="E4144" t="s">
        <v>495</v>
      </c>
      <c r="F4144">
        <v>21</v>
      </c>
      <c r="P4144" t="s">
        <v>464</v>
      </c>
      <c r="Q4144">
        <v>168</v>
      </c>
      <c r="R4144" t="s">
        <v>295</v>
      </c>
      <c r="S4144" t="s">
        <v>17</v>
      </c>
      <c r="T4144">
        <v>0</v>
      </c>
    </row>
    <row r="4145" spans="4:20" ht="15.75" customHeight="1" x14ac:dyDescent="0.2">
      <c r="D4145" t="s">
        <v>285</v>
      </c>
      <c r="E4145" t="s">
        <v>495</v>
      </c>
      <c r="F4145">
        <v>21</v>
      </c>
      <c r="P4145" t="s">
        <v>464</v>
      </c>
      <c r="Q4145">
        <v>168</v>
      </c>
      <c r="R4145" t="s">
        <v>296</v>
      </c>
      <c r="S4145" t="s">
        <v>1</v>
      </c>
      <c r="T4145">
        <v>1</v>
      </c>
    </row>
    <row r="4146" spans="4:20" ht="15.75" customHeight="1" x14ac:dyDescent="0.2">
      <c r="D4146" t="s">
        <v>285</v>
      </c>
      <c r="E4146" t="s">
        <v>495</v>
      </c>
      <c r="F4146">
        <v>21</v>
      </c>
      <c r="P4146" t="s">
        <v>464</v>
      </c>
      <c r="Q4146">
        <v>168</v>
      </c>
      <c r="R4146" t="s">
        <v>297</v>
      </c>
      <c r="S4146" t="s">
        <v>18</v>
      </c>
      <c r="T4146">
        <v>1</v>
      </c>
    </row>
    <row r="4147" spans="4:20" ht="15.75" customHeight="1" x14ac:dyDescent="0.2">
      <c r="D4147" t="s">
        <v>285</v>
      </c>
      <c r="E4147" t="s">
        <v>495</v>
      </c>
      <c r="F4147">
        <v>21</v>
      </c>
      <c r="P4147" t="s">
        <v>464</v>
      </c>
      <c r="Q4147">
        <v>168</v>
      </c>
      <c r="R4147" t="s">
        <v>298</v>
      </c>
      <c r="S4147" t="s">
        <v>19</v>
      </c>
      <c r="T4147">
        <v>0</v>
      </c>
    </row>
    <row r="4148" spans="4:20" ht="15.75" customHeight="1" x14ac:dyDescent="0.2">
      <c r="D4148" t="s">
        <v>285</v>
      </c>
      <c r="E4148" t="s">
        <v>495</v>
      </c>
      <c r="F4148">
        <v>21</v>
      </c>
      <c r="P4148" t="s">
        <v>464</v>
      </c>
      <c r="Q4148">
        <v>168</v>
      </c>
      <c r="R4148" t="s">
        <v>299</v>
      </c>
      <c r="S4148" t="s">
        <v>20</v>
      </c>
      <c r="T4148">
        <v>0</v>
      </c>
    </row>
    <row r="4149" spans="4:20" ht="15.75" customHeight="1" x14ac:dyDescent="0.2">
      <c r="D4149" t="s">
        <v>285</v>
      </c>
      <c r="E4149" t="s">
        <v>495</v>
      </c>
      <c r="F4149">
        <v>21</v>
      </c>
      <c r="P4149" t="s">
        <v>465</v>
      </c>
      <c r="Q4149">
        <v>169</v>
      </c>
      <c r="R4149" t="s">
        <v>288</v>
      </c>
      <c r="S4149" t="s">
        <v>2</v>
      </c>
      <c r="T4149">
        <v>0</v>
      </c>
    </row>
    <row r="4150" spans="4:20" ht="15.75" customHeight="1" x14ac:dyDescent="0.2">
      <c r="D4150" t="s">
        <v>285</v>
      </c>
      <c r="E4150" t="s">
        <v>495</v>
      </c>
      <c r="F4150">
        <v>21</v>
      </c>
      <c r="P4150" t="s">
        <v>465</v>
      </c>
      <c r="Q4150">
        <v>169</v>
      </c>
      <c r="R4150" t="s">
        <v>289</v>
      </c>
      <c r="S4150" t="s">
        <v>5</v>
      </c>
      <c r="T4150">
        <v>0</v>
      </c>
    </row>
    <row r="4151" spans="4:20" ht="15.75" customHeight="1" x14ac:dyDescent="0.2">
      <c r="D4151" t="s">
        <v>285</v>
      </c>
      <c r="E4151" t="s">
        <v>495</v>
      </c>
      <c r="F4151">
        <v>21</v>
      </c>
      <c r="P4151" t="s">
        <v>465</v>
      </c>
      <c r="Q4151">
        <v>169</v>
      </c>
      <c r="R4151" t="s">
        <v>290</v>
      </c>
      <c r="S4151" t="s">
        <v>3</v>
      </c>
      <c r="T4151">
        <v>0</v>
      </c>
    </row>
    <row r="4152" spans="4:20" ht="15.75" customHeight="1" x14ac:dyDescent="0.2">
      <c r="D4152" t="s">
        <v>285</v>
      </c>
      <c r="E4152" t="s">
        <v>495</v>
      </c>
      <c r="F4152">
        <v>21</v>
      </c>
      <c r="P4152" t="s">
        <v>465</v>
      </c>
      <c r="Q4152">
        <v>169</v>
      </c>
      <c r="R4152" t="s">
        <v>291</v>
      </c>
      <c r="S4152" t="s">
        <v>4</v>
      </c>
      <c r="T4152">
        <v>0</v>
      </c>
    </row>
    <row r="4153" spans="4:20" ht="15.75" customHeight="1" x14ac:dyDescent="0.2">
      <c r="D4153" t="s">
        <v>285</v>
      </c>
      <c r="E4153" t="s">
        <v>495</v>
      </c>
      <c r="F4153">
        <v>21</v>
      </c>
      <c r="P4153" t="s">
        <v>465</v>
      </c>
      <c r="Q4153">
        <v>169</v>
      </c>
      <c r="R4153" t="s">
        <v>292</v>
      </c>
      <c r="S4153" t="s">
        <v>6</v>
      </c>
      <c r="T4153">
        <v>0</v>
      </c>
    </row>
    <row r="4154" spans="4:20" ht="15.75" customHeight="1" x14ac:dyDescent="0.2">
      <c r="D4154" t="s">
        <v>285</v>
      </c>
      <c r="E4154" t="s">
        <v>495</v>
      </c>
      <c r="F4154">
        <v>21</v>
      </c>
      <c r="P4154" t="s">
        <v>465</v>
      </c>
      <c r="Q4154">
        <v>169</v>
      </c>
      <c r="R4154" t="s">
        <v>243</v>
      </c>
      <c r="S4154" t="s">
        <v>7</v>
      </c>
      <c r="T4154">
        <v>1</v>
      </c>
    </row>
    <row r="4155" spans="4:20" ht="15.75" customHeight="1" x14ac:dyDescent="0.2">
      <c r="D4155" t="s">
        <v>285</v>
      </c>
      <c r="E4155" t="s">
        <v>495</v>
      </c>
      <c r="F4155">
        <v>21</v>
      </c>
      <c r="P4155" t="s">
        <v>465</v>
      </c>
      <c r="Q4155">
        <v>169</v>
      </c>
      <c r="R4155" t="s">
        <v>245</v>
      </c>
      <c r="S4155" t="s">
        <v>8</v>
      </c>
      <c r="T4155">
        <v>4.7549000000000001</v>
      </c>
    </row>
    <row r="4156" spans="4:20" ht="15.75" customHeight="1" x14ac:dyDescent="0.2">
      <c r="D4156" t="s">
        <v>285</v>
      </c>
      <c r="E4156" t="s">
        <v>495</v>
      </c>
      <c r="F4156">
        <v>21</v>
      </c>
      <c r="P4156" t="s">
        <v>465</v>
      </c>
      <c r="Q4156">
        <v>169</v>
      </c>
      <c r="R4156" t="s">
        <v>247</v>
      </c>
      <c r="S4156" t="s">
        <v>9</v>
      </c>
      <c r="T4156">
        <v>8.9999999999999998E-4</v>
      </c>
    </row>
    <row r="4157" spans="4:20" ht="15.75" customHeight="1" x14ac:dyDescent="0.2">
      <c r="D4157" t="s">
        <v>285</v>
      </c>
      <c r="E4157" t="s">
        <v>495</v>
      </c>
      <c r="F4157">
        <v>21</v>
      </c>
      <c r="P4157" t="s">
        <v>465</v>
      </c>
      <c r="Q4157">
        <v>169</v>
      </c>
      <c r="R4157" t="s">
        <v>249</v>
      </c>
      <c r="S4157" t="s">
        <v>10</v>
      </c>
      <c r="T4157">
        <v>3</v>
      </c>
    </row>
    <row r="4158" spans="4:20" ht="15.75" customHeight="1" x14ac:dyDescent="0.2">
      <c r="D4158" t="s">
        <v>285</v>
      </c>
      <c r="E4158" t="s">
        <v>495</v>
      </c>
      <c r="F4158">
        <v>21</v>
      </c>
      <c r="P4158" t="s">
        <v>465</v>
      </c>
      <c r="Q4158">
        <v>169</v>
      </c>
      <c r="R4158" t="s">
        <v>251</v>
      </c>
      <c r="S4158" t="s">
        <v>11</v>
      </c>
      <c r="T4158">
        <v>3</v>
      </c>
    </row>
    <row r="4159" spans="4:20" ht="15.75" customHeight="1" x14ac:dyDescent="0.2">
      <c r="D4159" t="s">
        <v>285</v>
      </c>
      <c r="E4159" t="s">
        <v>495</v>
      </c>
      <c r="F4159">
        <v>21</v>
      </c>
      <c r="P4159" t="s">
        <v>465</v>
      </c>
      <c r="Q4159">
        <v>169</v>
      </c>
      <c r="R4159" t="s">
        <v>253</v>
      </c>
      <c r="S4159" t="s">
        <v>12</v>
      </c>
      <c r="T4159">
        <v>4.7549000000000001</v>
      </c>
    </row>
    <row r="4160" spans="4:20" ht="15.75" customHeight="1" x14ac:dyDescent="0.2">
      <c r="D4160" t="s">
        <v>285</v>
      </c>
      <c r="E4160" t="s">
        <v>495</v>
      </c>
      <c r="F4160">
        <v>21</v>
      </c>
      <c r="P4160" t="s">
        <v>465</v>
      </c>
      <c r="Q4160">
        <v>169</v>
      </c>
      <c r="R4160" t="s">
        <v>255</v>
      </c>
      <c r="S4160" t="s">
        <v>15</v>
      </c>
      <c r="T4160">
        <v>9</v>
      </c>
    </row>
    <row r="4161" spans="4:20" ht="15.75" customHeight="1" x14ac:dyDescent="0.2">
      <c r="D4161" t="s">
        <v>285</v>
      </c>
      <c r="E4161" t="s">
        <v>495</v>
      </c>
      <c r="F4161">
        <v>21</v>
      </c>
      <c r="P4161" t="s">
        <v>465</v>
      </c>
      <c r="Q4161">
        <v>169</v>
      </c>
      <c r="R4161" t="s">
        <v>293</v>
      </c>
      <c r="S4161" t="s">
        <v>13</v>
      </c>
      <c r="T4161">
        <v>1</v>
      </c>
    </row>
    <row r="4162" spans="4:20" ht="15.75" customHeight="1" x14ac:dyDescent="0.2">
      <c r="D4162" t="s">
        <v>285</v>
      </c>
      <c r="E4162" t="s">
        <v>495</v>
      </c>
      <c r="F4162">
        <v>21</v>
      </c>
      <c r="P4162" t="s">
        <v>465</v>
      </c>
      <c r="Q4162">
        <v>169</v>
      </c>
      <c r="R4162" t="s">
        <v>294</v>
      </c>
      <c r="S4162" t="s">
        <v>14</v>
      </c>
      <c r="T4162">
        <v>0</v>
      </c>
    </row>
    <row r="4163" spans="4:20" ht="15.75" customHeight="1" x14ac:dyDescent="0.2">
      <c r="D4163" t="s">
        <v>285</v>
      </c>
      <c r="E4163" t="s">
        <v>495</v>
      </c>
      <c r="F4163">
        <v>21</v>
      </c>
      <c r="P4163" t="s">
        <v>465</v>
      </c>
      <c r="Q4163">
        <v>169</v>
      </c>
      <c r="R4163" t="s">
        <v>257</v>
      </c>
      <c r="S4163" t="s">
        <v>16</v>
      </c>
      <c r="T4163">
        <v>74.968599999999995</v>
      </c>
    </row>
    <row r="4164" spans="4:20" ht="15.75" customHeight="1" x14ac:dyDescent="0.2">
      <c r="D4164" t="s">
        <v>285</v>
      </c>
      <c r="E4164" t="s">
        <v>495</v>
      </c>
      <c r="F4164">
        <v>21</v>
      </c>
      <c r="P4164" t="s">
        <v>465</v>
      </c>
      <c r="Q4164">
        <v>169</v>
      </c>
      <c r="R4164" t="s">
        <v>295</v>
      </c>
      <c r="S4164" t="s">
        <v>17</v>
      </c>
      <c r="T4164">
        <v>0</v>
      </c>
    </row>
    <row r="4165" spans="4:20" ht="15.75" customHeight="1" x14ac:dyDescent="0.2">
      <c r="D4165" t="s">
        <v>285</v>
      </c>
      <c r="E4165" t="s">
        <v>495</v>
      </c>
      <c r="F4165">
        <v>21</v>
      </c>
      <c r="P4165" t="s">
        <v>465</v>
      </c>
      <c r="Q4165">
        <v>169</v>
      </c>
      <c r="R4165" t="s">
        <v>296</v>
      </c>
      <c r="S4165" t="s">
        <v>1</v>
      </c>
      <c r="T4165">
        <v>1</v>
      </c>
    </row>
    <row r="4166" spans="4:20" ht="15.75" customHeight="1" x14ac:dyDescent="0.2">
      <c r="D4166" t="s">
        <v>285</v>
      </c>
      <c r="E4166" t="s">
        <v>495</v>
      </c>
      <c r="F4166">
        <v>21</v>
      </c>
      <c r="P4166" t="s">
        <v>465</v>
      </c>
      <c r="Q4166">
        <v>169</v>
      </c>
      <c r="R4166" t="s">
        <v>297</v>
      </c>
      <c r="S4166" t="s">
        <v>18</v>
      </c>
      <c r="T4166">
        <v>1</v>
      </c>
    </row>
    <row r="4167" spans="4:20" ht="15.75" customHeight="1" x14ac:dyDescent="0.2">
      <c r="D4167" t="s">
        <v>285</v>
      </c>
      <c r="E4167" t="s">
        <v>495</v>
      </c>
      <c r="F4167">
        <v>21</v>
      </c>
      <c r="P4167" t="s">
        <v>465</v>
      </c>
      <c r="Q4167">
        <v>169</v>
      </c>
      <c r="R4167" t="s">
        <v>298</v>
      </c>
      <c r="S4167" t="s">
        <v>19</v>
      </c>
      <c r="T4167">
        <v>0</v>
      </c>
    </row>
    <row r="4168" spans="4:20" ht="15.75" customHeight="1" x14ac:dyDescent="0.2">
      <c r="D4168" t="s">
        <v>285</v>
      </c>
      <c r="E4168" t="s">
        <v>495</v>
      </c>
      <c r="F4168">
        <v>21</v>
      </c>
      <c r="P4168" t="s">
        <v>465</v>
      </c>
      <c r="Q4168">
        <v>169</v>
      </c>
      <c r="R4168" t="s">
        <v>299</v>
      </c>
      <c r="S4168" t="s">
        <v>20</v>
      </c>
      <c r="T4168">
        <v>0</v>
      </c>
    </row>
    <row r="4169" spans="4:20" ht="15.75" customHeight="1" x14ac:dyDescent="0.2">
      <c r="D4169" t="s">
        <v>285</v>
      </c>
      <c r="E4169" t="s">
        <v>495</v>
      </c>
      <c r="F4169">
        <v>21</v>
      </c>
      <c r="P4169" t="s">
        <v>466</v>
      </c>
      <c r="Q4169">
        <v>170</v>
      </c>
      <c r="R4169" t="s">
        <v>288</v>
      </c>
      <c r="S4169" t="s">
        <v>2</v>
      </c>
      <c r="T4169">
        <v>2</v>
      </c>
    </row>
    <row r="4170" spans="4:20" ht="15.75" customHeight="1" x14ac:dyDescent="0.2">
      <c r="D4170" t="s">
        <v>285</v>
      </c>
      <c r="E4170" t="s">
        <v>495</v>
      </c>
      <c r="F4170">
        <v>21</v>
      </c>
      <c r="P4170" t="s">
        <v>466</v>
      </c>
      <c r="Q4170">
        <v>170</v>
      </c>
      <c r="R4170" t="s">
        <v>289</v>
      </c>
      <c r="S4170" t="s">
        <v>5</v>
      </c>
      <c r="T4170">
        <v>1</v>
      </c>
    </row>
    <row r="4171" spans="4:20" ht="15.75" customHeight="1" x14ac:dyDescent="0.2">
      <c r="D4171" t="s">
        <v>285</v>
      </c>
      <c r="E4171" t="s">
        <v>495</v>
      </c>
      <c r="F4171">
        <v>21</v>
      </c>
      <c r="P4171" t="s">
        <v>466</v>
      </c>
      <c r="Q4171">
        <v>170</v>
      </c>
      <c r="R4171" t="s">
        <v>290</v>
      </c>
      <c r="S4171" t="s">
        <v>3</v>
      </c>
      <c r="T4171">
        <v>0.5</v>
      </c>
    </row>
    <row r="4172" spans="4:20" ht="15.75" customHeight="1" x14ac:dyDescent="0.2">
      <c r="D4172" t="s">
        <v>285</v>
      </c>
      <c r="E4172" t="s">
        <v>495</v>
      </c>
      <c r="F4172">
        <v>21</v>
      </c>
      <c r="P4172" t="s">
        <v>466</v>
      </c>
      <c r="Q4172">
        <v>170</v>
      </c>
      <c r="R4172" t="s">
        <v>291</v>
      </c>
      <c r="S4172" t="s">
        <v>4</v>
      </c>
      <c r="T4172">
        <v>2</v>
      </c>
    </row>
    <row r="4173" spans="4:20" ht="15.75" customHeight="1" x14ac:dyDescent="0.2">
      <c r="D4173" t="s">
        <v>285</v>
      </c>
      <c r="E4173" t="s">
        <v>495</v>
      </c>
      <c r="F4173">
        <v>21</v>
      </c>
      <c r="P4173" t="s">
        <v>466</v>
      </c>
      <c r="Q4173">
        <v>170</v>
      </c>
      <c r="R4173" t="s">
        <v>292</v>
      </c>
      <c r="S4173" t="s">
        <v>6</v>
      </c>
      <c r="T4173">
        <v>0</v>
      </c>
    </row>
    <row r="4174" spans="4:20" ht="15.75" customHeight="1" x14ac:dyDescent="0.2">
      <c r="D4174" t="s">
        <v>285</v>
      </c>
      <c r="E4174" t="s">
        <v>495</v>
      </c>
      <c r="F4174">
        <v>21</v>
      </c>
      <c r="P4174" t="s">
        <v>466</v>
      </c>
      <c r="Q4174">
        <v>170</v>
      </c>
      <c r="R4174" t="s">
        <v>243</v>
      </c>
      <c r="S4174" t="s">
        <v>7</v>
      </c>
      <c r="T4174">
        <v>13.5</v>
      </c>
    </row>
    <row r="4175" spans="4:20" ht="15.75" customHeight="1" x14ac:dyDescent="0.2">
      <c r="D4175" t="s">
        <v>285</v>
      </c>
      <c r="E4175" t="s">
        <v>495</v>
      </c>
      <c r="F4175">
        <v>21</v>
      </c>
      <c r="P4175" t="s">
        <v>466</v>
      </c>
      <c r="Q4175">
        <v>170</v>
      </c>
      <c r="R4175" t="s">
        <v>245</v>
      </c>
      <c r="S4175" t="s">
        <v>8</v>
      </c>
      <c r="T4175">
        <v>1566</v>
      </c>
    </row>
    <row r="4176" spans="4:20" ht="15.75" customHeight="1" x14ac:dyDescent="0.2">
      <c r="D4176" t="s">
        <v>285</v>
      </c>
      <c r="E4176" t="s">
        <v>495</v>
      </c>
      <c r="F4176">
        <v>21</v>
      </c>
      <c r="P4176" t="s">
        <v>466</v>
      </c>
      <c r="Q4176">
        <v>170</v>
      </c>
      <c r="R4176" t="s">
        <v>247</v>
      </c>
      <c r="S4176" t="s">
        <v>9</v>
      </c>
      <c r="T4176">
        <v>4.4999999999999998E-2</v>
      </c>
    </row>
    <row r="4177" spans="4:20" ht="15.75" customHeight="1" x14ac:dyDescent="0.2">
      <c r="D4177" t="s">
        <v>285</v>
      </c>
      <c r="E4177" t="s">
        <v>495</v>
      </c>
      <c r="F4177">
        <v>21</v>
      </c>
      <c r="P4177" t="s">
        <v>466</v>
      </c>
      <c r="Q4177">
        <v>170</v>
      </c>
      <c r="R4177" t="s">
        <v>249</v>
      </c>
      <c r="S4177" t="s">
        <v>10</v>
      </c>
      <c r="T4177">
        <v>29</v>
      </c>
    </row>
    <row r="4178" spans="4:20" ht="15.75" customHeight="1" x14ac:dyDescent="0.2">
      <c r="D4178" t="s">
        <v>285</v>
      </c>
      <c r="E4178" t="s">
        <v>495</v>
      </c>
      <c r="F4178">
        <v>21</v>
      </c>
      <c r="P4178" t="s">
        <v>466</v>
      </c>
      <c r="Q4178">
        <v>170</v>
      </c>
      <c r="R4178" t="s">
        <v>251</v>
      </c>
      <c r="S4178" t="s">
        <v>11</v>
      </c>
      <c r="T4178">
        <v>16</v>
      </c>
    </row>
    <row r="4179" spans="4:20" ht="15.75" customHeight="1" x14ac:dyDescent="0.2">
      <c r="D4179" t="s">
        <v>285</v>
      </c>
      <c r="E4179" t="s">
        <v>495</v>
      </c>
      <c r="F4179">
        <v>21</v>
      </c>
      <c r="P4179" t="s">
        <v>466</v>
      </c>
      <c r="Q4179">
        <v>170</v>
      </c>
      <c r="R4179" t="s">
        <v>253</v>
      </c>
      <c r="S4179" t="s">
        <v>12</v>
      </c>
      <c r="T4179">
        <v>116</v>
      </c>
    </row>
    <row r="4180" spans="4:20" ht="15.75" customHeight="1" x14ac:dyDescent="0.2">
      <c r="D4180" t="s">
        <v>285</v>
      </c>
      <c r="E4180" t="s">
        <v>495</v>
      </c>
      <c r="F4180">
        <v>21</v>
      </c>
      <c r="P4180" t="s">
        <v>466</v>
      </c>
      <c r="Q4180">
        <v>170</v>
      </c>
      <c r="R4180" t="s">
        <v>255</v>
      </c>
      <c r="S4180" t="s">
        <v>15</v>
      </c>
      <c r="T4180">
        <v>19</v>
      </c>
    </row>
    <row r="4181" spans="4:20" ht="15.75" customHeight="1" x14ac:dyDescent="0.2">
      <c r="D4181" t="s">
        <v>285</v>
      </c>
      <c r="E4181" t="s">
        <v>495</v>
      </c>
      <c r="F4181">
        <v>21</v>
      </c>
      <c r="P4181" t="s">
        <v>466</v>
      </c>
      <c r="Q4181">
        <v>170</v>
      </c>
      <c r="R4181" t="s">
        <v>293</v>
      </c>
      <c r="S4181" t="s">
        <v>13</v>
      </c>
      <c r="T4181">
        <v>1</v>
      </c>
    </row>
    <row r="4182" spans="4:20" ht="15.75" customHeight="1" x14ac:dyDescent="0.2">
      <c r="D4182" t="s">
        <v>285</v>
      </c>
      <c r="E4182" t="s">
        <v>495</v>
      </c>
      <c r="F4182">
        <v>21</v>
      </c>
      <c r="P4182" t="s">
        <v>466</v>
      </c>
      <c r="Q4182">
        <v>170</v>
      </c>
      <c r="R4182" t="s">
        <v>294</v>
      </c>
      <c r="S4182" t="s">
        <v>14</v>
      </c>
      <c r="T4182">
        <v>1</v>
      </c>
    </row>
    <row r="4183" spans="4:20" ht="15.75" customHeight="1" x14ac:dyDescent="0.2">
      <c r="D4183" t="s">
        <v>285</v>
      </c>
      <c r="E4183" t="s">
        <v>495</v>
      </c>
      <c r="F4183">
        <v>21</v>
      </c>
      <c r="P4183" t="s">
        <v>466</v>
      </c>
      <c r="Q4183">
        <v>170</v>
      </c>
      <c r="R4183" t="s">
        <v>257</v>
      </c>
      <c r="S4183" t="s">
        <v>16</v>
      </c>
      <c r="T4183">
        <v>57.502200000000002</v>
      </c>
    </row>
    <row r="4184" spans="4:20" ht="15.75" customHeight="1" x14ac:dyDescent="0.2">
      <c r="D4184" t="s">
        <v>285</v>
      </c>
      <c r="E4184" t="s">
        <v>495</v>
      </c>
      <c r="F4184">
        <v>21</v>
      </c>
      <c r="P4184" t="s">
        <v>466</v>
      </c>
      <c r="Q4184">
        <v>170</v>
      </c>
      <c r="R4184" t="s">
        <v>295</v>
      </c>
      <c r="S4184" t="s">
        <v>17</v>
      </c>
      <c r="T4184">
        <v>0</v>
      </c>
    </row>
    <row r="4185" spans="4:20" ht="15.75" customHeight="1" x14ac:dyDescent="0.2">
      <c r="D4185" t="s">
        <v>285</v>
      </c>
      <c r="E4185" t="s">
        <v>495</v>
      </c>
      <c r="F4185">
        <v>21</v>
      </c>
      <c r="P4185" t="s">
        <v>466</v>
      </c>
      <c r="Q4185">
        <v>170</v>
      </c>
      <c r="R4185" t="s">
        <v>296</v>
      </c>
      <c r="S4185" t="s">
        <v>1</v>
      </c>
      <c r="T4185">
        <v>3</v>
      </c>
    </row>
    <row r="4186" spans="4:20" ht="15.75" customHeight="1" x14ac:dyDescent="0.2">
      <c r="D4186" t="s">
        <v>285</v>
      </c>
      <c r="E4186" t="s">
        <v>495</v>
      </c>
      <c r="F4186">
        <v>21</v>
      </c>
      <c r="P4186" t="s">
        <v>466</v>
      </c>
      <c r="Q4186">
        <v>170</v>
      </c>
      <c r="R4186" t="s">
        <v>297</v>
      </c>
      <c r="S4186" t="s">
        <v>18</v>
      </c>
      <c r="T4186">
        <v>2</v>
      </c>
    </row>
    <row r="4187" spans="4:20" ht="15.75" customHeight="1" x14ac:dyDescent="0.2">
      <c r="D4187" t="s">
        <v>285</v>
      </c>
      <c r="E4187" t="s">
        <v>495</v>
      </c>
      <c r="F4187">
        <v>21</v>
      </c>
      <c r="P4187" t="s">
        <v>466</v>
      </c>
      <c r="Q4187">
        <v>170</v>
      </c>
      <c r="R4187" t="s">
        <v>298</v>
      </c>
      <c r="S4187" t="s">
        <v>19</v>
      </c>
      <c r="T4187">
        <v>1</v>
      </c>
    </row>
    <row r="4188" spans="4:20" ht="15.75" customHeight="1" x14ac:dyDescent="0.2">
      <c r="D4188" t="s">
        <v>285</v>
      </c>
      <c r="E4188" t="s">
        <v>495</v>
      </c>
      <c r="F4188">
        <v>21</v>
      </c>
      <c r="P4188" t="s">
        <v>466</v>
      </c>
      <c r="Q4188">
        <v>170</v>
      </c>
      <c r="R4188" t="s">
        <v>299</v>
      </c>
      <c r="S4188" t="s">
        <v>20</v>
      </c>
      <c r="T4188">
        <v>0</v>
      </c>
    </row>
    <row r="4189" spans="4:20" ht="15.75" customHeight="1" x14ac:dyDescent="0.2">
      <c r="D4189" t="s">
        <v>285</v>
      </c>
      <c r="E4189" t="s">
        <v>495</v>
      </c>
      <c r="F4189">
        <v>21</v>
      </c>
      <c r="P4189" t="s">
        <v>467</v>
      </c>
      <c r="Q4189">
        <v>171</v>
      </c>
      <c r="R4189" t="s">
        <v>288</v>
      </c>
      <c r="S4189" t="s">
        <v>2</v>
      </c>
      <c r="T4189">
        <v>0</v>
      </c>
    </row>
    <row r="4190" spans="4:20" ht="15.75" customHeight="1" x14ac:dyDescent="0.2">
      <c r="D4190" t="s">
        <v>285</v>
      </c>
      <c r="E4190" t="s">
        <v>495</v>
      </c>
      <c r="F4190">
        <v>21</v>
      </c>
      <c r="P4190" t="s">
        <v>467</v>
      </c>
      <c r="Q4190">
        <v>171</v>
      </c>
      <c r="R4190" t="s">
        <v>289</v>
      </c>
      <c r="S4190" t="s">
        <v>5</v>
      </c>
      <c r="T4190">
        <v>0</v>
      </c>
    </row>
    <row r="4191" spans="4:20" ht="15.75" customHeight="1" x14ac:dyDescent="0.2">
      <c r="D4191" t="s">
        <v>285</v>
      </c>
      <c r="E4191" t="s">
        <v>495</v>
      </c>
      <c r="F4191">
        <v>21</v>
      </c>
      <c r="P4191" t="s">
        <v>467</v>
      </c>
      <c r="Q4191">
        <v>171</v>
      </c>
      <c r="R4191" t="s">
        <v>290</v>
      </c>
      <c r="S4191" t="s">
        <v>3</v>
      </c>
      <c r="T4191">
        <v>0</v>
      </c>
    </row>
    <row r="4192" spans="4:20" ht="15.75" customHeight="1" x14ac:dyDescent="0.2">
      <c r="D4192" t="s">
        <v>285</v>
      </c>
      <c r="E4192" t="s">
        <v>495</v>
      </c>
      <c r="F4192">
        <v>21</v>
      </c>
      <c r="P4192" t="s">
        <v>467</v>
      </c>
      <c r="Q4192">
        <v>171</v>
      </c>
      <c r="R4192" t="s">
        <v>291</v>
      </c>
      <c r="S4192" t="s">
        <v>4</v>
      </c>
      <c r="T4192">
        <v>0</v>
      </c>
    </row>
    <row r="4193" spans="4:20" ht="15.75" customHeight="1" x14ac:dyDescent="0.2">
      <c r="D4193" t="s">
        <v>285</v>
      </c>
      <c r="E4193" t="s">
        <v>495</v>
      </c>
      <c r="F4193">
        <v>21</v>
      </c>
      <c r="P4193" t="s">
        <v>467</v>
      </c>
      <c r="Q4193">
        <v>171</v>
      </c>
      <c r="R4193" t="s">
        <v>292</v>
      </c>
      <c r="S4193" t="s">
        <v>6</v>
      </c>
      <c r="T4193">
        <v>0</v>
      </c>
    </row>
    <row r="4194" spans="4:20" ht="15.75" customHeight="1" x14ac:dyDescent="0.2">
      <c r="D4194" t="s">
        <v>285</v>
      </c>
      <c r="E4194" t="s">
        <v>495</v>
      </c>
      <c r="F4194">
        <v>21</v>
      </c>
      <c r="P4194" t="s">
        <v>467</v>
      </c>
      <c r="Q4194">
        <v>171</v>
      </c>
      <c r="R4194" t="s">
        <v>243</v>
      </c>
      <c r="S4194" t="s">
        <v>7</v>
      </c>
      <c r="T4194">
        <v>1</v>
      </c>
    </row>
    <row r="4195" spans="4:20" ht="15.75" customHeight="1" x14ac:dyDescent="0.2">
      <c r="D4195" t="s">
        <v>285</v>
      </c>
      <c r="E4195" t="s">
        <v>495</v>
      </c>
      <c r="F4195">
        <v>21</v>
      </c>
      <c r="P4195" t="s">
        <v>467</v>
      </c>
      <c r="Q4195">
        <v>171</v>
      </c>
      <c r="R4195" t="s">
        <v>245</v>
      </c>
      <c r="S4195" t="s">
        <v>8</v>
      </c>
      <c r="T4195">
        <v>4.7549000000000001</v>
      </c>
    </row>
    <row r="4196" spans="4:20" ht="15.75" customHeight="1" x14ac:dyDescent="0.2">
      <c r="D4196" t="s">
        <v>285</v>
      </c>
      <c r="E4196" t="s">
        <v>495</v>
      </c>
      <c r="F4196">
        <v>21</v>
      </c>
      <c r="P4196" t="s">
        <v>467</v>
      </c>
      <c r="Q4196">
        <v>171</v>
      </c>
      <c r="R4196" t="s">
        <v>247</v>
      </c>
      <c r="S4196" t="s">
        <v>9</v>
      </c>
      <c r="T4196">
        <v>8.9999999999999998E-4</v>
      </c>
    </row>
    <row r="4197" spans="4:20" ht="15.75" customHeight="1" x14ac:dyDescent="0.2">
      <c r="D4197" t="s">
        <v>285</v>
      </c>
      <c r="E4197" t="s">
        <v>495</v>
      </c>
      <c r="F4197">
        <v>21</v>
      </c>
      <c r="P4197" t="s">
        <v>467</v>
      </c>
      <c r="Q4197">
        <v>171</v>
      </c>
      <c r="R4197" t="s">
        <v>249</v>
      </c>
      <c r="S4197" t="s">
        <v>10</v>
      </c>
      <c r="T4197">
        <v>3</v>
      </c>
    </row>
    <row r="4198" spans="4:20" ht="15.75" customHeight="1" x14ac:dyDescent="0.2">
      <c r="D4198" t="s">
        <v>285</v>
      </c>
      <c r="E4198" t="s">
        <v>495</v>
      </c>
      <c r="F4198">
        <v>21</v>
      </c>
      <c r="P4198" t="s">
        <v>467</v>
      </c>
      <c r="Q4198">
        <v>171</v>
      </c>
      <c r="R4198" t="s">
        <v>251</v>
      </c>
      <c r="S4198" t="s">
        <v>11</v>
      </c>
      <c r="T4198">
        <v>3</v>
      </c>
    </row>
    <row r="4199" spans="4:20" ht="15.75" customHeight="1" x14ac:dyDescent="0.2">
      <c r="D4199" t="s">
        <v>285</v>
      </c>
      <c r="E4199" t="s">
        <v>495</v>
      </c>
      <c r="F4199">
        <v>21</v>
      </c>
      <c r="P4199" t="s">
        <v>467</v>
      </c>
      <c r="Q4199">
        <v>171</v>
      </c>
      <c r="R4199" t="s">
        <v>253</v>
      </c>
      <c r="S4199" t="s">
        <v>12</v>
      </c>
      <c r="T4199">
        <v>4.7549000000000001</v>
      </c>
    </row>
    <row r="4200" spans="4:20" ht="15.75" customHeight="1" x14ac:dyDescent="0.2">
      <c r="D4200" t="s">
        <v>285</v>
      </c>
      <c r="E4200" t="s">
        <v>495</v>
      </c>
      <c r="F4200">
        <v>21</v>
      </c>
      <c r="P4200" t="s">
        <v>467</v>
      </c>
      <c r="Q4200">
        <v>171</v>
      </c>
      <c r="R4200" t="s">
        <v>255</v>
      </c>
      <c r="S4200" t="s">
        <v>15</v>
      </c>
      <c r="T4200">
        <v>9</v>
      </c>
    </row>
    <row r="4201" spans="4:20" ht="15.75" customHeight="1" x14ac:dyDescent="0.2">
      <c r="D4201" t="s">
        <v>285</v>
      </c>
      <c r="E4201" t="s">
        <v>495</v>
      </c>
      <c r="F4201">
        <v>21</v>
      </c>
      <c r="P4201" t="s">
        <v>467</v>
      </c>
      <c r="Q4201">
        <v>171</v>
      </c>
      <c r="R4201" t="s">
        <v>293</v>
      </c>
      <c r="S4201" t="s">
        <v>13</v>
      </c>
      <c r="T4201">
        <v>1</v>
      </c>
    </row>
    <row r="4202" spans="4:20" ht="15.75" customHeight="1" x14ac:dyDescent="0.2">
      <c r="D4202" t="s">
        <v>285</v>
      </c>
      <c r="E4202" t="s">
        <v>495</v>
      </c>
      <c r="F4202">
        <v>21</v>
      </c>
      <c r="P4202" t="s">
        <v>467</v>
      </c>
      <c r="Q4202">
        <v>171</v>
      </c>
      <c r="R4202" t="s">
        <v>294</v>
      </c>
      <c r="S4202" t="s">
        <v>14</v>
      </c>
      <c r="T4202">
        <v>0</v>
      </c>
    </row>
    <row r="4203" spans="4:20" ht="15.75" customHeight="1" x14ac:dyDescent="0.2">
      <c r="D4203" t="s">
        <v>285</v>
      </c>
      <c r="E4203" t="s">
        <v>495</v>
      </c>
      <c r="F4203">
        <v>21</v>
      </c>
      <c r="P4203" t="s">
        <v>467</v>
      </c>
      <c r="Q4203">
        <v>171</v>
      </c>
      <c r="R4203" t="s">
        <v>257</v>
      </c>
      <c r="S4203" t="s">
        <v>16</v>
      </c>
      <c r="T4203">
        <v>74.968599999999995</v>
      </c>
    </row>
    <row r="4204" spans="4:20" ht="15.75" customHeight="1" x14ac:dyDescent="0.2">
      <c r="D4204" t="s">
        <v>285</v>
      </c>
      <c r="E4204" t="s">
        <v>495</v>
      </c>
      <c r="F4204">
        <v>21</v>
      </c>
      <c r="P4204" t="s">
        <v>467</v>
      </c>
      <c r="Q4204">
        <v>171</v>
      </c>
      <c r="R4204" t="s">
        <v>295</v>
      </c>
      <c r="S4204" t="s">
        <v>17</v>
      </c>
      <c r="T4204">
        <v>0</v>
      </c>
    </row>
    <row r="4205" spans="4:20" ht="15.75" customHeight="1" x14ac:dyDescent="0.2">
      <c r="D4205" t="s">
        <v>285</v>
      </c>
      <c r="E4205" t="s">
        <v>495</v>
      </c>
      <c r="F4205">
        <v>21</v>
      </c>
      <c r="P4205" t="s">
        <v>467</v>
      </c>
      <c r="Q4205">
        <v>171</v>
      </c>
      <c r="R4205" t="s">
        <v>296</v>
      </c>
      <c r="S4205" t="s">
        <v>1</v>
      </c>
      <c r="T4205">
        <v>1</v>
      </c>
    </row>
    <row r="4206" spans="4:20" ht="15.75" customHeight="1" x14ac:dyDescent="0.2">
      <c r="D4206" t="s">
        <v>285</v>
      </c>
      <c r="E4206" t="s">
        <v>495</v>
      </c>
      <c r="F4206">
        <v>21</v>
      </c>
      <c r="P4206" t="s">
        <v>467</v>
      </c>
      <c r="Q4206">
        <v>171</v>
      </c>
      <c r="R4206" t="s">
        <v>297</v>
      </c>
      <c r="S4206" t="s">
        <v>18</v>
      </c>
      <c r="T4206">
        <v>1</v>
      </c>
    </row>
    <row r="4207" spans="4:20" ht="15.75" customHeight="1" x14ac:dyDescent="0.2">
      <c r="D4207" t="s">
        <v>285</v>
      </c>
      <c r="E4207" t="s">
        <v>495</v>
      </c>
      <c r="F4207">
        <v>21</v>
      </c>
      <c r="P4207" t="s">
        <v>467</v>
      </c>
      <c r="Q4207">
        <v>171</v>
      </c>
      <c r="R4207" t="s">
        <v>298</v>
      </c>
      <c r="S4207" t="s">
        <v>19</v>
      </c>
      <c r="T4207">
        <v>0</v>
      </c>
    </row>
    <row r="4208" spans="4:20" ht="15.75" customHeight="1" x14ac:dyDescent="0.2">
      <c r="D4208" t="s">
        <v>285</v>
      </c>
      <c r="E4208" t="s">
        <v>495</v>
      </c>
      <c r="F4208">
        <v>21</v>
      </c>
      <c r="P4208" t="s">
        <v>467</v>
      </c>
      <c r="Q4208">
        <v>171</v>
      </c>
      <c r="R4208" t="s">
        <v>299</v>
      </c>
      <c r="S4208" t="s">
        <v>20</v>
      </c>
      <c r="T4208">
        <v>0</v>
      </c>
    </row>
    <row r="4209" spans="4:20" ht="15.75" customHeight="1" x14ac:dyDescent="0.2">
      <c r="D4209" t="s">
        <v>285</v>
      </c>
      <c r="E4209" t="s">
        <v>495</v>
      </c>
      <c r="F4209">
        <v>21</v>
      </c>
      <c r="P4209" t="s">
        <v>468</v>
      </c>
      <c r="Q4209">
        <v>172</v>
      </c>
      <c r="R4209" t="s">
        <v>288</v>
      </c>
      <c r="S4209" t="s">
        <v>2</v>
      </c>
      <c r="T4209">
        <v>2</v>
      </c>
    </row>
    <row r="4210" spans="4:20" ht="15.75" customHeight="1" x14ac:dyDescent="0.2">
      <c r="D4210" t="s">
        <v>285</v>
      </c>
      <c r="E4210" t="s">
        <v>495</v>
      </c>
      <c r="F4210">
        <v>21</v>
      </c>
      <c r="P4210" t="s">
        <v>468</v>
      </c>
      <c r="Q4210">
        <v>172</v>
      </c>
      <c r="R4210" t="s">
        <v>289</v>
      </c>
      <c r="S4210" t="s">
        <v>5</v>
      </c>
      <c r="T4210">
        <v>1</v>
      </c>
    </row>
    <row r="4211" spans="4:20" ht="15.75" customHeight="1" x14ac:dyDescent="0.2">
      <c r="D4211" t="s">
        <v>285</v>
      </c>
      <c r="E4211" t="s">
        <v>495</v>
      </c>
      <c r="F4211">
        <v>21</v>
      </c>
      <c r="P4211" t="s">
        <v>468</v>
      </c>
      <c r="Q4211">
        <v>172</v>
      </c>
      <c r="R4211" t="s">
        <v>290</v>
      </c>
      <c r="S4211" t="s">
        <v>3</v>
      </c>
      <c r="T4211">
        <v>0.5</v>
      </c>
    </row>
    <row r="4212" spans="4:20" ht="15.75" customHeight="1" x14ac:dyDescent="0.2">
      <c r="D4212" t="s">
        <v>285</v>
      </c>
      <c r="E4212" t="s">
        <v>495</v>
      </c>
      <c r="F4212">
        <v>21</v>
      </c>
      <c r="P4212" t="s">
        <v>468</v>
      </c>
      <c r="Q4212">
        <v>172</v>
      </c>
      <c r="R4212" t="s">
        <v>291</v>
      </c>
      <c r="S4212" t="s">
        <v>4</v>
      </c>
      <c r="T4212">
        <v>2</v>
      </c>
    </row>
    <row r="4213" spans="4:20" ht="15.75" customHeight="1" x14ac:dyDescent="0.2">
      <c r="D4213" t="s">
        <v>285</v>
      </c>
      <c r="E4213" t="s">
        <v>495</v>
      </c>
      <c r="F4213">
        <v>21</v>
      </c>
      <c r="P4213" t="s">
        <v>468</v>
      </c>
      <c r="Q4213">
        <v>172</v>
      </c>
      <c r="R4213" t="s">
        <v>292</v>
      </c>
      <c r="S4213" t="s">
        <v>6</v>
      </c>
      <c r="T4213">
        <v>0</v>
      </c>
    </row>
    <row r="4214" spans="4:20" ht="15.75" customHeight="1" x14ac:dyDescent="0.2">
      <c r="D4214" t="s">
        <v>285</v>
      </c>
      <c r="E4214" t="s">
        <v>495</v>
      </c>
      <c r="F4214">
        <v>21</v>
      </c>
      <c r="P4214" t="s">
        <v>468</v>
      </c>
      <c r="Q4214">
        <v>172</v>
      </c>
      <c r="R4214" t="s">
        <v>243</v>
      </c>
      <c r="S4214" t="s">
        <v>7</v>
      </c>
      <c r="T4214">
        <v>12.375</v>
      </c>
    </row>
    <row r="4215" spans="4:20" ht="15.75" customHeight="1" x14ac:dyDescent="0.2">
      <c r="D4215" t="s">
        <v>285</v>
      </c>
      <c r="E4215" t="s">
        <v>495</v>
      </c>
      <c r="F4215">
        <v>21</v>
      </c>
      <c r="P4215" t="s">
        <v>468</v>
      </c>
      <c r="Q4215">
        <v>172</v>
      </c>
      <c r="R4215" t="s">
        <v>245</v>
      </c>
      <c r="S4215" t="s">
        <v>8</v>
      </c>
      <c r="T4215">
        <v>1402.0853999999999</v>
      </c>
    </row>
    <row r="4216" spans="4:20" ht="15.75" customHeight="1" x14ac:dyDescent="0.2">
      <c r="D4216" t="s">
        <v>285</v>
      </c>
      <c r="E4216" t="s">
        <v>495</v>
      </c>
      <c r="F4216">
        <v>21</v>
      </c>
      <c r="P4216" t="s">
        <v>468</v>
      </c>
      <c r="Q4216">
        <v>172</v>
      </c>
      <c r="R4216" t="s">
        <v>247</v>
      </c>
      <c r="S4216" t="s">
        <v>9</v>
      </c>
      <c r="T4216">
        <v>4.1799999999999997E-2</v>
      </c>
    </row>
    <row r="4217" spans="4:20" ht="15.75" customHeight="1" x14ac:dyDescent="0.2">
      <c r="D4217" t="s">
        <v>285</v>
      </c>
      <c r="E4217" t="s">
        <v>495</v>
      </c>
      <c r="F4217">
        <v>21</v>
      </c>
      <c r="P4217" t="s">
        <v>468</v>
      </c>
      <c r="Q4217">
        <v>172</v>
      </c>
      <c r="R4217" t="s">
        <v>249</v>
      </c>
      <c r="S4217" t="s">
        <v>10</v>
      </c>
      <c r="T4217">
        <v>29</v>
      </c>
    </row>
    <row r="4218" spans="4:20" ht="15.75" customHeight="1" x14ac:dyDescent="0.2">
      <c r="D4218" t="s">
        <v>285</v>
      </c>
      <c r="E4218" t="s">
        <v>495</v>
      </c>
      <c r="F4218">
        <v>21</v>
      </c>
      <c r="P4218" t="s">
        <v>468</v>
      </c>
      <c r="Q4218">
        <v>172</v>
      </c>
      <c r="R4218" t="s">
        <v>251</v>
      </c>
      <c r="S4218" t="s">
        <v>11</v>
      </c>
      <c r="T4218">
        <v>15</v>
      </c>
    </row>
    <row r="4219" spans="4:20" ht="15.75" customHeight="1" x14ac:dyDescent="0.2">
      <c r="D4219" t="s">
        <v>285</v>
      </c>
      <c r="E4219" t="s">
        <v>495</v>
      </c>
      <c r="F4219">
        <v>21</v>
      </c>
      <c r="P4219" t="s">
        <v>468</v>
      </c>
      <c r="Q4219">
        <v>172</v>
      </c>
      <c r="R4219" t="s">
        <v>253</v>
      </c>
      <c r="S4219" t="s">
        <v>12</v>
      </c>
      <c r="T4219">
        <v>113.2998</v>
      </c>
    </row>
    <row r="4220" spans="4:20" ht="15.75" customHeight="1" x14ac:dyDescent="0.2">
      <c r="D4220" t="s">
        <v>285</v>
      </c>
      <c r="E4220" t="s">
        <v>495</v>
      </c>
      <c r="F4220">
        <v>21</v>
      </c>
      <c r="P4220" t="s">
        <v>468</v>
      </c>
      <c r="Q4220">
        <v>172</v>
      </c>
      <c r="R4220" t="s">
        <v>255</v>
      </c>
      <c r="S4220" t="s">
        <v>15</v>
      </c>
      <c r="T4220">
        <v>19</v>
      </c>
    </row>
    <row r="4221" spans="4:20" ht="15.75" customHeight="1" x14ac:dyDescent="0.2">
      <c r="D4221" t="s">
        <v>285</v>
      </c>
      <c r="E4221" t="s">
        <v>495</v>
      </c>
      <c r="F4221">
        <v>21</v>
      </c>
      <c r="P4221" t="s">
        <v>468</v>
      </c>
      <c r="Q4221">
        <v>172</v>
      </c>
      <c r="R4221" t="s">
        <v>293</v>
      </c>
      <c r="S4221" t="s">
        <v>13</v>
      </c>
      <c r="T4221">
        <v>1</v>
      </c>
    </row>
    <row r="4222" spans="4:20" ht="15.75" customHeight="1" x14ac:dyDescent="0.2">
      <c r="D4222" t="s">
        <v>285</v>
      </c>
      <c r="E4222" t="s">
        <v>495</v>
      </c>
      <c r="F4222">
        <v>21</v>
      </c>
      <c r="P4222" t="s">
        <v>468</v>
      </c>
      <c r="Q4222">
        <v>172</v>
      </c>
      <c r="R4222" t="s">
        <v>294</v>
      </c>
      <c r="S4222" t="s">
        <v>14</v>
      </c>
      <c r="T4222">
        <v>1</v>
      </c>
    </row>
    <row r="4223" spans="4:20" ht="15.75" customHeight="1" x14ac:dyDescent="0.2">
      <c r="D4223" t="s">
        <v>285</v>
      </c>
      <c r="E4223" t="s">
        <v>495</v>
      </c>
      <c r="F4223">
        <v>21</v>
      </c>
      <c r="P4223" t="s">
        <v>468</v>
      </c>
      <c r="Q4223">
        <v>172</v>
      </c>
      <c r="R4223" t="s">
        <v>257</v>
      </c>
      <c r="S4223" t="s">
        <v>16</v>
      </c>
      <c r="T4223">
        <v>57.581899999999997</v>
      </c>
    </row>
    <row r="4224" spans="4:20" ht="15.75" customHeight="1" x14ac:dyDescent="0.2">
      <c r="D4224" t="s">
        <v>285</v>
      </c>
      <c r="E4224" t="s">
        <v>495</v>
      </c>
      <c r="F4224">
        <v>21</v>
      </c>
      <c r="P4224" t="s">
        <v>468</v>
      </c>
      <c r="Q4224">
        <v>172</v>
      </c>
      <c r="R4224" t="s">
        <v>295</v>
      </c>
      <c r="S4224" t="s">
        <v>17</v>
      </c>
      <c r="T4224">
        <v>0</v>
      </c>
    </row>
    <row r="4225" spans="4:20" ht="15.75" customHeight="1" x14ac:dyDescent="0.2">
      <c r="D4225" t="s">
        <v>285</v>
      </c>
      <c r="E4225" t="s">
        <v>495</v>
      </c>
      <c r="F4225">
        <v>21</v>
      </c>
      <c r="P4225" t="s">
        <v>468</v>
      </c>
      <c r="Q4225">
        <v>172</v>
      </c>
      <c r="R4225" t="s">
        <v>296</v>
      </c>
      <c r="S4225" t="s">
        <v>1</v>
      </c>
      <c r="T4225">
        <v>3</v>
      </c>
    </row>
    <row r="4226" spans="4:20" ht="15.75" customHeight="1" x14ac:dyDescent="0.2">
      <c r="D4226" t="s">
        <v>285</v>
      </c>
      <c r="E4226" t="s">
        <v>495</v>
      </c>
      <c r="F4226">
        <v>21</v>
      </c>
      <c r="P4226" t="s">
        <v>468</v>
      </c>
      <c r="Q4226">
        <v>172</v>
      </c>
      <c r="R4226" t="s">
        <v>297</v>
      </c>
      <c r="S4226" t="s">
        <v>18</v>
      </c>
      <c r="T4226">
        <v>2</v>
      </c>
    </row>
    <row r="4227" spans="4:20" ht="15.75" customHeight="1" x14ac:dyDescent="0.2">
      <c r="D4227" t="s">
        <v>285</v>
      </c>
      <c r="E4227" t="s">
        <v>495</v>
      </c>
      <c r="F4227">
        <v>21</v>
      </c>
      <c r="P4227" t="s">
        <v>468</v>
      </c>
      <c r="Q4227">
        <v>172</v>
      </c>
      <c r="R4227" t="s">
        <v>298</v>
      </c>
      <c r="S4227" t="s">
        <v>19</v>
      </c>
      <c r="T4227">
        <v>1</v>
      </c>
    </row>
    <row r="4228" spans="4:20" ht="15.75" customHeight="1" x14ac:dyDescent="0.2">
      <c r="D4228" t="s">
        <v>285</v>
      </c>
      <c r="E4228" t="s">
        <v>495</v>
      </c>
      <c r="F4228">
        <v>21</v>
      </c>
      <c r="P4228" t="s">
        <v>468</v>
      </c>
      <c r="Q4228">
        <v>172</v>
      </c>
      <c r="R4228" t="s">
        <v>299</v>
      </c>
      <c r="S4228" t="s">
        <v>20</v>
      </c>
      <c r="T4228">
        <v>0</v>
      </c>
    </row>
    <row r="4229" spans="4:20" ht="15.75" customHeight="1" x14ac:dyDescent="0.2">
      <c r="D4229" t="s">
        <v>285</v>
      </c>
      <c r="E4229" t="s">
        <v>495</v>
      </c>
      <c r="F4229">
        <v>21</v>
      </c>
      <c r="P4229" t="s">
        <v>469</v>
      </c>
      <c r="Q4229">
        <v>173</v>
      </c>
      <c r="R4229" t="s">
        <v>288</v>
      </c>
      <c r="S4229" t="s">
        <v>2</v>
      </c>
      <c r="T4229">
        <v>2</v>
      </c>
    </row>
    <row r="4230" spans="4:20" ht="15.75" customHeight="1" x14ac:dyDescent="0.2">
      <c r="D4230" t="s">
        <v>285</v>
      </c>
      <c r="E4230" t="s">
        <v>495</v>
      </c>
      <c r="F4230">
        <v>21</v>
      </c>
      <c r="P4230" t="s">
        <v>469</v>
      </c>
      <c r="Q4230">
        <v>173</v>
      </c>
      <c r="R4230" t="s">
        <v>289</v>
      </c>
      <c r="S4230" t="s">
        <v>5</v>
      </c>
      <c r="T4230">
        <v>1</v>
      </c>
    </row>
    <row r="4231" spans="4:20" ht="15.75" customHeight="1" x14ac:dyDescent="0.2">
      <c r="D4231" t="s">
        <v>285</v>
      </c>
      <c r="E4231" t="s">
        <v>495</v>
      </c>
      <c r="F4231">
        <v>21</v>
      </c>
      <c r="P4231" t="s">
        <v>469</v>
      </c>
      <c r="Q4231">
        <v>173</v>
      </c>
      <c r="R4231" t="s">
        <v>290</v>
      </c>
      <c r="S4231" t="s">
        <v>3</v>
      </c>
      <c r="T4231">
        <v>0.5</v>
      </c>
    </row>
    <row r="4232" spans="4:20" ht="15.75" customHeight="1" x14ac:dyDescent="0.2">
      <c r="D4232" t="s">
        <v>285</v>
      </c>
      <c r="E4232" t="s">
        <v>495</v>
      </c>
      <c r="F4232">
        <v>21</v>
      </c>
      <c r="P4232" t="s">
        <v>469</v>
      </c>
      <c r="Q4232">
        <v>173</v>
      </c>
      <c r="R4232" t="s">
        <v>291</v>
      </c>
      <c r="S4232" t="s">
        <v>4</v>
      </c>
      <c r="T4232">
        <v>2</v>
      </c>
    </row>
    <row r="4233" spans="4:20" ht="15.75" customHeight="1" x14ac:dyDescent="0.2">
      <c r="D4233" t="s">
        <v>285</v>
      </c>
      <c r="E4233" t="s">
        <v>495</v>
      </c>
      <c r="F4233">
        <v>21</v>
      </c>
      <c r="P4233" t="s">
        <v>469</v>
      </c>
      <c r="Q4233">
        <v>173</v>
      </c>
      <c r="R4233" t="s">
        <v>292</v>
      </c>
      <c r="S4233" t="s">
        <v>6</v>
      </c>
      <c r="T4233">
        <v>0</v>
      </c>
    </row>
    <row r="4234" spans="4:20" ht="15.75" customHeight="1" x14ac:dyDescent="0.2">
      <c r="D4234" t="s">
        <v>285</v>
      </c>
      <c r="E4234" t="s">
        <v>495</v>
      </c>
      <c r="F4234">
        <v>21</v>
      </c>
      <c r="P4234" t="s">
        <v>469</v>
      </c>
      <c r="Q4234">
        <v>173</v>
      </c>
      <c r="R4234" t="s">
        <v>243</v>
      </c>
      <c r="S4234" t="s">
        <v>7</v>
      </c>
      <c r="T4234">
        <v>10.5</v>
      </c>
    </row>
    <row r="4235" spans="4:20" ht="15.75" customHeight="1" x14ac:dyDescent="0.2">
      <c r="D4235" t="s">
        <v>285</v>
      </c>
      <c r="E4235" t="s">
        <v>495</v>
      </c>
      <c r="F4235">
        <v>21</v>
      </c>
      <c r="P4235" t="s">
        <v>469</v>
      </c>
      <c r="Q4235">
        <v>173</v>
      </c>
      <c r="R4235" t="s">
        <v>245</v>
      </c>
      <c r="S4235" t="s">
        <v>8</v>
      </c>
      <c r="T4235">
        <v>1089.1259</v>
      </c>
    </row>
    <row r="4236" spans="4:20" ht="15.75" customHeight="1" x14ac:dyDescent="0.2">
      <c r="D4236" t="s">
        <v>285</v>
      </c>
      <c r="E4236" t="s">
        <v>495</v>
      </c>
      <c r="F4236">
        <v>21</v>
      </c>
      <c r="P4236" t="s">
        <v>469</v>
      </c>
      <c r="Q4236">
        <v>173</v>
      </c>
      <c r="R4236" t="s">
        <v>247</v>
      </c>
      <c r="S4236" t="s">
        <v>9</v>
      </c>
      <c r="T4236">
        <v>3.5299999999999998E-2</v>
      </c>
    </row>
    <row r="4237" spans="4:20" ht="15.75" customHeight="1" x14ac:dyDescent="0.2">
      <c r="D4237" t="s">
        <v>285</v>
      </c>
      <c r="E4237" t="s">
        <v>495</v>
      </c>
      <c r="F4237">
        <v>21</v>
      </c>
      <c r="P4237" t="s">
        <v>469</v>
      </c>
      <c r="Q4237">
        <v>173</v>
      </c>
      <c r="R4237" t="s">
        <v>249</v>
      </c>
      <c r="S4237" t="s">
        <v>10</v>
      </c>
      <c r="T4237">
        <v>24</v>
      </c>
    </row>
    <row r="4238" spans="4:20" ht="15.75" customHeight="1" x14ac:dyDescent="0.2">
      <c r="D4238" t="s">
        <v>285</v>
      </c>
      <c r="E4238" t="s">
        <v>495</v>
      </c>
      <c r="F4238">
        <v>21</v>
      </c>
      <c r="P4238" t="s">
        <v>469</v>
      </c>
      <c r="Q4238">
        <v>173</v>
      </c>
      <c r="R4238" t="s">
        <v>251</v>
      </c>
      <c r="S4238" t="s">
        <v>11</v>
      </c>
      <c r="T4238">
        <v>20</v>
      </c>
    </row>
    <row r="4239" spans="4:20" ht="15.75" customHeight="1" x14ac:dyDescent="0.2">
      <c r="D4239" t="s">
        <v>285</v>
      </c>
      <c r="E4239" t="s">
        <v>495</v>
      </c>
      <c r="F4239">
        <v>21</v>
      </c>
      <c r="P4239" t="s">
        <v>469</v>
      </c>
      <c r="Q4239">
        <v>173</v>
      </c>
      <c r="R4239" t="s">
        <v>253</v>
      </c>
      <c r="S4239" t="s">
        <v>12</v>
      </c>
      <c r="T4239">
        <v>103.72629999999999</v>
      </c>
    </row>
    <row r="4240" spans="4:20" ht="15.75" customHeight="1" x14ac:dyDescent="0.2">
      <c r="D4240" t="s">
        <v>285</v>
      </c>
      <c r="E4240" t="s">
        <v>495</v>
      </c>
      <c r="F4240">
        <v>21</v>
      </c>
      <c r="P4240" t="s">
        <v>469</v>
      </c>
      <c r="Q4240">
        <v>173</v>
      </c>
      <c r="R4240" t="s">
        <v>255</v>
      </c>
      <c r="S4240" t="s">
        <v>15</v>
      </c>
      <c r="T4240">
        <v>20</v>
      </c>
    </row>
    <row r="4241" spans="4:20" ht="15.75" customHeight="1" x14ac:dyDescent="0.2">
      <c r="D4241" t="s">
        <v>285</v>
      </c>
      <c r="E4241" t="s">
        <v>495</v>
      </c>
      <c r="F4241">
        <v>21</v>
      </c>
      <c r="P4241" t="s">
        <v>469</v>
      </c>
      <c r="Q4241">
        <v>173</v>
      </c>
      <c r="R4241" t="s">
        <v>293</v>
      </c>
      <c r="S4241" t="s">
        <v>13</v>
      </c>
      <c r="T4241">
        <v>1</v>
      </c>
    </row>
    <row r="4242" spans="4:20" ht="15.75" customHeight="1" x14ac:dyDescent="0.2">
      <c r="D4242" t="s">
        <v>285</v>
      </c>
      <c r="E4242" t="s">
        <v>495</v>
      </c>
      <c r="F4242">
        <v>21</v>
      </c>
      <c r="P4242" t="s">
        <v>469</v>
      </c>
      <c r="Q4242">
        <v>173</v>
      </c>
      <c r="R4242" t="s">
        <v>294</v>
      </c>
      <c r="S4242" t="s">
        <v>14</v>
      </c>
      <c r="T4242">
        <v>1</v>
      </c>
    </row>
    <row r="4243" spans="4:20" ht="15.75" customHeight="1" x14ac:dyDescent="0.2">
      <c r="D4243" t="s">
        <v>285</v>
      </c>
      <c r="E4243" t="s">
        <v>495</v>
      </c>
      <c r="F4243">
        <v>21</v>
      </c>
      <c r="P4243" t="s">
        <v>469</v>
      </c>
      <c r="Q4243">
        <v>173</v>
      </c>
      <c r="R4243" t="s">
        <v>257</v>
      </c>
      <c r="S4243" t="s">
        <v>16</v>
      </c>
      <c r="T4243">
        <v>57.377699999999997</v>
      </c>
    </row>
    <row r="4244" spans="4:20" ht="15.75" customHeight="1" x14ac:dyDescent="0.2">
      <c r="D4244" t="s">
        <v>285</v>
      </c>
      <c r="E4244" t="s">
        <v>495</v>
      </c>
      <c r="F4244">
        <v>21</v>
      </c>
      <c r="P4244" t="s">
        <v>469</v>
      </c>
      <c r="Q4244">
        <v>173</v>
      </c>
      <c r="R4244" t="s">
        <v>295</v>
      </c>
      <c r="S4244" t="s">
        <v>17</v>
      </c>
      <c r="T4244">
        <v>0</v>
      </c>
    </row>
    <row r="4245" spans="4:20" ht="15.75" customHeight="1" x14ac:dyDescent="0.2">
      <c r="D4245" t="s">
        <v>285</v>
      </c>
      <c r="E4245" t="s">
        <v>495</v>
      </c>
      <c r="F4245">
        <v>21</v>
      </c>
      <c r="P4245" t="s">
        <v>469</v>
      </c>
      <c r="Q4245">
        <v>173</v>
      </c>
      <c r="R4245" t="s">
        <v>296</v>
      </c>
      <c r="S4245" t="s">
        <v>1</v>
      </c>
      <c r="T4245">
        <v>3</v>
      </c>
    </row>
    <row r="4246" spans="4:20" ht="15.75" customHeight="1" x14ac:dyDescent="0.2">
      <c r="D4246" t="s">
        <v>285</v>
      </c>
      <c r="E4246" t="s">
        <v>495</v>
      </c>
      <c r="F4246">
        <v>21</v>
      </c>
      <c r="P4246" t="s">
        <v>469</v>
      </c>
      <c r="Q4246">
        <v>173</v>
      </c>
      <c r="R4246" t="s">
        <v>297</v>
      </c>
      <c r="S4246" t="s">
        <v>18</v>
      </c>
      <c r="T4246">
        <v>2</v>
      </c>
    </row>
    <row r="4247" spans="4:20" ht="15.75" customHeight="1" x14ac:dyDescent="0.2">
      <c r="D4247" t="s">
        <v>285</v>
      </c>
      <c r="E4247" t="s">
        <v>495</v>
      </c>
      <c r="F4247">
        <v>21</v>
      </c>
      <c r="P4247" t="s">
        <v>469</v>
      </c>
      <c r="Q4247">
        <v>173</v>
      </c>
      <c r="R4247" t="s">
        <v>298</v>
      </c>
      <c r="S4247" t="s">
        <v>19</v>
      </c>
      <c r="T4247">
        <v>1</v>
      </c>
    </row>
    <row r="4248" spans="4:20" ht="15.75" customHeight="1" x14ac:dyDescent="0.2">
      <c r="D4248" t="s">
        <v>285</v>
      </c>
      <c r="E4248" t="s">
        <v>495</v>
      </c>
      <c r="F4248">
        <v>21</v>
      </c>
      <c r="P4248" t="s">
        <v>469</v>
      </c>
      <c r="Q4248">
        <v>173</v>
      </c>
      <c r="R4248" t="s">
        <v>299</v>
      </c>
      <c r="S4248" t="s">
        <v>20</v>
      </c>
      <c r="T4248">
        <v>1</v>
      </c>
    </row>
    <row r="4249" spans="4:20" ht="15.75" customHeight="1" x14ac:dyDescent="0.2">
      <c r="D4249" t="s">
        <v>285</v>
      </c>
      <c r="E4249" t="s">
        <v>495</v>
      </c>
      <c r="F4249">
        <v>21</v>
      </c>
      <c r="P4249" t="s">
        <v>470</v>
      </c>
      <c r="Q4249">
        <v>174</v>
      </c>
      <c r="R4249" t="s">
        <v>288</v>
      </c>
      <c r="S4249" t="s">
        <v>2</v>
      </c>
      <c r="T4249">
        <v>2</v>
      </c>
    </row>
    <row r="4250" spans="4:20" ht="15.75" customHeight="1" x14ac:dyDescent="0.2">
      <c r="D4250" t="s">
        <v>285</v>
      </c>
      <c r="E4250" t="s">
        <v>495</v>
      </c>
      <c r="F4250">
        <v>21</v>
      </c>
      <c r="P4250" t="s">
        <v>470</v>
      </c>
      <c r="Q4250">
        <v>174</v>
      </c>
      <c r="R4250" t="s">
        <v>289</v>
      </c>
      <c r="S4250" t="s">
        <v>5</v>
      </c>
      <c r="T4250">
        <v>1</v>
      </c>
    </row>
    <row r="4251" spans="4:20" ht="15.75" customHeight="1" x14ac:dyDescent="0.2">
      <c r="D4251" t="s">
        <v>285</v>
      </c>
      <c r="E4251" t="s">
        <v>495</v>
      </c>
      <c r="F4251">
        <v>21</v>
      </c>
      <c r="P4251" t="s">
        <v>470</v>
      </c>
      <c r="Q4251">
        <v>174</v>
      </c>
      <c r="R4251" t="s">
        <v>290</v>
      </c>
      <c r="S4251" t="s">
        <v>3</v>
      </c>
      <c r="T4251">
        <v>0.25</v>
      </c>
    </row>
    <row r="4252" spans="4:20" ht="15.75" customHeight="1" x14ac:dyDescent="0.2">
      <c r="D4252" t="s">
        <v>285</v>
      </c>
      <c r="E4252" t="s">
        <v>495</v>
      </c>
      <c r="F4252">
        <v>21</v>
      </c>
      <c r="P4252" t="s">
        <v>470</v>
      </c>
      <c r="Q4252">
        <v>174</v>
      </c>
      <c r="R4252" t="s">
        <v>291</v>
      </c>
      <c r="S4252" t="s">
        <v>4</v>
      </c>
      <c r="T4252">
        <v>3</v>
      </c>
    </row>
    <row r="4253" spans="4:20" ht="15.75" customHeight="1" x14ac:dyDescent="0.2">
      <c r="D4253" t="s">
        <v>285</v>
      </c>
      <c r="E4253" t="s">
        <v>495</v>
      </c>
      <c r="F4253">
        <v>21</v>
      </c>
      <c r="P4253" t="s">
        <v>470</v>
      </c>
      <c r="Q4253">
        <v>174</v>
      </c>
      <c r="R4253" t="s">
        <v>292</v>
      </c>
      <c r="S4253" t="s">
        <v>6</v>
      </c>
      <c r="T4253">
        <v>0</v>
      </c>
    </row>
    <row r="4254" spans="4:20" ht="15.75" customHeight="1" x14ac:dyDescent="0.2">
      <c r="D4254" t="s">
        <v>285</v>
      </c>
      <c r="E4254" t="s">
        <v>495</v>
      </c>
      <c r="F4254">
        <v>21</v>
      </c>
      <c r="P4254" t="s">
        <v>470</v>
      </c>
      <c r="Q4254">
        <v>174</v>
      </c>
      <c r="R4254" t="s">
        <v>243</v>
      </c>
      <c r="S4254" t="s">
        <v>7</v>
      </c>
      <c r="T4254">
        <v>10</v>
      </c>
    </row>
    <row r="4255" spans="4:20" ht="15.75" customHeight="1" x14ac:dyDescent="0.2">
      <c r="D4255" t="s">
        <v>285</v>
      </c>
      <c r="E4255" t="s">
        <v>495</v>
      </c>
      <c r="F4255">
        <v>21</v>
      </c>
      <c r="P4255" t="s">
        <v>470</v>
      </c>
      <c r="Q4255">
        <v>174</v>
      </c>
      <c r="R4255" t="s">
        <v>245</v>
      </c>
      <c r="S4255" t="s">
        <v>8</v>
      </c>
      <c r="T4255">
        <v>629.07479999999998</v>
      </c>
    </row>
    <row r="4256" spans="4:20" ht="15.75" customHeight="1" x14ac:dyDescent="0.2">
      <c r="D4256" t="s">
        <v>285</v>
      </c>
      <c r="E4256" t="s">
        <v>495</v>
      </c>
      <c r="F4256">
        <v>21</v>
      </c>
      <c r="P4256" t="s">
        <v>470</v>
      </c>
      <c r="Q4256">
        <v>174</v>
      </c>
      <c r="R4256" t="s">
        <v>247</v>
      </c>
      <c r="S4256" t="s">
        <v>9</v>
      </c>
      <c r="T4256">
        <v>2.4500000000000001E-2</v>
      </c>
    </row>
    <row r="4257" spans="4:20" ht="15.75" customHeight="1" x14ac:dyDescent="0.2">
      <c r="D4257" t="s">
        <v>285</v>
      </c>
      <c r="E4257" t="s">
        <v>495</v>
      </c>
      <c r="F4257">
        <v>21</v>
      </c>
      <c r="P4257" t="s">
        <v>470</v>
      </c>
      <c r="Q4257">
        <v>174</v>
      </c>
      <c r="R4257" t="s">
        <v>249</v>
      </c>
      <c r="S4257" t="s">
        <v>10</v>
      </c>
      <c r="T4257">
        <v>17</v>
      </c>
    </row>
    <row r="4258" spans="4:20" ht="15.75" customHeight="1" x14ac:dyDescent="0.2">
      <c r="D4258" t="s">
        <v>285</v>
      </c>
      <c r="E4258" t="s">
        <v>495</v>
      </c>
      <c r="F4258">
        <v>21</v>
      </c>
      <c r="P4258" t="s">
        <v>470</v>
      </c>
      <c r="Q4258">
        <v>174</v>
      </c>
      <c r="R4258" t="s">
        <v>251</v>
      </c>
      <c r="S4258" t="s">
        <v>11</v>
      </c>
      <c r="T4258">
        <v>13</v>
      </c>
    </row>
    <row r="4259" spans="4:20" ht="15.75" customHeight="1" x14ac:dyDescent="0.2">
      <c r="D4259" t="s">
        <v>285</v>
      </c>
      <c r="E4259" t="s">
        <v>495</v>
      </c>
      <c r="F4259">
        <v>21</v>
      </c>
      <c r="P4259" t="s">
        <v>470</v>
      </c>
      <c r="Q4259">
        <v>174</v>
      </c>
      <c r="R4259" t="s">
        <v>253</v>
      </c>
      <c r="S4259" t="s">
        <v>12</v>
      </c>
      <c r="T4259">
        <v>62.907499999999999</v>
      </c>
    </row>
    <row r="4260" spans="4:20" ht="15.75" customHeight="1" x14ac:dyDescent="0.2">
      <c r="D4260" t="s">
        <v>285</v>
      </c>
      <c r="E4260" t="s">
        <v>495</v>
      </c>
      <c r="F4260">
        <v>21</v>
      </c>
      <c r="P4260" t="s">
        <v>470</v>
      </c>
      <c r="Q4260">
        <v>174</v>
      </c>
      <c r="R4260" t="s">
        <v>255</v>
      </c>
      <c r="S4260" t="s">
        <v>15</v>
      </c>
      <c r="T4260">
        <v>21</v>
      </c>
    </row>
    <row r="4261" spans="4:20" ht="15.75" customHeight="1" x14ac:dyDescent="0.2">
      <c r="D4261" t="s">
        <v>285</v>
      </c>
      <c r="E4261" t="s">
        <v>495</v>
      </c>
      <c r="F4261">
        <v>21</v>
      </c>
      <c r="P4261" t="s">
        <v>470</v>
      </c>
      <c r="Q4261">
        <v>174</v>
      </c>
      <c r="R4261" t="s">
        <v>293</v>
      </c>
      <c r="S4261" t="s">
        <v>13</v>
      </c>
      <c r="T4261">
        <v>1</v>
      </c>
    </row>
    <row r="4262" spans="4:20" ht="15.75" customHeight="1" x14ac:dyDescent="0.2">
      <c r="D4262" t="s">
        <v>285</v>
      </c>
      <c r="E4262" t="s">
        <v>495</v>
      </c>
      <c r="F4262">
        <v>21</v>
      </c>
      <c r="P4262" t="s">
        <v>470</v>
      </c>
      <c r="Q4262">
        <v>174</v>
      </c>
      <c r="R4262" t="s">
        <v>294</v>
      </c>
      <c r="S4262" t="s">
        <v>14</v>
      </c>
      <c r="T4262">
        <v>1</v>
      </c>
    </row>
    <row r="4263" spans="4:20" ht="15.75" customHeight="1" x14ac:dyDescent="0.2">
      <c r="D4263" t="s">
        <v>285</v>
      </c>
      <c r="E4263" t="s">
        <v>495</v>
      </c>
      <c r="F4263">
        <v>21</v>
      </c>
      <c r="P4263" t="s">
        <v>470</v>
      </c>
      <c r="Q4263">
        <v>174</v>
      </c>
      <c r="R4263" t="s">
        <v>257</v>
      </c>
      <c r="S4263" t="s">
        <v>16</v>
      </c>
      <c r="T4263">
        <v>58.459000000000003</v>
      </c>
    </row>
    <row r="4264" spans="4:20" ht="15.75" customHeight="1" x14ac:dyDescent="0.2">
      <c r="D4264" t="s">
        <v>285</v>
      </c>
      <c r="E4264" t="s">
        <v>495</v>
      </c>
      <c r="F4264">
        <v>21</v>
      </c>
      <c r="P4264" t="s">
        <v>470</v>
      </c>
      <c r="Q4264">
        <v>174</v>
      </c>
      <c r="R4264" t="s">
        <v>295</v>
      </c>
      <c r="S4264" t="s">
        <v>17</v>
      </c>
      <c r="T4264">
        <v>1</v>
      </c>
    </row>
    <row r="4265" spans="4:20" ht="15.75" customHeight="1" x14ac:dyDescent="0.2">
      <c r="D4265" t="s">
        <v>285</v>
      </c>
      <c r="E4265" t="s">
        <v>495</v>
      </c>
      <c r="F4265">
        <v>21</v>
      </c>
      <c r="P4265" t="s">
        <v>470</v>
      </c>
      <c r="Q4265">
        <v>174</v>
      </c>
      <c r="R4265" t="s">
        <v>296</v>
      </c>
      <c r="S4265" t="s">
        <v>1</v>
      </c>
      <c r="T4265">
        <v>3</v>
      </c>
    </row>
    <row r="4266" spans="4:20" ht="15.75" customHeight="1" x14ac:dyDescent="0.2">
      <c r="D4266" t="s">
        <v>285</v>
      </c>
      <c r="E4266" t="s">
        <v>495</v>
      </c>
      <c r="F4266">
        <v>21</v>
      </c>
      <c r="P4266" t="s">
        <v>470</v>
      </c>
      <c r="Q4266">
        <v>174</v>
      </c>
      <c r="R4266" t="s">
        <v>297</v>
      </c>
      <c r="S4266" t="s">
        <v>18</v>
      </c>
      <c r="T4266">
        <v>2</v>
      </c>
    </row>
    <row r="4267" spans="4:20" ht="15.75" customHeight="1" x14ac:dyDescent="0.2">
      <c r="D4267" t="s">
        <v>285</v>
      </c>
      <c r="E4267" t="s">
        <v>495</v>
      </c>
      <c r="F4267">
        <v>21</v>
      </c>
      <c r="P4267" t="s">
        <v>470</v>
      </c>
      <c r="Q4267">
        <v>174</v>
      </c>
      <c r="R4267" t="s">
        <v>298</v>
      </c>
      <c r="S4267" t="s">
        <v>19</v>
      </c>
      <c r="T4267">
        <v>1</v>
      </c>
    </row>
    <row r="4268" spans="4:20" ht="15.75" customHeight="1" x14ac:dyDescent="0.2">
      <c r="D4268" t="s">
        <v>285</v>
      </c>
      <c r="E4268" t="s">
        <v>495</v>
      </c>
      <c r="F4268">
        <v>21</v>
      </c>
      <c r="P4268" t="s">
        <v>470</v>
      </c>
      <c r="Q4268">
        <v>174</v>
      </c>
      <c r="R4268" t="s">
        <v>299</v>
      </c>
      <c r="S4268" t="s">
        <v>20</v>
      </c>
      <c r="T4268">
        <v>1</v>
      </c>
    </row>
    <row r="4269" spans="4:20" ht="15.75" customHeight="1" x14ac:dyDescent="0.2">
      <c r="D4269" t="s">
        <v>285</v>
      </c>
      <c r="E4269" t="s">
        <v>495</v>
      </c>
      <c r="F4269">
        <v>21</v>
      </c>
      <c r="P4269" t="s">
        <v>471</v>
      </c>
      <c r="Q4269">
        <v>175</v>
      </c>
      <c r="R4269" t="s">
        <v>288</v>
      </c>
      <c r="S4269" t="s">
        <v>2</v>
      </c>
      <c r="T4269">
        <v>1</v>
      </c>
    </row>
    <row r="4270" spans="4:20" ht="15.75" customHeight="1" x14ac:dyDescent="0.2">
      <c r="D4270" t="s">
        <v>285</v>
      </c>
      <c r="E4270" t="s">
        <v>495</v>
      </c>
      <c r="F4270">
        <v>21</v>
      </c>
      <c r="P4270" t="s">
        <v>471</v>
      </c>
      <c r="Q4270">
        <v>175</v>
      </c>
      <c r="R4270" t="s">
        <v>289</v>
      </c>
      <c r="S4270" t="s">
        <v>5</v>
      </c>
      <c r="T4270">
        <v>0</v>
      </c>
    </row>
    <row r="4271" spans="4:20" ht="15.75" customHeight="1" x14ac:dyDescent="0.2">
      <c r="D4271" t="s">
        <v>285</v>
      </c>
      <c r="E4271" t="s">
        <v>495</v>
      </c>
      <c r="F4271">
        <v>21</v>
      </c>
      <c r="P4271" t="s">
        <v>471</v>
      </c>
      <c r="Q4271">
        <v>175</v>
      </c>
      <c r="R4271" t="s">
        <v>290</v>
      </c>
      <c r="S4271" t="s">
        <v>3</v>
      </c>
      <c r="T4271">
        <v>0.5</v>
      </c>
    </row>
    <row r="4272" spans="4:20" ht="15.75" customHeight="1" x14ac:dyDescent="0.2">
      <c r="D4272" t="s">
        <v>285</v>
      </c>
      <c r="E4272" t="s">
        <v>495</v>
      </c>
      <c r="F4272">
        <v>21</v>
      </c>
      <c r="P4272" t="s">
        <v>471</v>
      </c>
      <c r="Q4272">
        <v>175</v>
      </c>
      <c r="R4272" t="s">
        <v>291</v>
      </c>
      <c r="S4272" t="s">
        <v>4</v>
      </c>
      <c r="T4272">
        <v>1</v>
      </c>
    </row>
    <row r="4273" spans="4:20" ht="15.75" customHeight="1" x14ac:dyDescent="0.2">
      <c r="D4273" t="s">
        <v>285</v>
      </c>
      <c r="E4273" t="s">
        <v>495</v>
      </c>
      <c r="F4273">
        <v>21</v>
      </c>
      <c r="P4273" t="s">
        <v>471</v>
      </c>
      <c r="Q4273">
        <v>175</v>
      </c>
      <c r="R4273" t="s">
        <v>292</v>
      </c>
      <c r="S4273" t="s">
        <v>6</v>
      </c>
      <c r="T4273">
        <v>0</v>
      </c>
    </row>
    <row r="4274" spans="4:20" ht="15.75" customHeight="1" x14ac:dyDescent="0.2">
      <c r="D4274" t="s">
        <v>285</v>
      </c>
      <c r="E4274" t="s">
        <v>495</v>
      </c>
      <c r="F4274">
        <v>21</v>
      </c>
      <c r="P4274" t="s">
        <v>471</v>
      </c>
      <c r="Q4274">
        <v>175</v>
      </c>
      <c r="R4274" t="s">
        <v>243</v>
      </c>
      <c r="S4274" t="s">
        <v>7</v>
      </c>
      <c r="T4274">
        <v>2.5</v>
      </c>
    </row>
    <row r="4275" spans="4:20" ht="15.75" customHeight="1" x14ac:dyDescent="0.2">
      <c r="D4275" t="s">
        <v>285</v>
      </c>
      <c r="E4275" t="s">
        <v>495</v>
      </c>
      <c r="F4275">
        <v>21</v>
      </c>
      <c r="P4275" t="s">
        <v>471</v>
      </c>
      <c r="Q4275">
        <v>175</v>
      </c>
      <c r="R4275" t="s">
        <v>245</v>
      </c>
      <c r="S4275" t="s">
        <v>8</v>
      </c>
      <c r="T4275">
        <v>38.7744</v>
      </c>
    </row>
    <row r="4276" spans="4:20" ht="15.75" customHeight="1" x14ac:dyDescent="0.2">
      <c r="D4276" t="s">
        <v>285</v>
      </c>
      <c r="E4276" t="s">
        <v>495</v>
      </c>
      <c r="F4276">
        <v>21</v>
      </c>
      <c r="P4276" t="s">
        <v>471</v>
      </c>
      <c r="Q4276">
        <v>175</v>
      </c>
      <c r="R4276" t="s">
        <v>247</v>
      </c>
      <c r="S4276" t="s">
        <v>9</v>
      </c>
      <c r="T4276">
        <v>3.8E-3</v>
      </c>
    </row>
    <row r="4277" spans="4:20" ht="15.75" customHeight="1" x14ac:dyDescent="0.2">
      <c r="D4277" t="s">
        <v>285</v>
      </c>
      <c r="E4277" t="s">
        <v>495</v>
      </c>
      <c r="F4277">
        <v>21</v>
      </c>
      <c r="P4277" t="s">
        <v>471</v>
      </c>
      <c r="Q4277">
        <v>175</v>
      </c>
      <c r="R4277" t="s">
        <v>249</v>
      </c>
      <c r="S4277" t="s">
        <v>10</v>
      </c>
      <c r="T4277">
        <v>6</v>
      </c>
    </row>
    <row r="4278" spans="4:20" ht="15.75" customHeight="1" x14ac:dyDescent="0.2">
      <c r="D4278" t="s">
        <v>285</v>
      </c>
      <c r="E4278" t="s">
        <v>495</v>
      </c>
      <c r="F4278">
        <v>21</v>
      </c>
      <c r="P4278" t="s">
        <v>471</v>
      </c>
      <c r="Q4278">
        <v>175</v>
      </c>
      <c r="R4278" t="s">
        <v>251</v>
      </c>
      <c r="S4278" t="s">
        <v>11</v>
      </c>
      <c r="T4278">
        <v>6</v>
      </c>
    </row>
    <row r="4279" spans="4:20" ht="15.75" customHeight="1" x14ac:dyDescent="0.2">
      <c r="D4279" t="s">
        <v>285</v>
      </c>
      <c r="E4279" t="s">
        <v>495</v>
      </c>
      <c r="F4279">
        <v>21</v>
      </c>
      <c r="P4279" t="s">
        <v>471</v>
      </c>
      <c r="Q4279">
        <v>175</v>
      </c>
      <c r="R4279" t="s">
        <v>253</v>
      </c>
      <c r="S4279" t="s">
        <v>12</v>
      </c>
      <c r="T4279">
        <v>15.5098</v>
      </c>
    </row>
    <row r="4280" spans="4:20" ht="15.75" customHeight="1" x14ac:dyDescent="0.2">
      <c r="D4280" t="s">
        <v>285</v>
      </c>
      <c r="E4280" t="s">
        <v>495</v>
      </c>
      <c r="F4280">
        <v>21</v>
      </c>
      <c r="P4280" t="s">
        <v>471</v>
      </c>
      <c r="Q4280">
        <v>175</v>
      </c>
      <c r="R4280" t="s">
        <v>255</v>
      </c>
      <c r="S4280" t="s">
        <v>15</v>
      </c>
      <c r="T4280">
        <v>13</v>
      </c>
    </row>
    <row r="4281" spans="4:20" ht="15.75" customHeight="1" x14ac:dyDescent="0.2">
      <c r="D4281" t="s">
        <v>285</v>
      </c>
      <c r="E4281" t="s">
        <v>495</v>
      </c>
      <c r="F4281">
        <v>21</v>
      </c>
      <c r="P4281" t="s">
        <v>471</v>
      </c>
      <c r="Q4281">
        <v>175</v>
      </c>
      <c r="R4281" t="s">
        <v>293</v>
      </c>
      <c r="S4281" t="s">
        <v>13</v>
      </c>
      <c r="T4281">
        <v>1</v>
      </c>
    </row>
    <row r="4282" spans="4:20" ht="15.75" customHeight="1" x14ac:dyDescent="0.2">
      <c r="D4282" t="s">
        <v>285</v>
      </c>
      <c r="E4282" t="s">
        <v>495</v>
      </c>
      <c r="F4282">
        <v>21</v>
      </c>
      <c r="P4282" t="s">
        <v>471</v>
      </c>
      <c r="Q4282">
        <v>175</v>
      </c>
      <c r="R4282" t="s">
        <v>294</v>
      </c>
      <c r="S4282" t="s">
        <v>14</v>
      </c>
      <c r="T4282">
        <v>1</v>
      </c>
    </row>
    <row r="4283" spans="4:20" ht="15.75" customHeight="1" x14ac:dyDescent="0.2">
      <c r="D4283" t="s">
        <v>285</v>
      </c>
      <c r="E4283" t="s">
        <v>495</v>
      </c>
      <c r="F4283">
        <v>21</v>
      </c>
      <c r="P4283" t="s">
        <v>471</v>
      </c>
      <c r="Q4283">
        <v>175</v>
      </c>
      <c r="R4283" t="s">
        <v>257</v>
      </c>
      <c r="S4283" t="s">
        <v>16</v>
      </c>
      <c r="T4283">
        <v>67.372200000000007</v>
      </c>
    </row>
    <row r="4284" spans="4:20" ht="15.75" customHeight="1" x14ac:dyDescent="0.2">
      <c r="D4284" t="s">
        <v>285</v>
      </c>
      <c r="E4284" t="s">
        <v>495</v>
      </c>
      <c r="F4284">
        <v>21</v>
      </c>
      <c r="P4284" t="s">
        <v>471</v>
      </c>
      <c r="Q4284">
        <v>175</v>
      </c>
      <c r="R4284" t="s">
        <v>295</v>
      </c>
      <c r="S4284" t="s">
        <v>17</v>
      </c>
      <c r="T4284">
        <v>0</v>
      </c>
    </row>
    <row r="4285" spans="4:20" ht="15.75" customHeight="1" x14ac:dyDescent="0.2">
      <c r="D4285" t="s">
        <v>285</v>
      </c>
      <c r="E4285" t="s">
        <v>495</v>
      </c>
      <c r="F4285">
        <v>21</v>
      </c>
      <c r="P4285" t="s">
        <v>471</v>
      </c>
      <c r="Q4285">
        <v>175</v>
      </c>
      <c r="R4285" t="s">
        <v>296</v>
      </c>
      <c r="S4285" t="s">
        <v>1</v>
      </c>
      <c r="T4285">
        <v>2</v>
      </c>
    </row>
    <row r="4286" spans="4:20" ht="15.75" customHeight="1" x14ac:dyDescent="0.2">
      <c r="D4286" t="s">
        <v>285</v>
      </c>
      <c r="E4286" t="s">
        <v>495</v>
      </c>
      <c r="F4286">
        <v>21</v>
      </c>
      <c r="P4286" t="s">
        <v>471</v>
      </c>
      <c r="Q4286">
        <v>175</v>
      </c>
      <c r="R4286" t="s">
        <v>297</v>
      </c>
      <c r="S4286" t="s">
        <v>18</v>
      </c>
      <c r="T4286">
        <v>1</v>
      </c>
    </row>
    <row r="4287" spans="4:20" ht="15.75" customHeight="1" x14ac:dyDescent="0.2">
      <c r="D4287" t="s">
        <v>285</v>
      </c>
      <c r="E4287" t="s">
        <v>495</v>
      </c>
      <c r="F4287">
        <v>21</v>
      </c>
      <c r="P4287" t="s">
        <v>471</v>
      </c>
      <c r="Q4287">
        <v>175</v>
      </c>
      <c r="R4287" t="s">
        <v>298</v>
      </c>
      <c r="S4287" t="s">
        <v>19</v>
      </c>
      <c r="T4287">
        <v>1</v>
      </c>
    </row>
    <row r="4288" spans="4:20" ht="15.75" customHeight="1" x14ac:dyDescent="0.2">
      <c r="D4288" t="s">
        <v>285</v>
      </c>
      <c r="E4288" t="s">
        <v>495</v>
      </c>
      <c r="F4288">
        <v>21</v>
      </c>
      <c r="P4288" t="s">
        <v>471</v>
      </c>
      <c r="Q4288">
        <v>175</v>
      </c>
      <c r="R4288" t="s">
        <v>299</v>
      </c>
      <c r="S4288" t="s">
        <v>20</v>
      </c>
      <c r="T4288">
        <v>0</v>
      </c>
    </row>
    <row r="4289" spans="4:20" ht="15.75" customHeight="1" x14ac:dyDescent="0.2">
      <c r="D4289" t="s">
        <v>285</v>
      </c>
      <c r="E4289" t="s">
        <v>495</v>
      </c>
      <c r="F4289">
        <v>21</v>
      </c>
      <c r="P4289" t="s">
        <v>472</v>
      </c>
      <c r="Q4289">
        <v>176</v>
      </c>
      <c r="R4289" t="s">
        <v>288</v>
      </c>
      <c r="S4289" t="s">
        <v>2</v>
      </c>
      <c r="T4289">
        <v>2</v>
      </c>
    </row>
    <row r="4290" spans="4:20" ht="15.75" customHeight="1" x14ac:dyDescent="0.2">
      <c r="D4290" t="s">
        <v>285</v>
      </c>
      <c r="E4290" t="s">
        <v>495</v>
      </c>
      <c r="F4290">
        <v>21</v>
      </c>
      <c r="P4290" t="s">
        <v>472</v>
      </c>
      <c r="Q4290">
        <v>176</v>
      </c>
      <c r="R4290" t="s">
        <v>289</v>
      </c>
      <c r="S4290" t="s">
        <v>5</v>
      </c>
      <c r="T4290">
        <v>1</v>
      </c>
    </row>
    <row r="4291" spans="4:20" ht="15.75" customHeight="1" x14ac:dyDescent="0.2">
      <c r="D4291" t="s">
        <v>285</v>
      </c>
      <c r="E4291" t="s">
        <v>495</v>
      </c>
      <c r="F4291">
        <v>21</v>
      </c>
      <c r="P4291" t="s">
        <v>472</v>
      </c>
      <c r="Q4291">
        <v>176</v>
      </c>
      <c r="R4291" t="s">
        <v>290</v>
      </c>
      <c r="S4291" t="s">
        <v>3</v>
      </c>
      <c r="T4291">
        <v>0.5</v>
      </c>
    </row>
    <row r="4292" spans="4:20" ht="15.75" customHeight="1" x14ac:dyDescent="0.2">
      <c r="D4292" t="s">
        <v>285</v>
      </c>
      <c r="E4292" t="s">
        <v>495</v>
      </c>
      <c r="F4292">
        <v>21</v>
      </c>
      <c r="P4292" t="s">
        <v>472</v>
      </c>
      <c r="Q4292">
        <v>176</v>
      </c>
      <c r="R4292" t="s">
        <v>291</v>
      </c>
      <c r="S4292" t="s">
        <v>4</v>
      </c>
      <c r="T4292">
        <v>2</v>
      </c>
    </row>
    <row r="4293" spans="4:20" ht="15.75" customHeight="1" x14ac:dyDescent="0.2">
      <c r="D4293" t="s">
        <v>285</v>
      </c>
      <c r="E4293" t="s">
        <v>495</v>
      </c>
      <c r="F4293">
        <v>21</v>
      </c>
      <c r="P4293" t="s">
        <v>472</v>
      </c>
      <c r="Q4293">
        <v>176</v>
      </c>
      <c r="R4293" t="s">
        <v>292</v>
      </c>
      <c r="S4293" t="s">
        <v>6</v>
      </c>
      <c r="T4293">
        <v>0</v>
      </c>
    </row>
    <row r="4294" spans="4:20" ht="15.75" customHeight="1" x14ac:dyDescent="0.2">
      <c r="D4294" t="s">
        <v>285</v>
      </c>
      <c r="E4294" t="s">
        <v>495</v>
      </c>
      <c r="F4294">
        <v>21</v>
      </c>
      <c r="P4294" t="s">
        <v>472</v>
      </c>
      <c r="Q4294">
        <v>176</v>
      </c>
      <c r="R4294" t="s">
        <v>243</v>
      </c>
      <c r="S4294" t="s">
        <v>7</v>
      </c>
      <c r="T4294">
        <v>9.75</v>
      </c>
    </row>
    <row r="4295" spans="4:20" ht="15.75" customHeight="1" x14ac:dyDescent="0.2">
      <c r="D4295" t="s">
        <v>285</v>
      </c>
      <c r="E4295" t="s">
        <v>495</v>
      </c>
      <c r="F4295">
        <v>21</v>
      </c>
      <c r="P4295" t="s">
        <v>472</v>
      </c>
      <c r="Q4295">
        <v>176</v>
      </c>
      <c r="R4295" t="s">
        <v>245</v>
      </c>
      <c r="S4295" t="s">
        <v>8</v>
      </c>
      <c r="T4295">
        <v>797.05529999999999</v>
      </c>
    </row>
    <row r="4296" spans="4:20" ht="15.75" customHeight="1" x14ac:dyDescent="0.2">
      <c r="D4296" t="s">
        <v>285</v>
      </c>
      <c r="E4296" t="s">
        <v>495</v>
      </c>
      <c r="F4296">
        <v>21</v>
      </c>
      <c r="P4296" t="s">
        <v>472</v>
      </c>
      <c r="Q4296">
        <v>176</v>
      </c>
      <c r="R4296" t="s">
        <v>247</v>
      </c>
      <c r="S4296" t="s">
        <v>9</v>
      </c>
      <c r="T4296">
        <v>2.87E-2</v>
      </c>
    </row>
    <row r="4297" spans="4:20" ht="15.75" customHeight="1" x14ac:dyDescent="0.2">
      <c r="D4297" t="s">
        <v>285</v>
      </c>
      <c r="E4297" t="s">
        <v>495</v>
      </c>
      <c r="F4297">
        <v>21</v>
      </c>
      <c r="P4297" t="s">
        <v>472</v>
      </c>
      <c r="Q4297">
        <v>176</v>
      </c>
      <c r="R4297" t="s">
        <v>249</v>
      </c>
      <c r="S4297" t="s">
        <v>10</v>
      </c>
      <c r="T4297">
        <v>20</v>
      </c>
    </row>
    <row r="4298" spans="4:20" ht="15.75" customHeight="1" x14ac:dyDescent="0.2">
      <c r="D4298" t="s">
        <v>285</v>
      </c>
      <c r="E4298" t="s">
        <v>495</v>
      </c>
      <c r="F4298">
        <v>21</v>
      </c>
      <c r="P4298" t="s">
        <v>472</v>
      </c>
      <c r="Q4298">
        <v>176</v>
      </c>
      <c r="R4298" t="s">
        <v>251</v>
      </c>
      <c r="S4298" t="s">
        <v>11</v>
      </c>
      <c r="T4298">
        <v>17</v>
      </c>
    </row>
    <row r="4299" spans="4:20" ht="15.75" customHeight="1" x14ac:dyDescent="0.2">
      <c r="D4299" t="s">
        <v>285</v>
      </c>
      <c r="E4299" t="s">
        <v>495</v>
      </c>
      <c r="F4299">
        <v>21</v>
      </c>
      <c r="P4299" t="s">
        <v>472</v>
      </c>
      <c r="Q4299">
        <v>176</v>
      </c>
      <c r="R4299" t="s">
        <v>253</v>
      </c>
      <c r="S4299" t="s">
        <v>12</v>
      </c>
      <c r="T4299">
        <v>81.749300000000005</v>
      </c>
    </row>
    <row r="4300" spans="4:20" ht="15.75" customHeight="1" x14ac:dyDescent="0.2">
      <c r="D4300" t="s">
        <v>285</v>
      </c>
      <c r="E4300" t="s">
        <v>495</v>
      </c>
      <c r="F4300">
        <v>21</v>
      </c>
      <c r="P4300" t="s">
        <v>472</v>
      </c>
      <c r="Q4300">
        <v>176</v>
      </c>
      <c r="R4300" t="s">
        <v>255</v>
      </c>
      <c r="S4300" t="s">
        <v>15</v>
      </c>
      <c r="T4300">
        <v>18</v>
      </c>
    </row>
    <row r="4301" spans="4:20" ht="15.75" customHeight="1" x14ac:dyDescent="0.2">
      <c r="D4301" t="s">
        <v>285</v>
      </c>
      <c r="E4301" t="s">
        <v>495</v>
      </c>
      <c r="F4301">
        <v>21</v>
      </c>
      <c r="P4301" t="s">
        <v>472</v>
      </c>
      <c r="Q4301">
        <v>176</v>
      </c>
      <c r="R4301" t="s">
        <v>293</v>
      </c>
      <c r="S4301" t="s">
        <v>13</v>
      </c>
      <c r="T4301">
        <v>1</v>
      </c>
    </row>
    <row r="4302" spans="4:20" ht="15.75" customHeight="1" x14ac:dyDescent="0.2">
      <c r="D4302" t="s">
        <v>285</v>
      </c>
      <c r="E4302" t="s">
        <v>495</v>
      </c>
      <c r="F4302">
        <v>21</v>
      </c>
      <c r="P4302" t="s">
        <v>472</v>
      </c>
      <c r="Q4302">
        <v>176</v>
      </c>
      <c r="R4302" t="s">
        <v>294</v>
      </c>
      <c r="S4302" t="s">
        <v>14</v>
      </c>
      <c r="T4302">
        <v>1</v>
      </c>
    </row>
    <row r="4303" spans="4:20" ht="15.75" customHeight="1" x14ac:dyDescent="0.2">
      <c r="D4303" t="s">
        <v>285</v>
      </c>
      <c r="E4303" t="s">
        <v>495</v>
      </c>
      <c r="F4303">
        <v>21</v>
      </c>
      <c r="P4303" t="s">
        <v>472</v>
      </c>
      <c r="Q4303">
        <v>176</v>
      </c>
      <c r="R4303" t="s">
        <v>257</v>
      </c>
      <c r="S4303" t="s">
        <v>16</v>
      </c>
      <c r="T4303">
        <v>59.106499999999997</v>
      </c>
    </row>
    <row r="4304" spans="4:20" ht="15.75" customHeight="1" x14ac:dyDescent="0.2">
      <c r="D4304" t="s">
        <v>285</v>
      </c>
      <c r="E4304" t="s">
        <v>495</v>
      </c>
      <c r="F4304">
        <v>21</v>
      </c>
      <c r="P4304" t="s">
        <v>472</v>
      </c>
      <c r="Q4304">
        <v>176</v>
      </c>
      <c r="R4304" t="s">
        <v>295</v>
      </c>
      <c r="S4304" t="s">
        <v>17</v>
      </c>
      <c r="T4304">
        <v>0</v>
      </c>
    </row>
    <row r="4305" spans="4:20" ht="15.75" customHeight="1" x14ac:dyDescent="0.2">
      <c r="D4305" t="s">
        <v>285</v>
      </c>
      <c r="E4305" t="s">
        <v>495</v>
      </c>
      <c r="F4305">
        <v>21</v>
      </c>
      <c r="P4305" t="s">
        <v>472</v>
      </c>
      <c r="Q4305">
        <v>176</v>
      </c>
      <c r="R4305" t="s">
        <v>296</v>
      </c>
      <c r="S4305" t="s">
        <v>1</v>
      </c>
      <c r="T4305">
        <v>3</v>
      </c>
    </row>
    <row r="4306" spans="4:20" ht="15.75" customHeight="1" x14ac:dyDescent="0.2">
      <c r="D4306" t="s">
        <v>285</v>
      </c>
      <c r="E4306" t="s">
        <v>495</v>
      </c>
      <c r="F4306">
        <v>21</v>
      </c>
      <c r="P4306" t="s">
        <v>472</v>
      </c>
      <c r="Q4306">
        <v>176</v>
      </c>
      <c r="R4306" t="s">
        <v>297</v>
      </c>
      <c r="S4306" t="s">
        <v>18</v>
      </c>
      <c r="T4306">
        <v>1</v>
      </c>
    </row>
    <row r="4307" spans="4:20" ht="15.75" customHeight="1" x14ac:dyDescent="0.2">
      <c r="D4307" t="s">
        <v>285</v>
      </c>
      <c r="E4307" t="s">
        <v>495</v>
      </c>
      <c r="F4307">
        <v>21</v>
      </c>
      <c r="P4307" t="s">
        <v>472</v>
      </c>
      <c r="Q4307">
        <v>176</v>
      </c>
      <c r="R4307" t="s">
        <v>298</v>
      </c>
      <c r="S4307" t="s">
        <v>19</v>
      </c>
      <c r="T4307">
        <v>1</v>
      </c>
    </row>
    <row r="4308" spans="4:20" ht="15.75" customHeight="1" x14ac:dyDescent="0.2">
      <c r="D4308" t="s">
        <v>285</v>
      </c>
      <c r="E4308" t="s">
        <v>495</v>
      </c>
      <c r="F4308">
        <v>21</v>
      </c>
      <c r="P4308" t="s">
        <v>472</v>
      </c>
      <c r="Q4308">
        <v>176</v>
      </c>
      <c r="R4308" t="s">
        <v>299</v>
      </c>
      <c r="S4308" t="s">
        <v>20</v>
      </c>
      <c r="T4308">
        <v>0</v>
      </c>
    </row>
    <row r="4309" spans="4:20" ht="15.75" customHeight="1" x14ac:dyDescent="0.2">
      <c r="D4309" t="s">
        <v>285</v>
      </c>
      <c r="E4309" t="s">
        <v>495</v>
      </c>
      <c r="F4309">
        <v>21</v>
      </c>
      <c r="P4309" t="s">
        <v>362</v>
      </c>
      <c r="Q4309">
        <v>177</v>
      </c>
      <c r="R4309" t="s">
        <v>288</v>
      </c>
      <c r="S4309" t="s">
        <v>2</v>
      </c>
      <c r="T4309">
        <v>0</v>
      </c>
    </row>
    <row r="4310" spans="4:20" ht="15.75" customHeight="1" x14ac:dyDescent="0.2">
      <c r="D4310" t="s">
        <v>285</v>
      </c>
      <c r="E4310" t="s">
        <v>495</v>
      </c>
      <c r="F4310">
        <v>21</v>
      </c>
      <c r="P4310" t="s">
        <v>362</v>
      </c>
      <c r="Q4310">
        <v>177</v>
      </c>
      <c r="R4310" t="s">
        <v>289</v>
      </c>
      <c r="S4310" t="s">
        <v>5</v>
      </c>
      <c r="T4310">
        <v>0</v>
      </c>
    </row>
    <row r="4311" spans="4:20" ht="15.75" customHeight="1" x14ac:dyDescent="0.2">
      <c r="D4311" t="s">
        <v>285</v>
      </c>
      <c r="E4311" t="s">
        <v>495</v>
      </c>
      <c r="F4311">
        <v>21</v>
      </c>
      <c r="P4311" t="s">
        <v>362</v>
      </c>
      <c r="Q4311">
        <v>177</v>
      </c>
      <c r="R4311" t="s">
        <v>290</v>
      </c>
      <c r="S4311" t="s">
        <v>3</v>
      </c>
      <c r="T4311">
        <v>0</v>
      </c>
    </row>
    <row r="4312" spans="4:20" ht="15.75" customHeight="1" x14ac:dyDescent="0.2">
      <c r="D4312" t="s">
        <v>285</v>
      </c>
      <c r="E4312" t="s">
        <v>495</v>
      </c>
      <c r="F4312">
        <v>21</v>
      </c>
      <c r="P4312" t="s">
        <v>362</v>
      </c>
      <c r="Q4312">
        <v>177</v>
      </c>
      <c r="R4312" t="s">
        <v>291</v>
      </c>
      <c r="S4312" t="s">
        <v>4</v>
      </c>
      <c r="T4312">
        <v>0</v>
      </c>
    </row>
    <row r="4313" spans="4:20" ht="15.75" customHeight="1" x14ac:dyDescent="0.2">
      <c r="D4313" t="s">
        <v>285</v>
      </c>
      <c r="E4313" t="s">
        <v>495</v>
      </c>
      <c r="F4313">
        <v>21</v>
      </c>
      <c r="P4313" t="s">
        <v>362</v>
      </c>
      <c r="Q4313">
        <v>177</v>
      </c>
      <c r="R4313" t="s">
        <v>292</v>
      </c>
      <c r="S4313" t="s">
        <v>6</v>
      </c>
      <c r="T4313">
        <v>0</v>
      </c>
    </row>
    <row r="4314" spans="4:20" ht="15.75" customHeight="1" x14ac:dyDescent="0.2">
      <c r="D4314" t="s">
        <v>285</v>
      </c>
      <c r="E4314" t="s">
        <v>495</v>
      </c>
      <c r="F4314">
        <v>21</v>
      </c>
      <c r="P4314" t="s">
        <v>362</v>
      </c>
      <c r="Q4314">
        <v>177</v>
      </c>
      <c r="R4314" t="s">
        <v>243</v>
      </c>
      <c r="S4314" t="s">
        <v>7</v>
      </c>
      <c r="T4314">
        <v>1.1667000000000001</v>
      </c>
    </row>
    <row r="4315" spans="4:20" ht="15.75" customHeight="1" x14ac:dyDescent="0.2">
      <c r="D4315" t="s">
        <v>285</v>
      </c>
      <c r="E4315" t="s">
        <v>495</v>
      </c>
      <c r="F4315">
        <v>21</v>
      </c>
      <c r="P4315" t="s">
        <v>362</v>
      </c>
      <c r="Q4315">
        <v>177</v>
      </c>
      <c r="R4315" t="s">
        <v>245</v>
      </c>
      <c r="S4315" t="s">
        <v>8</v>
      </c>
      <c r="T4315">
        <v>31.5</v>
      </c>
    </row>
    <row r="4316" spans="4:20" ht="15.75" customHeight="1" x14ac:dyDescent="0.2">
      <c r="D4316" t="s">
        <v>285</v>
      </c>
      <c r="E4316" t="s">
        <v>495</v>
      </c>
      <c r="F4316">
        <v>21</v>
      </c>
      <c r="P4316" t="s">
        <v>362</v>
      </c>
      <c r="Q4316">
        <v>177</v>
      </c>
      <c r="R4316" t="s">
        <v>247</v>
      </c>
      <c r="S4316" t="s">
        <v>9</v>
      </c>
      <c r="T4316">
        <v>3.3E-3</v>
      </c>
    </row>
    <row r="4317" spans="4:20" ht="15.75" customHeight="1" x14ac:dyDescent="0.2">
      <c r="D4317" t="s">
        <v>285</v>
      </c>
      <c r="E4317" t="s">
        <v>495</v>
      </c>
      <c r="F4317">
        <v>21</v>
      </c>
      <c r="P4317" t="s">
        <v>362</v>
      </c>
      <c r="Q4317">
        <v>177</v>
      </c>
      <c r="R4317" t="s">
        <v>249</v>
      </c>
      <c r="S4317" t="s">
        <v>10</v>
      </c>
      <c r="T4317">
        <v>9</v>
      </c>
    </row>
    <row r="4318" spans="4:20" ht="15.75" customHeight="1" x14ac:dyDescent="0.2">
      <c r="D4318" t="s">
        <v>285</v>
      </c>
      <c r="E4318" t="s">
        <v>495</v>
      </c>
      <c r="F4318">
        <v>21</v>
      </c>
      <c r="P4318" t="s">
        <v>362</v>
      </c>
      <c r="Q4318">
        <v>177</v>
      </c>
      <c r="R4318" t="s">
        <v>251</v>
      </c>
      <c r="S4318" t="s">
        <v>11</v>
      </c>
      <c r="T4318">
        <v>8</v>
      </c>
    </row>
    <row r="4319" spans="4:20" ht="15.75" customHeight="1" x14ac:dyDescent="0.2">
      <c r="D4319" t="s">
        <v>285</v>
      </c>
      <c r="E4319" t="s">
        <v>495</v>
      </c>
      <c r="F4319">
        <v>21</v>
      </c>
      <c r="P4319" t="s">
        <v>362</v>
      </c>
      <c r="Q4319">
        <v>177</v>
      </c>
      <c r="R4319" t="s">
        <v>253</v>
      </c>
      <c r="S4319" t="s">
        <v>12</v>
      </c>
      <c r="T4319">
        <v>27</v>
      </c>
    </row>
    <row r="4320" spans="4:20" ht="15.75" customHeight="1" x14ac:dyDescent="0.2">
      <c r="D4320" t="s">
        <v>285</v>
      </c>
      <c r="E4320" t="s">
        <v>495</v>
      </c>
      <c r="F4320">
        <v>21</v>
      </c>
      <c r="P4320" t="s">
        <v>362</v>
      </c>
      <c r="Q4320">
        <v>177</v>
      </c>
      <c r="R4320" t="s">
        <v>255</v>
      </c>
      <c r="S4320" t="s">
        <v>15</v>
      </c>
      <c r="T4320">
        <v>10</v>
      </c>
    </row>
    <row r="4321" spans="4:20" ht="15.75" customHeight="1" x14ac:dyDescent="0.2">
      <c r="D4321" t="s">
        <v>285</v>
      </c>
      <c r="E4321" t="s">
        <v>495</v>
      </c>
      <c r="F4321">
        <v>21</v>
      </c>
      <c r="P4321" t="s">
        <v>362</v>
      </c>
      <c r="Q4321">
        <v>177</v>
      </c>
      <c r="R4321" t="s">
        <v>293</v>
      </c>
      <c r="S4321" t="s">
        <v>13</v>
      </c>
      <c r="T4321">
        <v>1</v>
      </c>
    </row>
    <row r="4322" spans="4:20" ht="15.75" customHeight="1" x14ac:dyDescent="0.2">
      <c r="D4322" t="s">
        <v>285</v>
      </c>
      <c r="E4322" t="s">
        <v>495</v>
      </c>
      <c r="F4322">
        <v>21</v>
      </c>
      <c r="P4322" t="s">
        <v>362</v>
      </c>
      <c r="Q4322">
        <v>177</v>
      </c>
      <c r="R4322" t="s">
        <v>294</v>
      </c>
      <c r="S4322" t="s">
        <v>14</v>
      </c>
      <c r="T4322">
        <v>0</v>
      </c>
    </row>
    <row r="4323" spans="4:20" ht="15.75" customHeight="1" x14ac:dyDescent="0.2">
      <c r="D4323" t="s">
        <v>285</v>
      </c>
      <c r="E4323" t="s">
        <v>495</v>
      </c>
      <c r="F4323">
        <v>21</v>
      </c>
      <c r="P4323" t="s">
        <v>362</v>
      </c>
      <c r="Q4323">
        <v>177</v>
      </c>
      <c r="R4323" t="s">
        <v>257</v>
      </c>
      <c r="S4323" t="s">
        <v>16</v>
      </c>
      <c r="T4323">
        <v>68.278400000000005</v>
      </c>
    </row>
    <row r="4324" spans="4:20" ht="15.75" customHeight="1" x14ac:dyDescent="0.2">
      <c r="D4324" t="s">
        <v>285</v>
      </c>
      <c r="E4324" t="s">
        <v>495</v>
      </c>
      <c r="F4324">
        <v>21</v>
      </c>
      <c r="P4324" t="s">
        <v>362</v>
      </c>
      <c r="Q4324">
        <v>177</v>
      </c>
      <c r="R4324" t="s">
        <v>295</v>
      </c>
      <c r="S4324" t="s">
        <v>17</v>
      </c>
      <c r="T4324">
        <v>0</v>
      </c>
    </row>
    <row r="4325" spans="4:20" ht="15.75" customHeight="1" x14ac:dyDescent="0.2">
      <c r="D4325" t="s">
        <v>285</v>
      </c>
      <c r="E4325" t="s">
        <v>495</v>
      </c>
      <c r="F4325">
        <v>21</v>
      </c>
      <c r="P4325" t="s">
        <v>362</v>
      </c>
      <c r="Q4325">
        <v>177</v>
      </c>
      <c r="R4325" t="s">
        <v>296</v>
      </c>
      <c r="S4325" t="s">
        <v>1</v>
      </c>
      <c r="T4325">
        <v>1</v>
      </c>
    </row>
    <row r="4326" spans="4:20" ht="15.75" customHeight="1" x14ac:dyDescent="0.2">
      <c r="D4326" t="s">
        <v>285</v>
      </c>
      <c r="E4326" t="s">
        <v>495</v>
      </c>
      <c r="F4326">
        <v>21</v>
      </c>
      <c r="P4326" t="s">
        <v>362</v>
      </c>
      <c r="Q4326">
        <v>177</v>
      </c>
      <c r="R4326" t="s">
        <v>297</v>
      </c>
      <c r="S4326" t="s">
        <v>18</v>
      </c>
      <c r="T4326">
        <v>3</v>
      </c>
    </row>
    <row r="4327" spans="4:20" ht="15.75" customHeight="1" x14ac:dyDescent="0.2">
      <c r="D4327" t="s">
        <v>285</v>
      </c>
      <c r="E4327" t="s">
        <v>495</v>
      </c>
      <c r="F4327">
        <v>21</v>
      </c>
      <c r="P4327" t="s">
        <v>362</v>
      </c>
      <c r="Q4327">
        <v>177</v>
      </c>
      <c r="R4327" t="s">
        <v>298</v>
      </c>
      <c r="S4327" t="s">
        <v>19</v>
      </c>
      <c r="T4327">
        <v>0</v>
      </c>
    </row>
    <row r="4328" spans="4:20" ht="15.75" customHeight="1" x14ac:dyDescent="0.2">
      <c r="D4328" t="s">
        <v>285</v>
      </c>
      <c r="E4328" t="s">
        <v>495</v>
      </c>
      <c r="F4328">
        <v>21</v>
      </c>
      <c r="P4328" t="s">
        <v>362</v>
      </c>
      <c r="Q4328">
        <v>177</v>
      </c>
      <c r="R4328" t="s">
        <v>299</v>
      </c>
      <c r="S4328" t="s">
        <v>20</v>
      </c>
      <c r="T4328">
        <v>0</v>
      </c>
    </row>
    <row r="4329" spans="4:20" ht="15.75" customHeight="1" x14ac:dyDescent="0.2">
      <c r="D4329" t="s">
        <v>285</v>
      </c>
      <c r="E4329" t="s">
        <v>495</v>
      </c>
      <c r="F4329">
        <v>21</v>
      </c>
      <c r="P4329" t="s">
        <v>473</v>
      </c>
      <c r="Q4329">
        <v>178</v>
      </c>
      <c r="R4329" t="s">
        <v>288</v>
      </c>
      <c r="S4329" t="s">
        <v>2</v>
      </c>
      <c r="T4329">
        <v>2</v>
      </c>
    </row>
    <row r="4330" spans="4:20" ht="15.75" customHeight="1" x14ac:dyDescent="0.2">
      <c r="D4330" t="s">
        <v>285</v>
      </c>
      <c r="E4330" t="s">
        <v>495</v>
      </c>
      <c r="F4330">
        <v>21</v>
      </c>
      <c r="P4330" t="s">
        <v>473</v>
      </c>
      <c r="Q4330">
        <v>178</v>
      </c>
      <c r="R4330" t="s">
        <v>289</v>
      </c>
      <c r="S4330" t="s">
        <v>5</v>
      </c>
      <c r="T4330">
        <v>1</v>
      </c>
    </row>
    <row r="4331" spans="4:20" ht="15.75" customHeight="1" x14ac:dyDescent="0.2">
      <c r="D4331" t="s">
        <v>285</v>
      </c>
      <c r="E4331" t="s">
        <v>495</v>
      </c>
      <c r="F4331">
        <v>21</v>
      </c>
      <c r="P4331" t="s">
        <v>473</v>
      </c>
      <c r="Q4331">
        <v>178</v>
      </c>
      <c r="R4331" t="s">
        <v>290</v>
      </c>
      <c r="S4331" t="s">
        <v>3</v>
      </c>
      <c r="T4331">
        <v>0.5</v>
      </c>
    </row>
    <row r="4332" spans="4:20" ht="15.75" customHeight="1" x14ac:dyDescent="0.2">
      <c r="D4332" t="s">
        <v>285</v>
      </c>
      <c r="E4332" t="s">
        <v>495</v>
      </c>
      <c r="F4332">
        <v>21</v>
      </c>
      <c r="P4332" t="s">
        <v>473</v>
      </c>
      <c r="Q4332">
        <v>178</v>
      </c>
      <c r="R4332" t="s">
        <v>291</v>
      </c>
      <c r="S4332" t="s">
        <v>4</v>
      </c>
      <c r="T4332">
        <v>2</v>
      </c>
    </row>
    <row r="4333" spans="4:20" ht="15.75" customHeight="1" x14ac:dyDescent="0.2">
      <c r="D4333" t="s">
        <v>285</v>
      </c>
      <c r="E4333" t="s">
        <v>495</v>
      </c>
      <c r="F4333">
        <v>21</v>
      </c>
      <c r="P4333" t="s">
        <v>473</v>
      </c>
      <c r="Q4333">
        <v>178</v>
      </c>
      <c r="R4333" t="s">
        <v>292</v>
      </c>
      <c r="S4333" t="s">
        <v>6</v>
      </c>
      <c r="T4333">
        <v>0</v>
      </c>
    </row>
    <row r="4334" spans="4:20" ht="15.75" customHeight="1" x14ac:dyDescent="0.2">
      <c r="D4334" t="s">
        <v>285</v>
      </c>
      <c r="E4334" t="s">
        <v>495</v>
      </c>
      <c r="F4334">
        <v>21</v>
      </c>
      <c r="P4334" t="s">
        <v>473</v>
      </c>
      <c r="Q4334">
        <v>178</v>
      </c>
      <c r="R4334" t="s">
        <v>243</v>
      </c>
      <c r="S4334" t="s">
        <v>7</v>
      </c>
      <c r="T4334">
        <v>11.25</v>
      </c>
    </row>
    <row r="4335" spans="4:20" ht="15.75" customHeight="1" x14ac:dyDescent="0.2">
      <c r="D4335" t="s">
        <v>285</v>
      </c>
      <c r="E4335" t="s">
        <v>495</v>
      </c>
      <c r="F4335">
        <v>21</v>
      </c>
      <c r="P4335" t="s">
        <v>473</v>
      </c>
      <c r="Q4335">
        <v>178</v>
      </c>
      <c r="R4335" t="s">
        <v>245</v>
      </c>
      <c r="S4335" t="s">
        <v>8</v>
      </c>
      <c r="T4335">
        <v>1235.3393000000001</v>
      </c>
    </row>
    <row r="4336" spans="4:20" ht="15.75" customHeight="1" x14ac:dyDescent="0.2">
      <c r="D4336" t="s">
        <v>285</v>
      </c>
      <c r="E4336" t="s">
        <v>495</v>
      </c>
      <c r="F4336">
        <v>21</v>
      </c>
      <c r="P4336" t="s">
        <v>473</v>
      </c>
      <c r="Q4336">
        <v>178</v>
      </c>
      <c r="R4336" t="s">
        <v>247</v>
      </c>
      <c r="S4336" t="s">
        <v>9</v>
      </c>
      <c r="T4336">
        <v>3.8399999999999997E-2</v>
      </c>
    </row>
    <row r="4337" spans="4:20" ht="15.75" customHeight="1" x14ac:dyDescent="0.2">
      <c r="D4337" t="s">
        <v>285</v>
      </c>
      <c r="E4337" t="s">
        <v>495</v>
      </c>
      <c r="F4337">
        <v>21</v>
      </c>
      <c r="P4337" t="s">
        <v>473</v>
      </c>
      <c r="Q4337">
        <v>178</v>
      </c>
      <c r="R4337" t="s">
        <v>249</v>
      </c>
      <c r="S4337" t="s">
        <v>10</v>
      </c>
      <c r="T4337">
        <v>25</v>
      </c>
    </row>
    <row r="4338" spans="4:20" ht="15.75" customHeight="1" x14ac:dyDescent="0.2">
      <c r="D4338" t="s">
        <v>285</v>
      </c>
      <c r="E4338" t="s">
        <v>495</v>
      </c>
      <c r="F4338">
        <v>21</v>
      </c>
      <c r="P4338" t="s">
        <v>473</v>
      </c>
      <c r="Q4338">
        <v>178</v>
      </c>
      <c r="R4338" t="s">
        <v>251</v>
      </c>
      <c r="S4338" t="s">
        <v>11</v>
      </c>
      <c r="T4338">
        <v>21</v>
      </c>
    </row>
    <row r="4339" spans="4:20" ht="15.75" customHeight="1" x14ac:dyDescent="0.2">
      <c r="D4339" t="s">
        <v>285</v>
      </c>
      <c r="E4339" t="s">
        <v>495</v>
      </c>
      <c r="F4339">
        <v>21</v>
      </c>
      <c r="P4339" t="s">
        <v>473</v>
      </c>
      <c r="Q4339">
        <v>178</v>
      </c>
      <c r="R4339" t="s">
        <v>253</v>
      </c>
      <c r="S4339" t="s">
        <v>12</v>
      </c>
      <c r="T4339">
        <v>109.8079</v>
      </c>
    </row>
    <row r="4340" spans="4:20" ht="15.75" customHeight="1" x14ac:dyDescent="0.2">
      <c r="D4340" t="s">
        <v>285</v>
      </c>
      <c r="E4340" t="s">
        <v>495</v>
      </c>
      <c r="F4340">
        <v>21</v>
      </c>
      <c r="P4340" t="s">
        <v>473</v>
      </c>
      <c r="Q4340">
        <v>178</v>
      </c>
      <c r="R4340" t="s">
        <v>255</v>
      </c>
      <c r="S4340" t="s">
        <v>15</v>
      </c>
      <c r="T4340">
        <v>20</v>
      </c>
    </row>
    <row r="4341" spans="4:20" ht="15.75" customHeight="1" x14ac:dyDescent="0.2">
      <c r="D4341" t="s">
        <v>285</v>
      </c>
      <c r="E4341" t="s">
        <v>495</v>
      </c>
      <c r="F4341">
        <v>21</v>
      </c>
      <c r="P4341" t="s">
        <v>473</v>
      </c>
      <c r="Q4341">
        <v>178</v>
      </c>
      <c r="R4341" t="s">
        <v>293</v>
      </c>
      <c r="S4341" t="s">
        <v>13</v>
      </c>
      <c r="T4341">
        <v>1</v>
      </c>
    </row>
    <row r="4342" spans="4:20" ht="15.75" customHeight="1" x14ac:dyDescent="0.2">
      <c r="D4342" t="s">
        <v>285</v>
      </c>
      <c r="E4342" t="s">
        <v>495</v>
      </c>
      <c r="F4342">
        <v>21</v>
      </c>
      <c r="P4342" t="s">
        <v>473</v>
      </c>
      <c r="Q4342">
        <v>178</v>
      </c>
      <c r="R4342" t="s">
        <v>294</v>
      </c>
      <c r="S4342" t="s">
        <v>14</v>
      </c>
      <c r="T4342">
        <v>1</v>
      </c>
    </row>
    <row r="4343" spans="4:20" ht="15.75" customHeight="1" x14ac:dyDescent="0.2">
      <c r="D4343" t="s">
        <v>285</v>
      </c>
      <c r="E4343" t="s">
        <v>495</v>
      </c>
      <c r="F4343">
        <v>21</v>
      </c>
      <c r="P4343" t="s">
        <v>473</v>
      </c>
      <c r="Q4343">
        <v>178</v>
      </c>
      <c r="R4343" t="s">
        <v>257</v>
      </c>
      <c r="S4343" t="s">
        <v>16</v>
      </c>
      <c r="T4343">
        <v>57.205500000000001</v>
      </c>
    </row>
    <row r="4344" spans="4:20" ht="15.75" customHeight="1" x14ac:dyDescent="0.2">
      <c r="D4344" t="s">
        <v>285</v>
      </c>
      <c r="E4344" t="s">
        <v>495</v>
      </c>
      <c r="F4344">
        <v>21</v>
      </c>
      <c r="P4344" t="s">
        <v>473</v>
      </c>
      <c r="Q4344">
        <v>178</v>
      </c>
      <c r="R4344" t="s">
        <v>295</v>
      </c>
      <c r="S4344" t="s">
        <v>17</v>
      </c>
      <c r="T4344">
        <v>0</v>
      </c>
    </row>
    <row r="4345" spans="4:20" ht="15.75" customHeight="1" x14ac:dyDescent="0.2">
      <c r="D4345" t="s">
        <v>285</v>
      </c>
      <c r="E4345" t="s">
        <v>495</v>
      </c>
      <c r="F4345">
        <v>21</v>
      </c>
      <c r="P4345" t="s">
        <v>473</v>
      </c>
      <c r="Q4345">
        <v>178</v>
      </c>
      <c r="R4345" t="s">
        <v>296</v>
      </c>
      <c r="S4345" t="s">
        <v>1</v>
      </c>
      <c r="T4345">
        <v>3</v>
      </c>
    </row>
    <row r="4346" spans="4:20" ht="15.75" customHeight="1" x14ac:dyDescent="0.2">
      <c r="D4346" t="s">
        <v>285</v>
      </c>
      <c r="E4346" t="s">
        <v>495</v>
      </c>
      <c r="F4346">
        <v>21</v>
      </c>
      <c r="P4346" t="s">
        <v>473</v>
      </c>
      <c r="Q4346">
        <v>178</v>
      </c>
      <c r="R4346" t="s">
        <v>297</v>
      </c>
      <c r="S4346" t="s">
        <v>18</v>
      </c>
      <c r="T4346">
        <v>2</v>
      </c>
    </row>
    <row r="4347" spans="4:20" ht="15.75" customHeight="1" x14ac:dyDescent="0.2">
      <c r="D4347" t="s">
        <v>285</v>
      </c>
      <c r="E4347" t="s">
        <v>495</v>
      </c>
      <c r="F4347">
        <v>21</v>
      </c>
      <c r="P4347" t="s">
        <v>473</v>
      </c>
      <c r="Q4347">
        <v>178</v>
      </c>
      <c r="R4347" t="s">
        <v>298</v>
      </c>
      <c r="S4347" t="s">
        <v>19</v>
      </c>
      <c r="T4347">
        <v>1</v>
      </c>
    </row>
    <row r="4348" spans="4:20" ht="15.75" customHeight="1" x14ac:dyDescent="0.2">
      <c r="D4348" t="s">
        <v>285</v>
      </c>
      <c r="E4348" t="s">
        <v>495</v>
      </c>
      <c r="F4348">
        <v>21</v>
      </c>
      <c r="P4348" t="s">
        <v>473</v>
      </c>
      <c r="Q4348">
        <v>178</v>
      </c>
      <c r="R4348" t="s">
        <v>299</v>
      </c>
      <c r="S4348" t="s">
        <v>20</v>
      </c>
      <c r="T4348">
        <v>1</v>
      </c>
    </row>
    <row r="4349" spans="4:20" ht="15.75" customHeight="1" x14ac:dyDescent="0.2">
      <c r="D4349" t="s">
        <v>285</v>
      </c>
      <c r="E4349" t="s">
        <v>495</v>
      </c>
      <c r="F4349">
        <v>21</v>
      </c>
      <c r="P4349" t="s">
        <v>474</v>
      </c>
      <c r="Q4349">
        <v>179</v>
      </c>
      <c r="R4349" t="s">
        <v>288</v>
      </c>
      <c r="S4349" t="s">
        <v>2</v>
      </c>
      <c r="T4349">
        <v>3</v>
      </c>
    </row>
    <row r="4350" spans="4:20" ht="15.75" customHeight="1" x14ac:dyDescent="0.2">
      <c r="D4350" t="s">
        <v>285</v>
      </c>
      <c r="E4350" t="s">
        <v>495</v>
      </c>
      <c r="F4350">
        <v>21</v>
      </c>
      <c r="P4350" t="s">
        <v>474</v>
      </c>
      <c r="Q4350">
        <v>179</v>
      </c>
      <c r="R4350" t="s">
        <v>289</v>
      </c>
      <c r="S4350" t="s">
        <v>5</v>
      </c>
      <c r="T4350">
        <v>1</v>
      </c>
    </row>
    <row r="4351" spans="4:20" ht="15.75" customHeight="1" x14ac:dyDescent="0.2">
      <c r="D4351" t="s">
        <v>285</v>
      </c>
      <c r="E4351" t="s">
        <v>495</v>
      </c>
      <c r="F4351">
        <v>21</v>
      </c>
      <c r="P4351" t="s">
        <v>474</v>
      </c>
      <c r="Q4351">
        <v>179</v>
      </c>
      <c r="R4351" t="s">
        <v>290</v>
      </c>
      <c r="S4351" t="s">
        <v>3</v>
      </c>
      <c r="T4351">
        <v>0.6</v>
      </c>
    </row>
    <row r="4352" spans="4:20" ht="15.75" customHeight="1" x14ac:dyDescent="0.2">
      <c r="D4352" t="s">
        <v>285</v>
      </c>
      <c r="E4352" t="s">
        <v>495</v>
      </c>
      <c r="F4352">
        <v>21</v>
      </c>
      <c r="P4352" t="s">
        <v>474</v>
      </c>
      <c r="Q4352">
        <v>179</v>
      </c>
      <c r="R4352" t="s">
        <v>291</v>
      </c>
      <c r="S4352" t="s">
        <v>4</v>
      </c>
      <c r="T4352">
        <v>4</v>
      </c>
    </row>
    <row r="4353" spans="4:20" ht="15.75" customHeight="1" x14ac:dyDescent="0.2">
      <c r="D4353" t="s">
        <v>285</v>
      </c>
      <c r="E4353" t="s">
        <v>495</v>
      </c>
      <c r="F4353">
        <v>21</v>
      </c>
      <c r="P4353" t="s">
        <v>474</v>
      </c>
      <c r="Q4353">
        <v>179</v>
      </c>
      <c r="R4353" t="s">
        <v>292</v>
      </c>
      <c r="S4353" t="s">
        <v>6</v>
      </c>
      <c r="T4353">
        <v>0</v>
      </c>
    </row>
    <row r="4354" spans="4:20" ht="15.75" customHeight="1" x14ac:dyDescent="0.2">
      <c r="D4354" t="s">
        <v>285</v>
      </c>
      <c r="E4354" t="s">
        <v>495</v>
      </c>
      <c r="F4354">
        <v>21</v>
      </c>
      <c r="P4354" t="s">
        <v>474</v>
      </c>
      <c r="Q4354">
        <v>179</v>
      </c>
      <c r="R4354" t="s">
        <v>243</v>
      </c>
      <c r="S4354" t="s">
        <v>7</v>
      </c>
      <c r="T4354">
        <v>8.4</v>
      </c>
    </row>
    <row r="4355" spans="4:20" ht="15.75" customHeight="1" x14ac:dyDescent="0.2">
      <c r="D4355" t="s">
        <v>285</v>
      </c>
      <c r="E4355" t="s">
        <v>495</v>
      </c>
      <c r="F4355">
        <v>21</v>
      </c>
      <c r="P4355" t="s">
        <v>474</v>
      </c>
      <c r="Q4355">
        <v>179</v>
      </c>
      <c r="R4355" t="s">
        <v>245</v>
      </c>
      <c r="S4355" t="s">
        <v>8</v>
      </c>
      <c r="T4355">
        <v>686.69380000000001</v>
      </c>
    </row>
    <row r="4356" spans="4:20" ht="15.75" customHeight="1" x14ac:dyDescent="0.2">
      <c r="D4356" t="s">
        <v>285</v>
      </c>
      <c r="E4356" t="s">
        <v>495</v>
      </c>
      <c r="F4356">
        <v>21</v>
      </c>
      <c r="P4356" t="s">
        <v>474</v>
      </c>
      <c r="Q4356">
        <v>179</v>
      </c>
      <c r="R4356" t="s">
        <v>247</v>
      </c>
      <c r="S4356" t="s">
        <v>9</v>
      </c>
      <c r="T4356">
        <v>2.5899999999999999E-2</v>
      </c>
    </row>
    <row r="4357" spans="4:20" ht="15.75" customHeight="1" x14ac:dyDescent="0.2">
      <c r="D4357" t="s">
        <v>285</v>
      </c>
      <c r="E4357" t="s">
        <v>495</v>
      </c>
      <c r="F4357">
        <v>21</v>
      </c>
      <c r="P4357" t="s">
        <v>474</v>
      </c>
      <c r="Q4357">
        <v>179</v>
      </c>
      <c r="R4357" t="s">
        <v>249</v>
      </c>
      <c r="S4357" t="s">
        <v>10</v>
      </c>
      <c r="T4357">
        <v>20</v>
      </c>
    </row>
    <row r="4358" spans="4:20" ht="15.75" customHeight="1" x14ac:dyDescent="0.2">
      <c r="D4358" t="s">
        <v>285</v>
      </c>
      <c r="E4358" t="s">
        <v>495</v>
      </c>
      <c r="F4358">
        <v>21</v>
      </c>
      <c r="P4358" t="s">
        <v>474</v>
      </c>
      <c r="Q4358">
        <v>179</v>
      </c>
      <c r="R4358" t="s">
        <v>251</v>
      </c>
      <c r="S4358" t="s">
        <v>11</v>
      </c>
      <c r="T4358">
        <v>17</v>
      </c>
    </row>
    <row r="4359" spans="4:20" ht="15.75" customHeight="1" x14ac:dyDescent="0.2">
      <c r="D4359" t="s">
        <v>285</v>
      </c>
      <c r="E4359" t="s">
        <v>495</v>
      </c>
      <c r="F4359">
        <v>21</v>
      </c>
      <c r="P4359" t="s">
        <v>474</v>
      </c>
      <c r="Q4359">
        <v>179</v>
      </c>
      <c r="R4359" t="s">
        <v>253</v>
      </c>
      <c r="S4359" t="s">
        <v>12</v>
      </c>
      <c r="T4359">
        <v>81.749300000000005</v>
      </c>
    </row>
    <row r="4360" spans="4:20" ht="15.75" customHeight="1" x14ac:dyDescent="0.2">
      <c r="D4360" t="s">
        <v>285</v>
      </c>
      <c r="E4360" t="s">
        <v>495</v>
      </c>
      <c r="F4360">
        <v>21</v>
      </c>
      <c r="P4360" t="s">
        <v>474</v>
      </c>
      <c r="Q4360">
        <v>179</v>
      </c>
      <c r="R4360" t="s">
        <v>255</v>
      </c>
      <c r="S4360" t="s">
        <v>15</v>
      </c>
      <c r="T4360">
        <v>21</v>
      </c>
    </row>
    <row r="4361" spans="4:20" ht="15.75" customHeight="1" x14ac:dyDescent="0.2">
      <c r="D4361" t="s">
        <v>285</v>
      </c>
      <c r="E4361" t="s">
        <v>495</v>
      </c>
      <c r="F4361">
        <v>21</v>
      </c>
      <c r="P4361" t="s">
        <v>474</v>
      </c>
      <c r="Q4361">
        <v>179</v>
      </c>
      <c r="R4361" t="s">
        <v>293</v>
      </c>
      <c r="S4361" t="s">
        <v>13</v>
      </c>
      <c r="T4361">
        <v>0</v>
      </c>
    </row>
    <row r="4362" spans="4:20" ht="15.75" customHeight="1" x14ac:dyDescent="0.2">
      <c r="D4362" t="s">
        <v>285</v>
      </c>
      <c r="E4362" t="s">
        <v>495</v>
      </c>
      <c r="F4362">
        <v>21</v>
      </c>
      <c r="P4362" t="s">
        <v>474</v>
      </c>
      <c r="Q4362">
        <v>179</v>
      </c>
      <c r="R4362" t="s">
        <v>294</v>
      </c>
      <c r="S4362" t="s">
        <v>14</v>
      </c>
      <c r="T4362">
        <v>1</v>
      </c>
    </row>
    <row r="4363" spans="4:20" ht="15.75" customHeight="1" x14ac:dyDescent="0.2">
      <c r="D4363" t="s">
        <v>285</v>
      </c>
      <c r="E4363" t="s">
        <v>495</v>
      </c>
      <c r="F4363">
        <v>21</v>
      </c>
      <c r="P4363" t="s">
        <v>474</v>
      </c>
      <c r="Q4363">
        <v>179</v>
      </c>
      <c r="R4363" t="s">
        <v>257</v>
      </c>
      <c r="S4363" t="s">
        <v>16</v>
      </c>
      <c r="T4363">
        <v>57.6462</v>
      </c>
    </row>
    <row r="4364" spans="4:20" ht="15.75" customHeight="1" x14ac:dyDescent="0.2">
      <c r="D4364" t="s">
        <v>285</v>
      </c>
      <c r="E4364" t="s">
        <v>495</v>
      </c>
      <c r="F4364">
        <v>21</v>
      </c>
      <c r="P4364" t="s">
        <v>474</v>
      </c>
      <c r="Q4364">
        <v>179</v>
      </c>
      <c r="R4364" t="s">
        <v>295</v>
      </c>
      <c r="S4364" t="s">
        <v>17</v>
      </c>
      <c r="T4364">
        <v>0</v>
      </c>
    </row>
    <row r="4365" spans="4:20" ht="15.75" customHeight="1" x14ac:dyDescent="0.2">
      <c r="D4365" t="s">
        <v>285</v>
      </c>
      <c r="E4365" t="s">
        <v>495</v>
      </c>
      <c r="F4365">
        <v>21</v>
      </c>
      <c r="P4365" t="s">
        <v>474</v>
      </c>
      <c r="Q4365">
        <v>179</v>
      </c>
      <c r="R4365" t="s">
        <v>296</v>
      </c>
      <c r="S4365" t="s">
        <v>1</v>
      </c>
      <c r="T4365">
        <v>3</v>
      </c>
    </row>
    <row r="4366" spans="4:20" ht="15.75" customHeight="1" x14ac:dyDescent="0.2">
      <c r="D4366" t="s">
        <v>285</v>
      </c>
      <c r="E4366" t="s">
        <v>495</v>
      </c>
      <c r="F4366">
        <v>21</v>
      </c>
      <c r="P4366" t="s">
        <v>474</v>
      </c>
      <c r="Q4366">
        <v>179</v>
      </c>
      <c r="R4366" t="s">
        <v>297</v>
      </c>
      <c r="S4366" t="s">
        <v>18</v>
      </c>
      <c r="T4366">
        <v>2</v>
      </c>
    </row>
    <row r="4367" spans="4:20" ht="15.75" customHeight="1" x14ac:dyDescent="0.2">
      <c r="D4367" t="s">
        <v>285</v>
      </c>
      <c r="E4367" t="s">
        <v>495</v>
      </c>
      <c r="F4367">
        <v>21</v>
      </c>
      <c r="P4367" t="s">
        <v>474</v>
      </c>
      <c r="Q4367">
        <v>179</v>
      </c>
      <c r="R4367" t="s">
        <v>298</v>
      </c>
      <c r="S4367" t="s">
        <v>19</v>
      </c>
      <c r="T4367">
        <v>1</v>
      </c>
    </row>
    <row r="4368" spans="4:20" ht="15.75" customHeight="1" x14ac:dyDescent="0.2">
      <c r="D4368" t="s">
        <v>285</v>
      </c>
      <c r="E4368" t="s">
        <v>495</v>
      </c>
      <c r="F4368">
        <v>21</v>
      </c>
      <c r="P4368" t="s">
        <v>474</v>
      </c>
      <c r="Q4368">
        <v>179</v>
      </c>
      <c r="R4368" t="s">
        <v>299</v>
      </c>
      <c r="S4368" t="s">
        <v>20</v>
      </c>
      <c r="T4368">
        <v>1</v>
      </c>
    </row>
    <row r="4369" spans="4:23" ht="15.75" customHeight="1" x14ac:dyDescent="0.2">
      <c r="D4369" t="s">
        <v>285</v>
      </c>
      <c r="E4369" t="s">
        <v>495</v>
      </c>
      <c r="F4369">
        <v>21</v>
      </c>
      <c r="U4369" t="s">
        <v>300</v>
      </c>
      <c r="V4369" t="s">
        <v>301</v>
      </c>
      <c r="W4369">
        <v>1</v>
      </c>
    </row>
    <row r="4370" spans="4:23" ht="15.75" customHeight="1" x14ac:dyDescent="0.2">
      <c r="D4370" t="s">
        <v>285</v>
      </c>
      <c r="E4370" t="s">
        <v>495</v>
      </c>
      <c r="F4370">
        <v>21</v>
      </c>
      <c r="U4370" t="s">
        <v>288</v>
      </c>
      <c r="V4370" t="s">
        <v>302</v>
      </c>
      <c r="W4370">
        <v>25</v>
      </c>
    </row>
    <row r="4371" spans="4:23" ht="15.75" customHeight="1" x14ac:dyDescent="0.2">
      <c r="D4371" t="s">
        <v>285</v>
      </c>
      <c r="E4371" t="s">
        <v>495</v>
      </c>
      <c r="F4371">
        <v>21</v>
      </c>
      <c r="U4371" t="s">
        <v>303</v>
      </c>
      <c r="V4371" t="s">
        <v>304</v>
      </c>
      <c r="W4371">
        <v>17</v>
      </c>
    </row>
    <row r="4372" spans="4:23" ht="15.75" customHeight="1" x14ac:dyDescent="0.2">
      <c r="D4372" t="s">
        <v>285</v>
      </c>
      <c r="E4372" t="s">
        <v>495</v>
      </c>
      <c r="F4372">
        <v>21</v>
      </c>
      <c r="U4372" t="s">
        <v>305</v>
      </c>
      <c r="V4372" t="s">
        <v>306</v>
      </c>
      <c r="W4372">
        <v>5</v>
      </c>
    </row>
    <row r="4373" spans="4:23" ht="15.75" customHeight="1" x14ac:dyDescent="0.2">
      <c r="D4373" t="s">
        <v>285</v>
      </c>
      <c r="E4373" t="s">
        <v>495</v>
      </c>
      <c r="F4373">
        <v>21</v>
      </c>
      <c r="U4373" t="s">
        <v>307</v>
      </c>
      <c r="V4373" t="s">
        <v>308</v>
      </c>
      <c r="W4373">
        <v>1</v>
      </c>
    </row>
    <row r="4374" spans="4:23" ht="15.75" customHeight="1" x14ac:dyDescent="0.2">
      <c r="D4374" t="s">
        <v>285</v>
      </c>
      <c r="E4374" t="s">
        <v>495</v>
      </c>
      <c r="F4374">
        <v>21</v>
      </c>
      <c r="U4374" t="s">
        <v>243</v>
      </c>
      <c r="V4374" t="s">
        <v>309</v>
      </c>
      <c r="W4374">
        <v>80.337199999999996</v>
      </c>
    </row>
    <row r="4375" spans="4:23" ht="15.75" customHeight="1" x14ac:dyDescent="0.2">
      <c r="D4375" t="s">
        <v>285</v>
      </c>
      <c r="E4375" t="s">
        <v>495</v>
      </c>
      <c r="F4375">
        <v>21</v>
      </c>
      <c r="U4375" t="s">
        <v>245</v>
      </c>
      <c r="V4375" t="s">
        <v>310</v>
      </c>
      <c r="W4375">
        <v>203399.57079999999</v>
      </c>
    </row>
    <row r="4376" spans="4:23" ht="15.75" customHeight="1" x14ac:dyDescent="0.2">
      <c r="D4376" t="s">
        <v>285</v>
      </c>
      <c r="E4376" t="s">
        <v>495</v>
      </c>
      <c r="F4376">
        <v>21</v>
      </c>
      <c r="U4376" t="s">
        <v>247</v>
      </c>
      <c r="V4376" t="s">
        <v>311</v>
      </c>
      <c r="W4376">
        <v>1.1529</v>
      </c>
    </row>
    <row r="4377" spans="4:23" ht="15.75" customHeight="1" x14ac:dyDescent="0.2">
      <c r="D4377" t="s">
        <v>285</v>
      </c>
      <c r="E4377" t="s">
        <v>495</v>
      </c>
      <c r="F4377">
        <v>21</v>
      </c>
      <c r="U4377" t="s">
        <v>249</v>
      </c>
      <c r="V4377" t="s">
        <v>312</v>
      </c>
      <c r="W4377">
        <v>390</v>
      </c>
    </row>
    <row r="4378" spans="4:23" ht="15.75" customHeight="1" x14ac:dyDescent="0.2">
      <c r="D4378" t="s">
        <v>285</v>
      </c>
      <c r="E4378" t="s">
        <v>495</v>
      </c>
      <c r="F4378">
        <v>21</v>
      </c>
      <c r="U4378" t="s">
        <v>251</v>
      </c>
      <c r="V4378" t="s">
        <v>313</v>
      </c>
      <c r="W4378">
        <v>90</v>
      </c>
    </row>
    <row r="4379" spans="4:23" ht="15.75" customHeight="1" x14ac:dyDescent="0.2">
      <c r="D4379" t="s">
        <v>285</v>
      </c>
      <c r="E4379" t="s">
        <v>495</v>
      </c>
      <c r="F4379">
        <v>21</v>
      </c>
      <c r="U4379" t="s">
        <v>253</v>
      </c>
      <c r="V4379" t="s">
        <v>314</v>
      </c>
      <c r="W4379">
        <v>2531.8227000000002</v>
      </c>
    </row>
    <row r="4380" spans="4:23" ht="15.75" customHeight="1" x14ac:dyDescent="0.2">
      <c r="D4380" t="s">
        <v>285</v>
      </c>
      <c r="E4380" t="s">
        <v>495</v>
      </c>
      <c r="F4380">
        <v>21</v>
      </c>
      <c r="U4380" t="s">
        <v>315</v>
      </c>
      <c r="V4380" t="s">
        <v>316</v>
      </c>
      <c r="W4380">
        <v>5</v>
      </c>
    </row>
    <row r="4381" spans="4:23" ht="15.75" customHeight="1" x14ac:dyDescent="0.2">
      <c r="D4381" t="s">
        <v>285</v>
      </c>
      <c r="E4381" t="s">
        <v>495</v>
      </c>
      <c r="F4381">
        <v>21</v>
      </c>
      <c r="U4381" t="s">
        <v>317</v>
      </c>
      <c r="V4381" t="s">
        <v>318</v>
      </c>
      <c r="W4381">
        <v>336</v>
      </c>
    </row>
    <row r="4382" spans="4:23" ht="15.75" customHeight="1" x14ac:dyDescent="0.2">
      <c r="D4382" t="s">
        <v>285</v>
      </c>
      <c r="E4382" t="s">
        <v>495</v>
      </c>
      <c r="F4382">
        <v>21</v>
      </c>
      <c r="U4382" t="s">
        <v>257</v>
      </c>
      <c r="V4382" t="s">
        <v>319</v>
      </c>
      <c r="W4382">
        <v>20.539899999999999</v>
      </c>
    </row>
    <row r="4383" spans="4:23" ht="15.75" customHeight="1" x14ac:dyDescent="0.2">
      <c r="D4383" t="s">
        <v>285</v>
      </c>
      <c r="E4383" t="s">
        <v>495</v>
      </c>
      <c r="F4383">
        <v>21</v>
      </c>
      <c r="U4383" t="s">
        <v>320</v>
      </c>
      <c r="V4383" t="s">
        <v>321</v>
      </c>
      <c r="W4383">
        <v>72</v>
      </c>
    </row>
    <row r="4384" spans="4:23" ht="15.75" customHeight="1" x14ac:dyDescent="0.2">
      <c r="D4384" t="s">
        <v>285</v>
      </c>
      <c r="E4384" t="s">
        <v>495</v>
      </c>
      <c r="F4384">
        <v>21</v>
      </c>
      <c r="U4384" t="s">
        <v>263</v>
      </c>
      <c r="V4384" t="s">
        <v>322</v>
      </c>
      <c r="W4384">
        <v>135</v>
      </c>
    </row>
    <row r="4385" spans="4:23" ht="15.75" customHeight="1" x14ac:dyDescent="0.2">
      <c r="D4385" t="s">
        <v>285</v>
      </c>
      <c r="E4385" t="s">
        <v>495</v>
      </c>
      <c r="F4385">
        <v>21</v>
      </c>
      <c r="U4385" t="s">
        <v>323</v>
      </c>
      <c r="V4385" t="s">
        <v>324</v>
      </c>
      <c r="W4385">
        <v>5</v>
      </c>
    </row>
    <row r="4386" spans="4:23" ht="15.75" customHeight="1" x14ac:dyDescent="0.2">
      <c r="D4386" t="s">
        <v>285</v>
      </c>
      <c r="E4386" t="s">
        <v>495</v>
      </c>
      <c r="F4386">
        <v>21</v>
      </c>
      <c r="U4386" t="s">
        <v>325</v>
      </c>
      <c r="V4386" t="s">
        <v>326</v>
      </c>
      <c r="W4386">
        <v>17</v>
      </c>
    </row>
    <row r="4387" spans="4:23" ht="15.75" customHeight="1" x14ac:dyDescent="0.2">
      <c r="D4387" t="s">
        <v>285</v>
      </c>
      <c r="E4387" t="s">
        <v>495</v>
      </c>
      <c r="F4387">
        <v>21</v>
      </c>
      <c r="U4387" t="s">
        <v>327</v>
      </c>
      <c r="V4387" t="s">
        <v>328</v>
      </c>
      <c r="W4387">
        <v>10</v>
      </c>
    </row>
    <row r="4388" spans="4:23" ht="15.75" customHeight="1" x14ac:dyDescent="0.2">
      <c r="D4388" t="s">
        <v>285</v>
      </c>
      <c r="E4388" t="s">
        <v>495</v>
      </c>
      <c r="F4388">
        <v>21</v>
      </c>
      <c r="U4388" t="s">
        <v>329</v>
      </c>
      <c r="V4388" t="s">
        <v>330</v>
      </c>
      <c r="W4388">
        <v>52</v>
      </c>
    </row>
    <row r="4389" spans="4:23" ht="15.75" customHeight="1" x14ac:dyDescent="0.2">
      <c r="D4389" t="s">
        <v>285</v>
      </c>
      <c r="E4389" t="s">
        <v>495</v>
      </c>
      <c r="F4389">
        <v>21</v>
      </c>
      <c r="U4389" t="s">
        <v>331</v>
      </c>
      <c r="V4389" t="s">
        <v>332</v>
      </c>
      <c r="W4389">
        <v>5</v>
      </c>
    </row>
    <row r="4390" spans="4:23" ht="15.75" customHeight="1" x14ac:dyDescent="0.2">
      <c r="D4390" t="s">
        <v>285</v>
      </c>
      <c r="E4390" t="s">
        <v>495</v>
      </c>
      <c r="F4390">
        <v>21</v>
      </c>
      <c r="U4390" t="s">
        <v>333</v>
      </c>
      <c r="V4390" t="s">
        <v>334</v>
      </c>
      <c r="W4390">
        <v>19</v>
      </c>
    </row>
    <row r="4391" spans="4:23" ht="15.75" customHeight="1" x14ac:dyDescent="0.2">
      <c r="D4391" t="s">
        <v>285</v>
      </c>
      <c r="E4391" t="s">
        <v>495</v>
      </c>
      <c r="F4391">
        <v>21</v>
      </c>
      <c r="U4391" t="s">
        <v>335</v>
      </c>
      <c r="V4391" t="s">
        <v>336</v>
      </c>
      <c r="W4391">
        <v>48</v>
      </c>
    </row>
    <row r="4392" spans="4:23" ht="15.75" customHeight="1" x14ac:dyDescent="0.2">
      <c r="D4392" t="s">
        <v>285</v>
      </c>
      <c r="E4392" t="s">
        <v>495</v>
      </c>
      <c r="F4392">
        <v>21</v>
      </c>
      <c r="U4392" t="s">
        <v>337</v>
      </c>
      <c r="V4392" t="s">
        <v>338</v>
      </c>
      <c r="W4392">
        <v>1</v>
      </c>
    </row>
    <row r="4393" spans="4:23" ht="15.75" customHeight="1" x14ac:dyDescent="0.2">
      <c r="D4393" t="s">
        <v>285</v>
      </c>
      <c r="E4393" t="s">
        <v>495</v>
      </c>
      <c r="F4393">
        <v>21</v>
      </c>
      <c r="U4393" t="s">
        <v>339</v>
      </c>
      <c r="V4393" t="s">
        <v>340</v>
      </c>
      <c r="W4393">
        <v>0</v>
      </c>
    </row>
    <row r="4394" spans="4:23" ht="15.75" customHeight="1" x14ac:dyDescent="0.2">
      <c r="D4394" t="s">
        <v>285</v>
      </c>
      <c r="E4394" t="s">
        <v>495</v>
      </c>
      <c r="F4394">
        <v>21</v>
      </c>
      <c r="U4394" t="s">
        <v>341</v>
      </c>
      <c r="V4394" t="s">
        <v>342</v>
      </c>
      <c r="W4394">
        <v>41</v>
      </c>
    </row>
    <row r="4395" spans="4:23" ht="15.75" customHeight="1" x14ac:dyDescent="0.2">
      <c r="D4395" t="s">
        <v>285</v>
      </c>
      <c r="E4395" t="s">
        <v>495</v>
      </c>
      <c r="F4395">
        <v>21</v>
      </c>
      <c r="U4395" t="s">
        <v>343</v>
      </c>
      <c r="V4395" t="s">
        <v>344</v>
      </c>
      <c r="W4395">
        <v>0</v>
      </c>
    </row>
    <row r="4396" spans="4:23" ht="15.75" customHeight="1" x14ac:dyDescent="0.2">
      <c r="D4396" t="s">
        <v>285</v>
      </c>
      <c r="E4396" t="s">
        <v>495</v>
      </c>
      <c r="F4396">
        <v>21</v>
      </c>
      <c r="U4396" t="s">
        <v>345</v>
      </c>
      <c r="V4396" t="s">
        <v>346</v>
      </c>
      <c r="W4396">
        <v>0.66669999999999996</v>
      </c>
    </row>
    <row r="4397" spans="4:23" ht="15.75" customHeight="1" x14ac:dyDescent="0.2">
      <c r="D4397" t="s">
        <v>285</v>
      </c>
      <c r="E4397" t="s">
        <v>495</v>
      </c>
      <c r="F4397">
        <v>21</v>
      </c>
      <c r="U4397" t="s">
        <v>347</v>
      </c>
      <c r="V4397" t="s">
        <v>348</v>
      </c>
      <c r="W4397">
        <v>48</v>
      </c>
    </row>
    <row r="4398" spans="4:23" ht="15.75" customHeight="1" x14ac:dyDescent="0.2">
      <c r="D4398" t="s">
        <v>285</v>
      </c>
      <c r="E4398" t="s">
        <v>498</v>
      </c>
      <c r="F4398">
        <v>22</v>
      </c>
      <c r="P4398" t="s">
        <v>499</v>
      </c>
      <c r="Q4398">
        <v>180</v>
      </c>
      <c r="R4398" t="s">
        <v>288</v>
      </c>
      <c r="S4398" t="s">
        <v>2</v>
      </c>
      <c r="T4398">
        <v>2</v>
      </c>
    </row>
    <row r="4399" spans="4:23" ht="15.75" customHeight="1" x14ac:dyDescent="0.2">
      <c r="D4399" t="s">
        <v>285</v>
      </c>
      <c r="E4399" t="s">
        <v>498</v>
      </c>
      <c r="F4399">
        <v>22</v>
      </c>
      <c r="P4399" t="s">
        <v>499</v>
      </c>
      <c r="Q4399">
        <v>180</v>
      </c>
      <c r="R4399" t="s">
        <v>289</v>
      </c>
      <c r="S4399" t="s">
        <v>5</v>
      </c>
      <c r="T4399">
        <v>1</v>
      </c>
    </row>
    <row r="4400" spans="4:23" ht="15.75" customHeight="1" x14ac:dyDescent="0.2">
      <c r="D4400" t="s">
        <v>285</v>
      </c>
      <c r="E4400" t="s">
        <v>498</v>
      </c>
      <c r="F4400">
        <v>22</v>
      </c>
      <c r="P4400" t="s">
        <v>499</v>
      </c>
      <c r="Q4400">
        <v>180</v>
      </c>
      <c r="R4400" t="s">
        <v>290</v>
      </c>
      <c r="S4400" t="s">
        <v>3</v>
      </c>
      <c r="T4400">
        <v>0.5</v>
      </c>
    </row>
    <row r="4401" spans="4:20" ht="15.75" customHeight="1" x14ac:dyDescent="0.2">
      <c r="D4401" t="s">
        <v>285</v>
      </c>
      <c r="E4401" t="s">
        <v>498</v>
      </c>
      <c r="F4401">
        <v>22</v>
      </c>
      <c r="P4401" t="s">
        <v>499</v>
      </c>
      <c r="Q4401">
        <v>180</v>
      </c>
      <c r="R4401" t="s">
        <v>291</v>
      </c>
      <c r="S4401" t="s">
        <v>4</v>
      </c>
      <c r="T4401">
        <v>6</v>
      </c>
    </row>
    <row r="4402" spans="4:20" ht="15.75" customHeight="1" x14ac:dyDescent="0.2">
      <c r="D4402" t="s">
        <v>285</v>
      </c>
      <c r="E4402" t="s">
        <v>498</v>
      </c>
      <c r="F4402">
        <v>22</v>
      </c>
      <c r="P4402" t="s">
        <v>499</v>
      </c>
      <c r="Q4402">
        <v>180</v>
      </c>
      <c r="R4402" t="s">
        <v>292</v>
      </c>
      <c r="S4402" t="s">
        <v>6</v>
      </c>
      <c r="T4402">
        <v>1</v>
      </c>
    </row>
    <row r="4403" spans="4:20" ht="15.75" customHeight="1" x14ac:dyDescent="0.2">
      <c r="D4403" t="s">
        <v>285</v>
      </c>
      <c r="E4403" t="s">
        <v>498</v>
      </c>
      <c r="F4403">
        <v>22</v>
      </c>
      <c r="P4403" t="s">
        <v>499</v>
      </c>
      <c r="Q4403">
        <v>180</v>
      </c>
      <c r="R4403" t="s">
        <v>243</v>
      </c>
      <c r="S4403" t="s">
        <v>7</v>
      </c>
      <c r="T4403">
        <v>9.5</v>
      </c>
    </row>
    <row r="4404" spans="4:20" ht="15.75" customHeight="1" x14ac:dyDescent="0.2">
      <c r="D4404" t="s">
        <v>285</v>
      </c>
      <c r="E4404" t="s">
        <v>498</v>
      </c>
      <c r="F4404">
        <v>22</v>
      </c>
      <c r="P4404" t="s">
        <v>499</v>
      </c>
      <c r="Q4404">
        <v>180</v>
      </c>
      <c r="R4404" t="s">
        <v>245</v>
      </c>
      <c r="S4404" t="s">
        <v>8</v>
      </c>
      <c r="T4404">
        <v>1398.0318</v>
      </c>
    </row>
    <row r="4405" spans="4:20" ht="15.75" customHeight="1" x14ac:dyDescent="0.2">
      <c r="D4405" t="s">
        <v>285</v>
      </c>
      <c r="E4405" t="s">
        <v>498</v>
      </c>
      <c r="F4405">
        <v>22</v>
      </c>
      <c r="P4405" t="s">
        <v>499</v>
      </c>
      <c r="Q4405">
        <v>180</v>
      </c>
      <c r="R4405" t="s">
        <v>247</v>
      </c>
      <c r="S4405" t="s">
        <v>9</v>
      </c>
      <c r="T4405">
        <v>4.1700000000000001E-2</v>
      </c>
    </row>
    <row r="4406" spans="4:20" ht="15.75" customHeight="1" x14ac:dyDescent="0.2">
      <c r="D4406" t="s">
        <v>285</v>
      </c>
      <c r="E4406" t="s">
        <v>498</v>
      </c>
      <c r="F4406">
        <v>22</v>
      </c>
      <c r="P4406" t="s">
        <v>499</v>
      </c>
      <c r="Q4406">
        <v>180</v>
      </c>
      <c r="R4406" t="s">
        <v>249</v>
      </c>
      <c r="S4406" t="s">
        <v>10</v>
      </c>
      <c r="T4406">
        <v>33</v>
      </c>
    </row>
    <row r="4407" spans="4:20" ht="15.75" customHeight="1" x14ac:dyDescent="0.2">
      <c r="D4407" t="s">
        <v>285</v>
      </c>
      <c r="E4407" t="s">
        <v>498</v>
      </c>
      <c r="F4407">
        <v>22</v>
      </c>
      <c r="P4407" t="s">
        <v>499</v>
      </c>
      <c r="Q4407">
        <v>180</v>
      </c>
      <c r="R4407" t="s">
        <v>251</v>
      </c>
      <c r="S4407" t="s">
        <v>11</v>
      </c>
      <c r="T4407">
        <v>22</v>
      </c>
    </row>
    <row r="4408" spans="4:20" ht="15.75" customHeight="1" x14ac:dyDescent="0.2">
      <c r="D4408" t="s">
        <v>285</v>
      </c>
      <c r="E4408" t="s">
        <v>498</v>
      </c>
      <c r="F4408">
        <v>22</v>
      </c>
      <c r="P4408" t="s">
        <v>499</v>
      </c>
      <c r="Q4408">
        <v>180</v>
      </c>
      <c r="R4408" t="s">
        <v>253</v>
      </c>
      <c r="S4408" t="s">
        <v>12</v>
      </c>
      <c r="T4408">
        <v>147.16120000000001</v>
      </c>
    </row>
    <row r="4409" spans="4:20" ht="15.75" customHeight="1" x14ac:dyDescent="0.2">
      <c r="D4409" t="s">
        <v>285</v>
      </c>
      <c r="E4409" t="s">
        <v>498</v>
      </c>
      <c r="F4409">
        <v>22</v>
      </c>
      <c r="P4409" t="s">
        <v>499</v>
      </c>
      <c r="Q4409">
        <v>180</v>
      </c>
      <c r="R4409" t="s">
        <v>255</v>
      </c>
      <c r="S4409" t="s">
        <v>15</v>
      </c>
      <c r="T4409">
        <v>19</v>
      </c>
    </row>
    <row r="4410" spans="4:20" ht="15.75" customHeight="1" x14ac:dyDescent="0.2">
      <c r="D4410" t="s">
        <v>285</v>
      </c>
      <c r="E4410" t="s">
        <v>498</v>
      </c>
      <c r="F4410">
        <v>22</v>
      </c>
      <c r="P4410" t="s">
        <v>499</v>
      </c>
      <c r="Q4410">
        <v>180</v>
      </c>
      <c r="R4410" t="s">
        <v>293</v>
      </c>
      <c r="S4410" t="s">
        <v>13</v>
      </c>
      <c r="T4410">
        <v>0.5</v>
      </c>
    </row>
    <row r="4411" spans="4:20" ht="15.75" customHeight="1" x14ac:dyDescent="0.2">
      <c r="D4411" t="s">
        <v>285</v>
      </c>
      <c r="E4411" t="s">
        <v>498</v>
      </c>
      <c r="F4411">
        <v>22</v>
      </c>
      <c r="P4411" t="s">
        <v>499</v>
      </c>
      <c r="Q4411">
        <v>180</v>
      </c>
      <c r="R4411" t="s">
        <v>294</v>
      </c>
      <c r="S4411" t="s">
        <v>14</v>
      </c>
      <c r="T4411">
        <v>1</v>
      </c>
    </row>
    <row r="4412" spans="4:20" ht="15.75" customHeight="1" x14ac:dyDescent="0.2">
      <c r="D4412" t="s">
        <v>285</v>
      </c>
      <c r="E4412" t="s">
        <v>498</v>
      </c>
      <c r="F4412">
        <v>22</v>
      </c>
      <c r="P4412" t="s">
        <v>499</v>
      </c>
      <c r="Q4412">
        <v>180</v>
      </c>
      <c r="R4412" t="s">
        <v>257</v>
      </c>
      <c r="S4412" t="s">
        <v>16</v>
      </c>
      <c r="T4412">
        <v>56.781999999999996</v>
      </c>
    </row>
    <row r="4413" spans="4:20" ht="15.75" customHeight="1" x14ac:dyDescent="0.2">
      <c r="D4413" t="s">
        <v>285</v>
      </c>
      <c r="E4413" t="s">
        <v>498</v>
      </c>
      <c r="F4413">
        <v>22</v>
      </c>
      <c r="P4413" t="s">
        <v>499</v>
      </c>
      <c r="Q4413">
        <v>180</v>
      </c>
      <c r="R4413" t="s">
        <v>295</v>
      </c>
      <c r="S4413" t="s">
        <v>17</v>
      </c>
      <c r="T4413">
        <v>1</v>
      </c>
    </row>
    <row r="4414" spans="4:20" ht="15.75" customHeight="1" x14ac:dyDescent="0.2">
      <c r="D4414" t="s">
        <v>285</v>
      </c>
      <c r="E4414" t="s">
        <v>498</v>
      </c>
      <c r="F4414">
        <v>22</v>
      </c>
      <c r="P4414" t="s">
        <v>499</v>
      </c>
      <c r="Q4414">
        <v>180</v>
      </c>
      <c r="R4414" t="s">
        <v>296</v>
      </c>
      <c r="S4414" t="s">
        <v>1</v>
      </c>
      <c r="T4414">
        <v>3</v>
      </c>
    </row>
    <row r="4415" spans="4:20" ht="15.75" customHeight="1" x14ac:dyDescent="0.2">
      <c r="D4415" t="s">
        <v>285</v>
      </c>
      <c r="E4415" t="s">
        <v>498</v>
      </c>
      <c r="F4415">
        <v>22</v>
      </c>
      <c r="P4415" t="s">
        <v>499</v>
      </c>
      <c r="Q4415">
        <v>180</v>
      </c>
      <c r="R4415" t="s">
        <v>297</v>
      </c>
      <c r="S4415" t="s">
        <v>18</v>
      </c>
      <c r="T4415">
        <v>4</v>
      </c>
    </row>
    <row r="4416" spans="4:20" ht="15.75" customHeight="1" x14ac:dyDescent="0.2">
      <c r="D4416" t="s">
        <v>285</v>
      </c>
      <c r="E4416" t="s">
        <v>498</v>
      </c>
      <c r="F4416">
        <v>22</v>
      </c>
      <c r="P4416" t="s">
        <v>499</v>
      </c>
      <c r="Q4416">
        <v>180</v>
      </c>
      <c r="R4416" t="s">
        <v>298</v>
      </c>
      <c r="S4416" t="s">
        <v>19</v>
      </c>
      <c r="T4416">
        <v>1</v>
      </c>
    </row>
    <row r="4417" spans="4:20" ht="15.75" customHeight="1" x14ac:dyDescent="0.2">
      <c r="D4417" t="s">
        <v>285</v>
      </c>
      <c r="E4417" t="s">
        <v>498</v>
      </c>
      <c r="F4417">
        <v>22</v>
      </c>
      <c r="P4417" t="s">
        <v>499</v>
      </c>
      <c r="Q4417">
        <v>180</v>
      </c>
      <c r="R4417" t="s">
        <v>299</v>
      </c>
      <c r="S4417" t="s">
        <v>20</v>
      </c>
      <c r="T4417">
        <v>1</v>
      </c>
    </row>
    <row r="4418" spans="4:20" ht="15.75" customHeight="1" x14ac:dyDescent="0.2">
      <c r="D4418" t="s">
        <v>285</v>
      </c>
      <c r="E4418" t="s">
        <v>498</v>
      </c>
      <c r="F4418">
        <v>22</v>
      </c>
      <c r="P4418" t="s">
        <v>500</v>
      </c>
      <c r="Q4418">
        <v>181</v>
      </c>
      <c r="R4418" t="s">
        <v>288</v>
      </c>
      <c r="S4418" t="s">
        <v>2</v>
      </c>
      <c r="T4418">
        <v>5</v>
      </c>
    </row>
    <row r="4419" spans="4:20" ht="15.75" customHeight="1" x14ac:dyDescent="0.2">
      <c r="D4419" t="s">
        <v>285</v>
      </c>
      <c r="E4419" t="s">
        <v>498</v>
      </c>
      <c r="F4419">
        <v>22</v>
      </c>
      <c r="P4419" t="s">
        <v>500</v>
      </c>
      <c r="Q4419">
        <v>181</v>
      </c>
      <c r="R4419" t="s">
        <v>289</v>
      </c>
      <c r="S4419" t="s">
        <v>5</v>
      </c>
      <c r="T4419">
        <v>2</v>
      </c>
    </row>
    <row r="4420" spans="4:20" ht="15.75" customHeight="1" x14ac:dyDescent="0.2">
      <c r="D4420" t="s">
        <v>285</v>
      </c>
      <c r="E4420" t="s">
        <v>498</v>
      </c>
      <c r="F4420">
        <v>22</v>
      </c>
      <c r="P4420" t="s">
        <v>500</v>
      </c>
      <c r="Q4420">
        <v>181</v>
      </c>
      <c r="R4420" t="s">
        <v>290</v>
      </c>
      <c r="S4420" t="s">
        <v>3</v>
      </c>
      <c r="T4420">
        <v>0.375</v>
      </c>
    </row>
    <row r="4421" spans="4:20" ht="15.75" customHeight="1" x14ac:dyDescent="0.2">
      <c r="D4421" t="s">
        <v>285</v>
      </c>
      <c r="E4421" t="s">
        <v>498</v>
      </c>
      <c r="F4421">
        <v>22</v>
      </c>
      <c r="P4421" t="s">
        <v>500</v>
      </c>
      <c r="Q4421">
        <v>181</v>
      </c>
      <c r="R4421" t="s">
        <v>291</v>
      </c>
      <c r="S4421" t="s">
        <v>4</v>
      </c>
      <c r="T4421">
        <v>7</v>
      </c>
    </row>
    <row r="4422" spans="4:20" ht="15.75" customHeight="1" x14ac:dyDescent="0.2">
      <c r="D4422" t="s">
        <v>285</v>
      </c>
      <c r="E4422" t="s">
        <v>498</v>
      </c>
      <c r="F4422">
        <v>22</v>
      </c>
      <c r="P4422" t="s">
        <v>500</v>
      </c>
      <c r="Q4422">
        <v>181</v>
      </c>
      <c r="R4422" t="s">
        <v>292</v>
      </c>
      <c r="S4422" t="s">
        <v>6</v>
      </c>
      <c r="T4422">
        <v>1</v>
      </c>
    </row>
    <row r="4423" spans="4:20" ht="15.75" customHeight="1" x14ac:dyDescent="0.2">
      <c r="D4423" t="s">
        <v>285</v>
      </c>
      <c r="E4423" t="s">
        <v>498</v>
      </c>
      <c r="F4423">
        <v>22</v>
      </c>
      <c r="P4423" t="s">
        <v>500</v>
      </c>
      <c r="Q4423">
        <v>181</v>
      </c>
      <c r="R4423" t="s">
        <v>243</v>
      </c>
      <c r="S4423" t="s">
        <v>7</v>
      </c>
      <c r="T4423">
        <v>20.125</v>
      </c>
    </row>
    <row r="4424" spans="4:20" ht="15.75" customHeight="1" x14ac:dyDescent="0.2">
      <c r="D4424" t="s">
        <v>285</v>
      </c>
      <c r="E4424" t="s">
        <v>498</v>
      </c>
      <c r="F4424">
        <v>22</v>
      </c>
      <c r="P4424" t="s">
        <v>500</v>
      </c>
      <c r="Q4424">
        <v>181</v>
      </c>
      <c r="R4424" t="s">
        <v>245</v>
      </c>
      <c r="S4424" t="s">
        <v>8</v>
      </c>
      <c r="T4424">
        <v>4771.3662999999997</v>
      </c>
    </row>
    <row r="4425" spans="4:20" ht="15.75" customHeight="1" x14ac:dyDescent="0.2">
      <c r="D4425" t="s">
        <v>285</v>
      </c>
      <c r="E4425" t="s">
        <v>498</v>
      </c>
      <c r="F4425">
        <v>22</v>
      </c>
      <c r="P4425" t="s">
        <v>500</v>
      </c>
      <c r="Q4425">
        <v>181</v>
      </c>
      <c r="R4425" t="s">
        <v>247</v>
      </c>
      <c r="S4425" t="s">
        <v>9</v>
      </c>
      <c r="T4425">
        <v>9.4500000000000001E-2</v>
      </c>
    </row>
    <row r="4426" spans="4:20" ht="15.75" customHeight="1" x14ac:dyDescent="0.2">
      <c r="D4426" t="s">
        <v>285</v>
      </c>
      <c r="E4426" t="s">
        <v>498</v>
      </c>
      <c r="F4426">
        <v>22</v>
      </c>
      <c r="P4426" t="s">
        <v>500</v>
      </c>
      <c r="Q4426">
        <v>181</v>
      </c>
      <c r="R4426" t="s">
        <v>249</v>
      </c>
      <c r="S4426" t="s">
        <v>10</v>
      </c>
      <c r="T4426">
        <v>47</v>
      </c>
    </row>
    <row r="4427" spans="4:20" ht="15.75" customHeight="1" x14ac:dyDescent="0.2">
      <c r="D4427" t="s">
        <v>285</v>
      </c>
      <c r="E4427" t="s">
        <v>498</v>
      </c>
      <c r="F4427">
        <v>22</v>
      </c>
      <c r="P4427" t="s">
        <v>500</v>
      </c>
      <c r="Q4427">
        <v>181</v>
      </c>
      <c r="R4427" t="s">
        <v>251</v>
      </c>
      <c r="S4427" t="s">
        <v>11</v>
      </c>
      <c r="T4427">
        <v>33</v>
      </c>
    </row>
    <row r="4428" spans="4:20" ht="15.75" customHeight="1" x14ac:dyDescent="0.2">
      <c r="D4428" t="s">
        <v>285</v>
      </c>
      <c r="E4428" t="s">
        <v>498</v>
      </c>
      <c r="F4428">
        <v>22</v>
      </c>
      <c r="P4428" t="s">
        <v>500</v>
      </c>
      <c r="Q4428">
        <v>181</v>
      </c>
      <c r="R4428" t="s">
        <v>253</v>
      </c>
      <c r="S4428" t="s">
        <v>12</v>
      </c>
      <c r="T4428">
        <v>237.0865</v>
      </c>
    </row>
    <row r="4429" spans="4:20" ht="15.75" customHeight="1" x14ac:dyDescent="0.2">
      <c r="D4429" t="s">
        <v>285</v>
      </c>
      <c r="E4429" t="s">
        <v>498</v>
      </c>
      <c r="F4429">
        <v>22</v>
      </c>
      <c r="P4429" t="s">
        <v>500</v>
      </c>
      <c r="Q4429">
        <v>181</v>
      </c>
      <c r="R4429" t="s">
        <v>255</v>
      </c>
      <c r="S4429" t="s">
        <v>15</v>
      </c>
      <c r="T4429">
        <v>25</v>
      </c>
    </row>
    <row r="4430" spans="4:20" ht="15.75" customHeight="1" x14ac:dyDescent="0.2">
      <c r="D4430" t="s">
        <v>285</v>
      </c>
      <c r="E4430" t="s">
        <v>498</v>
      </c>
      <c r="F4430">
        <v>22</v>
      </c>
      <c r="P4430" t="s">
        <v>500</v>
      </c>
      <c r="Q4430">
        <v>181</v>
      </c>
      <c r="R4430" t="s">
        <v>293</v>
      </c>
      <c r="S4430" t="s">
        <v>13</v>
      </c>
      <c r="T4430">
        <v>0.5</v>
      </c>
    </row>
    <row r="4431" spans="4:20" ht="15.75" customHeight="1" x14ac:dyDescent="0.2">
      <c r="D4431" t="s">
        <v>285</v>
      </c>
      <c r="E4431" t="s">
        <v>498</v>
      </c>
      <c r="F4431">
        <v>22</v>
      </c>
      <c r="P4431" t="s">
        <v>500</v>
      </c>
      <c r="Q4431">
        <v>181</v>
      </c>
      <c r="R4431" t="s">
        <v>294</v>
      </c>
      <c r="S4431" t="s">
        <v>14</v>
      </c>
      <c r="T4431">
        <v>1</v>
      </c>
    </row>
    <row r="4432" spans="4:20" ht="15.75" customHeight="1" x14ac:dyDescent="0.2">
      <c r="D4432" t="s">
        <v>285</v>
      </c>
      <c r="E4432" t="s">
        <v>498</v>
      </c>
      <c r="F4432">
        <v>22</v>
      </c>
      <c r="P4432" t="s">
        <v>500</v>
      </c>
      <c r="Q4432">
        <v>181</v>
      </c>
      <c r="R4432" t="s">
        <v>257</v>
      </c>
      <c r="S4432" t="s">
        <v>16</v>
      </c>
      <c r="T4432">
        <v>52.690899999999999</v>
      </c>
    </row>
    <row r="4433" spans="4:20" ht="15.75" customHeight="1" x14ac:dyDescent="0.2">
      <c r="D4433" t="s">
        <v>285</v>
      </c>
      <c r="E4433" t="s">
        <v>498</v>
      </c>
      <c r="F4433">
        <v>22</v>
      </c>
      <c r="P4433" t="s">
        <v>500</v>
      </c>
      <c r="Q4433">
        <v>181</v>
      </c>
      <c r="R4433" t="s">
        <v>295</v>
      </c>
      <c r="S4433" t="s">
        <v>17</v>
      </c>
      <c r="T4433">
        <v>2</v>
      </c>
    </row>
    <row r="4434" spans="4:20" ht="15.75" customHeight="1" x14ac:dyDescent="0.2">
      <c r="D4434" t="s">
        <v>285</v>
      </c>
      <c r="E4434" t="s">
        <v>498</v>
      </c>
      <c r="F4434">
        <v>22</v>
      </c>
      <c r="P4434" t="s">
        <v>500</v>
      </c>
      <c r="Q4434">
        <v>181</v>
      </c>
      <c r="R4434" t="s">
        <v>296</v>
      </c>
      <c r="S4434" t="s">
        <v>1</v>
      </c>
      <c r="T4434">
        <v>4</v>
      </c>
    </row>
    <row r="4435" spans="4:20" ht="15.75" customHeight="1" x14ac:dyDescent="0.2">
      <c r="D4435" t="s">
        <v>285</v>
      </c>
      <c r="E4435" t="s">
        <v>498</v>
      </c>
      <c r="F4435">
        <v>22</v>
      </c>
      <c r="P4435" t="s">
        <v>500</v>
      </c>
      <c r="Q4435">
        <v>181</v>
      </c>
      <c r="R4435" t="s">
        <v>297</v>
      </c>
      <c r="S4435" t="s">
        <v>18</v>
      </c>
      <c r="T4435">
        <v>7</v>
      </c>
    </row>
    <row r="4436" spans="4:20" ht="15.75" customHeight="1" x14ac:dyDescent="0.2">
      <c r="D4436" t="s">
        <v>285</v>
      </c>
      <c r="E4436" t="s">
        <v>498</v>
      </c>
      <c r="F4436">
        <v>22</v>
      </c>
      <c r="P4436" t="s">
        <v>500</v>
      </c>
      <c r="Q4436">
        <v>181</v>
      </c>
      <c r="R4436" t="s">
        <v>298</v>
      </c>
      <c r="S4436" t="s">
        <v>19</v>
      </c>
      <c r="T4436">
        <v>1</v>
      </c>
    </row>
    <row r="4437" spans="4:20" ht="15.75" customHeight="1" x14ac:dyDescent="0.2">
      <c r="D4437" t="s">
        <v>285</v>
      </c>
      <c r="E4437" t="s">
        <v>498</v>
      </c>
      <c r="F4437">
        <v>22</v>
      </c>
      <c r="P4437" t="s">
        <v>500</v>
      </c>
      <c r="Q4437">
        <v>181</v>
      </c>
      <c r="R4437" t="s">
        <v>299</v>
      </c>
      <c r="S4437" t="s">
        <v>20</v>
      </c>
      <c r="T4437">
        <v>1</v>
      </c>
    </row>
    <row r="4438" spans="4:20" ht="15.75" customHeight="1" x14ac:dyDescent="0.2">
      <c r="D4438" t="s">
        <v>285</v>
      </c>
      <c r="E4438" t="s">
        <v>498</v>
      </c>
      <c r="F4438">
        <v>22</v>
      </c>
      <c r="P4438" t="s">
        <v>501</v>
      </c>
      <c r="Q4438">
        <v>182</v>
      </c>
      <c r="R4438" t="s">
        <v>288</v>
      </c>
      <c r="S4438" t="s">
        <v>2</v>
      </c>
      <c r="T4438">
        <v>19</v>
      </c>
    </row>
    <row r="4439" spans="4:20" ht="15.75" customHeight="1" x14ac:dyDescent="0.2">
      <c r="D4439" t="s">
        <v>285</v>
      </c>
      <c r="E4439" t="s">
        <v>498</v>
      </c>
      <c r="F4439">
        <v>22</v>
      </c>
      <c r="P4439" t="s">
        <v>501</v>
      </c>
      <c r="Q4439">
        <v>182</v>
      </c>
      <c r="R4439" t="s">
        <v>289</v>
      </c>
      <c r="S4439" t="s">
        <v>5</v>
      </c>
      <c r="T4439">
        <v>2</v>
      </c>
    </row>
    <row r="4440" spans="4:20" ht="15.75" customHeight="1" x14ac:dyDescent="0.2">
      <c r="D4440" t="s">
        <v>285</v>
      </c>
      <c r="E4440" t="s">
        <v>498</v>
      </c>
      <c r="F4440">
        <v>22</v>
      </c>
      <c r="P4440" t="s">
        <v>501</v>
      </c>
      <c r="Q4440">
        <v>182</v>
      </c>
      <c r="R4440" t="s">
        <v>290</v>
      </c>
      <c r="S4440" t="s">
        <v>3</v>
      </c>
      <c r="T4440">
        <v>0.3125</v>
      </c>
    </row>
    <row r="4441" spans="4:20" ht="15.75" customHeight="1" x14ac:dyDescent="0.2">
      <c r="D4441" t="s">
        <v>285</v>
      </c>
      <c r="E4441" t="s">
        <v>498</v>
      </c>
      <c r="F4441">
        <v>22</v>
      </c>
      <c r="P4441" t="s">
        <v>501</v>
      </c>
      <c r="Q4441">
        <v>182</v>
      </c>
      <c r="R4441" t="s">
        <v>291</v>
      </c>
      <c r="S4441" t="s">
        <v>4</v>
      </c>
      <c r="T4441">
        <v>29</v>
      </c>
    </row>
    <row r="4442" spans="4:20" ht="15.75" customHeight="1" x14ac:dyDescent="0.2">
      <c r="D4442" t="s">
        <v>285</v>
      </c>
      <c r="E4442" t="s">
        <v>498</v>
      </c>
      <c r="F4442">
        <v>22</v>
      </c>
      <c r="P4442" t="s">
        <v>501</v>
      </c>
      <c r="Q4442">
        <v>182</v>
      </c>
      <c r="R4442" t="s">
        <v>292</v>
      </c>
      <c r="S4442" t="s">
        <v>6</v>
      </c>
      <c r="T4442">
        <v>2</v>
      </c>
    </row>
    <row r="4443" spans="4:20" ht="15.75" customHeight="1" x14ac:dyDescent="0.2">
      <c r="D4443" t="s">
        <v>285</v>
      </c>
      <c r="E4443" t="s">
        <v>498</v>
      </c>
      <c r="F4443">
        <v>22</v>
      </c>
      <c r="P4443" t="s">
        <v>501</v>
      </c>
      <c r="Q4443">
        <v>182</v>
      </c>
      <c r="R4443" t="s">
        <v>243</v>
      </c>
      <c r="S4443" t="s">
        <v>7</v>
      </c>
      <c r="T4443">
        <v>100.1</v>
      </c>
    </row>
    <row r="4444" spans="4:20" ht="15.75" customHeight="1" x14ac:dyDescent="0.2">
      <c r="D4444" t="s">
        <v>285</v>
      </c>
      <c r="E4444" t="s">
        <v>498</v>
      </c>
      <c r="F4444">
        <v>22</v>
      </c>
      <c r="P4444" t="s">
        <v>501</v>
      </c>
      <c r="Q4444">
        <v>182</v>
      </c>
      <c r="R4444" t="s">
        <v>245</v>
      </c>
      <c r="S4444" t="s">
        <v>8</v>
      </c>
      <c r="T4444">
        <v>190025.48860000001</v>
      </c>
    </row>
    <row r="4445" spans="4:20" ht="15.75" customHeight="1" x14ac:dyDescent="0.2">
      <c r="D4445" t="s">
        <v>285</v>
      </c>
      <c r="E4445" t="s">
        <v>498</v>
      </c>
      <c r="F4445">
        <v>22</v>
      </c>
      <c r="P4445" t="s">
        <v>501</v>
      </c>
      <c r="Q4445">
        <v>182</v>
      </c>
      <c r="R4445" t="s">
        <v>247</v>
      </c>
      <c r="S4445" t="s">
        <v>9</v>
      </c>
      <c r="T4445">
        <v>1.1017999999999999</v>
      </c>
    </row>
    <row r="4446" spans="4:20" ht="15.75" customHeight="1" x14ac:dyDescent="0.2">
      <c r="D4446" t="s">
        <v>285</v>
      </c>
      <c r="E4446" t="s">
        <v>498</v>
      </c>
      <c r="F4446">
        <v>22</v>
      </c>
      <c r="P4446" t="s">
        <v>501</v>
      </c>
      <c r="Q4446">
        <v>182</v>
      </c>
      <c r="R4446" t="s">
        <v>249</v>
      </c>
      <c r="S4446" t="s">
        <v>10</v>
      </c>
      <c r="T4446">
        <v>291</v>
      </c>
    </row>
    <row r="4447" spans="4:20" ht="15.75" customHeight="1" x14ac:dyDescent="0.2">
      <c r="D4447" t="s">
        <v>285</v>
      </c>
      <c r="E4447" t="s">
        <v>498</v>
      </c>
      <c r="F4447">
        <v>22</v>
      </c>
      <c r="P4447" t="s">
        <v>501</v>
      </c>
      <c r="Q4447">
        <v>182</v>
      </c>
      <c r="R4447" t="s">
        <v>251</v>
      </c>
      <c r="S4447" t="s">
        <v>11</v>
      </c>
      <c r="T4447">
        <v>92</v>
      </c>
    </row>
    <row r="4448" spans="4:20" ht="15.75" customHeight="1" x14ac:dyDescent="0.2">
      <c r="D4448" t="s">
        <v>285</v>
      </c>
      <c r="E4448" t="s">
        <v>498</v>
      </c>
      <c r="F4448">
        <v>22</v>
      </c>
      <c r="P4448" t="s">
        <v>501</v>
      </c>
      <c r="Q4448">
        <v>182</v>
      </c>
      <c r="R4448" t="s">
        <v>253</v>
      </c>
      <c r="S4448" t="s">
        <v>12</v>
      </c>
      <c r="T4448">
        <v>1898.3565000000001</v>
      </c>
    </row>
    <row r="4449" spans="4:20" ht="15.75" customHeight="1" x14ac:dyDescent="0.2">
      <c r="D4449" t="s">
        <v>285</v>
      </c>
      <c r="E4449" t="s">
        <v>498</v>
      </c>
      <c r="F4449">
        <v>22</v>
      </c>
      <c r="P4449" t="s">
        <v>501</v>
      </c>
      <c r="Q4449">
        <v>182</v>
      </c>
      <c r="R4449" t="s">
        <v>255</v>
      </c>
      <c r="S4449" t="s">
        <v>15</v>
      </c>
      <c r="T4449">
        <v>122</v>
      </c>
    </row>
    <row r="4450" spans="4:20" ht="15.75" customHeight="1" x14ac:dyDescent="0.2">
      <c r="D4450" t="s">
        <v>285</v>
      </c>
      <c r="E4450" t="s">
        <v>498</v>
      </c>
      <c r="F4450">
        <v>22</v>
      </c>
      <c r="P4450" t="s">
        <v>501</v>
      </c>
      <c r="Q4450">
        <v>182</v>
      </c>
      <c r="R4450" t="s">
        <v>293</v>
      </c>
      <c r="S4450" t="s">
        <v>13</v>
      </c>
      <c r="T4450">
        <v>0.77780000000000005</v>
      </c>
    </row>
    <row r="4451" spans="4:20" ht="15.75" customHeight="1" x14ac:dyDescent="0.2">
      <c r="D4451" t="s">
        <v>285</v>
      </c>
      <c r="E4451" t="s">
        <v>498</v>
      </c>
      <c r="F4451">
        <v>22</v>
      </c>
      <c r="P4451" t="s">
        <v>501</v>
      </c>
      <c r="Q4451">
        <v>182</v>
      </c>
      <c r="R4451" t="s">
        <v>294</v>
      </c>
      <c r="S4451" t="s">
        <v>14</v>
      </c>
      <c r="T4451">
        <v>2</v>
      </c>
    </row>
    <row r="4452" spans="4:20" ht="15.75" customHeight="1" x14ac:dyDescent="0.2">
      <c r="D4452" t="s">
        <v>285</v>
      </c>
      <c r="E4452" t="s">
        <v>498</v>
      </c>
      <c r="F4452">
        <v>22</v>
      </c>
      <c r="P4452" t="s">
        <v>501</v>
      </c>
      <c r="Q4452">
        <v>182</v>
      </c>
      <c r="R4452" t="s">
        <v>257</v>
      </c>
      <c r="S4452" t="s">
        <v>16</v>
      </c>
      <c r="T4452">
        <v>31.0806</v>
      </c>
    </row>
    <row r="4453" spans="4:20" ht="15.75" customHeight="1" x14ac:dyDescent="0.2">
      <c r="D4453" t="s">
        <v>285</v>
      </c>
      <c r="E4453" t="s">
        <v>498</v>
      </c>
      <c r="F4453">
        <v>22</v>
      </c>
      <c r="P4453" t="s">
        <v>501</v>
      </c>
      <c r="Q4453">
        <v>182</v>
      </c>
      <c r="R4453" t="s">
        <v>295</v>
      </c>
      <c r="S4453" t="s">
        <v>17</v>
      </c>
      <c r="T4453">
        <v>5</v>
      </c>
    </row>
    <row r="4454" spans="4:20" ht="15.75" customHeight="1" x14ac:dyDescent="0.2">
      <c r="D4454" t="s">
        <v>285</v>
      </c>
      <c r="E4454" t="s">
        <v>498</v>
      </c>
      <c r="F4454">
        <v>22</v>
      </c>
      <c r="P4454" t="s">
        <v>501</v>
      </c>
      <c r="Q4454">
        <v>182</v>
      </c>
      <c r="R4454" t="s">
        <v>296</v>
      </c>
      <c r="S4454" t="s">
        <v>1</v>
      </c>
      <c r="T4454">
        <v>29</v>
      </c>
    </row>
    <row r="4455" spans="4:20" ht="15.75" customHeight="1" x14ac:dyDescent="0.2">
      <c r="D4455" t="s">
        <v>285</v>
      </c>
      <c r="E4455" t="s">
        <v>498</v>
      </c>
      <c r="F4455">
        <v>22</v>
      </c>
      <c r="P4455" t="s">
        <v>501</v>
      </c>
      <c r="Q4455">
        <v>182</v>
      </c>
      <c r="R4455" t="s">
        <v>297</v>
      </c>
      <c r="S4455" t="s">
        <v>18</v>
      </c>
      <c r="T4455">
        <v>24</v>
      </c>
    </row>
    <row r="4456" spans="4:20" ht="15.75" customHeight="1" x14ac:dyDescent="0.2">
      <c r="D4456" t="s">
        <v>285</v>
      </c>
      <c r="E4456" t="s">
        <v>498</v>
      </c>
      <c r="F4456">
        <v>22</v>
      </c>
      <c r="P4456" t="s">
        <v>501</v>
      </c>
      <c r="Q4456">
        <v>182</v>
      </c>
      <c r="R4456" t="s">
        <v>298</v>
      </c>
      <c r="S4456" t="s">
        <v>19</v>
      </c>
      <c r="T4456">
        <v>2</v>
      </c>
    </row>
    <row r="4457" spans="4:20" ht="15.75" customHeight="1" x14ac:dyDescent="0.2">
      <c r="D4457" t="s">
        <v>285</v>
      </c>
      <c r="E4457" t="s">
        <v>498</v>
      </c>
      <c r="F4457">
        <v>22</v>
      </c>
      <c r="P4457" t="s">
        <v>501</v>
      </c>
      <c r="Q4457">
        <v>182</v>
      </c>
      <c r="R4457" t="s">
        <v>299</v>
      </c>
      <c r="S4457" t="s">
        <v>20</v>
      </c>
      <c r="T4457">
        <v>0</v>
      </c>
    </row>
    <row r="4458" spans="4:20" ht="15.75" customHeight="1" x14ac:dyDescent="0.2">
      <c r="D4458" t="s">
        <v>285</v>
      </c>
      <c r="E4458" t="s">
        <v>498</v>
      </c>
      <c r="F4458">
        <v>22</v>
      </c>
      <c r="P4458" t="s">
        <v>502</v>
      </c>
      <c r="Q4458">
        <v>183</v>
      </c>
      <c r="R4458" t="s">
        <v>288</v>
      </c>
      <c r="S4458" t="s">
        <v>2</v>
      </c>
      <c r="T4458">
        <v>0</v>
      </c>
    </row>
    <row r="4459" spans="4:20" ht="15.75" customHeight="1" x14ac:dyDescent="0.2">
      <c r="D4459" t="s">
        <v>285</v>
      </c>
      <c r="E4459" t="s">
        <v>498</v>
      </c>
      <c r="F4459">
        <v>22</v>
      </c>
      <c r="P4459" t="s">
        <v>502</v>
      </c>
      <c r="Q4459">
        <v>183</v>
      </c>
      <c r="R4459" t="s">
        <v>289</v>
      </c>
      <c r="S4459" t="s">
        <v>5</v>
      </c>
      <c r="T4459">
        <v>0</v>
      </c>
    </row>
    <row r="4460" spans="4:20" ht="15.75" customHeight="1" x14ac:dyDescent="0.2">
      <c r="D4460" t="s">
        <v>285</v>
      </c>
      <c r="E4460" t="s">
        <v>498</v>
      </c>
      <c r="F4460">
        <v>22</v>
      </c>
      <c r="P4460" t="s">
        <v>502</v>
      </c>
      <c r="Q4460">
        <v>183</v>
      </c>
      <c r="R4460" t="s">
        <v>290</v>
      </c>
      <c r="S4460" t="s">
        <v>3</v>
      </c>
      <c r="T4460">
        <v>1</v>
      </c>
    </row>
    <row r="4461" spans="4:20" ht="15.75" customHeight="1" x14ac:dyDescent="0.2">
      <c r="D4461" t="s">
        <v>285</v>
      </c>
      <c r="E4461" t="s">
        <v>498</v>
      </c>
      <c r="F4461">
        <v>22</v>
      </c>
      <c r="P4461" t="s">
        <v>502</v>
      </c>
      <c r="Q4461">
        <v>183</v>
      </c>
      <c r="R4461" t="s">
        <v>291</v>
      </c>
      <c r="S4461" t="s">
        <v>4</v>
      </c>
      <c r="T4461">
        <v>1</v>
      </c>
    </row>
    <row r="4462" spans="4:20" ht="15.75" customHeight="1" x14ac:dyDescent="0.2">
      <c r="D4462" t="s">
        <v>285</v>
      </c>
      <c r="E4462" t="s">
        <v>498</v>
      </c>
      <c r="F4462">
        <v>22</v>
      </c>
      <c r="P4462" t="s">
        <v>502</v>
      </c>
      <c r="Q4462">
        <v>183</v>
      </c>
      <c r="R4462" t="s">
        <v>292</v>
      </c>
      <c r="S4462" t="s">
        <v>6</v>
      </c>
      <c r="T4462">
        <v>1</v>
      </c>
    </row>
    <row r="4463" spans="4:20" ht="15.75" customHeight="1" x14ac:dyDescent="0.2">
      <c r="D4463" t="s">
        <v>285</v>
      </c>
      <c r="E4463" t="s">
        <v>498</v>
      </c>
      <c r="F4463">
        <v>22</v>
      </c>
      <c r="P4463" t="s">
        <v>502</v>
      </c>
      <c r="Q4463">
        <v>183</v>
      </c>
      <c r="R4463" t="s">
        <v>243</v>
      </c>
      <c r="S4463" t="s">
        <v>7</v>
      </c>
      <c r="T4463">
        <v>3.7037</v>
      </c>
    </row>
    <row r="4464" spans="4:20" ht="15.75" customHeight="1" x14ac:dyDescent="0.2">
      <c r="D4464" t="s">
        <v>285</v>
      </c>
      <c r="E4464" t="s">
        <v>498</v>
      </c>
      <c r="F4464">
        <v>22</v>
      </c>
      <c r="P4464" t="s">
        <v>502</v>
      </c>
      <c r="Q4464">
        <v>183</v>
      </c>
      <c r="R4464" t="s">
        <v>245</v>
      </c>
      <c r="S4464" t="s">
        <v>8</v>
      </c>
      <c r="T4464">
        <v>1229.3746000000001</v>
      </c>
    </row>
    <row r="4465" spans="4:20" ht="15.75" customHeight="1" x14ac:dyDescent="0.2">
      <c r="D4465" t="s">
        <v>285</v>
      </c>
      <c r="E4465" t="s">
        <v>498</v>
      </c>
      <c r="F4465">
        <v>22</v>
      </c>
      <c r="P4465" t="s">
        <v>502</v>
      </c>
      <c r="Q4465">
        <v>183</v>
      </c>
      <c r="R4465" t="s">
        <v>247</v>
      </c>
      <c r="S4465" t="s">
        <v>9</v>
      </c>
      <c r="T4465">
        <v>3.8300000000000001E-2</v>
      </c>
    </row>
    <row r="4466" spans="4:20" ht="15.75" customHeight="1" x14ac:dyDescent="0.2">
      <c r="D4466" t="s">
        <v>285</v>
      </c>
      <c r="E4466" t="s">
        <v>498</v>
      </c>
      <c r="F4466">
        <v>22</v>
      </c>
      <c r="P4466" t="s">
        <v>502</v>
      </c>
      <c r="Q4466">
        <v>183</v>
      </c>
      <c r="R4466" t="s">
        <v>249</v>
      </c>
      <c r="S4466" t="s">
        <v>10</v>
      </c>
      <c r="T4466">
        <v>67</v>
      </c>
    </row>
    <row r="4467" spans="4:20" ht="15.75" customHeight="1" x14ac:dyDescent="0.2">
      <c r="D4467" t="s">
        <v>285</v>
      </c>
      <c r="E4467" t="s">
        <v>498</v>
      </c>
      <c r="F4467">
        <v>22</v>
      </c>
      <c r="P4467" t="s">
        <v>502</v>
      </c>
      <c r="Q4467">
        <v>183</v>
      </c>
      <c r="R4467" t="s">
        <v>251</v>
      </c>
      <c r="S4467" t="s">
        <v>11</v>
      </c>
      <c r="T4467">
        <v>31</v>
      </c>
    </row>
    <row r="4468" spans="4:20" ht="15.75" customHeight="1" x14ac:dyDescent="0.2">
      <c r="D4468" t="s">
        <v>285</v>
      </c>
      <c r="E4468" t="s">
        <v>498</v>
      </c>
      <c r="F4468">
        <v>22</v>
      </c>
      <c r="P4468" t="s">
        <v>502</v>
      </c>
      <c r="Q4468">
        <v>183</v>
      </c>
      <c r="R4468" t="s">
        <v>253</v>
      </c>
      <c r="S4468" t="s">
        <v>12</v>
      </c>
      <c r="T4468">
        <v>331.93119999999999</v>
      </c>
    </row>
    <row r="4469" spans="4:20" ht="15.75" customHeight="1" x14ac:dyDescent="0.2">
      <c r="D4469" t="s">
        <v>285</v>
      </c>
      <c r="E4469" t="s">
        <v>498</v>
      </c>
      <c r="F4469">
        <v>22</v>
      </c>
      <c r="P4469" t="s">
        <v>502</v>
      </c>
      <c r="Q4469">
        <v>183</v>
      </c>
      <c r="R4469" t="s">
        <v>255</v>
      </c>
      <c r="S4469" t="s">
        <v>15</v>
      </c>
      <c r="T4469">
        <v>19</v>
      </c>
    </row>
    <row r="4470" spans="4:20" ht="15.75" customHeight="1" x14ac:dyDescent="0.2">
      <c r="D4470" t="s">
        <v>285</v>
      </c>
      <c r="E4470" t="s">
        <v>498</v>
      </c>
      <c r="F4470">
        <v>22</v>
      </c>
      <c r="P4470" t="s">
        <v>502</v>
      </c>
      <c r="Q4470">
        <v>183</v>
      </c>
      <c r="R4470" t="s">
        <v>293</v>
      </c>
      <c r="S4470" t="s">
        <v>13</v>
      </c>
      <c r="T4470">
        <v>0.91669999999999996</v>
      </c>
    </row>
    <row r="4471" spans="4:20" ht="15.75" customHeight="1" x14ac:dyDescent="0.2">
      <c r="D4471" t="s">
        <v>285</v>
      </c>
      <c r="E4471" t="s">
        <v>498</v>
      </c>
      <c r="F4471">
        <v>22</v>
      </c>
      <c r="P4471" t="s">
        <v>502</v>
      </c>
      <c r="Q4471">
        <v>183</v>
      </c>
      <c r="R4471" t="s">
        <v>294</v>
      </c>
      <c r="S4471" t="s">
        <v>14</v>
      </c>
      <c r="T4471">
        <v>0</v>
      </c>
    </row>
    <row r="4472" spans="4:20" ht="15.75" customHeight="1" x14ac:dyDescent="0.2">
      <c r="D4472" t="s">
        <v>285</v>
      </c>
      <c r="E4472" t="s">
        <v>498</v>
      </c>
      <c r="F4472">
        <v>22</v>
      </c>
      <c r="P4472" t="s">
        <v>502</v>
      </c>
      <c r="Q4472">
        <v>183</v>
      </c>
      <c r="R4472" t="s">
        <v>257</v>
      </c>
      <c r="S4472" t="s">
        <v>16</v>
      </c>
      <c r="T4472">
        <v>54.461399999999998</v>
      </c>
    </row>
    <row r="4473" spans="4:20" ht="15.75" customHeight="1" x14ac:dyDescent="0.2">
      <c r="D4473" t="s">
        <v>285</v>
      </c>
      <c r="E4473" t="s">
        <v>498</v>
      </c>
      <c r="F4473">
        <v>22</v>
      </c>
      <c r="P4473" t="s">
        <v>502</v>
      </c>
      <c r="Q4473">
        <v>183</v>
      </c>
      <c r="R4473" t="s">
        <v>295</v>
      </c>
      <c r="S4473" t="s">
        <v>17</v>
      </c>
      <c r="T4473">
        <v>0</v>
      </c>
    </row>
    <row r="4474" spans="4:20" ht="15.75" customHeight="1" x14ac:dyDescent="0.2">
      <c r="D4474" t="s">
        <v>285</v>
      </c>
      <c r="E4474" t="s">
        <v>498</v>
      </c>
      <c r="F4474">
        <v>22</v>
      </c>
      <c r="P4474" t="s">
        <v>502</v>
      </c>
      <c r="Q4474">
        <v>183</v>
      </c>
      <c r="R4474" t="s">
        <v>296</v>
      </c>
      <c r="S4474" t="s">
        <v>1</v>
      </c>
      <c r="T4474">
        <v>1</v>
      </c>
    </row>
    <row r="4475" spans="4:20" ht="15.75" customHeight="1" x14ac:dyDescent="0.2">
      <c r="D4475" t="s">
        <v>285</v>
      </c>
      <c r="E4475" t="s">
        <v>498</v>
      </c>
      <c r="F4475">
        <v>22</v>
      </c>
      <c r="P4475" t="s">
        <v>502</v>
      </c>
      <c r="Q4475">
        <v>183</v>
      </c>
      <c r="R4475" t="s">
        <v>297</v>
      </c>
      <c r="S4475" t="s">
        <v>18</v>
      </c>
      <c r="T4475">
        <v>12</v>
      </c>
    </row>
    <row r="4476" spans="4:20" ht="15.75" customHeight="1" x14ac:dyDescent="0.2">
      <c r="D4476" t="s">
        <v>285</v>
      </c>
      <c r="E4476" t="s">
        <v>498</v>
      </c>
      <c r="F4476">
        <v>22</v>
      </c>
      <c r="P4476" t="s">
        <v>502</v>
      </c>
      <c r="Q4476">
        <v>183</v>
      </c>
      <c r="R4476" t="s">
        <v>298</v>
      </c>
      <c r="S4476" t="s">
        <v>19</v>
      </c>
      <c r="T4476">
        <v>0</v>
      </c>
    </row>
    <row r="4477" spans="4:20" ht="15.75" customHeight="1" x14ac:dyDescent="0.2">
      <c r="D4477" t="s">
        <v>285</v>
      </c>
      <c r="E4477" t="s">
        <v>498</v>
      </c>
      <c r="F4477">
        <v>22</v>
      </c>
      <c r="P4477" t="s">
        <v>502</v>
      </c>
      <c r="Q4477">
        <v>183</v>
      </c>
      <c r="R4477" t="s">
        <v>299</v>
      </c>
      <c r="S4477" t="s">
        <v>20</v>
      </c>
      <c r="T4477">
        <v>0</v>
      </c>
    </row>
    <row r="4478" spans="4:20" ht="15.75" customHeight="1" x14ac:dyDescent="0.2">
      <c r="D4478" t="s">
        <v>285</v>
      </c>
      <c r="E4478" t="s">
        <v>498</v>
      </c>
      <c r="F4478">
        <v>22</v>
      </c>
      <c r="P4478" t="s">
        <v>503</v>
      </c>
      <c r="Q4478">
        <v>184</v>
      </c>
      <c r="R4478" t="s">
        <v>288</v>
      </c>
      <c r="S4478" t="s">
        <v>2</v>
      </c>
      <c r="T4478">
        <v>7</v>
      </c>
    </row>
    <row r="4479" spans="4:20" ht="15.75" customHeight="1" x14ac:dyDescent="0.2">
      <c r="D4479" t="s">
        <v>285</v>
      </c>
      <c r="E4479" t="s">
        <v>498</v>
      </c>
      <c r="F4479">
        <v>22</v>
      </c>
      <c r="P4479" t="s">
        <v>503</v>
      </c>
      <c r="Q4479">
        <v>184</v>
      </c>
      <c r="R4479" t="s">
        <v>289</v>
      </c>
      <c r="S4479" t="s">
        <v>5</v>
      </c>
      <c r="T4479">
        <v>1</v>
      </c>
    </row>
    <row r="4480" spans="4:20" ht="15.75" customHeight="1" x14ac:dyDescent="0.2">
      <c r="D4480" t="s">
        <v>285</v>
      </c>
      <c r="E4480" t="s">
        <v>498</v>
      </c>
      <c r="F4480">
        <v>22</v>
      </c>
      <c r="P4480" t="s">
        <v>503</v>
      </c>
      <c r="Q4480">
        <v>184</v>
      </c>
      <c r="R4480" t="s">
        <v>290</v>
      </c>
      <c r="S4480" t="s">
        <v>3</v>
      </c>
      <c r="T4480">
        <v>0.375</v>
      </c>
    </row>
    <row r="4481" spans="4:20" ht="15.75" customHeight="1" x14ac:dyDescent="0.2">
      <c r="D4481" t="s">
        <v>285</v>
      </c>
      <c r="E4481" t="s">
        <v>498</v>
      </c>
      <c r="F4481">
        <v>22</v>
      </c>
      <c r="P4481" t="s">
        <v>503</v>
      </c>
      <c r="Q4481">
        <v>184</v>
      </c>
      <c r="R4481" t="s">
        <v>291</v>
      </c>
      <c r="S4481" t="s">
        <v>4</v>
      </c>
      <c r="T4481">
        <v>8</v>
      </c>
    </row>
    <row r="4482" spans="4:20" ht="15.75" customHeight="1" x14ac:dyDescent="0.2">
      <c r="D4482" t="s">
        <v>285</v>
      </c>
      <c r="E4482" t="s">
        <v>498</v>
      </c>
      <c r="F4482">
        <v>22</v>
      </c>
      <c r="P4482" t="s">
        <v>503</v>
      </c>
      <c r="Q4482">
        <v>184</v>
      </c>
      <c r="R4482" t="s">
        <v>292</v>
      </c>
      <c r="S4482" t="s">
        <v>6</v>
      </c>
      <c r="T4482">
        <v>0</v>
      </c>
    </row>
    <row r="4483" spans="4:20" ht="15.75" customHeight="1" x14ac:dyDescent="0.2">
      <c r="D4483" t="s">
        <v>285</v>
      </c>
      <c r="E4483" t="s">
        <v>498</v>
      </c>
      <c r="F4483">
        <v>22</v>
      </c>
      <c r="P4483" t="s">
        <v>503</v>
      </c>
      <c r="Q4483">
        <v>184</v>
      </c>
      <c r="R4483" t="s">
        <v>243</v>
      </c>
      <c r="S4483" t="s">
        <v>7</v>
      </c>
      <c r="T4483">
        <v>24.285699999999999</v>
      </c>
    </row>
    <row r="4484" spans="4:20" ht="15.75" customHeight="1" x14ac:dyDescent="0.2">
      <c r="D4484" t="s">
        <v>285</v>
      </c>
      <c r="E4484" t="s">
        <v>498</v>
      </c>
      <c r="F4484">
        <v>22</v>
      </c>
      <c r="P4484" t="s">
        <v>503</v>
      </c>
      <c r="Q4484">
        <v>184</v>
      </c>
      <c r="R4484" t="s">
        <v>245</v>
      </c>
      <c r="S4484" t="s">
        <v>8</v>
      </c>
      <c r="T4484">
        <v>8772.2394999999997</v>
      </c>
    </row>
    <row r="4485" spans="4:20" ht="15.75" customHeight="1" x14ac:dyDescent="0.2">
      <c r="D4485" t="s">
        <v>285</v>
      </c>
      <c r="E4485" t="s">
        <v>498</v>
      </c>
      <c r="F4485">
        <v>22</v>
      </c>
      <c r="P4485" t="s">
        <v>503</v>
      </c>
      <c r="Q4485">
        <v>184</v>
      </c>
      <c r="R4485" t="s">
        <v>247</v>
      </c>
      <c r="S4485" t="s">
        <v>9</v>
      </c>
      <c r="T4485">
        <v>0.14180000000000001</v>
      </c>
    </row>
    <row r="4486" spans="4:20" ht="15.75" customHeight="1" x14ac:dyDescent="0.2">
      <c r="D4486" t="s">
        <v>285</v>
      </c>
      <c r="E4486" t="s">
        <v>498</v>
      </c>
      <c r="F4486">
        <v>22</v>
      </c>
      <c r="P4486" t="s">
        <v>503</v>
      </c>
      <c r="Q4486">
        <v>184</v>
      </c>
      <c r="R4486" t="s">
        <v>249</v>
      </c>
      <c r="S4486" t="s">
        <v>10</v>
      </c>
      <c r="T4486">
        <v>71</v>
      </c>
    </row>
    <row r="4487" spans="4:20" ht="15.75" customHeight="1" x14ac:dyDescent="0.2">
      <c r="D4487" t="s">
        <v>285</v>
      </c>
      <c r="E4487" t="s">
        <v>498</v>
      </c>
      <c r="F4487">
        <v>22</v>
      </c>
      <c r="P4487" t="s">
        <v>503</v>
      </c>
      <c r="Q4487">
        <v>184</v>
      </c>
      <c r="R4487" t="s">
        <v>251</v>
      </c>
      <c r="S4487" t="s">
        <v>11</v>
      </c>
      <c r="T4487">
        <v>34</v>
      </c>
    </row>
    <row r="4488" spans="4:20" ht="15.75" customHeight="1" x14ac:dyDescent="0.2">
      <c r="D4488" t="s">
        <v>285</v>
      </c>
      <c r="E4488" t="s">
        <v>498</v>
      </c>
      <c r="F4488">
        <v>22</v>
      </c>
      <c r="P4488" t="s">
        <v>503</v>
      </c>
      <c r="Q4488">
        <v>184</v>
      </c>
      <c r="R4488" t="s">
        <v>253</v>
      </c>
      <c r="S4488" t="s">
        <v>12</v>
      </c>
      <c r="T4488">
        <v>361.2099</v>
      </c>
    </row>
    <row r="4489" spans="4:20" ht="15.75" customHeight="1" x14ac:dyDescent="0.2">
      <c r="D4489" t="s">
        <v>285</v>
      </c>
      <c r="E4489" t="s">
        <v>498</v>
      </c>
      <c r="F4489">
        <v>22</v>
      </c>
      <c r="P4489" t="s">
        <v>503</v>
      </c>
      <c r="Q4489">
        <v>184</v>
      </c>
      <c r="R4489" t="s">
        <v>255</v>
      </c>
      <c r="S4489" t="s">
        <v>15</v>
      </c>
      <c r="T4489">
        <v>28</v>
      </c>
    </row>
    <row r="4490" spans="4:20" ht="15.75" customHeight="1" x14ac:dyDescent="0.2">
      <c r="D4490" t="s">
        <v>285</v>
      </c>
      <c r="E4490" t="s">
        <v>498</v>
      </c>
      <c r="F4490">
        <v>22</v>
      </c>
      <c r="P4490" t="s">
        <v>503</v>
      </c>
      <c r="Q4490">
        <v>184</v>
      </c>
      <c r="R4490" t="s">
        <v>293</v>
      </c>
      <c r="S4490" t="s">
        <v>13</v>
      </c>
      <c r="T4490">
        <v>0</v>
      </c>
    </row>
    <row r="4491" spans="4:20" ht="15.75" customHeight="1" x14ac:dyDescent="0.2">
      <c r="D4491" t="s">
        <v>285</v>
      </c>
      <c r="E4491" t="s">
        <v>498</v>
      </c>
      <c r="F4491">
        <v>22</v>
      </c>
      <c r="P4491" t="s">
        <v>503</v>
      </c>
      <c r="Q4491">
        <v>184</v>
      </c>
      <c r="R4491" t="s">
        <v>294</v>
      </c>
      <c r="S4491" t="s">
        <v>14</v>
      </c>
      <c r="T4491">
        <v>0</v>
      </c>
    </row>
    <row r="4492" spans="4:20" ht="15.75" customHeight="1" x14ac:dyDescent="0.2">
      <c r="D4492" t="s">
        <v>285</v>
      </c>
      <c r="E4492" t="s">
        <v>498</v>
      </c>
      <c r="F4492">
        <v>22</v>
      </c>
      <c r="P4492" t="s">
        <v>503</v>
      </c>
      <c r="Q4492">
        <v>184</v>
      </c>
      <c r="R4492" t="s">
        <v>257</v>
      </c>
      <c r="S4492" t="s">
        <v>16</v>
      </c>
      <c r="T4492">
        <v>50.244399999999999</v>
      </c>
    </row>
    <row r="4493" spans="4:20" ht="15.75" customHeight="1" x14ac:dyDescent="0.2">
      <c r="D4493" t="s">
        <v>285</v>
      </c>
      <c r="E4493" t="s">
        <v>498</v>
      </c>
      <c r="F4493">
        <v>22</v>
      </c>
      <c r="P4493" t="s">
        <v>503</v>
      </c>
      <c r="Q4493">
        <v>184</v>
      </c>
      <c r="R4493" t="s">
        <v>295</v>
      </c>
      <c r="S4493" t="s">
        <v>17</v>
      </c>
      <c r="T4493">
        <v>1</v>
      </c>
    </row>
    <row r="4494" spans="4:20" ht="15.75" customHeight="1" x14ac:dyDescent="0.2">
      <c r="D4494" t="s">
        <v>285</v>
      </c>
      <c r="E4494" t="s">
        <v>498</v>
      </c>
      <c r="F4494">
        <v>22</v>
      </c>
      <c r="P4494" t="s">
        <v>503</v>
      </c>
      <c r="Q4494">
        <v>184</v>
      </c>
      <c r="R4494" t="s">
        <v>296</v>
      </c>
      <c r="S4494" t="s">
        <v>1</v>
      </c>
      <c r="T4494">
        <v>8</v>
      </c>
    </row>
    <row r="4495" spans="4:20" ht="15.75" customHeight="1" x14ac:dyDescent="0.2">
      <c r="D4495" t="s">
        <v>285</v>
      </c>
      <c r="E4495" t="s">
        <v>498</v>
      </c>
      <c r="F4495">
        <v>22</v>
      </c>
      <c r="P4495" t="s">
        <v>503</v>
      </c>
      <c r="Q4495">
        <v>184</v>
      </c>
      <c r="R4495" t="s">
        <v>297</v>
      </c>
      <c r="S4495" t="s">
        <v>18</v>
      </c>
      <c r="T4495">
        <v>8</v>
      </c>
    </row>
    <row r="4496" spans="4:20" ht="15.75" customHeight="1" x14ac:dyDescent="0.2">
      <c r="D4496" t="s">
        <v>285</v>
      </c>
      <c r="E4496" t="s">
        <v>498</v>
      </c>
      <c r="F4496">
        <v>22</v>
      </c>
      <c r="P4496" t="s">
        <v>503</v>
      </c>
      <c r="Q4496">
        <v>184</v>
      </c>
      <c r="R4496" t="s">
        <v>298</v>
      </c>
      <c r="S4496" t="s">
        <v>19</v>
      </c>
      <c r="T4496">
        <v>0</v>
      </c>
    </row>
    <row r="4497" spans="4:20" ht="15.75" customHeight="1" x14ac:dyDescent="0.2">
      <c r="D4497" t="s">
        <v>285</v>
      </c>
      <c r="E4497" t="s">
        <v>498</v>
      </c>
      <c r="F4497">
        <v>22</v>
      </c>
      <c r="P4497" t="s">
        <v>503</v>
      </c>
      <c r="Q4497">
        <v>184</v>
      </c>
      <c r="R4497" t="s">
        <v>299</v>
      </c>
      <c r="S4497" t="s">
        <v>20</v>
      </c>
      <c r="T4497">
        <v>1</v>
      </c>
    </row>
    <row r="4498" spans="4:20" ht="15.75" customHeight="1" x14ac:dyDescent="0.2">
      <c r="D4498" t="s">
        <v>285</v>
      </c>
      <c r="E4498" t="s">
        <v>498</v>
      </c>
      <c r="F4498">
        <v>22</v>
      </c>
      <c r="P4498" t="s">
        <v>504</v>
      </c>
      <c r="Q4498">
        <v>185</v>
      </c>
      <c r="R4498" t="s">
        <v>288</v>
      </c>
      <c r="S4498" t="s">
        <v>2</v>
      </c>
      <c r="T4498">
        <v>0</v>
      </c>
    </row>
    <row r="4499" spans="4:20" ht="15.75" customHeight="1" x14ac:dyDescent="0.2">
      <c r="D4499" t="s">
        <v>285</v>
      </c>
      <c r="E4499" t="s">
        <v>498</v>
      </c>
      <c r="F4499">
        <v>22</v>
      </c>
      <c r="P4499" t="s">
        <v>504</v>
      </c>
      <c r="Q4499">
        <v>185</v>
      </c>
      <c r="R4499" t="s">
        <v>289</v>
      </c>
      <c r="S4499" t="s">
        <v>5</v>
      </c>
      <c r="T4499">
        <v>0</v>
      </c>
    </row>
    <row r="4500" spans="4:20" ht="15.75" customHeight="1" x14ac:dyDescent="0.2">
      <c r="D4500" t="s">
        <v>285</v>
      </c>
      <c r="E4500" t="s">
        <v>498</v>
      </c>
      <c r="F4500">
        <v>22</v>
      </c>
      <c r="P4500" t="s">
        <v>504</v>
      </c>
      <c r="Q4500">
        <v>185</v>
      </c>
      <c r="R4500" t="s">
        <v>290</v>
      </c>
      <c r="S4500" t="s">
        <v>3</v>
      </c>
      <c r="T4500">
        <v>1</v>
      </c>
    </row>
    <row r="4501" spans="4:20" ht="15.75" customHeight="1" x14ac:dyDescent="0.2">
      <c r="D4501" t="s">
        <v>285</v>
      </c>
      <c r="E4501" t="s">
        <v>498</v>
      </c>
      <c r="F4501">
        <v>22</v>
      </c>
      <c r="P4501" t="s">
        <v>504</v>
      </c>
      <c r="Q4501">
        <v>185</v>
      </c>
      <c r="R4501" t="s">
        <v>291</v>
      </c>
      <c r="S4501" t="s">
        <v>4</v>
      </c>
      <c r="T4501">
        <v>1</v>
      </c>
    </row>
    <row r="4502" spans="4:20" ht="15.75" customHeight="1" x14ac:dyDescent="0.2">
      <c r="D4502" t="s">
        <v>285</v>
      </c>
      <c r="E4502" t="s">
        <v>498</v>
      </c>
      <c r="F4502">
        <v>22</v>
      </c>
      <c r="P4502" t="s">
        <v>504</v>
      </c>
      <c r="Q4502">
        <v>185</v>
      </c>
      <c r="R4502" t="s">
        <v>292</v>
      </c>
      <c r="S4502" t="s">
        <v>6</v>
      </c>
      <c r="T4502">
        <v>0</v>
      </c>
    </row>
    <row r="4503" spans="4:20" ht="15.75" customHeight="1" x14ac:dyDescent="0.2">
      <c r="D4503" t="s">
        <v>285</v>
      </c>
      <c r="E4503" t="s">
        <v>498</v>
      </c>
      <c r="F4503">
        <v>22</v>
      </c>
      <c r="P4503" t="s">
        <v>504</v>
      </c>
      <c r="Q4503">
        <v>185</v>
      </c>
      <c r="R4503" t="s">
        <v>243</v>
      </c>
      <c r="S4503" t="s">
        <v>7</v>
      </c>
      <c r="T4503">
        <v>6</v>
      </c>
    </row>
    <row r="4504" spans="4:20" ht="15.75" customHeight="1" x14ac:dyDescent="0.2">
      <c r="D4504" t="s">
        <v>285</v>
      </c>
      <c r="E4504" t="s">
        <v>498</v>
      </c>
      <c r="F4504">
        <v>22</v>
      </c>
      <c r="P4504" t="s">
        <v>504</v>
      </c>
      <c r="Q4504">
        <v>185</v>
      </c>
      <c r="R4504" t="s">
        <v>245</v>
      </c>
      <c r="S4504" t="s">
        <v>8</v>
      </c>
      <c r="T4504">
        <v>344.15640000000002</v>
      </c>
    </row>
    <row r="4505" spans="4:20" ht="15.75" customHeight="1" x14ac:dyDescent="0.2">
      <c r="D4505" t="s">
        <v>285</v>
      </c>
      <c r="E4505" t="s">
        <v>498</v>
      </c>
      <c r="F4505">
        <v>22</v>
      </c>
      <c r="P4505" t="s">
        <v>504</v>
      </c>
      <c r="Q4505">
        <v>185</v>
      </c>
      <c r="R4505" t="s">
        <v>247</v>
      </c>
      <c r="S4505" t="s">
        <v>9</v>
      </c>
      <c r="T4505">
        <v>1.6400000000000001E-2</v>
      </c>
    </row>
    <row r="4506" spans="4:20" ht="15.75" customHeight="1" x14ac:dyDescent="0.2">
      <c r="D4506" t="s">
        <v>285</v>
      </c>
      <c r="E4506" t="s">
        <v>498</v>
      </c>
      <c r="F4506">
        <v>22</v>
      </c>
      <c r="P4506" t="s">
        <v>504</v>
      </c>
      <c r="Q4506">
        <v>185</v>
      </c>
      <c r="R4506" t="s">
        <v>249</v>
      </c>
      <c r="S4506" t="s">
        <v>10</v>
      </c>
      <c r="T4506">
        <v>16</v>
      </c>
    </row>
    <row r="4507" spans="4:20" ht="15.75" customHeight="1" x14ac:dyDescent="0.2">
      <c r="D4507" t="s">
        <v>285</v>
      </c>
      <c r="E4507" t="s">
        <v>498</v>
      </c>
      <c r="F4507">
        <v>22</v>
      </c>
      <c r="P4507" t="s">
        <v>504</v>
      </c>
      <c r="Q4507">
        <v>185</v>
      </c>
      <c r="R4507" t="s">
        <v>251</v>
      </c>
      <c r="S4507" t="s">
        <v>11</v>
      </c>
      <c r="T4507">
        <v>12</v>
      </c>
    </row>
    <row r="4508" spans="4:20" ht="15.75" customHeight="1" x14ac:dyDescent="0.2">
      <c r="D4508" t="s">
        <v>285</v>
      </c>
      <c r="E4508" t="s">
        <v>498</v>
      </c>
      <c r="F4508">
        <v>22</v>
      </c>
      <c r="P4508" t="s">
        <v>504</v>
      </c>
      <c r="Q4508">
        <v>185</v>
      </c>
      <c r="R4508" t="s">
        <v>253</v>
      </c>
      <c r="S4508" t="s">
        <v>12</v>
      </c>
      <c r="T4508">
        <v>57.359400000000001</v>
      </c>
    </row>
    <row r="4509" spans="4:20" ht="15.75" customHeight="1" x14ac:dyDescent="0.2">
      <c r="D4509" t="s">
        <v>285</v>
      </c>
      <c r="E4509" t="s">
        <v>498</v>
      </c>
      <c r="F4509">
        <v>22</v>
      </c>
      <c r="P4509" t="s">
        <v>504</v>
      </c>
      <c r="Q4509">
        <v>185</v>
      </c>
      <c r="R4509" t="s">
        <v>255</v>
      </c>
      <c r="S4509" t="s">
        <v>15</v>
      </c>
      <c r="T4509">
        <v>12</v>
      </c>
    </row>
    <row r="4510" spans="4:20" ht="15.75" customHeight="1" x14ac:dyDescent="0.2">
      <c r="D4510" t="s">
        <v>285</v>
      </c>
      <c r="E4510" t="s">
        <v>498</v>
      </c>
      <c r="F4510">
        <v>22</v>
      </c>
      <c r="P4510" t="s">
        <v>504</v>
      </c>
      <c r="Q4510">
        <v>185</v>
      </c>
      <c r="R4510" t="s">
        <v>293</v>
      </c>
      <c r="S4510" t="s">
        <v>13</v>
      </c>
      <c r="T4510">
        <v>0</v>
      </c>
    </row>
    <row r="4511" spans="4:20" ht="15.75" customHeight="1" x14ac:dyDescent="0.2">
      <c r="D4511" t="s">
        <v>285</v>
      </c>
      <c r="E4511" t="s">
        <v>498</v>
      </c>
      <c r="F4511">
        <v>22</v>
      </c>
      <c r="P4511" t="s">
        <v>504</v>
      </c>
      <c r="Q4511">
        <v>185</v>
      </c>
      <c r="R4511" t="s">
        <v>294</v>
      </c>
      <c r="S4511" t="s">
        <v>14</v>
      </c>
      <c r="T4511">
        <v>0</v>
      </c>
    </row>
    <row r="4512" spans="4:20" ht="15.75" customHeight="1" x14ac:dyDescent="0.2">
      <c r="D4512" t="s">
        <v>285</v>
      </c>
      <c r="E4512" t="s">
        <v>498</v>
      </c>
      <c r="F4512">
        <v>22</v>
      </c>
      <c r="P4512" t="s">
        <v>504</v>
      </c>
      <c r="Q4512">
        <v>185</v>
      </c>
      <c r="R4512" t="s">
        <v>257</v>
      </c>
      <c r="S4512" t="s">
        <v>16</v>
      </c>
      <c r="T4512">
        <v>64.164100000000005</v>
      </c>
    </row>
    <row r="4513" spans="4:20" ht="15.75" customHeight="1" x14ac:dyDescent="0.2">
      <c r="D4513" t="s">
        <v>285</v>
      </c>
      <c r="E4513" t="s">
        <v>498</v>
      </c>
      <c r="F4513">
        <v>22</v>
      </c>
      <c r="P4513" t="s">
        <v>504</v>
      </c>
      <c r="Q4513">
        <v>185</v>
      </c>
      <c r="R4513" t="s">
        <v>295</v>
      </c>
      <c r="S4513" t="s">
        <v>17</v>
      </c>
      <c r="T4513">
        <v>0</v>
      </c>
    </row>
    <row r="4514" spans="4:20" ht="15.75" customHeight="1" x14ac:dyDescent="0.2">
      <c r="D4514" t="s">
        <v>285</v>
      </c>
      <c r="E4514" t="s">
        <v>498</v>
      </c>
      <c r="F4514">
        <v>22</v>
      </c>
      <c r="P4514" t="s">
        <v>504</v>
      </c>
      <c r="Q4514">
        <v>185</v>
      </c>
      <c r="R4514" t="s">
        <v>296</v>
      </c>
      <c r="S4514" t="s">
        <v>1</v>
      </c>
      <c r="T4514">
        <v>1</v>
      </c>
    </row>
    <row r="4515" spans="4:20" ht="15.75" customHeight="1" x14ac:dyDescent="0.2">
      <c r="D4515" t="s">
        <v>285</v>
      </c>
      <c r="E4515" t="s">
        <v>498</v>
      </c>
      <c r="F4515">
        <v>22</v>
      </c>
      <c r="P4515" t="s">
        <v>504</v>
      </c>
      <c r="Q4515">
        <v>185</v>
      </c>
      <c r="R4515" t="s">
        <v>297</v>
      </c>
      <c r="S4515" t="s">
        <v>18</v>
      </c>
      <c r="T4515">
        <v>3</v>
      </c>
    </row>
    <row r="4516" spans="4:20" ht="15.75" customHeight="1" x14ac:dyDescent="0.2">
      <c r="D4516" t="s">
        <v>285</v>
      </c>
      <c r="E4516" t="s">
        <v>498</v>
      </c>
      <c r="F4516">
        <v>22</v>
      </c>
      <c r="P4516" t="s">
        <v>504</v>
      </c>
      <c r="Q4516">
        <v>185</v>
      </c>
      <c r="R4516" t="s">
        <v>298</v>
      </c>
      <c r="S4516" t="s">
        <v>19</v>
      </c>
      <c r="T4516">
        <v>0</v>
      </c>
    </row>
    <row r="4517" spans="4:20" ht="15.75" customHeight="1" x14ac:dyDescent="0.2">
      <c r="D4517" t="s">
        <v>285</v>
      </c>
      <c r="E4517" t="s">
        <v>498</v>
      </c>
      <c r="F4517">
        <v>22</v>
      </c>
      <c r="P4517" t="s">
        <v>504</v>
      </c>
      <c r="Q4517">
        <v>185</v>
      </c>
      <c r="R4517" t="s">
        <v>299</v>
      </c>
      <c r="S4517" t="s">
        <v>20</v>
      </c>
      <c r="T4517">
        <v>1</v>
      </c>
    </row>
    <row r="4518" spans="4:20" ht="15.75" customHeight="1" x14ac:dyDescent="0.2">
      <c r="D4518" t="s">
        <v>285</v>
      </c>
      <c r="E4518" t="s">
        <v>498</v>
      </c>
      <c r="F4518">
        <v>22</v>
      </c>
      <c r="P4518" t="s">
        <v>505</v>
      </c>
      <c r="Q4518">
        <v>186</v>
      </c>
      <c r="R4518" t="s">
        <v>288</v>
      </c>
      <c r="S4518" t="s">
        <v>2</v>
      </c>
      <c r="T4518">
        <v>0</v>
      </c>
    </row>
    <row r="4519" spans="4:20" ht="15.75" customHeight="1" x14ac:dyDescent="0.2">
      <c r="D4519" t="s">
        <v>285</v>
      </c>
      <c r="E4519" t="s">
        <v>498</v>
      </c>
      <c r="F4519">
        <v>22</v>
      </c>
      <c r="P4519" t="s">
        <v>505</v>
      </c>
      <c r="Q4519">
        <v>186</v>
      </c>
      <c r="R4519" t="s">
        <v>289</v>
      </c>
      <c r="S4519" t="s">
        <v>5</v>
      </c>
      <c r="T4519">
        <v>0</v>
      </c>
    </row>
    <row r="4520" spans="4:20" ht="15.75" customHeight="1" x14ac:dyDescent="0.2">
      <c r="D4520" t="s">
        <v>285</v>
      </c>
      <c r="E4520" t="s">
        <v>498</v>
      </c>
      <c r="F4520">
        <v>22</v>
      </c>
      <c r="P4520" t="s">
        <v>505</v>
      </c>
      <c r="Q4520">
        <v>186</v>
      </c>
      <c r="R4520" t="s">
        <v>290</v>
      </c>
      <c r="S4520" t="s">
        <v>3</v>
      </c>
      <c r="T4520">
        <v>0.8</v>
      </c>
    </row>
    <row r="4521" spans="4:20" ht="15.75" customHeight="1" x14ac:dyDescent="0.2">
      <c r="D4521" t="s">
        <v>285</v>
      </c>
      <c r="E4521" t="s">
        <v>498</v>
      </c>
      <c r="F4521">
        <v>22</v>
      </c>
      <c r="P4521" t="s">
        <v>505</v>
      </c>
      <c r="Q4521">
        <v>186</v>
      </c>
      <c r="R4521" t="s">
        <v>291</v>
      </c>
      <c r="S4521" t="s">
        <v>4</v>
      </c>
      <c r="T4521">
        <v>4</v>
      </c>
    </row>
    <row r="4522" spans="4:20" ht="15.75" customHeight="1" x14ac:dyDescent="0.2">
      <c r="D4522" t="s">
        <v>285</v>
      </c>
      <c r="E4522" t="s">
        <v>498</v>
      </c>
      <c r="F4522">
        <v>22</v>
      </c>
      <c r="P4522" t="s">
        <v>505</v>
      </c>
      <c r="Q4522">
        <v>186</v>
      </c>
      <c r="R4522" t="s">
        <v>292</v>
      </c>
      <c r="S4522" t="s">
        <v>6</v>
      </c>
      <c r="T4522">
        <v>0</v>
      </c>
    </row>
    <row r="4523" spans="4:20" ht="15.75" customHeight="1" x14ac:dyDescent="0.2">
      <c r="D4523" t="s">
        <v>285</v>
      </c>
      <c r="E4523" t="s">
        <v>498</v>
      </c>
      <c r="F4523">
        <v>22</v>
      </c>
      <c r="P4523" t="s">
        <v>505</v>
      </c>
      <c r="Q4523">
        <v>186</v>
      </c>
      <c r="R4523" t="s">
        <v>243</v>
      </c>
      <c r="S4523" t="s">
        <v>7</v>
      </c>
      <c r="T4523">
        <v>7.8571</v>
      </c>
    </row>
    <row r="4524" spans="4:20" ht="15.75" customHeight="1" x14ac:dyDescent="0.2">
      <c r="D4524" t="s">
        <v>285</v>
      </c>
      <c r="E4524" t="s">
        <v>498</v>
      </c>
      <c r="F4524">
        <v>22</v>
      </c>
      <c r="P4524" t="s">
        <v>505</v>
      </c>
      <c r="Q4524">
        <v>186</v>
      </c>
      <c r="R4524" t="s">
        <v>245</v>
      </c>
      <c r="S4524" t="s">
        <v>8</v>
      </c>
      <c r="T4524">
        <v>720.80129999999997</v>
      </c>
    </row>
    <row r="4525" spans="4:20" ht="15.75" customHeight="1" x14ac:dyDescent="0.2">
      <c r="D4525" t="s">
        <v>285</v>
      </c>
      <c r="E4525" t="s">
        <v>498</v>
      </c>
      <c r="F4525">
        <v>22</v>
      </c>
      <c r="P4525" t="s">
        <v>505</v>
      </c>
      <c r="Q4525">
        <v>186</v>
      </c>
      <c r="R4525" t="s">
        <v>247</v>
      </c>
      <c r="S4525" t="s">
        <v>9</v>
      </c>
      <c r="T4525">
        <v>2.6800000000000001E-2</v>
      </c>
    </row>
    <row r="4526" spans="4:20" ht="15.75" customHeight="1" x14ac:dyDescent="0.2">
      <c r="D4526" t="s">
        <v>285</v>
      </c>
      <c r="E4526" t="s">
        <v>498</v>
      </c>
      <c r="F4526">
        <v>22</v>
      </c>
      <c r="P4526" t="s">
        <v>505</v>
      </c>
      <c r="Q4526">
        <v>186</v>
      </c>
      <c r="R4526" t="s">
        <v>249</v>
      </c>
      <c r="S4526" t="s">
        <v>10</v>
      </c>
      <c r="T4526">
        <v>22</v>
      </c>
    </row>
    <row r="4527" spans="4:20" ht="15.75" customHeight="1" x14ac:dyDescent="0.2">
      <c r="D4527" t="s">
        <v>285</v>
      </c>
      <c r="E4527" t="s">
        <v>498</v>
      </c>
      <c r="F4527">
        <v>22</v>
      </c>
      <c r="P4527" t="s">
        <v>505</v>
      </c>
      <c r="Q4527">
        <v>186</v>
      </c>
      <c r="R4527" t="s">
        <v>251</v>
      </c>
      <c r="S4527" t="s">
        <v>11</v>
      </c>
      <c r="T4527">
        <v>18</v>
      </c>
    </row>
    <row r="4528" spans="4:20" ht="15.75" customHeight="1" x14ac:dyDescent="0.2">
      <c r="D4528" t="s">
        <v>285</v>
      </c>
      <c r="E4528" t="s">
        <v>498</v>
      </c>
      <c r="F4528">
        <v>22</v>
      </c>
      <c r="P4528" t="s">
        <v>505</v>
      </c>
      <c r="Q4528">
        <v>186</v>
      </c>
      <c r="R4528" t="s">
        <v>253</v>
      </c>
      <c r="S4528" t="s">
        <v>12</v>
      </c>
      <c r="T4528">
        <v>91.738399999999999</v>
      </c>
    </row>
    <row r="4529" spans="4:23" ht="15.75" customHeight="1" x14ac:dyDescent="0.2">
      <c r="D4529" t="s">
        <v>285</v>
      </c>
      <c r="E4529" t="s">
        <v>498</v>
      </c>
      <c r="F4529">
        <v>22</v>
      </c>
      <c r="P4529" t="s">
        <v>505</v>
      </c>
      <c r="Q4529">
        <v>186</v>
      </c>
      <c r="R4529" t="s">
        <v>255</v>
      </c>
      <c r="S4529" t="s">
        <v>15</v>
      </c>
      <c r="T4529">
        <v>14</v>
      </c>
    </row>
    <row r="4530" spans="4:23" ht="15.75" customHeight="1" x14ac:dyDescent="0.2">
      <c r="D4530" t="s">
        <v>285</v>
      </c>
      <c r="E4530" t="s">
        <v>498</v>
      </c>
      <c r="F4530">
        <v>22</v>
      </c>
      <c r="P4530" t="s">
        <v>505</v>
      </c>
      <c r="Q4530">
        <v>186</v>
      </c>
      <c r="R4530" t="s">
        <v>293</v>
      </c>
      <c r="S4530" t="s">
        <v>13</v>
      </c>
      <c r="T4530">
        <v>0</v>
      </c>
    </row>
    <row r="4531" spans="4:23" ht="15.75" customHeight="1" x14ac:dyDescent="0.2">
      <c r="D4531" t="s">
        <v>285</v>
      </c>
      <c r="E4531" t="s">
        <v>498</v>
      </c>
      <c r="F4531">
        <v>22</v>
      </c>
      <c r="P4531" t="s">
        <v>505</v>
      </c>
      <c r="Q4531">
        <v>186</v>
      </c>
      <c r="R4531" t="s">
        <v>294</v>
      </c>
      <c r="S4531" t="s">
        <v>14</v>
      </c>
      <c r="T4531">
        <v>0</v>
      </c>
    </row>
    <row r="4532" spans="4:23" ht="15.75" customHeight="1" x14ac:dyDescent="0.2">
      <c r="D4532" t="s">
        <v>285</v>
      </c>
      <c r="E4532" t="s">
        <v>498</v>
      </c>
      <c r="F4532">
        <v>22</v>
      </c>
      <c r="P4532" t="s">
        <v>505</v>
      </c>
      <c r="Q4532">
        <v>186</v>
      </c>
      <c r="R4532" t="s">
        <v>257</v>
      </c>
      <c r="S4532" t="s">
        <v>16</v>
      </c>
      <c r="T4532">
        <v>61.281199999999998</v>
      </c>
    </row>
    <row r="4533" spans="4:23" ht="15.75" customHeight="1" x14ac:dyDescent="0.2">
      <c r="D4533" t="s">
        <v>285</v>
      </c>
      <c r="E4533" t="s">
        <v>498</v>
      </c>
      <c r="F4533">
        <v>22</v>
      </c>
      <c r="P4533" t="s">
        <v>505</v>
      </c>
      <c r="Q4533">
        <v>186</v>
      </c>
      <c r="R4533" t="s">
        <v>295</v>
      </c>
      <c r="S4533" t="s">
        <v>17</v>
      </c>
      <c r="T4533">
        <v>0</v>
      </c>
    </row>
    <row r="4534" spans="4:23" ht="15.75" customHeight="1" x14ac:dyDescent="0.2">
      <c r="D4534" t="s">
        <v>285</v>
      </c>
      <c r="E4534" t="s">
        <v>498</v>
      </c>
      <c r="F4534">
        <v>22</v>
      </c>
      <c r="P4534" t="s">
        <v>505</v>
      </c>
      <c r="Q4534">
        <v>186</v>
      </c>
      <c r="R4534" t="s">
        <v>296</v>
      </c>
      <c r="S4534" t="s">
        <v>1</v>
      </c>
      <c r="T4534">
        <v>1</v>
      </c>
    </row>
    <row r="4535" spans="4:23" ht="15.75" customHeight="1" x14ac:dyDescent="0.2">
      <c r="D4535" t="s">
        <v>285</v>
      </c>
      <c r="E4535" t="s">
        <v>498</v>
      </c>
      <c r="F4535">
        <v>22</v>
      </c>
      <c r="P4535" t="s">
        <v>505</v>
      </c>
      <c r="Q4535">
        <v>186</v>
      </c>
      <c r="R4535" t="s">
        <v>297</v>
      </c>
      <c r="S4535" t="s">
        <v>18</v>
      </c>
      <c r="T4535">
        <v>5</v>
      </c>
    </row>
    <row r="4536" spans="4:23" ht="15.75" customHeight="1" x14ac:dyDescent="0.2">
      <c r="D4536" t="s">
        <v>285</v>
      </c>
      <c r="E4536" t="s">
        <v>498</v>
      </c>
      <c r="F4536">
        <v>22</v>
      </c>
      <c r="P4536" t="s">
        <v>505</v>
      </c>
      <c r="Q4536">
        <v>186</v>
      </c>
      <c r="R4536" t="s">
        <v>298</v>
      </c>
      <c r="S4536" t="s">
        <v>19</v>
      </c>
      <c r="T4536">
        <v>0</v>
      </c>
    </row>
    <row r="4537" spans="4:23" ht="15.75" customHeight="1" x14ac:dyDescent="0.2">
      <c r="D4537" t="s">
        <v>285</v>
      </c>
      <c r="E4537" t="s">
        <v>498</v>
      </c>
      <c r="F4537">
        <v>22</v>
      </c>
      <c r="P4537" t="s">
        <v>505</v>
      </c>
      <c r="Q4537">
        <v>186</v>
      </c>
      <c r="R4537" t="s">
        <v>299</v>
      </c>
      <c r="S4537" t="s">
        <v>20</v>
      </c>
      <c r="T4537">
        <v>1</v>
      </c>
    </row>
    <row r="4538" spans="4:23" ht="15.75" customHeight="1" x14ac:dyDescent="0.2">
      <c r="D4538" t="s">
        <v>285</v>
      </c>
      <c r="E4538" t="s">
        <v>498</v>
      </c>
      <c r="F4538">
        <v>22</v>
      </c>
      <c r="U4538" t="s">
        <v>300</v>
      </c>
      <c r="V4538" t="s">
        <v>301</v>
      </c>
      <c r="W4538">
        <v>5</v>
      </c>
    </row>
    <row r="4539" spans="4:23" ht="15.75" customHeight="1" x14ac:dyDescent="0.2">
      <c r="D4539" t="s">
        <v>285</v>
      </c>
      <c r="E4539" t="s">
        <v>498</v>
      </c>
      <c r="F4539">
        <v>22</v>
      </c>
      <c r="U4539" t="s">
        <v>288</v>
      </c>
      <c r="V4539" t="s">
        <v>302</v>
      </c>
      <c r="W4539">
        <v>33</v>
      </c>
    </row>
    <row r="4540" spans="4:23" ht="15.75" customHeight="1" x14ac:dyDescent="0.2">
      <c r="D4540" t="s">
        <v>285</v>
      </c>
      <c r="E4540" t="s">
        <v>498</v>
      </c>
      <c r="F4540">
        <v>22</v>
      </c>
      <c r="U4540" t="s">
        <v>303</v>
      </c>
      <c r="V4540" t="s">
        <v>304</v>
      </c>
      <c r="W4540">
        <v>24</v>
      </c>
    </row>
    <row r="4541" spans="4:23" ht="15.75" customHeight="1" x14ac:dyDescent="0.2">
      <c r="D4541" t="s">
        <v>285</v>
      </c>
      <c r="E4541" t="s">
        <v>498</v>
      </c>
      <c r="F4541">
        <v>22</v>
      </c>
      <c r="U4541" t="s">
        <v>305</v>
      </c>
      <c r="V4541" t="s">
        <v>306</v>
      </c>
      <c r="W4541">
        <v>2</v>
      </c>
    </row>
    <row r="4542" spans="4:23" ht="15.75" customHeight="1" x14ac:dyDescent="0.2">
      <c r="D4542" t="s">
        <v>285</v>
      </c>
      <c r="E4542" t="s">
        <v>498</v>
      </c>
      <c r="F4542">
        <v>22</v>
      </c>
      <c r="U4542" t="s">
        <v>307</v>
      </c>
      <c r="V4542" t="s">
        <v>308</v>
      </c>
      <c r="W4542">
        <v>1</v>
      </c>
    </row>
    <row r="4543" spans="4:23" ht="15.75" customHeight="1" x14ac:dyDescent="0.2">
      <c r="D4543" t="s">
        <v>285</v>
      </c>
      <c r="E4543" t="s">
        <v>498</v>
      </c>
      <c r="F4543">
        <v>22</v>
      </c>
      <c r="U4543" t="s">
        <v>243</v>
      </c>
      <c r="V4543" t="s">
        <v>309</v>
      </c>
      <c r="W4543">
        <v>128.38380000000001</v>
      </c>
    </row>
    <row r="4544" spans="4:23" ht="15.75" customHeight="1" x14ac:dyDescent="0.2">
      <c r="D4544" t="s">
        <v>285</v>
      </c>
      <c r="E4544" t="s">
        <v>498</v>
      </c>
      <c r="F4544">
        <v>22</v>
      </c>
      <c r="U4544" t="s">
        <v>245</v>
      </c>
      <c r="V4544" t="s">
        <v>310</v>
      </c>
      <c r="W4544">
        <v>585418.27339999995</v>
      </c>
    </row>
    <row r="4545" spans="4:23" ht="15.75" customHeight="1" x14ac:dyDescent="0.2">
      <c r="D4545" t="s">
        <v>285</v>
      </c>
      <c r="E4545" t="s">
        <v>498</v>
      </c>
      <c r="F4545">
        <v>22</v>
      </c>
      <c r="U4545" t="s">
        <v>247</v>
      </c>
      <c r="V4545" t="s">
        <v>311</v>
      </c>
      <c r="W4545">
        <v>2.3327</v>
      </c>
    </row>
    <row r="4546" spans="4:23" ht="15.75" customHeight="1" x14ac:dyDescent="0.2">
      <c r="D4546" t="s">
        <v>285</v>
      </c>
      <c r="E4546" t="s">
        <v>498</v>
      </c>
      <c r="F4546">
        <v>22</v>
      </c>
      <c r="U4546" t="s">
        <v>249</v>
      </c>
      <c r="V4546" t="s">
        <v>312</v>
      </c>
      <c r="W4546">
        <v>608</v>
      </c>
    </row>
    <row r="4547" spans="4:23" ht="15.75" customHeight="1" x14ac:dyDescent="0.2">
      <c r="D4547" t="s">
        <v>285</v>
      </c>
      <c r="E4547" t="s">
        <v>498</v>
      </c>
      <c r="F4547">
        <v>22</v>
      </c>
      <c r="U4547" t="s">
        <v>251</v>
      </c>
      <c r="V4547" t="s">
        <v>313</v>
      </c>
      <c r="W4547">
        <v>181</v>
      </c>
    </row>
    <row r="4548" spans="4:23" ht="15.75" customHeight="1" x14ac:dyDescent="0.2">
      <c r="D4548" t="s">
        <v>285</v>
      </c>
      <c r="E4548" t="s">
        <v>498</v>
      </c>
      <c r="F4548">
        <v>22</v>
      </c>
      <c r="U4548" t="s">
        <v>253</v>
      </c>
      <c r="V4548" t="s">
        <v>314</v>
      </c>
      <c r="W4548">
        <v>4559.9062999999996</v>
      </c>
    </row>
    <row r="4549" spans="4:23" ht="15.75" customHeight="1" x14ac:dyDescent="0.2">
      <c r="D4549" t="s">
        <v>285</v>
      </c>
      <c r="E4549" t="s">
        <v>498</v>
      </c>
      <c r="F4549">
        <v>22</v>
      </c>
      <c r="U4549" t="s">
        <v>315</v>
      </c>
      <c r="V4549" t="s">
        <v>316</v>
      </c>
      <c r="W4549">
        <v>0</v>
      </c>
    </row>
    <row r="4550" spans="4:23" ht="15.75" customHeight="1" x14ac:dyDescent="0.2">
      <c r="D4550" t="s">
        <v>285</v>
      </c>
      <c r="E4550" t="s">
        <v>498</v>
      </c>
      <c r="F4550">
        <v>22</v>
      </c>
      <c r="U4550" t="s">
        <v>317</v>
      </c>
      <c r="V4550" t="s">
        <v>318</v>
      </c>
      <c r="W4550">
        <v>239</v>
      </c>
    </row>
    <row r="4551" spans="4:23" ht="15.75" customHeight="1" x14ac:dyDescent="0.2">
      <c r="D4551" t="s">
        <v>285</v>
      </c>
      <c r="E4551" t="s">
        <v>498</v>
      </c>
      <c r="F4551">
        <v>22</v>
      </c>
      <c r="U4551" t="s">
        <v>257</v>
      </c>
      <c r="V4551" t="s">
        <v>319</v>
      </c>
      <c r="W4551">
        <v>21.980399999999999</v>
      </c>
    </row>
    <row r="4552" spans="4:23" ht="15.75" customHeight="1" x14ac:dyDescent="0.2">
      <c r="D4552" t="s">
        <v>285</v>
      </c>
      <c r="E4552" t="s">
        <v>498</v>
      </c>
      <c r="F4552">
        <v>22</v>
      </c>
      <c r="U4552" t="s">
        <v>320</v>
      </c>
      <c r="V4552" t="s">
        <v>321</v>
      </c>
      <c r="W4552">
        <v>124</v>
      </c>
    </row>
    <row r="4553" spans="4:23" ht="15.75" customHeight="1" x14ac:dyDescent="0.2">
      <c r="D4553" t="s">
        <v>285</v>
      </c>
      <c r="E4553" t="s">
        <v>498</v>
      </c>
      <c r="F4553">
        <v>22</v>
      </c>
      <c r="U4553" t="s">
        <v>263</v>
      </c>
      <c r="V4553" t="s">
        <v>322</v>
      </c>
      <c r="W4553">
        <v>197</v>
      </c>
    </row>
    <row r="4554" spans="4:23" ht="15.75" customHeight="1" x14ac:dyDescent="0.2">
      <c r="D4554" t="s">
        <v>285</v>
      </c>
      <c r="E4554" t="s">
        <v>498</v>
      </c>
      <c r="F4554">
        <v>22</v>
      </c>
      <c r="U4554" t="s">
        <v>323</v>
      </c>
      <c r="V4554" t="s">
        <v>324</v>
      </c>
      <c r="W4554">
        <v>0</v>
      </c>
    </row>
    <row r="4555" spans="4:23" ht="15.75" customHeight="1" x14ac:dyDescent="0.2">
      <c r="D4555" t="s">
        <v>285</v>
      </c>
      <c r="E4555" t="s">
        <v>498</v>
      </c>
      <c r="F4555">
        <v>22</v>
      </c>
      <c r="U4555" t="s">
        <v>325</v>
      </c>
      <c r="V4555" t="s">
        <v>326</v>
      </c>
      <c r="W4555">
        <v>7</v>
      </c>
    </row>
    <row r="4556" spans="4:23" ht="15.75" customHeight="1" x14ac:dyDescent="0.2">
      <c r="D4556" t="s">
        <v>285</v>
      </c>
      <c r="E4556" t="s">
        <v>498</v>
      </c>
      <c r="F4556">
        <v>22</v>
      </c>
      <c r="U4556" t="s">
        <v>327</v>
      </c>
      <c r="V4556" t="s">
        <v>328</v>
      </c>
      <c r="W4556">
        <v>15</v>
      </c>
    </row>
    <row r="4557" spans="4:23" ht="15.75" customHeight="1" x14ac:dyDescent="0.2">
      <c r="D4557" t="s">
        <v>285</v>
      </c>
      <c r="E4557" t="s">
        <v>498</v>
      </c>
      <c r="F4557">
        <v>22</v>
      </c>
      <c r="U4557" t="s">
        <v>329</v>
      </c>
      <c r="V4557" t="s">
        <v>330</v>
      </c>
      <c r="W4557">
        <v>13</v>
      </c>
    </row>
    <row r="4558" spans="4:23" ht="15.75" customHeight="1" x14ac:dyDescent="0.2">
      <c r="D4558" t="s">
        <v>285</v>
      </c>
      <c r="E4558" t="s">
        <v>498</v>
      </c>
      <c r="F4558">
        <v>22</v>
      </c>
      <c r="U4558" t="s">
        <v>331</v>
      </c>
      <c r="V4558" t="s">
        <v>332</v>
      </c>
      <c r="W4558">
        <v>0</v>
      </c>
    </row>
    <row r="4559" spans="4:23" ht="15.75" customHeight="1" x14ac:dyDescent="0.2">
      <c r="D4559" t="s">
        <v>285</v>
      </c>
      <c r="E4559" t="s">
        <v>498</v>
      </c>
      <c r="F4559">
        <v>22</v>
      </c>
      <c r="U4559" t="s">
        <v>333</v>
      </c>
      <c r="V4559" t="s">
        <v>334</v>
      </c>
      <c r="W4559">
        <v>7</v>
      </c>
    </row>
    <row r="4560" spans="4:23" ht="15.75" customHeight="1" x14ac:dyDescent="0.2">
      <c r="D4560" t="s">
        <v>285</v>
      </c>
      <c r="E4560" t="s">
        <v>498</v>
      </c>
      <c r="F4560">
        <v>22</v>
      </c>
      <c r="U4560" t="s">
        <v>335</v>
      </c>
      <c r="V4560" t="s">
        <v>336</v>
      </c>
      <c r="W4560">
        <v>20</v>
      </c>
    </row>
    <row r="4561" spans="4:26" ht="15.75" customHeight="1" x14ac:dyDescent="0.2">
      <c r="D4561" t="s">
        <v>285</v>
      </c>
      <c r="E4561" t="s">
        <v>498</v>
      </c>
      <c r="F4561">
        <v>22</v>
      </c>
      <c r="U4561" t="s">
        <v>337</v>
      </c>
      <c r="V4561" t="s">
        <v>338</v>
      </c>
      <c r="W4561">
        <v>0</v>
      </c>
    </row>
    <row r="4562" spans="4:26" ht="15.75" customHeight="1" x14ac:dyDescent="0.2">
      <c r="D4562" t="s">
        <v>285</v>
      </c>
      <c r="E4562" t="s">
        <v>498</v>
      </c>
      <c r="F4562">
        <v>22</v>
      </c>
      <c r="U4562" t="s">
        <v>339</v>
      </c>
      <c r="V4562" t="s">
        <v>340</v>
      </c>
      <c r="W4562">
        <v>0</v>
      </c>
    </row>
    <row r="4563" spans="4:26" ht="15.75" customHeight="1" x14ac:dyDescent="0.2">
      <c r="D4563" t="s">
        <v>285</v>
      </c>
      <c r="E4563" t="s">
        <v>498</v>
      </c>
      <c r="F4563">
        <v>22</v>
      </c>
      <c r="U4563" t="s">
        <v>341</v>
      </c>
      <c r="V4563" t="s">
        <v>342</v>
      </c>
      <c r="W4563">
        <v>61</v>
      </c>
    </row>
    <row r="4564" spans="4:26" ht="15.75" customHeight="1" x14ac:dyDescent="0.2">
      <c r="D4564" t="s">
        <v>285</v>
      </c>
      <c r="E4564" t="s">
        <v>498</v>
      </c>
      <c r="F4564">
        <v>22</v>
      </c>
      <c r="U4564" t="s">
        <v>343</v>
      </c>
      <c r="V4564" t="s">
        <v>344</v>
      </c>
      <c r="W4564">
        <v>0</v>
      </c>
    </row>
    <row r="4565" spans="4:26" ht="15.75" customHeight="1" x14ac:dyDescent="0.2">
      <c r="D4565" t="s">
        <v>285</v>
      </c>
      <c r="E4565" t="s">
        <v>498</v>
      </c>
      <c r="F4565">
        <v>22</v>
      </c>
      <c r="U4565" t="s">
        <v>345</v>
      </c>
      <c r="V4565" t="s">
        <v>346</v>
      </c>
      <c r="W4565">
        <v>1</v>
      </c>
    </row>
    <row r="4566" spans="4:26" ht="15.75" customHeight="1" x14ac:dyDescent="0.2">
      <c r="D4566" t="s">
        <v>285</v>
      </c>
      <c r="E4566" t="s">
        <v>498</v>
      </c>
      <c r="F4566">
        <v>22</v>
      </c>
      <c r="U4566" t="s">
        <v>347</v>
      </c>
      <c r="V4566" t="s">
        <v>348</v>
      </c>
      <c r="W4566">
        <v>47</v>
      </c>
    </row>
    <row r="4567" spans="4:26" ht="15.75" customHeight="1" x14ac:dyDescent="0.2">
      <c r="D4567" t="s">
        <v>285</v>
      </c>
      <c r="X4567" t="s">
        <v>506</v>
      </c>
      <c r="Y4567" t="s">
        <v>507</v>
      </c>
      <c r="Z4567">
        <v>0.2727</v>
      </c>
    </row>
    <row r="4568" spans="4:26" ht="15.75" customHeight="1" x14ac:dyDescent="0.2">
      <c r="D4568" t="s">
        <v>285</v>
      </c>
      <c r="X4568" t="s">
        <v>508</v>
      </c>
      <c r="Y4568" t="s">
        <v>509</v>
      </c>
      <c r="Z4568">
        <v>0</v>
      </c>
    </row>
    <row r="4569" spans="4:26" ht="15.75" customHeight="1" x14ac:dyDescent="0.2">
      <c r="D4569" t="s">
        <v>285</v>
      </c>
      <c r="X4569" t="s">
        <v>510</v>
      </c>
      <c r="Y4569" t="s">
        <v>511</v>
      </c>
      <c r="Z4569">
        <v>16</v>
      </c>
    </row>
    <row r="4570" spans="4:26" ht="15.75" customHeight="1" x14ac:dyDescent="0.2">
      <c r="D4570" t="s">
        <v>285</v>
      </c>
      <c r="X4570" t="s">
        <v>243</v>
      </c>
      <c r="Y4570" t="s">
        <v>512</v>
      </c>
      <c r="Z4570">
        <v>1025.5610999999999</v>
      </c>
    </row>
    <row r="4571" spans="4:26" ht="15.75" customHeight="1" x14ac:dyDescent="0.2">
      <c r="D4571" t="s">
        <v>285</v>
      </c>
      <c r="X4571" t="s">
        <v>245</v>
      </c>
      <c r="Y4571" t="s">
        <v>513</v>
      </c>
      <c r="Z4571">
        <v>4434629.8962000003</v>
      </c>
    </row>
    <row r="4572" spans="4:26" ht="15.75" customHeight="1" x14ac:dyDescent="0.2">
      <c r="D4572" t="s">
        <v>285</v>
      </c>
      <c r="X4572" t="s">
        <v>247</v>
      </c>
      <c r="Y4572" t="s">
        <v>514</v>
      </c>
      <c r="Z4572">
        <v>16.096699999999998</v>
      </c>
    </row>
    <row r="4573" spans="4:26" ht="15.75" customHeight="1" x14ac:dyDescent="0.2">
      <c r="D4573" t="s">
        <v>285</v>
      </c>
      <c r="X4573" t="s">
        <v>249</v>
      </c>
      <c r="Y4573" t="s">
        <v>515</v>
      </c>
      <c r="Z4573">
        <v>4574</v>
      </c>
    </row>
    <row r="4574" spans="4:26" ht="15.75" customHeight="1" x14ac:dyDescent="0.2">
      <c r="D4574" t="s">
        <v>285</v>
      </c>
      <c r="X4574" t="s">
        <v>251</v>
      </c>
      <c r="Y4574" t="s">
        <v>516</v>
      </c>
      <c r="Z4574">
        <v>1231</v>
      </c>
    </row>
    <row r="4575" spans="4:26" ht="15.75" customHeight="1" x14ac:dyDescent="0.2">
      <c r="D4575" t="s">
        <v>285</v>
      </c>
      <c r="X4575" t="s">
        <v>253</v>
      </c>
      <c r="Y4575" t="s">
        <v>517</v>
      </c>
      <c r="Z4575">
        <v>31433.648799999999</v>
      </c>
    </row>
    <row r="4576" spans="4:26" ht="15.75" customHeight="1" x14ac:dyDescent="0.2">
      <c r="D4576" t="s">
        <v>285</v>
      </c>
      <c r="X4576" t="s">
        <v>518</v>
      </c>
      <c r="Y4576" t="s">
        <v>519</v>
      </c>
      <c r="Z4576">
        <v>1</v>
      </c>
    </row>
    <row r="4577" spans="4:26" ht="15.75" customHeight="1" x14ac:dyDescent="0.2">
      <c r="D4577" t="s">
        <v>285</v>
      </c>
      <c r="X4577" t="s">
        <v>255</v>
      </c>
      <c r="Y4577" t="s">
        <v>256</v>
      </c>
      <c r="Z4577">
        <v>2297</v>
      </c>
    </row>
    <row r="4578" spans="4:26" ht="15.75" customHeight="1" x14ac:dyDescent="0.2">
      <c r="D4578" t="s">
        <v>285</v>
      </c>
      <c r="X4578" t="s">
        <v>257</v>
      </c>
      <c r="Y4578" t="s">
        <v>520</v>
      </c>
      <c r="Z4578">
        <v>0</v>
      </c>
    </row>
    <row r="4579" spans="4:26" ht="15.75" customHeight="1" x14ac:dyDescent="0.2">
      <c r="D4579" t="s">
        <v>285</v>
      </c>
      <c r="X4579" t="s">
        <v>263</v>
      </c>
      <c r="Y4579" t="s">
        <v>264</v>
      </c>
      <c r="Z4579">
        <v>1378</v>
      </c>
    </row>
    <row r="4580" spans="4:26" ht="15.75" customHeight="1" x14ac:dyDescent="0.2">
      <c r="D4580" t="s">
        <v>285</v>
      </c>
      <c r="X4580" t="s">
        <v>521</v>
      </c>
      <c r="Y4580" t="s">
        <v>522</v>
      </c>
      <c r="Z4580">
        <v>0.2727</v>
      </c>
    </row>
    <row r="4581" spans="4:26" ht="15.75" customHeight="1" x14ac:dyDescent="0.2">
      <c r="D4581" t="s">
        <v>285</v>
      </c>
      <c r="X4581" t="s">
        <v>265</v>
      </c>
      <c r="Y4581" t="s">
        <v>266</v>
      </c>
      <c r="Z4581">
        <v>1</v>
      </c>
    </row>
    <row r="4582" spans="4:26" ht="15.75" customHeight="1" x14ac:dyDescent="0.2">
      <c r="D4582" t="s">
        <v>285</v>
      </c>
      <c r="X4582" t="s">
        <v>267</v>
      </c>
      <c r="Y4582" t="s">
        <v>268</v>
      </c>
      <c r="Z4582">
        <v>15</v>
      </c>
    </row>
    <row r="4583" spans="4:26" ht="15.75" customHeight="1" x14ac:dyDescent="0.2">
      <c r="D4583" t="s">
        <v>285</v>
      </c>
      <c r="X4583" t="s">
        <v>269</v>
      </c>
      <c r="Y4583" t="s">
        <v>270</v>
      </c>
      <c r="Z4583">
        <v>5</v>
      </c>
    </row>
    <row r="4584" spans="4:26" ht="15.75" customHeight="1" x14ac:dyDescent="0.2">
      <c r="D4584" t="s">
        <v>285</v>
      </c>
      <c r="X4584" t="s">
        <v>271</v>
      </c>
      <c r="Y4584" t="s">
        <v>272</v>
      </c>
      <c r="Z4584">
        <v>0</v>
      </c>
    </row>
    <row r="4585" spans="4:26" ht="15.75" customHeight="1" x14ac:dyDescent="0.2">
      <c r="D4585" t="s">
        <v>285</v>
      </c>
      <c r="X4585" t="s">
        <v>273</v>
      </c>
      <c r="Y4585" t="s">
        <v>274</v>
      </c>
      <c r="Z4585">
        <v>0</v>
      </c>
    </row>
    <row r="4586" spans="4:26" ht="15.75" customHeight="1" x14ac:dyDescent="0.2">
      <c r="D4586" t="s">
        <v>285</v>
      </c>
      <c r="X4586" t="s">
        <v>275</v>
      </c>
      <c r="Y4586" t="s">
        <v>276</v>
      </c>
      <c r="Z4586">
        <v>0</v>
      </c>
    </row>
    <row r="4587" spans="4:26" ht="15.75" customHeight="1" x14ac:dyDescent="0.2">
      <c r="D4587" t="s">
        <v>285</v>
      </c>
      <c r="X4587" t="s">
        <v>277</v>
      </c>
      <c r="Y4587" t="s">
        <v>278</v>
      </c>
      <c r="Z4587">
        <v>0</v>
      </c>
    </row>
    <row r="4588" spans="4:26" ht="15.75" customHeight="1" x14ac:dyDescent="0.2">
      <c r="D4588" t="s">
        <v>285</v>
      </c>
      <c r="X4588" t="s">
        <v>279</v>
      </c>
      <c r="Y4588" t="s">
        <v>280</v>
      </c>
      <c r="Z4588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Normal="100" workbookViewId="0">
      <selection activeCell="F24" sqref="F24"/>
    </sheetView>
  </sheetViews>
  <sheetFormatPr baseColWidth="10" defaultColWidth="10.5" defaultRowHeight="16" x14ac:dyDescent="0.2"/>
  <cols>
    <col min="1" max="1" width="27.5" customWidth="1"/>
    <col min="2" max="2" width="22.5" customWidth="1"/>
    <col min="3" max="3" width="22.33203125" customWidth="1"/>
  </cols>
  <sheetData>
    <row r="1" spans="1:3" ht="15.75" customHeight="1" x14ac:dyDescent="0.2">
      <c r="A1" s="5" t="s">
        <v>207</v>
      </c>
      <c r="B1" s="5" t="s">
        <v>208</v>
      </c>
      <c r="C1" s="5" t="s">
        <v>209</v>
      </c>
    </row>
    <row r="2" spans="1:3" ht="15.75" customHeight="1" x14ac:dyDescent="0.2">
      <c r="A2" t="s">
        <v>233</v>
      </c>
      <c r="B2" t="s">
        <v>234</v>
      </c>
      <c r="C2">
        <v>0</v>
      </c>
    </row>
    <row r="3" spans="1:3" ht="15.75" customHeight="1" x14ac:dyDescent="0.2">
      <c r="A3" t="s">
        <v>235</v>
      </c>
      <c r="B3" t="s">
        <v>236</v>
      </c>
      <c r="C3">
        <v>8.9700000000000002E-2</v>
      </c>
    </row>
    <row r="4" spans="1:3" ht="15.75" customHeight="1" x14ac:dyDescent="0.2">
      <c r="A4" t="s">
        <v>237</v>
      </c>
      <c r="B4" t="s">
        <v>238</v>
      </c>
      <c r="C4">
        <v>0.73329999999999995</v>
      </c>
    </row>
    <row r="5" spans="1:3" ht="15.75" customHeight="1" x14ac:dyDescent="0.2">
      <c r="A5" t="s">
        <v>239</v>
      </c>
      <c r="B5" t="s">
        <v>239</v>
      </c>
      <c r="C5">
        <v>1.5585</v>
      </c>
    </row>
    <row r="6" spans="1:3" ht="15.75" customHeight="1" x14ac:dyDescent="0.2">
      <c r="A6" t="s">
        <v>240</v>
      </c>
      <c r="B6" t="s">
        <v>240</v>
      </c>
      <c r="C6">
        <v>2.2155999999999998</v>
      </c>
    </row>
    <row r="7" spans="1:3" ht="15.75" customHeight="1" x14ac:dyDescent="0.2">
      <c r="A7" t="s">
        <v>241</v>
      </c>
      <c r="B7" t="s">
        <v>241</v>
      </c>
      <c r="C7">
        <v>3.6461000000000001</v>
      </c>
    </row>
    <row r="8" spans="1:3" ht="15.75" customHeight="1" x14ac:dyDescent="0.2">
      <c r="A8" t="s">
        <v>242</v>
      </c>
      <c r="B8" t="s">
        <v>242</v>
      </c>
      <c r="C8">
        <v>2.0226999999999999</v>
      </c>
    </row>
    <row r="9" spans="1:3" ht="15.75" customHeight="1" x14ac:dyDescent="0.2">
      <c r="A9" t="s">
        <v>243</v>
      </c>
      <c r="B9" t="s">
        <v>244</v>
      </c>
      <c r="C9">
        <v>1025.5610999999999</v>
      </c>
    </row>
    <row r="10" spans="1:3" ht="15.75" customHeight="1" x14ac:dyDescent="0.2">
      <c r="A10" t="s">
        <v>245</v>
      </c>
      <c r="B10" t="s">
        <v>246</v>
      </c>
      <c r="C10">
        <v>4434629.8962000003</v>
      </c>
    </row>
    <row r="11" spans="1:3" ht="15.75" customHeight="1" x14ac:dyDescent="0.2">
      <c r="A11" t="s">
        <v>247</v>
      </c>
      <c r="B11" t="s">
        <v>248</v>
      </c>
      <c r="C11">
        <v>16.096699999999998</v>
      </c>
    </row>
    <row r="12" spans="1:3" ht="15.75" customHeight="1" x14ac:dyDescent="0.2">
      <c r="A12" t="s">
        <v>249</v>
      </c>
      <c r="B12" t="s">
        <v>250</v>
      </c>
      <c r="C12">
        <v>4574</v>
      </c>
    </row>
    <row r="13" spans="1:3" ht="15.75" customHeight="1" x14ac:dyDescent="0.2">
      <c r="A13" t="s">
        <v>251</v>
      </c>
      <c r="B13" t="s">
        <v>252</v>
      </c>
      <c r="C13">
        <v>1231</v>
      </c>
    </row>
    <row r="14" spans="1:3" ht="15.75" customHeight="1" x14ac:dyDescent="0.2">
      <c r="A14" t="s">
        <v>253</v>
      </c>
      <c r="B14" t="s">
        <v>254</v>
      </c>
      <c r="C14">
        <v>31433.648799999999</v>
      </c>
    </row>
    <row r="15" spans="1:3" ht="15.75" customHeight="1" x14ac:dyDescent="0.2">
      <c r="A15" t="s">
        <v>255</v>
      </c>
      <c r="B15" t="s">
        <v>256</v>
      </c>
      <c r="C15">
        <v>2310</v>
      </c>
    </row>
    <row r="16" spans="1:3" ht="15.75" customHeight="1" x14ac:dyDescent="0.2">
      <c r="A16" t="s">
        <v>257</v>
      </c>
      <c r="B16" t="s">
        <v>258</v>
      </c>
      <c r="C16">
        <v>0</v>
      </c>
    </row>
    <row r="17" spans="1:3" ht="15.75" customHeight="1" x14ac:dyDescent="0.2">
      <c r="A17" t="s">
        <v>259</v>
      </c>
      <c r="B17" t="s">
        <v>260</v>
      </c>
      <c r="C17">
        <v>0</v>
      </c>
    </row>
    <row r="18" spans="1:3" ht="15.75" customHeight="1" x14ac:dyDescent="0.2">
      <c r="A18" t="s">
        <v>261</v>
      </c>
      <c r="B18" t="s">
        <v>262</v>
      </c>
      <c r="C18">
        <v>0.33329999999999999</v>
      </c>
    </row>
    <row r="19" spans="1:3" ht="15.75" customHeight="1" x14ac:dyDescent="0.2">
      <c r="A19" t="s">
        <v>263</v>
      </c>
      <c r="B19" t="s">
        <v>264</v>
      </c>
      <c r="C19">
        <v>1387</v>
      </c>
    </row>
    <row r="20" spans="1:3" ht="15.75" customHeight="1" x14ac:dyDescent="0.2">
      <c r="A20" t="s">
        <v>265</v>
      </c>
      <c r="B20" t="s">
        <v>266</v>
      </c>
      <c r="C20">
        <v>1</v>
      </c>
    </row>
    <row r="21" spans="1:3" ht="15.75" customHeight="1" x14ac:dyDescent="0.2">
      <c r="A21" t="s">
        <v>267</v>
      </c>
      <c r="B21" t="s">
        <v>268</v>
      </c>
      <c r="C21">
        <v>18</v>
      </c>
    </row>
    <row r="22" spans="1:3" ht="15.75" customHeight="1" x14ac:dyDescent="0.2">
      <c r="A22" t="s">
        <v>269</v>
      </c>
      <c r="B22" t="s">
        <v>270</v>
      </c>
      <c r="C22">
        <v>5</v>
      </c>
    </row>
    <row r="23" spans="1:3" ht="15.75" customHeight="1" x14ac:dyDescent="0.2">
      <c r="A23" t="s">
        <v>271</v>
      </c>
      <c r="B23" t="s">
        <v>272</v>
      </c>
      <c r="C23">
        <v>0</v>
      </c>
    </row>
    <row r="24" spans="1:3" ht="15.75" customHeight="1" x14ac:dyDescent="0.2">
      <c r="A24" t="s">
        <v>273</v>
      </c>
      <c r="B24" t="s">
        <v>274</v>
      </c>
      <c r="C24">
        <v>0</v>
      </c>
    </row>
    <row r="25" spans="1:3" ht="15.75" customHeight="1" x14ac:dyDescent="0.2">
      <c r="A25" t="s">
        <v>275</v>
      </c>
      <c r="B25" t="s">
        <v>276</v>
      </c>
      <c r="C25">
        <v>0</v>
      </c>
    </row>
    <row r="26" spans="1:3" ht="15.75" customHeight="1" x14ac:dyDescent="0.2">
      <c r="A26" t="s">
        <v>277</v>
      </c>
      <c r="B26" t="s">
        <v>278</v>
      </c>
      <c r="C26">
        <v>0</v>
      </c>
    </row>
    <row r="27" spans="1:3" ht="15.75" customHeight="1" x14ac:dyDescent="0.2">
      <c r="A27" t="s">
        <v>279</v>
      </c>
      <c r="B27" t="s">
        <v>280</v>
      </c>
      <c r="C27">
        <v>2</v>
      </c>
    </row>
    <row r="28" spans="1:3" ht="15.75" customHeight="1" x14ac:dyDescent="0.2">
      <c r="A28" t="s">
        <v>281</v>
      </c>
      <c r="B28" t="s">
        <v>282</v>
      </c>
      <c r="C28">
        <v>0.42759999999999998</v>
      </c>
    </row>
    <row r="29" spans="1:3" ht="15.75" customHeight="1" x14ac:dyDescent="0.2">
      <c r="A29" t="s">
        <v>283</v>
      </c>
      <c r="B29" t="s">
        <v>283</v>
      </c>
      <c r="C29">
        <v>1.6673</v>
      </c>
    </row>
    <row r="30" spans="1:3" ht="15.75" customHeight="1" x14ac:dyDescent="0.2">
      <c r="A30" t="s">
        <v>284</v>
      </c>
      <c r="B30" t="s">
        <v>284</v>
      </c>
      <c r="C30">
        <v>-2.3693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88"/>
  <sheetViews>
    <sheetView zoomScaleNormal="100" workbookViewId="0"/>
  </sheetViews>
  <sheetFormatPr baseColWidth="10" defaultColWidth="10.5" defaultRowHeight="16" x14ac:dyDescent="0.2"/>
  <cols>
    <col min="1" max="1" width="25.5" customWidth="1"/>
    <col min="2" max="2" width="30.83203125" customWidth="1"/>
    <col min="3" max="3" width="27.1640625" customWidth="1"/>
    <col min="4" max="4" width="36.33203125" customWidth="1"/>
  </cols>
  <sheetData>
    <row r="1" spans="1:4" ht="15.75" customHeight="1" x14ac:dyDescent="0.2">
      <c r="A1" s="5" t="s">
        <v>210</v>
      </c>
      <c r="B1" s="5" t="s">
        <v>211</v>
      </c>
      <c r="C1" s="5" t="s">
        <v>212</v>
      </c>
      <c r="D1" s="5" t="s">
        <v>213</v>
      </c>
    </row>
    <row r="31" spans="1:3" ht="15.75" customHeight="1" x14ac:dyDescent="0.2">
      <c r="A31" t="s">
        <v>285</v>
      </c>
      <c r="B31" t="s">
        <v>286</v>
      </c>
      <c r="C31">
        <v>1</v>
      </c>
    </row>
    <row r="32" spans="1:3" ht="15.75" customHeight="1" x14ac:dyDescent="0.2">
      <c r="A32" t="s">
        <v>285</v>
      </c>
      <c r="B32" t="s">
        <v>286</v>
      </c>
      <c r="C32">
        <v>1</v>
      </c>
    </row>
    <row r="33" spans="1:3" ht="15.75" customHeight="1" x14ac:dyDescent="0.2">
      <c r="A33" t="s">
        <v>285</v>
      </c>
      <c r="B33" t="s">
        <v>286</v>
      </c>
      <c r="C33">
        <v>1</v>
      </c>
    </row>
    <row r="34" spans="1:3" ht="15.75" customHeight="1" x14ac:dyDescent="0.2">
      <c r="A34" t="s">
        <v>285</v>
      </c>
      <c r="B34" t="s">
        <v>286</v>
      </c>
      <c r="C34">
        <v>1</v>
      </c>
    </row>
    <row r="35" spans="1:3" ht="15.75" customHeight="1" x14ac:dyDescent="0.2">
      <c r="A35" t="s">
        <v>285</v>
      </c>
      <c r="B35" t="s">
        <v>286</v>
      </c>
      <c r="C35">
        <v>1</v>
      </c>
    </row>
    <row r="36" spans="1:3" ht="15.75" customHeight="1" x14ac:dyDescent="0.2">
      <c r="A36" t="s">
        <v>285</v>
      </c>
      <c r="B36" t="s">
        <v>286</v>
      </c>
      <c r="C36">
        <v>1</v>
      </c>
    </row>
    <row r="37" spans="1:3" ht="15.75" customHeight="1" x14ac:dyDescent="0.2">
      <c r="A37" t="s">
        <v>285</v>
      </c>
      <c r="B37" t="s">
        <v>286</v>
      </c>
      <c r="C37">
        <v>1</v>
      </c>
    </row>
    <row r="38" spans="1:3" ht="15.75" customHeight="1" x14ac:dyDescent="0.2">
      <c r="A38" t="s">
        <v>285</v>
      </c>
      <c r="B38" t="s">
        <v>286</v>
      </c>
      <c r="C38">
        <v>1</v>
      </c>
    </row>
    <row r="39" spans="1:3" ht="15.75" customHeight="1" x14ac:dyDescent="0.2">
      <c r="A39" t="s">
        <v>285</v>
      </c>
      <c r="B39" t="s">
        <v>286</v>
      </c>
      <c r="C39">
        <v>1</v>
      </c>
    </row>
    <row r="40" spans="1:3" ht="15.75" customHeight="1" x14ac:dyDescent="0.2">
      <c r="A40" t="s">
        <v>285</v>
      </c>
      <c r="B40" t="s">
        <v>286</v>
      </c>
      <c r="C40">
        <v>1</v>
      </c>
    </row>
    <row r="41" spans="1:3" ht="15.75" customHeight="1" x14ac:dyDescent="0.2">
      <c r="A41" t="s">
        <v>285</v>
      </c>
      <c r="B41" t="s">
        <v>286</v>
      </c>
      <c r="C41">
        <v>1</v>
      </c>
    </row>
    <row r="42" spans="1:3" ht="15.75" customHeight="1" x14ac:dyDescent="0.2">
      <c r="A42" t="s">
        <v>285</v>
      </c>
      <c r="B42" t="s">
        <v>286</v>
      </c>
      <c r="C42">
        <v>1</v>
      </c>
    </row>
    <row r="43" spans="1:3" ht="15.75" customHeight="1" x14ac:dyDescent="0.2">
      <c r="A43" t="s">
        <v>285</v>
      </c>
      <c r="B43" t="s">
        <v>286</v>
      </c>
      <c r="C43">
        <v>1</v>
      </c>
    </row>
    <row r="44" spans="1:3" ht="15.75" customHeight="1" x14ac:dyDescent="0.2">
      <c r="A44" t="s">
        <v>285</v>
      </c>
      <c r="B44" t="s">
        <v>286</v>
      </c>
      <c r="C44">
        <v>1</v>
      </c>
    </row>
    <row r="45" spans="1:3" ht="15.75" customHeight="1" x14ac:dyDescent="0.2">
      <c r="A45" t="s">
        <v>285</v>
      </c>
      <c r="B45" t="s">
        <v>286</v>
      </c>
      <c r="C45">
        <v>1</v>
      </c>
    </row>
    <row r="46" spans="1:3" ht="15.75" customHeight="1" x14ac:dyDescent="0.2">
      <c r="A46" t="s">
        <v>285</v>
      </c>
      <c r="B46" t="s">
        <v>286</v>
      </c>
      <c r="C46">
        <v>1</v>
      </c>
    </row>
    <row r="47" spans="1:3" ht="15.75" customHeight="1" x14ac:dyDescent="0.2">
      <c r="A47" t="s">
        <v>285</v>
      </c>
      <c r="B47" t="s">
        <v>286</v>
      </c>
      <c r="C47">
        <v>1</v>
      </c>
    </row>
    <row r="48" spans="1:3" ht="15.75" customHeight="1" x14ac:dyDescent="0.2">
      <c r="A48" t="s">
        <v>285</v>
      </c>
      <c r="B48" t="s">
        <v>286</v>
      </c>
      <c r="C48">
        <v>1</v>
      </c>
    </row>
    <row r="49" spans="1:3" ht="15.75" customHeight="1" x14ac:dyDescent="0.2">
      <c r="A49" t="s">
        <v>285</v>
      </c>
      <c r="B49" t="s">
        <v>286</v>
      </c>
      <c r="C49">
        <v>1</v>
      </c>
    </row>
    <row r="50" spans="1:3" ht="15.75" customHeight="1" x14ac:dyDescent="0.2">
      <c r="A50" t="s">
        <v>285</v>
      </c>
      <c r="B50" t="s">
        <v>286</v>
      </c>
      <c r="C50">
        <v>1</v>
      </c>
    </row>
    <row r="51" spans="1:3" ht="15.75" customHeight="1" x14ac:dyDescent="0.2">
      <c r="A51" t="s">
        <v>285</v>
      </c>
      <c r="B51" t="s">
        <v>286</v>
      </c>
      <c r="C51">
        <v>1</v>
      </c>
    </row>
    <row r="52" spans="1:3" ht="15.75" customHeight="1" x14ac:dyDescent="0.2">
      <c r="A52" t="s">
        <v>285</v>
      </c>
      <c r="B52" t="s">
        <v>286</v>
      </c>
      <c r="C52">
        <v>1</v>
      </c>
    </row>
    <row r="53" spans="1:3" ht="15.75" customHeight="1" x14ac:dyDescent="0.2">
      <c r="A53" t="s">
        <v>285</v>
      </c>
      <c r="B53" t="s">
        <v>286</v>
      </c>
      <c r="C53">
        <v>1</v>
      </c>
    </row>
    <row r="54" spans="1:3" ht="15.75" customHeight="1" x14ac:dyDescent="0.2">
      <c r="A54" t="s">
        <v>285</v>
      </c>
      <c r="B54" t="s">
        <v>286</v>
      </c>
      <c r="C54">
        <v>1</v>
      </c>
    </row>
    <row r="55" spans="1:3" ht="15.75" customHeight="1" x14ac:dyDescent="0.2">
      <c r="A55" t="s">
        <v>285</v>
      </c>
      <c r="B55" t="s">
        <v>286</v>
      </c>
      <c r="C55">
        <v>1</v>
      </c>
    </row>
    <row r="56" spans="1:3" ht="15.75" customHeight="1" x14ac:dyDescent="0.2">
      <c r="A56" t="s">
        <v>285</v>
      </c>
      <c r="B56" t="s">
        <v>286</v>
      </c>
      <c r="C56">
        <v>1</v>
      </c>
    </row>
    <row r="57" spans="1:3" ht="15.75" customHeight="1" x14ac:dyDescent="0.2">
      <c r="A57" t="s">
        <v>285</v>
      </c>
      <c r="B57" t="s">
        <v>286</v>
      </c>
      <c r="C57">
        <v>1</v>
      </c>
    </row>
    <row r="58" spans="1:3" ht="15.75" customHeight="1" x14ac:dyDescent="0.2">
      <c r="A58" t="s">
        <v>285</v>
      </c>
      <c r="B58" t="s">
        <v>286</v>
      </c>
      <c r="C58">
        <v>1</v>
      </c>
    </row>
    <row r="59" spans="1:3" ht="15.75" customHeight="1" x14ac:dyDescent="0.2">
      <c r="A59" t="s">
        <v>285</v>
      </c>
      <c r="B59" t="s">
        <v>286</v>
      </c>
      <c r="C59">
        <v>1</v>
      </c>
    </row>
    <row r="60" spans="1:3" ht="15.75" customHeight="1" x14ac:dyDescent="0.2">
      <c r="A60" t="s">
        <v>285</v>
      </c>
      <c r="B60" t="s">
        <v>286</v>
      </c>
      <c r="C60">
        <v>1</v>
      </c>
    </row>
    <row r="61" spans="1:3" ht="15.75" customHeight="1" x14ac:dyDescent="0.2">
      <c r="A61" t="s">
        <v>285</v>
      </c>
      <c r="B61" t="s">
        <v>286</v>
      </c>
      <c r="C61">
        <v>1</v>
      </c>
    </row>
    <row r="62" spans="1:3" ht="15.75" customHeight="1" x14ac:dyDescent="0.2">
      <c r="A62" t="s">
        <v>285</v>
      </c>
      <c r="B62" t="s">
        <v>286</v>
      </c>
      <c r="C62">
        <v>1</v>
      </c>
    </row>
    <row r="63" spans="1:3" ht="15.75" customHeight="1" x14ac:dyDescent="0.2">
      <c r="A63" t="s">
        <v>285</v>
      </c>
      <c r="B63" t="s">
        <v>286</v>
      </c>
      <c r="C63">
        <v>1</v>
      </c>
    </row>
    <row r="64" spans="1:3" ht="15.75" customHeight="1" x14ac:dyDescent="0.2">
      <c r="A64" t="s">
        <v>285</v>
      </c>
      <c r="B64" t="s">
        <v>286</v>
      </c>
      <c r="C64">
        <v>1</v>
      </c>
    </row>
    <row r="65" spans="1:3" ht="15.75" customHeight="1" x14ac:dyDescent="0.2">
      <c r="A65" t="s">
        <v>285</v>
      </c>
      <c r="B65" t="s">
        <v>286</v>
      </c>
      <c r="C65">
        <v>1</v>
      </c>
    </row>
    <row r="66" spans="1:3" ht="15.75" customHeight="1" x14ac:dyDescent="0.2">
      <c r="A66" t="s">
        <v>285</v>
      </c>
      <c r="B66" t="s">
        <v>286</v>
      </c>
      <c r="C66">
        <v>1</v>
      </c>
    </row>
    <row r="67" spans="1:3" ht="15.75" customHeight="1" x14ac:dyDescent="0.2">
      <c r="A67" t="s">
        <v>285</v>
      </c>
      <c r="B67" t="s">
        <v>286</v>
      </c>
      <c r="C67">
        <v>1</v>
      </c>
    </row>
    <row r="68" spans="1:3" ht="15.75" customHeight="1" x14ac:dyDescent="0.2">
      <c r="A68" t="s">
        <v>285</v>
      </c>
      <c r="B68" t="s">
        <v>286</v>
      </c>
      <c r="C68">
        <v>1</v>
      </c>
    </row>
    <row r="69" spans="1:3" ht="15.75" customHeight="1" x14ac:dyDescent="0.2">
      <c r="A69" t="s">
        <v>285</v>
      </c>
      <c r="B69" t="s">
        <v>286</v>
      </c>
      <c r="C69">
        <v>1</v>
      </c>
    </row>
    <row r="70" spans="1:3" ht="15.75" customHeight="1" x14ac:dyDescent="0.2">
      <c r="A70" t="s">
        <v>285</v>
      </c>
      <c r="B70" t="s">
        <v>286</v>
      </c>
      <c r="C70">
        <v>1</v>
      </c>
    </row>
    <row r="71" spans="1:3" ht="15.75" customHeight="1" x14ac:dyDescent="0.2">
      <c r="A71" t="s">
        <v>285</v>
      </c>
      <c r="B71" t="s">
        <v>286</v>
      </c>
      <c r="C71">
        <v>1</v>
      </c>
    </row>
    <row r="72" spans="1:3" ht="15.75" customHeight="1" x14ac:dyDescent="0.2">
      <c r="A72" t="s">
        <v>285</v>
      </c>
      <c r="B72" t="s">
        <v>286</v>
      </c>
      <c r="C72">
        <v>1</v>
      </c>
    </row>
    <row r="73" spans="1:3" ht="15.75" customHeight="1" x14ac:dyDescent="0.2">
      <c r="A73" t="s">
        <v>285</v>
      </c>
      <c r="B73" t="s">
        <v>286</v>
      </c>
      <c r="C73">
        <v>1</v>
      </c>
    </row>
    <row r="74" spans="1:3" ht="15.75" customHeight="1" x14ac:dyDescent="0.2">
      <c r="A74" t="s">
        <v>285</v>
      </c>
      <c r="B74" t="s">
        <v>286</v>
      </c>
      <c r="C74">
        <v>1</v>
      </c>
    </row>
    <row r="75" spans="1:3" ht="15.75" customHeight="1" x14ac:dyDescent="0.2">
      <c r="A75" t="s">
        <v>285</v>
      </c>
      <c r="B75" t="s">
        <v>286</v>
      </c>
      <c r="C75">
        <v>1</v>
      </c>
    </row>
    <row r="76" spans="1:3" ht="15.75" customHeight="1" x14ac:dyDescent="0.2">
      <c r="A76" t="s">
        <v>285</v>
      </c>
      <c r="B76" t="s">
        <v>286</v>
      </c>
      <c r="C76">
        <v>1</v>
      </c>
    </row>
    <row r="77" spans="1:3" ht="15.75" customHeight="1" x14ac:dyDescent="0.2">
      <c r="A77" t="s">
        <v>285</v>
      </c>
      <c r="B77" t="s">
        <v>286</v>
      </c>
      <c r="C77">
        <v>1</v>
      </c>
    </row>
    <row r="78" spans="1:3" ht="15.75" customHeight="1" x14ac:dyDescent="0.2">
      <c r="A78" t="s">
        <v>285</v>
      </c>
      <c r="B78" t="s">
        <v>286</v>
      </c>
      <c r="C78">
        <v>1</v>
      </c>
    </row>
    <row r="79" spans="1:3" ht="15.75" customHeight="1" x14ac:dyDescent="0.2">
      <c r="A79" t="s">
        <v>285</v>
      </c>
      <c r="B79" t="s">
        <v>286</v>
      </c>
      <c r="C79">
        <v>1</v>
      </c>
    </row>
    <row r="80" spans="1:3" ht="15.75" customHeight="1" x14ac:dyDescent="0.2">
      <c r="A80" t="s">
        <v>285</v>
      </c>
      <c r="B80" t="s">
        <v>349</v>
      </c>
      <c r="C80">
        <v>2</v>
      </c>
    </row>
    <row r="81" spans="1:3" ht="15.75" customHeight="1" x14ac:dyDescent="0.2">
      <c r="A81" t="s">
        <v>285</v>
      </c>
      <c r="B81" t="s">
        <v>349</v>
      </c>
      <c r="C81">
        <v>2</v>
      </c>
    </row>
    <row r="82" spans="1:3" ht="15.75" customHeight="1" x14ac:dyDescent="0.2">
      <c r="A82" t="s">
        <v>285</v>
      </c>
      <c r="B82" t="s">
        <v>349</v>
      </c>
      <c r="C82">
        <v>2</v>
      </c>
    </row>
    <row r="83" spans="1:3" ht="15.75" customHeight="1" x14ac:dyDescent="0.2">
      <c r="A83" t="s">
        <v>285</v>
      </c>
      <c r="B83" t="s">
        <v>349</v>
      </c>
      <c r="C83">
        <v>2</v>
      </c>
    </row>
    <row r="84" spans="1:3" ht="15.75" customHeight="1" x14ac:dyDescent="0.2">
      <c r="A84" t="s">
        <v>285</v>
      </c>
      <c r="B84" t="s">
        <v>349</v>
      </c>
      <c r="C84">
        <v>2</v>
      </c>
    </row>
    <row r="85" spans="1:3" ht="15.75" customHeight="1" x14ac:dyDescent="0.2">
      <c r="A85" t="s">
        <v>285</v>
      </c>
      <c r="B85" t="s">
        <v>349</v>
      </c>
      <c r="C85">
        <v>2</v>
      </c>
    </row>
    <row r="86" spans="1:3" ht="15.75" customHeight="1" x14ac:dyDescent="0.2">
      <c r="A86" t="s">
        <v>285</v>
      </c>
      <c r="B86" t="s">
        <v>349</v>
      </c>
      <c r="C86">
        <v>2</v>
      </c>
    </row>
    <row r="87" spans="1:3" ht="15.75" customHeight="1" x14ac:dyDescent="0.2">
      <c r="A87" t="s">
        <v>285</v>
      </c>
      <c r="B87" t="s">
        <v>349</v>
      </c>
      <c r="C87">
        <v>2</v>
      </c>
    </row>
    <row r="88" spans="1:3" ht="15.75" customHeight="1" x14ac:dyDescent="0.2">
      <c r="A88" t="s">
        <v>285</v>
      </c>
      <c r="B88" t="s">
        <v>349</v>
      </c>
      <c r="C88">
        <v>2</v>
      </c>
    </row>
    <row r="89" spans="1:3" ht="15.75" customHeight="1" x14ac:dyDescent="0.2">
      <c r="A89" t="s">
        <v>285</v>
      </c>
      <c r="B89" t="s">
        <v>349</v>
      </c>
      <c r="C89">
        <v>2</v>
      </c>
    </row>
    <row r="90" spans="1:3" ht="15.75" customHeight="1" x14ac:dyDescent="0.2">
      <c r="A90" t="s">
        <v>285</v>
      </c>
      <c r="B90" t="s">
        <v>349</v>
      </c>
      <c r="C90">
        <v>2</v>
      </c>
    </row>
    <row r="91" spans="1:3" ht="15.75" customHeight="1" x14ac:dyDescent="0.2">
      <c r="A91" t="s">
        <v>285</v>
      </c>
      <c r="B91" t="s">
        <v>349</v>
      </c>
      <c r="C91">
        <v>2</v>
      </c>
    </row>
    <row r="92" spans="1:3" ht="15.75" customHeight="1" x14ac:dyDescent="0.2">
      <c r="A92" t="s">
        <v>285</v>
      </c>
      <c r="B92" t="s">
        <v>349</v>
      </c>
      <c r="C92">
        <v>2</v>
      </c>
    </row>
    <row r="93" spans="1:3" ht="15.75" customHeight="1" x14ac:dyDescent="0.2">
      <c r="A93" t="s">
        <v>285</v>
      </c>
      <c r="B93" t="s">
        <v>349</v>
      </c>
      <c r="C93">
        <v>2</v>
      </c>
    </row>
    <row r="94" spans="1:3" ht="15.75" customHeight="1" x14ac:dyDescent="0.2">
      <c r="A94" t="s">
        <v>285</v>
      </c>
      <c r="B94" t="s">
        <v>349</v>
      </c>
      <c r="C94">
        <v>2</v>
      </c>
    </row>
    <row r="95" spans="1:3" ht="15.75" customHeight="1" x14ac:dyDescent="0.2">
      <c r="A95" t="s">
        <v>285</v>
      </c>
      <c r="B95" t="s">
        <v>349</v>
      </c>
      <c r="C95">
        <v>2</v>
      </c>
    </row>
    <row r="96" spans="1:3" ht="15.75" customHeight="1" x14ac:dyDescent="0.2">
      <c r="A96" t="s">
        <v>285</v>
      </c>
      <c r="B96" t="s">
        <v>349</v>
      </c>
      <c r="C96">
        <v>2</v>
      </c>
    </row>
    <row r="97" spans="1:3" ht="15.75" customHeight="1" x14ac:dyDescent="0.2">
      <c r="A97" t="s">
        <v>285</v>
      </c>
      <c r="B97" t="s">
        <v>349</v>
      </c>
      <c r="C97">
        <v>2</v>
      </c>
    </row>
    <row r="98" spans="1:3" ht="15.75" customHeight="1" x14ac:dyDescent="0.2">
      <c r="A98" t="s">
        <v>285</v>
      </c>
      <c r="B98" t="s">
        <v>349</v>
      </c>
      <c r="C98">
        <v>2</v>
      </c>
    </row>
    <row r="99" spans="1:3" ht="15.75" customHeight="1" x14ac:dyDescent="0.2">
      <c r="A99" t="s">
        <v>285</v>
      </c>
      <c r="B99" t="s">
        <v>349</v>
      </c>
      <c r="C99">
        <v>2</v>
      </c>
    </row>
    <row r="100" spans="1:3" ht="15.75" customHeight="1" x14ac:dyDescent="0.2">
      <c r="A100" t="s">
        <v>285</v>
      </c>
      <c r="B100" t="s">
        <v>349</v>
      </c>
      <c r="C100">
        <v>2</v>
      </c>
    </row>
    <row r="101" spans="1:3" ht="15.75" customHeight="1" x14ac:dyDescent="0.2">
      <c r="A101" t="s">
        <v>285</v>
      </c>
      <c r="B101" t="s">
        <v>349</v>
      </c>
      <c r="C101">
        <v>2</v>
      </c>
    </row>
    <row r="102" spans="1:3" ht="15.75" customHeight="1" x14ac:dyDescent="0.2">
      <c r="A102" t="s">
        <v>285</v>
      </c>
      <c r="B102" t="s">
        <v>349</v>
      </c>
      <c r="C102">
        <v>2</v>
      </c>
    </row>
    <row r="103" spans="1:3" ht="15.75" customHeight="1" x14ac:dyDescent="0.2">
      <c r="A103" t="s">
        <v>285</v>
      </c>
      <c r="B103" t="s">
        <v>349</v>
      </c>
      <c r="C103">
        <v>2</v>
      </c>
    </row>
    <row r="104" spans="1:3" ht="15.75" customHeight="1" x14ac:dyDescent="0.2">
      <c r="A104" t="s">
        <v>285</v>
      </c>
      <c r="B104" t="s">
        <v>349</v>
      </c>
      <c r="C104">
        <v>2</v>
      </c>
    </row>
    <row r="105" spans="1:3" ht="15.75" customHeight="1" x14ac:dyDescent="0.2">
      <c r="A105" t="s">
        <v>285</v>
      </c>
      <c r="B105" t="s">
        <v>349</v>
      </c>
      <c r="C105">
        <v>2</v>
      </c>
    </row>
    <row r="106" spans="1:3" ht="15.75" customHeight="1" x14ac:dyDescent="0.2">
      <c r="A106" t="s">
        <v>285</v>
      </c>
      <c r="B106" t="s">
        <v>349</v>
      </c>
      <c r="C106">
        <v>2</v>
      </c>
    </row>
    <row r="107" spans="1:3" ht="15.75" customHeight="1" x14ac:dyDescent="0.2">
      <c r="A107" t="s">
        <v>285</v>
      </c>
      <c r="B107" t="s">
        <v>349</v>
      </c>
      <c r="C107">
        <v>2</v>
      </c>
    </row>
    <row r="108" spans="1:3" ht="15.75" customHeight="1" x14ac:dyDescent="0.2">
      <c r="A108" t="s">
        <v>285</v>
      </c>
      <c r="B108" t="s">
        <v>349</v>
      </c>
      <c r="C108">
        <v>2</v>
      </c>
    </row>
    <row r="109" spans="1:3" ht="15.75" customHeight="1" x14ac:dyDescent="0.2">
      <c r="A109" t="s">
        <v>285</v>
      </c>
      <c r="B109" t="s">
        <v>349</v>
      </c>
      <c r="C109">
        <v>2</v>
      </c>
    </row>
    <row r="110" spans="1:3" ht="15.75" customHeight="1" x14ac:dyDescent="0.2">
      <c r="A110" t="s">
        <v>285</v>
      </c>
      <c r="B110" t="s">
        <v>349</v>
      </c>
      <c r="C110">
        <v>2</v>
      </c>
    </row>
    <row r="111" spans="1:3" ht="15.75" customHeight="1" x14ac:dyDescent="0.2">
      <c r="A111" t="s">
        <v>285</v>
      </c>
      <c r="B111" t="s">
        <v>349</v>
      </c>
      <c r="C111">
        <v>2</v>
      </c>
    </row>
    <row r="112" spans="1:3" ht="15.75" customHeight="1" x14ac:dyDescent="0.2">
      <c r="A112" t="s">
        <v>285</v>
      </c>
      <c r="B112" t="s">
        <v>349</v>
      </c>
      <c r="C112">
        <v>2</v>
      </c>
    </row>
    <row r="113" spans="1:3" ht="15.75" customHeight="1" x14ac:dyDescent="0.2">
      <c r="A113" t="s">
        <v>285</v>
      </c>
      <c r="B113" t="s">
        <v>349</v>
      </c>
      <c r="C113">
        <v>2</v>
      </c>
    </row>
    <row r="114" spans="1:3" ht="15.75" customHeight="1" x14ac:dyDescent="0.2">
      <c r="A114" t="s">
        <v>285</v>
      </c>
      <c r="B114" t="s">
        <v>349</v>
      </c>
      <c r="C114">
        <v>2</v>
      </c>
    </row>
    <row r="115" spans="1:3" ht="15.75" customHeight="1" x14ac:dyDescent="0.2">
      <c r="A115" t="s">
        <v>285</v>
      </c>
      <c r="B115" t="s">
        <v>349</v>
      </c>
      <c r="C115">
        <v>2</v>
      </c>
    </row>
    <row r="116" spans="1:3" ht="15.75" customHeight="1" x14ac:dyDescent="0.2">
      <c r="A116" t="s">
        <v>285</v>
      </c>
      <c r="B116" t="s">
        <v>349</v>
      </c>
      <c r="C116">
        <v>2</v>
      </c>
    </row>
    <row r="117" spans="1:3" ht="15.75" customHeight="1" x14ac:dyDescent="0.2">
      <c r="A117" t="s">
        <v>285</v>
      </c>
      <c r="B117" t="s">
        <v>349</v>
      </c>
      <c r="C117">
        <v>2</v>
      </c>
    </row>
    <row r="118" spans="1:3" ht="15.75" customHeight="1" x14ac:dyDescent="0.2">
      <c r="A118" t="s">
        <v>285</v>
      </c>
      <c r="B118" t="s">
        <v>349</v>
      </c>
      <c r="C118">
        <v>2</v>
      </c>
    </row>
    <row r="119" spans="1:3" ht="15.75" customHeight="1" x14ac:dyDescent="0.2">
      <c r="A119" t="s">
        <v>285</v>
      </c>
      <c r="B119" t="s">
        <v>349</v>
      </c>
      <c r="C119">
        <v>2</v>
      </c>
    </row>
    <row r="120" spans="1:3" ht="15.75" customHeight="1" x14ac:dyDescent="0.2">
      <c r="A120" t="s">
        <v>285</v>
      </c>
      <c r="B120" t="s">
        <v>349</v>
      </c>
      <c r="C120">
        <v>2</v>
      </c>
    </row>
    <row r="121" spans="1:3" ht="15.75" customHeight="1" x14ac:dyDescent="0.2">
      <c r="A121" t="s">
        <v>285</v>
      </c>
      <c r="B121" t="s">
        <v>349</v>
      </c>
      <c r="C121">
        <v>2</v>
      </c>
    </row>
    <row r="122" spans="1:3" ht="15.75" customHeight="1" x14ac:dyDescent="0.2">
      <c r="A122" t="s">
        <v>285</v>
      </c>
      <c r="B122" t="s">
        <v>349</v>
      </c>
      <c r="C122">
        <v>2</v>
      </c>
    </row>
    <row r="123" spans="1:3" ht="15.75" customHeight="1" x14ac:dyDescent="0.2">
      <c r="A123" t="s">
        <v>285</v>
      </c>
      <c r="B123" t="s">
        <v>349</v>
      </c>
      <c r="C123">
        <v>2</v>
      </c>
    </row>
    <row r="124" spans="1:3" ht="15.75" customHeight="1" x14ac:dyDescent="0.2">
      <c r="A124" t="s">
        <v>285</v>
      </c>
      <c r="B124" t="s">
        <v>349</v>
      </c>
      <c r="C124">
        <v>2</v>
      </c>
    </row>
    <row r="125" spans="1:3" ht="15.75" customHeight="1" x14ac:dyDescent="0.2">
      <c r="A125" t="s">
        <v>285</v>
      </c>
      <c r="B125" t="s">
        <v>349</v>
      </c>
      <c r="C125">
        <v>2</v>
      </c>
    </row>
    <row r="126" spans="1:3" ht="15.75" customHeight="1" x14ac:dyDescent="0.2">
      <c r="A126" t="s">
        <v>285</v>
      </c>
      <c r="B126" t="s">
        <v>349</v>
      </c>
      <c r="C126">
        <v>2</v>
      </c>
    </row>
    <row r="127" spans="1:3" ht="15.75" customHeight="1" x14ac:dyDescent="0.2">
      <c r="A127" t="s">
        <v>285</v>
      </c>
      <c r="B127" t="s">
        <v>349</v>
      </c>
      <c r="C127">
        <v>2</v>
      </c>
    </row>
    <row r="128" spans="1:3" ht="15.75" customHeight="1" x14ac:dyDescent="0.2">
      <c r="A128" t="s">
        <v>285</v>
      </c>
      <c r="B128" t="s">
        <v>349</v>
      </c>
      <c r="C128">
        <v>2</v>
      </c>
    </row>
    <row r="129" spans="1:3" ht="15.75" customHeight="1" x14ac:dyDescent="0.2">
      <c r="A129" t="s">
        <v>285</v>
      </c>
      <c r="B129" t="s">
        <v>349</v>
      </c>
      <c r="C129">
        <v>2</v>
      </c>
    </row>
    <row r="130" spans="1:3" ht="15.75" customHeight="1" x14ac:dyDescent="0.2">
      <c r="A130" t="s">
        <v>285</v>
      </c>
      <c r="B130" t="s">
        <v>349</v>
      </c>
      <c r="C130">
        <v>2</v>
      </c>
    </row>
    <row r="131" spans="1:3" ht="15.75" customHeight="1" x14ac:dyDescent="0.2">
      <c r="A131" t="s">
        <v>285</v>
      </c>
      <c r="B131" t="s">
        <v>349</v>
      </c>
      <c r="C131">
        <v>2</v>
      </c>
    </row>
    <row r="132" spans="1:3" ht="15.75" customHeight="1" x14ac:dyDescent="0.2">
      <c r="A132" t="s">
        <v>285</v>
      </c>
      <c r="B132" t="s">
        <v>349</v>
      </c>
      <c r="C132">
        <v>2</v>
      </c>
    </row>
    <row r="133" spans="1:3" ht="15.75" customHeight="1" x14ac:dyDescent="0.2">
      <c r="A133" t="s">
        <v>285</v>
      </c>
      <c r="B133" t="s">
        <v>349</v>
      </c>
      <c r="C133">
        <v>2</v>
      </c>
    </row>
    <row r="134" spans="1:3" ht="15.75" customHeight="1" x14ac:dyDescent="0.2">
      <c r="A134" t="s">
        <v>285</v>
      </c>
      <c r="B134" t="s">
        <v>349</v>
      </c>
      <c r="C134">
        <v>2</v>
      </c>
    </row>
    <row r="135" spans="1:3" ht="15.75" customHeight="1" x14ac:dyDescent="0.2">
      <c r="A135" t="s">
        <v>285</v>
      </c>
      <c r="B135" t="s">
        <v>349</v>
      </c>
      <c r="C135">
        <v>2</v>
      </c>
    </row>
    <row r="136" spans="1:3" ht="15.75" customHeight="1" x14ac:dyDescent="0.2">
      <c r="A136" t="s">
        <v>285</v>
      </c>
      <c r="B136" t="s">
        <v>349</v>
      </c>
      <c r="C136">
        <v>2</v>
      </c>
    </row>
    <row r="137" spans="1:3" ht="15.75" customHeight="1" x14ac:dyDescent="0.2">
      <c r="A137" t="s">
        <v>285</v>
      </c>
      <c r="B137" t="s">
        <v>349</v>
      </c>
      <c r="C137">
        <v>2</v>
      </c>
    </row>
    <row r="138" spans="1:3" ht="15.75" customHeight="1" x14ac:dyDescent="0.2">
      <c r="A138" t="s">
        <v>285</v>
      </c>
      <c r="B138" t="s">
        <v>349</v>
      </c>
      <c r="C138">
        <v>2</v>
      </c>
    </row>
    <row r="139" spans="1:3" ht="15.75" customHeight="1" x14ac:dyDescent="0.2">
      <c r="A139" t="s">
        <v>285</v>
      </c>
      <c r="B139" t="s">
        <v>349</v>
      </c>
      <c r="C139">
        <v>2</v>
      </c>
    </row>
    <row r="140" spans="1:3" ht="15.75" customHeight="1" x14ac:dyDescent="0.2">
      <c r="A140" t="s">
        <v>285</v>
      </c>
      <c r="B140" t="s">
        <v>349</v>
      </c>
      <c r="C140">
        <v>2</v>
      </c>
    </row>
    <row r="141" spans="1:3" ht="15.75" customHeight="1" x14ac:dyDescent="0.2">
      <c r="A141" t="s">
        <v>285</v>
      </c>
      <c r="B141" t="s">
        <v>349</v>
      </c>
      <c r="C141">
        <v>2</v>
      </c>
    </row>
    <row r="142" spans="1:3" ht="15.75" customHeight="1" x14ac:dyDescent="0.2">
      <c r="A142" t="s">
        <v>285</v>
      </c>
      <c r="B142" t="s">
        <v>349</v>
      </c>
      <c r="C142">
        <v>2</v>
      </c>
    </row>
    <row r="143" spans="1:3" ht="15.75" customHeight="1" x14ac:dyDescent="0.2">
      <c r="A143" t="s">
        <v>285</v>
      </c>
      <c r="B143" t="s">
        <v>349</v>
      </c>
      <c r="C143">
        <v>2</v>
      </c>
    </row>
    <row r="144" spans="1:3" ht="15.75" customHeight="1" x14ac:dyDescent="0.2">
      <c r="A144" t="s">
        <v>285</v>
      </c>
      <c r="B144" t="s">
        <v>349</v>
      </c>
      <c r="C144">
        <v>2</v>
      </c>
    </row>
    <row r="145" spans="1:3" ht="15.75" customHeight="1" x14ac:dyDescent="0.2">
      <c r="A145" t="s">
        <v>285</v>
      </c>
      <c r="B145" t="s">
        <v>349</v>
      </c>
      <c r="C145">
        <v>2</v>
      </c>
    </row>
    <row r="146" spans="1:3" ht="15.75" customHeight="1" x14ac:dyDescent="0.2">
      <c r="A146" t="s">
        <v>285</v>
      </c>
      <c r="B146" t="s">
        <v>349</v>
      </c>
      <c r="C146">
        <v>2</v>
      </c>
    </row>
    <row r="147" spans="1:3" ht="15.75" customHeight="1" x14ac:dyDescent="0.2">
      <c r="A147" t="s">
        <v>285</v>
      </c>
      <c r="B147" t="s">
        <v>349</v>
      </c>
      <c r="C147">
        <v>2</v>
      </c>
    </row>
    <row r="148" spans="1:3" ht="15.75" customHeight="1" x14ac:dyDescent="0.2">
      <c r="A148" t="s">
        <v>285</v>
      </c>
      <c r="B148" t="s">
        <v>349</v>
      </c>
      <c r="C148">
        <v>2</v>
      </c>
    </row>
    <row r="149" spans="1:3" ht="15.75" customHeight="1" x14ac:dyDescent="0.2">
      <c r="A149" t="s">
        <v>285</v>
      </c>
      <c r="B149" t="s">
        <v>349</v>
      </c>
      <c r="C149">
        <v>2</v>
      </c>
    </row>
    <row r="150" spans="1:3" ht="15.75" customHeight="1" x14ac:dyDescent="0.2">
      <c r="A150" t="s">
        <v>285</v>
      </c>
      <c r="B150" t="s">
        <v>349</v>
      </c>
      <c r="C150">
        <v>2</v>
      </c>
    </row>
    <row r="151" spans="1:3" ht="15.75" customHeight="1" x14ac:dyDescent="0.2">
      <c r="A151" t="s">
        <v>285</v>
      </c>
      <c r="B151" t="s">
        <v>349</v>
      </c>
      <c r="C151">
        <v>2</v>
      </c>
    </row>
    <row r="152" spans="1:3" ht="15.75" customHeight="1" x14ac:dyDescent="0.2">
      <c r="A152" t="s">
        <v>285</v>
      </c>
      <c r="B152" t="s">
        <v>349</v>
      </c>
      <c r="C152">
        <v>2</v>
      </c>
    </row>
    <row r="153" spans="1:3" ht="15.75" customHeight="1" x14ac:dyDescent="0.2">
      <c r="A153" t="s">
        <v>285</v>
      </c>
      <c r="B153" t="s">
        <v>349</v>
      </c>
      <c r="C153">
        <v>2</v>
      </c>
    </row>
    <row r="154" spans="1:3" ht="15.75" customHeight="1" x14ac:dyDescent="0.2">
      <c r="A154" t="s">
        <v>285</v>
      </c>
      <c r="B154" t="s">
        <v>349</v>
      </c>
      <c r="C154">
        <v>2</v>
      </c>
    </row>
    <row r="155" spans="1:3" ht="15.75" customHeight="1" x14ac:dyDescent="0.2">
      <c r="A155" t="s">
        <v>285</v>
      </c>
      <c r="B155" t="s">
        <v>349</v>
      </c>
      <c r="C155">
        <v>2</v>
      </c>
    </row>
    <row r="156" spans="1:3" ht="15.75" customHeight="1" x14ac:dyDescent="0.2">
      <c r="A156" t="s">
        <v>285</v>
      </c>
      <c r="B156" t="s">
        <v>349</v>
      </c>
      <c r="C156">
        <v>2</v>
      </c>
    </row>
    <row r="157" spans="1:3" ht="15.75" customHeight="1" x14ac:dyDescent="0.2">
      <c r="A157" t="s">
        <v>285</v>
      </c>
      <c r="B157" t="s">
        <v>349</v>
      </c>
      <c r="C157">
        <v>2</v>
      </c>
    </row>
    <row r="158" spans="1:3" ht="15.75" customHeight="1" x14ac:dyDescent="0.2">
      <c r="A158" t="s">
        <v>285</v>
      </c>
      <c r="B158" t="s">
        <v>349</v>
      </c>
      <c r="C158">
        <v>2</v>
      </c>
    </row>
    <row r="159" spans="1:3" ht="15.75" customHeight="1" x14ac:dyDescent="0.2">
      <c r="A159" t="s">
        <v>285</v>
      </c>
      <c r="B159" t="s">
        <v>349</v>
      </c>
      <c r="C159">
        <v>2</v>
      </c>
    </row>
    <row r="160" spans="1:3" ht="15.75" customHeight="1" x14ac:dyDescent="0.2">
      <c r="A160" t="s">
        <v>285</v>
      </c>
      <c r="B160" t="s">
        <v>349</v>
      </c>
      <c r="C160">
        <v>2</v>
      </c>
    </row>
    <row r="161" spans="1:3" ht="15.75" customHeight="1" x14ac:dyDescent="0.2">
      <c r="A161" t="s">
        <v>285</v>
      </c>
      <c r="B161" t="s">
        <v>349</v>
      </c>
      <c r="C161">
        <v>2</v>
      </c>
    </row>
    <row r="162" spans="1:3" ht="15.75" customHeight="1" x14ac:dyDescent="0.2">
      <c r="A162" t="s">
        <v>285</v>
      </c>
      <c r="B162" t="s">
        <v>349</v>
      </c>
      <c r="C162">
        <v>2</v>
      </c>
    </row>
    <row r="163" spans="1:3" ht="15.75" customHeight="1" x14ac:dyDescent="0.2">
      <c r="A163" t="s">
        <v>285</v>
      </c>
      <c r="B163" t="s">
        <v>349</v>
      </c>
      <c r="C163">
        <v>2</v>
      </c>
    </row>
    <row r="164" spans="1:3" ht="15.75" customHeight="1" x14ac:dyDescent="0.2">
      <c r="A164" t="s">
        <v>285</v>
      </c>
      <c r="B164" t="s">
        <v>349</v>
      </c>
      <c r="C164">
        <v>2</v>
      </c>
    </row>
    <row r="165" spans="1:3" ht="15.75" customHeight="1" x14ac:dyDescent="0.2">
      <c r="A165" t="s">
        <v>285</v>
      </c>
      <c r="B165" t="s">
        <v>349</v>
      </c>
      <c r="C165">
        <v>2</v>
      </c>
    </row>
    <row r="166" spans="1:3" ht="15.75" customHeight="1" x14ac:dyDescent="0.2">
      <c r="A166" t="s">
        <v>285</v>
      </c>
      <c r="B166" t="s">
        <v>349</v>
      </c>
      <c r="C166">
        <v>2</v>
      </c>
    </row>
    <row r="167" spans="1:3" ht="15.75" customHeight="1" x14ac:dyDescent="0.2">
      <c r="A167" t="s">
        <v>285</v>
      </c>
      <c r="B167" t="s">
        <v>349</v>
      </c>
      <c r="C167">
        <v>2</v>
      </c>
    </row>
    <row r="168" spans="1:3" ht="15.75" customHeight="1" x14ac:dyDescent="0.2">
      <c r="A168" t="s">
        <v>285</v>
      </c>
      <c r="B168" t="s">
        <v>349</v>
      </c>
      <c r="C168">
        <v>2</v>
      </c>
    </row>
    <row r="169" spans="1:3" ht="15.75" customHeight="1" x14ac:dyDescent="0.2">
      <c r="A169" t="s">
        <v>285</v>
      </c>
      <c r="B169" t="s">
        <v>353</v>
      </c>
      <c r="C169">
        <v>3</v>
      </c>
    </row>
    <row r="170" spans="1:3" ht="15.75" customHeight="1" x14ac:dyDescent="0.2">
      <c r="A170" t="s">
        <v>285</v>
      </c>
      <c r="B170" t="s">
        <v>353</v>
      </c>
      <c r="C170">
        <v>3</v>
      </c>
    </row>
    <row r="171" spans="1:3" ht="15.75" customHeight="1" x14ac:dyDescent="0.2">
      <c r="A171" t="s">
        <v>285</v>
      </c>
      <c r="B171" t="s">
        <v>353</v>
      </c>
      <c r="C171">
        <v>3</v>
      </c>
    </row>
    <row r="172" spans="1:3" ht="15.75" customHeight="1" x14ac:dyDescent="0.2">
      <c r="A172" t="s">
        <v>285</v>
      </c>
      <c r="B172" t="s">
        <v>353</v>
      </c>
      <c r="C172">
        <v>3</v>
      </c>
    </row>
    <row r="173" spans="1:3" ht="15.75" customHeight="1" x14ac:dyDescent="0.2">
      <c r="A173" t="s">
        <v>285</v>
      </c>
      <c r="B173" t="s">
        <v>353</v>
      </c>
      <c r="C173">
        <v>3</v>
      </c>
    </row>
    <row r="174" spans="1:3" ht="15.75" customHeight="1" x14ac:dyDescent="0.2">
      <c r="A174" t="s">
        <v>285</v>
      </c>
      <c r="B174" t="s">
        <v>353</v>
      </c>
      <c r="C174">
        <v>3</v>
      </c>
    </row>
    <row r="175" spans="1:3" ht="15.75" customHeight="1" x14ac:dyDescent="0.2">
      <c r="A175" t="s">
        <v>285</v>
      </c>
      <c r="B175" t="s">
        <v>353</v>
      </c>
      <c r="C175">
        <v>3</v>
      </c>
    </row>
    <row r="176" spans="1:3" ht="15.75" customHeight="1" x14ac:dyDescent="0.2">
      <c r="A176" t="s">
        <v>285</v>
      </c>
      <c r="B176" t="s">
        <v>353</v>
      </c>
      <c r="C176">
        <v>3</v>
      </c>
    </row>
    <row r="177" spans="1:3" ht="15.75" customHeight="1" x14ac:dyDescent="0.2">
      <c r="A177" t="s">
        <v>285</v>
      </c>
      <c r="B177" t="s">
        <v>353</v>
      </c>
      <c r="C177">
        <v>3</v>
      </c>
    </row>
    <row r="178" spans="1:3" ht="15.75" customHeight="1" x14ac:dyDescent="0.2">
      <c r="A178" t="s">
        <v>285</v>
      </c>
      <c r="B178" t="s">
        <v>353</v>
      </c>
      <c r="C178">
        <v>3</v>
      </c>
    </row>
    <row r="179" spans="1:3" ht="15.75" customHeight="1" x14ac:dyDescent="0.2">
      <c r="A179" t="s">
        <v>285</v>
      </c>
      <c r="B179" t="s">
        <v>353</v>
      </c>
      <c r="C179">
        <v>3</v>
      </c>
    </row>
    <row r="180" spans="1:3" ht="15.75" customHeight="1" x14ac:dyDescent="0.2">
      <c r="A180" t="s">
        <v>285</v>
      </c>
      <c r="B180" t="s">
        <v>353</v>
      </c>
      <c r="C180">
        <v>3</v>
      </c>
    </row>
    <row r="181" spans="1:3" ht="15.75" customHeight="1" x14ac:dyDescent="0.2">
      <c r="A181" t="s">
        <v>285</v>
      </c>
      <c r="B181" t="s">
        <v>353</v>
      </c>
      <c r="C181">
        <v>3</v>
      </c>
    </row>
    <row r="182" spans="1:3" ht="15.75" customHeight="1" x14ac:dyDescent="0.2">
      <c r="A182" t="s">
        <v>285</v>
      </c>
      <c r="B182" t="s">
        <v>353</v>
      </c>
      <c r="C182">
        <v>3</v>
      </c>
    </row>
    <row r="183" spans="1:3" ht="15.75" customHeight="1" x14ac:dyDescent="0.2">
      <c r="A183" t="s">
        <v>285</v>
      </c>
      <c r="B183" t="s">
        <v>353</v>
      </c>
      <c r="C183">
        <v>3</v>
      </c>
    </row>
    <row r="184" spans="1:3" ht="15.75" customHeight="1" x14ac:dyDescent="0.2">
      <c r="A184" t="s">
        <v>285</v>
      </c>
      <c r="B184" t="s">
        <v>353</v>
      </c>
      <c r="C184">
        <v>3</v>
      </c>
    </row>
    <row r="185" spans="1:3" ht="15.75" customHeight="1" x14ac:dyDescent="0.2">
      <c r="A185" t="s">
        <v>285</v>
      </c>
      <c r="B185" t="s">
        <v>353</v>
      </c>
      <c r="C185">
        <v>3</v>
      </c>
    </row>
    <row r="186" spans="1:3" ht="15.75" customHeight="1" x14ac:dyDescent="0.2">
      <c r="A186" t="s">
        <v>285</v>
      </c>
      <c r="B186" t="s">
        <v>353</v>
      </c>
      <c r="C186">
        <v>3</v>
      </c>
    </row>
    <row r="187" spans="1:3" ht="15.75" customHeight="1" x14ac:dyDescent="0.2">
      <c r="A187" t="s">
        <v>285</v>
      </c>
      <c r="B187" t="s">
        <v>353</v>
      </c>
      <c r="C187">
        <v>3</v>
      </c>
    </row>
    <row r="188" spans="1:3" ht="15.75" customHeight="1" x14ac:dyDescent="0.2">
      <c r="A188" t="s">
        <v>285</v>
      </c>
      <c r="B188" t="s">
        <v>353</v>
      </c>
      <c r="C188">
        <v>3</v>
      </c>
    </row>
    <row r="189" spans="1:3" ht="15.75" customHeight="1" x14ac:dyDescent="0.2">
      <c r="A189" t="s">
        <v>285</v>
      </c>
      <c r="B189" t="s">
        <v>353</v>
      </c>
      <c r="C189">
        <v>3</v>
      </c>
    </row>
    <row r="190" spans="1:3" ht="15.75" customHeight="1" x14ac:dyDescent="0.2">
      <c r="A190" t="s">
        <v>285</v>
      </c>
      <c r="B190" t="s">
        <v>353</v>
      </c>
      <c r="C190">
        <v>3</v>
      </c>
    </row>
    <row r="191" spans="1:3" ht="15.75" customHeight="1" x14ac:dyDescent="0.2">
      <c r="A191" t="s">
        <v>285</v>
      </c>
      <c r="B191" t="s">
        <v>353</v>
      </c>
      <c r="C191">
        <v>3</v>
      </c>
    </row>
    <row r="192" spans="1:3" ht="15.75" customHeight="1" x14ac:dyDescent="0.2">
      <c r="A192" t="s">
        <v>285</v>
      </c>
      <c r="B192" t="s">
        <v>353</v>
      </c>
      <c r="C192">
        <v>3</v>
      </c>
    </row>
    <row r="193" spans="1:3" ht="15.75" customHeight="1" x14ac:dyDescent="0.2">
      <c r="A193" t="s">
        <v>285</v>
      </c>
      <c r="B193" t="s">
        <v>353</v>
      </c>
      <c r="C193">
        <v>3</v>
      </c>
    </row>
    <row r="194" spans="1:3" ht="15.75" customHeight="1" x14ac:dyDescent="0.2">
      <c r="A194" t="s">
        <v>285</v>
      </c>
      <c r="B194" t="s">
        <v>353</v>
      </c>
      <c r="C194">
        <v>3</v>
      </c>
    </row>
    <row r="195" spans="1:3" ht="15.75" customHeight="1" x14ac:dyDescent="0.2">
      <c r="A195" t="s">
        <v>285</v>
      </c>
      <c r="B195" t="s">
        <v>353</v>
      </c>
      <c r="C195">
        <v>3</v>
      </c>
    </row>
    <row r="196" spans="1:3" ht="15.75" customHeight="1" x14ac:dyDescent="0.2">
      <c r="A196" t="s">
        <v>285</v>
      </c>
      <c r="B196" t="s">
        <v>353</v>
      </c>
      <c r="C196">
        <v>3</v>
      </c>
    </row>
    <row r="197" spans="1:3" ht="15.75" customHeight="1" x14ac:dyDescent="0.2">
      <c r="A197" t="s">
        <v>285</v>
      </c>
      <c r="B197" t="s">
        <v>353</v>
      </c>
      <c r="C197">
        <v>3</v>
      </c>
    </row>
    <row r="198" spans="1:3" ht="15.75" customHeight="1" x14ac:dyDescent="0.2">
      <c r="A198" t="s">
        <v>285</v>
      </c>
      <c r="B198" t="s">
        <v>353</v>
      </c>
      <c r="C198">
        <v>3</v>
      </c>
    </row>
    <row r="199" spans="1:3" ht="15.75" customHeight="1" x14ac:dyDescent="0.2">
      <c r="A199" t="s">
        <v>285</v>
      </c>
      <c r="B199" t="s">
        <v>353</v>
      </c>
      <c r="C199">
        <v>3</v>
      </c>
    </row>
    <row r="200" spans="1:3" ht="15.75" customHeight="1" x14ac:dyDescent="0.2">
      <c r="A200" t="s">
        <v>285</v>
      </c>
      <c r="B200" t="s">
        <v>353</v>
      </c>
      <c r="C200">
        <v>3</v>
      </c>
    </row>
    <row r="201" spans="1:3" ht="15.75" customHeight="1" x14ac:dyDescent="0.2">
      <c r="A201" t="s">
        <v>285</v>
      </c>
      <c r="B201" t="s">
        <v>353</v>
      </c>
      <c r="C201">
        <v>3</v>
      </c>
    </row>
    <row r="202" spans="1:3" ht="15.75" customHeight="1" x14ac:dyDescent="0.2">
      <c r="A202" t="s">
        <v>285</v>
      </c>
      <c r="B202" t="s">
        <v>353</v>
      </c>
      <c r="C202">
        <v>3</v>
      </c>
    </row>
    <row r="203" spans="1:3" ht="15.75" customHeight="1" x14ac:dyDescent="0.2">
      <c r="A203" t="s">
        <v>285</v>
      </c>
      <c r="B203" t="s">
        <v>353</v>
      </c>
      <c r="C203">
        <v>3</v>
      </c>
    </row>
    <row r="204" spans="1:3" ht="15.75" customHeight="1" x14ac:dyDescent="0.2">
      <c r="A204" t="s">
        <v>285</v>
      </c>
      <c r="B204" t="s">
        <v>353</v>
      </c>
      <c r="C204">
        <v>3</v>
      </c>
    </row>
    <row r="205" spans="1:3" ht="15.75" customHeight="1" x14ac:dyDescent="0.2">
      <c r="A205" t="s">
        <v>285</v>
      </c>
      <c r="B205" t="s">
        <v>353</v>
      </c>
      <c r="C205">
        <v>3</v>
      </c>
    </row>
    <row r="206" spans="1:3" ht="15.75" customHeight="1" x14ac:dyDescent="0.2">
      <c r="A206" t="s">
        <v>285</v>
      </c>
      <c r="B206" t="s">
        <v>353</v>
      </c>
      <c r="C206">
        <v>3</v>
      </c>
    </row>
    <row r="207" spans="1:3" ht="15.75" customHeight="1" x14ac:dyDescent="0.2">
      <c r="A207" t="s">
        <v>285</v>
      </c>
      <c r="B207" t="s">
        <v>353</v>
      </c>
      <c r="C207">
        <v>3</v>
      </c>
    </row>
    <row r="208" spans="1:3" ht="15.75" customHeight="1" x14ac:dyDescent="0.2">
      <c r="A208" t="s">
        <v>285</v>
      </c>
      <c r="B208" t="s">
        <v>353</v>
      </c>
      <c r="C208">
        <v>3</v>
      </c>
    </row>
    <row r="209" spans="1:3" ht="15.75" customHeight="1" x14ac:dyDescent="0.2">
      <c r="A209" t="s">
        <v>285</v>
      </c>
      <c r="B209" t="s">
        <v>353</v>
      </c>
      <c r="C209">
        <v>3</v>
      </c>
    </row>
    <row r="210" spans="1:3" ht="15.75" customHeight="1" x14ac:dyDescent="0.2">
      <c r="A210" t="s">
        <v>285</v>
      </c>
      <c r="B210" t="s">
        <v>353</v>
      </c>
      <c r="C210">
        <v>3</v>
      </c>
    </row>
    <row r="211" spans="1:3" ht="15.75" customHeight="1" x14ac:dyDescent="0.2">
      <c r="A211" t="s">
        <v>285</v>
      </c>
      <c r="B211" t="s">
        <v>353</v>
      </c>
      <c r="C211">
        <v>3</v>
      </c>
    </row>
    <row r="212" spans="1:3" ht="15.75" customHeight="1" x14ac:dyDescent="0.2">
      <c r="A212" t="s">
        <v>285</v>
      </c>
      <c r="B212" t="s">
        <v>353</v>
      </c>
      <c r="C212">
        <v>3</v>
      </c>
    </row>
    <row r="213" spans="1:3" ht="15.75" customHeight="1" x14ac:dyDescent="0.2">
      <c r="A213" t="s">
        <v>285</v>
      </c>
      <c r="B213" t="s">
        <v>353</v>
      </c>
      <c r="C213">
        <v>3</v>
      </c>
    </row>
    <row r="214" spans="1:3" ht="15.75" customHeight="1" x14ac:dyDescent="0.2">
      <c r="A214" t="s">
        <v>285</v>
      </c>
      <c r="B214" t="s">
        <v>353</v>
      </c>
      <c r="C214">
        <v>3</v>
      </c>
    </row>
    <row r="215" spans="1:3" ht="15.75" customHeight="1" x14ac:dyDescent="0.2">
      <c r="A215" t="s">
        <v>285</v>
      </c>
      <c r="B215" t="s">
        <v>353</v>
      </c>
      <c r="C215">
        <v>3</v>
      </c>
    </row>
    <row r="216" spans="1:3" ht="15.75" customHeight="1" x14ac:dyDescent="0.2">
      <c r="A216" t="s">
        <v>285</v>
      </c>
      <c r="B216" t="s">
        <v>353</v>
      </c>
      <c r="C216">
        <v>3</v>
      </c>
    </row>
    <row r="217" spans="1:3" ht="15.75" customHeight="1" x14ac:dyDescent="0.2">
      <c r="A217" t="s">
        <v>285</v>
      </c>
      <c r="B217" t="s">
        <v>353</v>
      </c>
      <c r="C217">
        <v>3</v>
      </c>
    </row>
    <row r="218" spans="1:3" ht="15.75" customHeight="1" x14ac:dyDescent="0.2">
      <c r="A218" t="s">
        <v>285</v>
      </c>
      <c r="B218" t="s">
        <v>355</v>
      </c>
      <c r="C218">
        <v>4</v>
      </c>
    </row>
    <row r="219" spans="1:3" ht="15.75" customHeight="1" x14ac:dyDescent="0.2">
      <c r="A219" t="s">
        <v>285</v>
      </c>
      <c r="B219" t="s">
        <v>355</v>
      </c>
      <c r="C219">
        <v>4</v>
      </c>
    </row>
    <row r="220" spans="1:3" ht="15.75" customHeight="1" x14ac:dyDescent="0.2">
      <c r="A220" t="s">
        <v>285</v>
      </c>
      <c r="B220" t="s">
        <v>355</v>
      </c>
      <c r="C220">
        <v>4</v>
      </c>
    </row>
    <row r="221" spans="1:3" ht="15.75" customHeight="1" x14ac:dyDescent="0.2">
      <c r="A221" t="s">
        <v>285</v>
      </c>
      <c r="B221" t="s">
        <v>355</v>
      </c>
      <c r="C221">
        <v>4</v>
      </c>
    </row>
    <row r="222" spans="1:3" ht="15.75" customHeight="1" x14ac:dyDescent="0.2">
      <c r="A222" t="s">
        <v>285</v>
      </c>
      <c r="B222" t="s">
        <v>355</v>
      </c>
      <c r="C222">
        <v>4</v>
      </c>
    </row>
    <row r="223" spans="1:3" ht="15.75" customHeight="1" x14ac:dyDescent="0.2">
      <c r="A223" t="s">
        <v>285</v>
      </c>
      <c r="B223" t="s">
        <v>355</v>
      </c>
      <c r="C223">
        <v>4</v>
      </c>
    </row>
    <row r="224" spans="1:3" ht="15.75" customHeight="1" x14ac:dyDescent="0.2">
      <c r="A224" t="s">
        <v>285</v>
      </c>
      <c r="B224" t="s">
        <v>355</v>
      </c>
      <c r="C224">
        <v>4</v>
      </c>
    </row>
    <row r="225" spans="1:3" ht="15.75" customHeight="1" x14ac:dyDescent="0.2">
      <c r="A225" t="s">
        <v>285</v>
      </c>
      <c r="B225" t="s">
        <v>355</v>
      </c>
      <c r="C225">
        <v>4</v>
      </c>
    </row>
    <row r="226" spans="1:3" ht="15.75" customHeight="1" x14ac:dyDescent="0.2">
      <c r="A226" t="s">
        <v>285</v>
      </c>
      <c r="B226" t="s">
        <v>355</v>
      </c>
      <c r="C226">
        <v>4</v>
      </c>
    </row>
    <row r="227" spans="1:3" ht="15.75" customHeight="1" x14ac:dyDescent="0.2">
      <c r="A227" t="s">
        <v>285</v>
      </c>
      <c r="B227" t="s">
        <v>355</v>
      </c>
      <c r="C227">
        <v>4</v>
      </c>
    </row>
    <row r="228" spans="1:3" ht="15.75" customHeight="1" x14ac:dyDescent="0.2">
      <c r="A228" t="s">
        <v>285</v>
      </c>
      <c r="B228" t="s">
        <v>355</v>
      </c>
      <c r="C228">
        <v>4</v>
      </c>
    </row>
    <row r="229" spans="1:3" ht="15.75" customHeight="1" x14ac:dyDescent="0.2">
      <c r="A229" t="s">
        <v>285</v>
      </c>
      <c r="B229" t="s">
        <v>355</v>
      </c>
      <c r="C229">
        <v>4</v>
      </c>
    </row>
    <row r="230" spans="1:3" ht="15.75" customHeight="1" x14ac:dyDescent="0.2">
      <c r="A230" t="s">
        <v>285</v>
      </c>
      <c r="B230" t="s">
        <v>355</v>
      </c>
      <c r="C230">
        <v>4</v>
      </c>
    </row>
    <row r="231" spans="1:3" ht="15.75" customHeight="1" x14ac:dyDescent="0.2">
      <c r="A231" t="s">
        <v>285</v>
      </c>
      <c r="B231" t="s">
        <v>355</v>
      </c>
      <c r="C231">
        <v>4</v>
      </c>
    </row>
    <row r="232" spans="1:3" ht="15.75" customHeight="1" x14ac:dyDescent="0.2">
      <c r="A232" t="s">
        <v>285</v>
      </c>
      <c r="B232" t="s">
        <v>355</v>
      </c>
      <c r="C232">
        <v>4</v>
      </c>
    </row>
    <row r="233" spans="1:3" ht="15.75" customHeight="1" x14ac:dyDescent="0.2">
      <c r="A233" t="s">
        <v>285</v>
      </c>
      <c r="B233" t="s">
        <v>355</v>
      </c>
      <c r="C233">
        <v>4</v>
      </c>
    </row>
    <row r="234" spans="1:3" ht="15.75" customHeight="1" x14ac:dyDescent="0.2">
      <c r="A234" t="s">
        <v>285</v>
      </c>
      <c r="B234" t="s">
        <v>355</v>
      </c>
      <c r="C234">
        <v>4</v>
      </c>
    </row>
    <row r="235" spans="1:3" ht="15.75" customHeight="1" x14ac:dyDescent="0.2">
      <c r="A235" t="s">
        <v>285</v>
      </c>
      <c r="B235" t="s">
        <v>355</v>
      </c>
      <c r="C235">
        <v>4</v>
      </c>
    </row>
    <row r="236" spans="1:3" ht="15.75" customHeight="1" x14ac:dyDescent="0.2">
      <c r="A236" t="s">
        <v>285</v>
      </c>
      <c r="B236" t="s">
        <v>355</v>
      </c>
      <c r="C236">
        <v>4</v>
      </c>
    </row>
    <row r="237" spans="1:3" ht="15.75" customHeight="1" x14ac:dyDescent="0.2">
      <c r="A237" t="s">
        <v>285</v>
      </c>
      <c r="B237" t="s">
        <v>355</v>
      </c>
      <c r="C237">
        <v>4</v>
      </c>
    </row>
    <row r="238" spans="1:3" ht="15.75" customHeight="1" x14ac:dyDescent="0.2">
      <c r="A238" t="s">
        <v>285</v>
      </c>
      <c r="B238" t="s">
        <v>355</v>
      </c>
      <c r="C238">
        <v>4</v>
      </c>
    </row>
    <row r="239" spans="1:3" ht="15.75" customHeight="1" x14ac:dyDescent="0.2">
      <c r="A239" t="s">
        <v>285</v>
      </c>
      <c r="B239" t="s">
        <v>355</v>
      </c>
      <c r="C239">
        <v>4</v>
      </c>
    </row>
    <row r="240" spans="1:3" ht="15.75" customHeight="1" x14ac:dyDescent="0.2">
      <c r="A240" t="s">
        <v>285</v>
      </c>
      <c r="B240" t="s">
        <v>355</v>
      </c>
      <c r="C240">
        <v>4</v>
      </c>
    </row>
    <row r="241" spans="1:3" ht="15.75" customHeight="1" x14ac:dyDescent="0.2">
      <c r="A241" t="s">
        <v>285</v>
      </c>
      <c r="B241" t="s">
        <v>355</v>
      </c>
      <c r="C241">
        <v>4</v>
      </c>
    </row>
    <row r="242" spans="1:3" ht="15.75" customHeight="1" x14ac:dyDescent="0.2">
      <c r="A242" t="s">
        <v>285</v>
      </c>
      <c r="B242" t="s">
        <v>355</v>
      </c>
      <c r="C242">
        <v>4</v>
      </c>
    </row>
    <row r="243" spans="1:3" ht="15.75" customHeight="1" x14ac:dyDescent="0.2">
      <c r="A243" t="s">
        <v>285</v>
      </c>
      <c r="B243" t="s">
        <v>355</v>
      </c>
      <c r="C243">
        <v>4</v>
      </c>
    </row>
    <row r="244" spans="1:3" ht="15.75" customHeight="1" x14ac:dyDescent="0.2">
      <c r="A244" t="s">
        <v>285</v>
      </c>
      <c r="B244" t="s">
        <v>355</v>
      </c>
      <c r="C244">
        <v>4</v>
      </c>
    </row>
    <row r="245" spans="1:3" ht="15.75" customHeight="1" x14ac:dyDescent="0.2">
      <c r="A245" t="s">
        <v>285</v>
      </c>
      <c r="B245" t="s">
        <v>355</v>
      </c>
      <c r="C245">
        <v>4</v>
      </c>
    </row>
    <row r="246" spans="1:3" ht="15.75" customHeight="1" x14ac:dyDescent="0.2">
      <c r="A246" t="s">
        <v>285</v>
      </c>
      <c r="B246" t="s">
        <v>355</v>
      </c>
      <c r="C246">
        <v>4</v>
      </c>
    </row>
    <row r="247" spans="1:3" ht="15.75" customHeight="1" x14ac:dyDescent="0.2">
      <c r="A247" t="s">
        <v>285</v>
      </c>
      <c r="B247" t="s">
        <v>355</v>
      </c>
      <c r="C247">
        <v>4</v>
      </c>
    </row>
    <row r="248" spans="1:3" ht="15.75" customHeight="1" x14ac:dyDescent="0.2">
      <c r="A248" t="s">
        <v>285</v>
      </c>
      <c r="B248" t="s">
        <v>355</v>
      </c>
      <c r="C248">
        <v>4</v>
      </c>
    </row>
    <row r="249" spans="1:3" ht="15.75" customHeight="1" x14ac:dyDescent="0.2">
      <c r="A249" t="s">
        <v>285</v>
      </c>
      <c r="B249" t="s">
        <v>355</v>
      </c>
      <c r="C249">
        <v>4</v>
      </c>
    </row>
    <row r="250" spans="1:3" ht="15.75" customHeight="1" x14ac:dyDescent="0.2">
      <c r="A250" t="s">
        <v>285</v>
      </c>
      <c r="B250" t="s">
        <v>355</v>
      </c>
      <c r="C250">
        <v>4</v>
      </c>
    </row>
    <row r="251" spans="1:3" ht="15.75" customHeight="1" x14ac:dyDescent="0.2">
      <c r="A251" t="s">
        <v>285</v>
      </c>
      <c r="B251" t="s">
        <v>355</v>
      </c>
      <c r="C251">
        <v>4</v>
      </c>
    </row>
    <row r="252" spans="1:3" ht="15.75" customHeight="1" x14ac:dyDescent="0.2">
      <c r="A252" t="s">
        <v>285</v>
      </c>
      <c r="B252" t="s">
        <v>355</v>
      </c>
      <c r="C252">
        <v>4</v>
      </c>
    </row>
    <row r="253" spans="1:3" ht="15.75" customHeight="1" x14ac:dyDescent="0.2">
      <c r="A253" t="s">
        <v>285</v>
      </c>
      <c r="B253" t="s">
        <v>355</v>
      </c>
      <c r="C253">
        <v>4</v>
      </c>
    </row>
    <row r="254" spans="1:3" ht="15.75" customHeight="1" x14ac:dyDescent="0.2">
      <c r="A254" t="s">
        <v>285</v>
      </c>
      <c r="B254" t="s">
        <v>355</v>
      </c>
      <c r="C254">
        <v>4</v>
      </c>
    </row>
    <row r="255" spans="1:3" ht="15.75" customHeight="1" x14ac:dyDescent="0.2">
      <c r="A255" t="s">
        <v>285</v>
      </c>
      <c r="B255" t="s">
        <v>355</v>
      </c>
      <c r="C255">
        <v>4</v>
      </c>
    </row>
    <row r="256" spans="1:3" ht="15.75" customHeight="1" x14ac:dyDescent="0.2">
      <c r="A256" t="s">
        <v>285</v>
      </c>
      <c r="B256" t="s">
        <v>355</v>
      </c>
      <c r="C256">
        <v>4</v>
      </c>
    </row>
    <row r="257" spans="1:3" ht="15.75" customHeight="1" x14ac:dyDescent="0.2">
      <c r="A257" t="s">
        <v>285</v>
      </c>
      <c r="B257" t="s">
        <v>355</v>
      </c>
      <c r="C257">
        <v>4</v>
      </c>
    </row>
    <row r="258" spans="1:3" ht="15.75" customHeight="1" x14ac:dyDescent="0.2">
      <c r="A258" t="s">
        <v>285</v>
      </c>
      <c r="B258" t="s">
        <v>355</v>
      </c>
      <c r="C258">
        <v>4</v>
      </c>
    </row>
    <row r="259" spans="1:3" ht="15.75" customHeight="1" x14ac:dyDescent="0.2">
      <c r="A259" t="s">
        <v>285</v>
      </c>
      <c r="B259" t="s">
        <v>355</v>
      </c>
      <c r="C259">
        <v>4</v>
      </c>
    </row>
    <row r="260" spans="1:3" ht="15.75" customHeight="1" x14ac:dyDescent="0.2">
      <c r="A260" t="s">
        <v>285</v>
      </c>
      <c r="B260" t="s">
        <v>355</v>
      </c>
      <c r="C260">
        <v>4</v>
      </c>
    </row>
    <row r="261" spans="1:3" ht="15.75" customHeight="1" x14ac:dyDescent="0.2">
      <c r="A261" t="s">
        <v>285</v>
      </c>
      <c r="B261" t="s">
        <v>355</v>
      </c>
      <c r="C261">
        <v>4</v>
      </c>
    </row>
    <row r="262" spans="1:3" ht="15.75" customHeight="1" x14ac:dyDescent="0.2">
      <c r="A262" t="s">
        <v>285</v>
      </c>
      <c r="B262" t="s">
        <v>355</v>
      </c>
      <c r="C262">
        <v>4</v>
      </c>
    </row>
    <row r="263" spans="1:3" ht="15.75" customHeight="1" x14ac:dyDescent="0.2">
      <c r="A263" t="s">
        <v>285</v>
      </c>
      <c r="B263" t="s">
        <v>355</v>
      </c>
      <c r="C263">
        <v>4</v>
      </c>
    </row>
    <row r="264" spans="1:3" ht="15.75" customHeight="1" x14ac:dyDescent="0.2">
      <c r="A264" t="s">
        <v>285</v>
      </c>
      <c r="B264" t="s">
        <v>355</v>
      </c>
      <c r="C264">
        <v>4</v>
      </c>
    </row>
    <row r="265" spans="1:3" ht="15.75" customHeight="1" x14ac:dyDescent="0.2">
      <c r="A265" t="s">
        <v>285</v>
      </c>
      <c r="B265" t="s">
        <v>355</v>
      </c>
      <c r="C265">
        <v>4</v>
      </c>
    </row>
    <row r="266" spans="1:3" ht="15.75" customHeight="1" x14ac:dyDescent="0.2">
      <c r="A266" t="s">
        <v>285</v>
      </c>
      <c r="B266" t="s">
        <v>355</v>
      </c>
      <c r="C266">
        <v>4</v>
      </c>
    </row>
    <row r="267" spans="1:3" ht="15.75" customHeight="1" x14ac:dyDescent="0.2">
      <c r="A267" t="s">
        <v>285</v>
      </c>
      <c r="B267" t="s">
        <v>357</v>
      </c>
      <c r="C267">
        <v>5</v>
      </c>
    </row>
    <row r="268" spans="1:3" ht="15.75" customHeight="1" x14ac:dyDescent="0.2">
      <c r="A268" t="s">
        <v>285</v>
      </c>
      <c r="B268" t="s">
        <v>357</v>
      </c>
      <c r="C268">
        <v>5</v>
      </c>
    </row>
    <row r="269" spans="1:3" ht="15.75" customHeight="1" x14ac:dyDescent="0.2">
      <c r="A269" t="s">
        <v>285</v>
      </c>
      <c r="B269" t="s">
        <v>357</v>
      </c>
      <c r="C269">
        <v>5</v>
      </c>
    </row>
    <row r="270" spans="1:3" ht="15.75" customHeight="1" x14ac:dyDescent="0.2">
      <c r="A270" t="s">
        <v>285</v>
      </c>
      <c r="B270" t="s">
        <v>357</v>
      </c>
      <c r="C270">
        <v>5</v>
      </c>
    </row>
    <row r="271" spans="1:3" ht="15.75" customHeight="1" x14ac:dyDescent="0.2">
      <c r="A271" t="s">
        <v>285</v>
      </c>
      <c r="B271" t="s">
        <v>357</v>
      </c>
      <c r="C271">
        <v>5</v>
      </c>
    </row>
    <row r="272" spans="1:3" ht="15.75" customHeight="1" x14ac:dyDescent="0.2">
      <c r="A272" t="s">
        <v>285</v>
      </c>
      <c r="B272" t="s">
        <v>357</v>
      </c>
      <c r="C272">
        <v>5</v>
      </c>
    </row>
    <row r="273" spans="1:3" ht="15.75" customHeight="1" x14ac:dyDescent="0.2">
      <c r="A273" t="s">
        <v>285</v>
      </c>
      <c r="B273" t="s">
        <v>357</v>
      </c>
      <c r="C273">
        <v>5</v>
      </c>
    </row>
    <row r="274" spans="1:3" ht="15.75" customHeight="1" x14ac:dyDescent="0.2">
      <c r="A274" t="s">
        <v>285</v>
      </c>
      <c r="B274" t="s">
        <v>357</v>
      </c>
      <c r="C274">
        <v>5</v>
      </c>
    </row>
    <row r="275" spans="1:3" ht="15.75" customHeight="1" x14ac:dyDescent="0.2">
      <c r="A275" t="s">
        <v>285</v>
      </c>
      <c r="B275" t="s">
        <v>357</v>
      </c>
      <c r="C275">
        <v>5</v>
      </c>
    </row>
    <row r="276" spans="1:3" ht="15.75" customHeight="1" x14ac:dyDescent="0.2">
      <c r="A276" t="s">
        <v>285</v>
      </c>
      <c r="B276" t="s">
        <v>357</v>
      </c>
      <c r="C276">
        <v>5</v>
      </c>
    </row>
    <row r="277" spans="1:3" ht="15.75" customHeight="1" x14ac:dyDescent="0.2">
      <c r="A277" t="s">
        <v>285</v>
      </c>
      <c r="B277" t="s">
        <v>357</v>
      </c>
      <c r="C277">
        <v>5</v>
      </c>
    </row>
    <row r="278" spans="1:3" ht="15.75" customHeight="1" x14ac:dyDescent="0.2">
      <c r="A278" t="s">
        <v>285</v>
      </c>
      <c r="B278" t="s">
        <v>357</v>
      </c>
      <c r="C278">
        <v>5</v>
      </c>
    </row>
    <row r="279" spans="1:3" ht="15.75" customHeight="1" x14ac:dyDescent="0.2">
      <c r="A279" t="s">
        <v>285</v>
      </c>
      <c r="B279" t="s">
        <v>357</v>
      </c>
      <c r="C279">
        <v>5</v>
      </c>
    </row>
    <row r="280" spans="1:3" ht="15.75" customHeight="1" x14ac:dyDescent="0.2">
      <c r="A280" t="s">
        <v>285</v>
      </c>
      <c r="B280" t="s">
        <v>357</v>
      </c>
      <c r="C280">
        <v>5</v>
      </c>
    </row>
    <row r="281" spans="1:3" ht="15.75" customHeight="1" x14ac:dyDescent="0.2">
      <c r="A281" t="s">
        <v>285</v>
      </c>
      <c r="B281" t="s">
        <v>357</v>
      </c>
      <c r="C281">
        <v>5</v>
      </c>
    </row>
    <row r="282" spans="1:3" ht="15.75" customHeight="1" x14ac:dyDescent="0.2">
      <c r="A282" t="s">
        <v>285</v>
      </c>
      <c r="B282" t="s">
        <v>357</v>
      </c>
      <c r="C282">
        <v>5</v>
      </c>
    </row>
    <row r="283" spans="1:3" ht="15.75" customHeight="1" x14ac:dyDescent="0.2">
      <c r="A283" t="s">
        <v>285</v>
      </c>
      <c r="B283" t="s">
        <v>357</v>
      </c>
      <c r="C283">
        <v>5</v>
      </c>
    </row>
    <row r="284" spans="1:3" ht="15.75" customHeight="1" x14ac:dyDescent="0.2">
      <c r="A284" t="s">
        <v>285</v>
      </c>
      <c r="B284" t="s">
        <v>357</v>
      </c>
      <c r="C284">
        <v>5</v>
      </c>
    </row>
    <row r="285" spans="1:3" ht="15.75" customHeight="1" x14ac:dyDescent="0.2">
      <c r="A285" t="s">
        <v>285</v>
      </c>
      <c r="B285" t="s">
        <v>357</v>
      </c>
      <c r="C285">
        <v>5</v>
      </c>
    </row>
    <row r="286" spans="1:3" ht="15.75" customHeight="1" x14ac:dyDescent="0.2">
      <c r="A286" t="s">
        <v>285</v>
      </c>
      <c r="B286" t="s">
        <v>357</v>
      </c>
      <c r="C286">
        <v>5</v>
      </c>
    </row>
    <row r="287" spans="1:3" ht="15.75" customHeight="1" x14ac:dyDescent="0.2">
      <c r="A287" t="s">
        <v>285</v>
      </c>
      <c r="B287" t="s">
        <v>357</v>
      </c>
      <c r="C287">
        <v>5</v>
      </c>
    </row>
    <row r="288" spans="1:3" ht="15.75" customHeight="1" x14ac:dyDescent="0.2">
      <c r="A288" t="s">
        <v>285</v>
      </c>
      <c r="B288" t="s">
        <v>357</v>
      </c>
      <c r="C288">
        <v>5</v>
      </c>
    </row>
    <row r="289" spans="1:3" ht="15.75" customHeight="1" x14ac:dyDescent="0.2">
      <c r="A289" t="s">
        <v>285</v>
      </c>
      <c r="B289" t="s">
        <v>357</v>
      </c>
      <c r="C289">
        <v>5</v>
      </c>
    </row>
    <row r="290" spans="1:3" ht="15.75" customHeight="1" x14ac:dyDescent="0.2">
      <c r="A290" t="s">
        <v>285</v>
      </c>
      <c r="B290" t="s">
        <v>357</v>
      </c>
      <c r="C290">
        <v>5</v>
      </c>
    </row>
    <row r="291" spans="1:3" ht="15.75" customHeight="1" x14ac:dyDescent="0.2">
      <c r="A291" t="s">
        <v>285</v>
      </c>
      <c r="B291" t="s">
        <v>357</v>
      </c>
      <c r="C291">
        <v>5</v>
      </c>
    </row>
    <row r="292" spans="1:3" ht="15.75" customHeight="1" x14ac:dyDescent="0.2">
      <c r="A292" t="s">
        <v>285</v>
      </c>
      <c r="B292" t="s">
        <v>357</v>
      </c>
      <c r="C292">
        <v>5</v>
      </c>
    </row>
    <row r="293" spans="1:3" ht="15.75" customHeight="1" x14ac:dyDescent="0.2">
      <c r="A293" t="s">
        <v>285</v>
      </c>
      <c r="B293" t="s">
        <v>357</v>
      </c>
      <c r="C293">
        <v>5</v>
      </c>
    </row>
    <row r="294" spans="1:3" ht="15.75" customHeight="1" x14ac:dyDescent="0.2">
      <c r="A294" t="s">
        <v>285</v>
      </c>
      <c r="B294" t="s">
        <v>357</v>
      </c>
      <c r="C294">
        <v>5</v>
      </c>
    </row>
    <row r="295" spans="1:3" ht="15.75" customHeight="1" x14ac:dyDescent="0.2">
      <c r="A295" t="s">
        <v>285</v>
      </c>
      <c r="B295" t="s">
        <v>357</v>
      </c>
      <c r="C295">
        <v>5</v>
      </c>
    </row>
    <row r="296" spans="1:3" ht="15.75" customHeight="1" x14ac:dyDescent="0.2">
      <c r="A296" t="s">
        <v>285</v>
      </c>
      <c r="B296" t="s">
        <v>357</v>
      </c>
      <c r="C296">
        <v>5</v>
      </c>
    </row>
    <row r="297" spans="1:3" ht="15.75" customHeight="1" x14ac:dyDescent="0.2">
      <c r="A297" t="s">
        <v>285</v>
      </c>
      <c r="B297" t="s">
        <v>357</v>
      </c>
      <c r="C297">
        <v>5</v>
      </c>
    </row>
    <row r="298" spans="1:3" ht="15.75" customHeight="1" x14ac:dyDescent="0.2">
      <c r="A298" t="s">
        <v>285</v>
      </c>
      <c r="B298" t="s">
        <v>357</v>
      </c>
      <c r="C298">
        <v>5</v>
      </c>
    </row>
    <row r="299" spans="1:3" ht="15.75" customHeight="1" x14ac:dyDescent="0.2">
      <c r="A299" t="s">
        <v>285</v>
      </c>
      <c r="B299" t="s">
        <v>357</v>
      </c>
      <c r="C299">
        <v>5</v>
      </c>
    </row>
    <row r="300" spans="1:3" ht="15.75" customHeight="1" x14ac:dyDescent="0.2">
      <c r="A300" t="s">
        <v>285</v>
      </c>
      <c r="B300" t="s">
        <v>357</v>
      </c>
      <c r="C300">
        <v>5</v>
      </c>
    </row>
    <row r="301" spans="1:3" ht="15.75" customHeight="1" x14ac:dyDescent="0.2">
      <c r="A301" t="s">
        <v>285</v>
      </c>
      <c r="B301" t="s">
        <v>357</v>
      </c>
      <c r="C301">
        <v>5</v>
      </c>
    </row>
    <row r="302" spans="1:3" ht="15.75" customHeight="1" x14ac:dyDescent="0.2">
      <c r="A302" t="s">
        <v>285</v>
      </c>
      <c r="B302" t="s">
        <v>357</v>
      </c>
      <c r="C302">
        <v>5</v>
      </c>
    </row>
    <row r="303" spans="1:3" ht="15.75" customHeight="1" x14ac:dyDescent="0.2">
      <c r="A303" t="s">
        <v>285</v>
      </c>
      <c r="B303" t="s">
        <v>357</v>
      </c>
      <c r="C303">
        <v>5</v>
      </c>
    </row>
    <row r="304" spans="1:3" ht="15.75" customHeight="1" x14ac:dyDescent="0.2">
      <c r="A304" t="s">
        <v>285</v>
      </c>
      <c r="B304" t="s">
        <v>357</v>
      </c>
      <c r="C304">
        <v>5</v>
      </c>
    </row>
    <row r="305" spans="1:3" ht="15.75" customHeight="1" x14ac:dyDescent="0.2">
      <c r="A305" t="s">
        <v>285</v>
      </c>
      <c r="B305" t="s">
        <v>357</v>
      </c>
      <c r="C305">
        <v>5</v>
      </c>
    </row>
    <row r="306" spans="1:3" ht="15.75" customHeight="1" x14ac:dyDescent="0.2">
      <c r="A306" t="s">
        <v>285</v>
      </c>
      <c r="B306" t="s">
        <v>357</v>
      </c>
      <c r="C306">
        <v>5</v>
      </c>
    </row>
    <row r="307" spans="1:3" ht="15.75" customHeight="1" x14ac:dyDescent="0.2">
      <c r="A307" t="s">
        <v>285</v>
      </c>
      <c r="B307" t="s">
        <v>357</v>
      </c>
      <c r="C307">
        <v>5</v>
      </c>
    </row>
    <row r="308" spans="1:3" ht="15.75" customHeight="1" x14ac:dyDescent="0.2">
      <c r="A308" t="s">
        <v>285</v>
      </c>
      <c r="B308" t="s">
        <v>357</v>
      </c>
      <c r="C308">
        <v>5</v>
      </c>
    </row>
    <row r="309" spans="1:3" ht="15.75" customHeight="1" x14ac:dyDescent="0.2">
      <c r="A309" t="s">
        <v>285</v>
      </c>
      <c r="B309" t="s">
        <v>357</v>
      </c>
      <c r="C309">
        <v>5</v>
      </c>
    </row>
    <row r="310" spans="1:3" ht="15.75" customHeight="1" x14ac:dyDescent="0.2">
      <c r="A310" t="s">
        <v>285</v>
      </c>
      <c r="B310" t="s">
        <v>357</v>
      </c>
      <c r="C310">
        <v>5</v>
      </c>
    </row>
    <row r="311" spans="1:3" ht="15.75" customHeight="1" x14ac:dyDescent="0.2">
      <c r="A311" t="s">
        <v>285</v>
      </c>
      <c r="B311" t="s">
        <v>357</v>
      </c>
      <c r="C311">
        <v>5</v>
      </c>
    </row>
    <row r="312" spans="1:3" ht="15.75" customHeight="1" x14ac:dyDescent="0.2">
      <c r="A312" t="s">
        <v>285</v>
      </c>
      <c r="B312" t="s">
        <v>357</v>
      </c>
      <c r="C312">
        <v>5</v>
      </c>
    </row>
    <row r="313" spans="1:3" ht="15.75" customHeight="1" x14ac:dyDescent="0.2">
      <c r="A313" t="s">
        <v>285</v>
      </c>
      <c r="B313" t="s">
        <v>357</v>
      </c>
      <c r="C313">
        <v>5</v>
      </c>
    </row>
    <row r="314" spans="1:3" ht="15.75" customHeight="1" x14ac:dyDescent="0.2">
      <c r="A314" t="s">
        <v>285</v>
      </c>
      <c r="B314" t="s">
        <v>357</v>
      </c>
      <c r="C314">
        <v>5</v>
      </c>
    </row>
    <row r="315" spans="1:3" ht="15.75" customHeight="1" x14ac:dyDescent="0.2">
      <c r="A315" t="s">
        <v>285</v>
      </c>
      <c r="B315" t="s">
        <v>357</v>
      </c>
      <c r="C315">
        <v>5</v>
      </c>
    </row>
    <row r="316" spans="1:3" ht="15.75" customHeight="1" x14ac:dyDescent="0.2">
      <c r="A316" t="s">
        <v>285</v>
      </c>
      <c r="B316" t="s">
        <v>357</v>
      </c>
      <c r="C316">
        <v>5</v>
      </c>
    </row>
    <row r="317" spans="1:3" ht="15.75" customHeight="1" x14ac:dyDescent="0.2">
      <c r="A317" t="s">
        <v>285</v>
      </c>
      <c r="B317" t="s">
        <v>357</v>
      </c>
      <c r="C317">
        <v>5</v>
      </c>
    </row>
    <row r="318" spans="1:3" ht="15.75" customHeight="1" x14ac:dyDescent="0.2">
      <c r="A318" t="s">
        <v>285</v>
      </c>
      <c r="B318" t="s">
        <v>357</v>
      </c>
      <c r="C318">
        <v>5</v>
      </c>
    </row>
    <row r="319" spans="1:3" ht="15.75" customHeight="1" x14ac:dyDescent="0.2">
      <c r="A319" t="s">
        <v>285</v>
      </c>
      <c r="B319" t="s">
        <v>357</v>
      </c>
      <c r="C319">
        <v>5</v>
      </c>
    </row>
    <row r="320" spans="1:3" ht="15.75" customHeight="1" x14ac:dyDescent="0.2">
      <c r="A320" t="s">
        <v>285</v>
      </c>
      <c r="B320" t="s">
        <v>357</v>
      </c>
      <c r="C320">
        <v>5</v>
      </c>
    </row>
    <row r="321" spans="1:3" ht="15.75" customHeight="1" x14ac:dyDescent="0.2">
      <c r="A321" t="s">
        <v>285</v>
      </c>
      <c r="B321" t="s">
        <v>357</v>
      </c>
      <c r="C321">
        <v>5</v>
      </c>
    </row>
    <row r="322" spans="1:3" ht="15.75" customHeight="1" x14ac:dyDescent="0.2">
      <c r="A322" t="s">
        <v>285</v>
      </c>
      <c r="B322" t="s">
        <v>357</v>
      </c>
      <c r="C322">
        <v>5</v>
      </c>
    </row>
    <row r="323" spans="1:3" ht="15.75" customHeight="1" x14ac:dyDescent="0.2">
      <c r="A323" t="s">
        <v>285</v>
      </c>
      <c r="B323" t="s">
        <v>357</v>
      </c>
      <c r="C323">
        <v>5</v>
      </c>
    </row>
    <row r="324" spans="1:3" ht="15.75" customHeight="1" x14ac:dyDescent="0.2">
      <c r="A324" t="s">
        <v>285</v>
      </c>
      <c r="B324" t="s">
        <v>357</v>
      </c>
      <c r="C324">
        <v>5</v>
      </c>
    </row>
    <row r="325" spans="1:3" ht="15.75" customHeight="1" x14ac:dyDescent="0.2">
      <c r="A325" t="s">
        <v>285</v>
      </c>
      <c r="B325" t="s">
        <v>357</v>
      </c>
      <c r="C325">
        <v>5</v>
      </c>
    </row>
    <row r="326" spans="1:3" ht="15.75" customHeight="1" x14ac:dyDescent="0.2">
      <c r="A326" t="s">
        <v>285</v>
      </c>
      <c r="B326" t="s">
        <v>357</v>
      </c>
      <c r="C326">
        <v>5</v>
      </c>
    </row>
    <row r="327" spans="1:3" ht="15.75" customHeight="1" x14ac:dyDescent="0.2">
      <c r="A327" t="s">
        <v>285</v>
      </c>
      <c r="B327" t="s">
        <v>357</v>
      </c>
      <c r="C327">
        <v>5</v>
      </c>
    </row>
    <row r="328" spans="1:3" ht="15.75" customHeight="1" x14ac:dyDescent="0.2">
      <c r="A328" t="s">
        <v>285</v>
      </c>
      <c r="B328" t="s">
        <v>357</v>
      </c>
      <c r="C328">
        <v>5</v>
      </c>
    </row>
    <row r="329" spans="1:3" ht="15.75" customHeight="1" x14ac:dyDescent="0.2">
      <c r="A329" t="s">
        <v>285</v>
      </c>
      <c r="B329" t="s">
        <v>357</v>
      </c>
      <c r="C329">
        <v>5</v>
      </c>
    </row>
    <row r="330" spans="1:3" ht="15.75" customHeight="1" x14ac:dyDescent="0.2">
      <c r="A330" t="s">
        <v>285</v>
      </c>
      <c r="B330" t="s">
        <v>357</v>
      </c>
      <c r="C330">
        <v>5</v>
      </c>
    </row>
    <row r="331" spans="1:3" ht="15.75" customHeight="1" x14ac:dyDescent="0.2">
      <c r="A331" t="s">
        <v>285</v>
      </c>
      <c r="B331" t="s">
        <v>357</v>
      </c>
      <c r="C331">
        <v>5</v>
      </c>
    </row>
    <row r="332" spans="1:3" ht="15.75" customHeight="1" x14ac:dyDescent="0.2">
      <c r="A332" t="s">
        <v>285</v>
      </c>
      <c r="B332" t="s">
        <v>357</v>
      </c>
      <c r="C332">
        <v>5</v>
      </c>
    </row>
    <row r="333" spans="1:3" ht="15.75" customHeight="1" x14ac:dyDescent="0.2">
      <c r="A333" t="s">
        <v>285</v>
      </c>
      <c r="B333" t="s">
        <v>357</v>
      </c>
      <c r="C333">
        <v>5</v>
      </c>
    </row>
    <row r="334" spans="1:3" ht="15.75" customHeight="1" x14ac:dyDescent="0.2">
      <c r="A334" t="s">
        <v>285</v>
      </c>
      <c r="B334" t="s">
        <v>357</v>
      </c>
      <c r="C334">
        <v>5</v>
      </c>
    </row>
    <row r="335" spans="1:3" ht="15.75" customHeight="1" x14ac:dyDescent="0.2">
      <c r="A335" t="s">
        <v>285</v>
      </c>
      <c r="B335" t="s">
        <v>357</v>
      </c>
      <c r="C335">
        <v>5</v>
      </c>
    </row>
    <row r="336" spans="1:3" ht="15.75" customHeight="1" x14ac:dyDescent="0.2">
      <c r="A336" t="s">
        <v>285</v>
      </c>
      <c r="B336" t="s">
        <v>357</v>
      </c>
      <c r="C336">
        <v>5</v>
      </c>
    </row>
    <row r="337" spans="1:3" ht="15.75" customHeight="1" x14ac:dyDescent="0.2">
      <c r="A337" t="s">
        <v>285</v>
      </c>
      <c r="B337" t="s">
        <v>357</v>
      </c>
      <c r="C337">
        <v>5</v>
      </c>
    </row>
    <row r="338" spans="1:3" ht="15.75" customHeight="1" x14ac:dyDescent="0.2">
      <c r="A338" t="s">
        <v>285</v>
      </c>
      <c r="B338" t="s">
        <v>357</v>
      </c>
      <c r="C338">
        <v>5</v>
      </c>
    </row>
    <row r="339" spans="1:3" ht="15.75" customHeight="1" x14ac:dyDescent="0.2">
      <c r="A339" t="s">
        <v>285</v>
      </c>
      <c r="B339" t="s">
        <v>357</v>
      </c>
      <c r="C339">
        <v>5</v>
      </c>
    </row>
    <row r="340" spans="1:3" ht="15.75" customHeight="1" x14ac:dyDescent="0.2">
      <c r="A340" t="s">
        <v>285</v>
      </c>
      <c r="B340" t="s">
        <v>357</v>
      </c>
      <c r="C340">
        <v>5</v>
      </c>
    </row>
    <row r="341" spans="1:3" ht="15.75" customHeight="1" x14ac:dyDescent="0.2">
      <c r="A341" t="s">
        <v>285</v>
      </c>
      <c r="B341" t="s">
        <v>357</v>
      </c>
      <c r="C341">
        <v>5</v>
      </c>
    </row>
    <row r="342" spans="1:3" ht="15.75" customHeight="1" x14ac:dyDescent="0.2">
      <c r="A342" t="s">
        <v>285</v>
      </c>
      <c r="B342" t="s">
        <v>357</v>
      </c>
      <c r="C342">
        <v>5</v>
      </c>
    </row>
    <row r="343" spans="1:3" ht="15.75" customHeight="1" x14ac:dyDescent="0.2">
      <c r="A343" t="s">
        <v>285</v>
      </c>
      <c r="B343" t="s">
        <v>357</v>
      </c>
      <c r="C343">
        <v>5</v>
      </c>
    </row>
    <row r="344" spans="1:3" ht="15.75" customHeight="1" x14ac:dyDescent="0.2">
      <c r="A344" t="s">
        <v>285</v>
      </c>
      <c r="B344" t="s">
        <v>357</v>
      </c>
      <c r="C344">
        <v>5</v>
      </c>
    </row>
    <row r="345" spans="1:3" ht="15.75" customHeight="1" x14ac:dyDescent="0.2">
      <c r="A345" t="s">
        <v>285</v>
      </c>
      <c r="B345" t="s">
        <v>357</v>
      </c>
      <c r="C345">
        <v>5</v>
      </c>
    </row>
    <row r="346" spans="1:3" ht="15.75" customHeight="1" x14ac:dyDescent="0.2">
      <c r="A346" t="s">
        <v>285</v>
      </c>
      <c r="B346" t="s">
        <v>357</v>
      </c>
      <c r="C346">
        <v>5</v>
      </c>
    </row>
    <row r="347" spans="1:3" ht="15.75" customHeight="1" x14ac:dyDescent="0.2">
      <c r="A347" t="s">
        <v>285</v>
      </c>
      <c r="B347" t="s">
        <v>357</v>
      </c>
      <c r="C347">
        <v>5</v>
      </c>
    </row>
    <row r="348" spans="1:3" ht="15.75" customHeight="1" x14ac:dyDescent="0.2">
      <c r="A348" t="s">
        <v>285</v>
      </c>
      <c r="B348" t="s">
        <v>357</v>
      </c>
      <c r="C348">
        <v>5</v>
      </c>
    </row>
    <row r="349" spans="1:3" ht="15.75" customHeight="1" x14ac:dyDescent="0.2">
      <c r="A349" t="s">
        <v>285</v>
      </c>
      <c r="B349" t="s">
        <v>357</v>
      </c>
      <c r="C349">
        <v>5</v>
      </c>
    </row>
    <row r="350" spans="1:3" ht="15.75" customHeight="1" x14ac:dyDescent="0.2">
      <c r="A350" t="s">
        <v>285</v>
      </c>
      <c r="B350" t="s">
        <v>357</v>
      </c>
      <c r="C350">
        <v>5</v>
      </c>
    </row>
    <row r="351" spans="1:3" ht="15.75" customHeight="1" x14ac:dyDescent="0.2">
      <c r="A351" t="s">
        <v>285</v>
      </c>
      <c r="B351" t="s">
        <v>357</v>
      </c>
      <c r="C351">
        <v>5</v>
      </c>
    </row>
    <row r="352" spans="1:3" ht="15.75" customHeight="1" x14ac:dyDescent="0.2">
      <c r="A352" t="s">
        <v>285</v>
      </c>
      <c r="B352" t="s">
        <v>357</v>
      </c>
      <c r="C352">
        <v>5</v>
      </c>
    </row>
    <row r="353" spans="1:3" ht="15.75" customHeight="1" x14ac:dyDescent="0.2">
      <c r="A353" t="s">
        <v>285</v>
      </c>
      <c r="B353" t="s">
        <v>357</v>
      </c>
      <c r="C353">
        <v>5</v>
      </c>
    </row>
    <row r="354" spans="1:3" ht="15.75" customHeight="1" x14ac:dyDescent="0.2">
      <c r="A354" t="s">
        <v>285</v>
      </c>
      <c r="B354" t="s">
        <v>357</v>
      </c>
      <c r="C354">
        <v>5</v>
      </c>
    </row>
    <row r="355" spans="1:3" ht="15.75" customHeight="1" x14ac:dyDescent="0.2">
      <c r="A355" t="s">
        <v>285</v>
      </c>
      <c r="B355" t="s">
        <v>357</v>
      </c>
      <c r="C355">
        <v>5</v>
      </c>
    </row>
    <row r="356" spans="1:3" ht="15.75" customHeight="1" x14ac:dyDescent="0.2">
      <c r="A356" t="s">
        <v>285</v>
      </c>
      <c r="B356" t="s">
        <v>357</v>
      </c>
      <c r="C356">
        <v>5</v>
      </c>
    </row>
    <row r="357" spans="1:3" ht="15.75" customHeight="1" x14ac:dyDescent="0.2">
      <c r="A357" t="s">
        <v>285</v>
      </c>
      <c r="B357" t="s">
        <v>357</v>
      </c>
      <c r="C357">
        <v>5</v>
      </c>
    </row>
    <row r="358" spans="1:3" ht="15.75" customHeight="1" x14ac:dyDescent="0.2">
      <c r="A358" t="s">
        <v>285</v>
      </c>
      <c r="B358" t="s">
        <v>357</v>
      </c>
      <c r="C358">
        <v>5</v>
      </c>
    </row>
    <row r="359" spans="1:3" ht="15.75" customHeight="1" x14ac:dyDescent="0.2">
      <c r="A359" t="s">
        <v>285</v>
      </c>
      <c r="B359" t="s">
        <v>357</v>
      </c>
      <c r="C359">
        <v>5</v>
      </c>
    </row>
    <row r="360" spans="1:3" ht="15.75" customHeight="1" x14ac:dyDescent="0.2">
      <c r="A360" t="s">
        <v>285</v>
      </c>
      <c r="B360" t="s">
        <v>357</v>
      </c>
      <c r="C360">
        <v>5</v>
      </c>
    </row>
    <row r="361" spans="1:3" ht="15.75" customHeight="1" x14ac:dyDescent="0.2">
      <c r="A361" t="s">
        <v>285</v>
      </c>
      <c r="B361" t="s">
        <v>357</v>
      </c>
      <c r="C361">
        <v>5</v>
      </c>
    </row>
    <row r="362" spans="1:3" ht="15.75" customHeight="1" x14ac:dyDescent="0.2">
      <c r="A362" t="s">
        <v>285</v>
      </c>
      <c r="B362" t="s">
        <v>357</v>
      </c>
      <c r="C362">
        <v>5</v>
      </c>
    </row>
    <row r="363" spans="1:3" ht="15.75" customHeight="1" x14ac:dyDescent="0.2">
      <c r="A363" t="s">
        <v>285</v>
      </c>
      <c r="B363" t="s">
        <v>357</v>
      </c>
      <c r="C363">
        <v>5</v>
      </c>
    </row>
    <row r="364" spans="1:3" ht="15.75" customHeight="1" x14ac:dyDescent="0.2">
      <c r="A364" t="s">
        <v>285</v>
      </c>
      <c r="B364" t="s">
        <v>357</v>
      </c>
      <c r="C364">
        <v>5</v>
      </c>
    </row>
    <row r="365" spans="1:3" ht="15.75" customHeight="1" x14ac:dyDescent="0.2">
      <c r="A365" t="s">
        <v>285</v>
      </c>
      <c r="B365" t="s">
        <v>357</v>
      </c>
      <c r="C365">
        <v>5</v>
      </c>
    </row>
    <row r="366" spans="1:3" ht="15.75" customHeight="1" x14ac:dyDescent="0.2">
      <c r="A366" t="s">
        <v>285</v>
      </c>
      <c r="B366" t="s">
        <v>357</v>
      </c>
      <c r="C366">
        <v>5</v>
      </c>
    </row>
    <row r="367" spans="1:3" ht="15.75" customHeight="1" x14ac:dyDescent="0.2">
      <c r="A367" t="s">
        <v>285</v>
      </c>
      <c r="B367" t="s">
        <v>357</v>
      </c>
      <c r="C367">
        <v>5</v>
      </c>
    </row>
    <row r="368" spans="1:3" ht="15.75" customHeight="1" x14ac:dyDescent="0.2">
      <c r="A368" t="s">
        <v>285</v>
      </c>
      <c r="B368" t="s">
        <v>357</v>
      </c>
      <c r="C368">
        <v>5</v>
      </c>
    </row>
    <row r="369" spans="1:3" ht="15.75" customHeight="1" x14ac:dyDescent="0.2">
      <c r="A369" t="s">
        <v>285</v>
      </c>
      <c r="B369" t="s">
        <v>357</v>
      </c>
      <c r="C369">
        <v>5</v>
      </c>
    </row>
    <row r="370" spans="1:3" ht="15.75" customHeight="1" x14ac:dyDescent="0.2">
      <c r="A370" t="s">
        <v>285</v>
      </c>
      <c r="B370" t="s">
        <v>357</v>
      </c>
      <c r="C370">
        <v>5</v>
      </c>
    </row>
    <row r="371" spans="1:3" ht="15.75" customHeight="1" x14ac:dyDescent="0.2">
      <c r="A371" t="s">
        <v>285</v>
      </c>
      <c r="B371" t="s">
        <v>357</v>
      </c>
      <c r="C371">
        <v>5</v>
      </c>
    </row>
    <row r="372" spans="1:3" ht="15.75" customHeight="1" x14ac:dyDescent="0.2">
      <c r="A372" t="s">
        <v>285</v>
      </c>
      <c r="B372" t="s">
        <v>357</v>
      </c>
      <c r="C372">
        <v>5</v>
      </c>
    </row>
    <row r="373" spans="1:3" ht="15.75" customHeight="1" x14ac:dyDescent="0.2">
      <c r="A373" t="s">
        <v>285</v>
      </c>
      <c r="B373" t="s">
        <v>357</v>
      </c>
      <c r="C373">
        <v>5</v>
      </c>
    </row>
    <row r="374" spans="1:3" ht="15.75" customHeight="1" x14ac:dyDescent="0.2">
      <c r="A374" t="s">
        <v>285</v>
      </c>
      <c r="B374" t="s">
        <v>357</v>
      </c>
      <c r="C374">
        <v>5</v>
      </c>
    </row>
    <row r="375" spans="1:3" ht="15.75" customHeight="1" x14ac:dyDescent="0.2">
      <c r="A375" t="s">
        <v>285</v>
      </c>
      <c r="B375" t="s">
        <v>357</v>
      </c>
      <c r="C375">
        <v>5</v>
      </c>
    </row>
    <row r="376" spans="1:3" ht="15.75" customHeight="1" x14ac:dyDescent="0.2">
      <c r="A376" t="s">
        <v>285</v>
      </c>
      <c r="B376" t="s">
        <v>357</v>
      </c>
      <c r="C376">
        <v>5</v>
      </c>
    </row>
    <row r="377" spans="1:3" ht="15.75" customHeight="1" x14ac:dyDescent="0.2">
      <c r="A377" t="s">
        <v>285</v>
      </c>
      <c r="B377" t="s">
        <v>357</v>
      </c>
      <c r="C377">
        <v>5</v>
      </c>
    </row>
    <row r="378" spans="1:3" ht="15.75" customHeight="1" x14ac:dyDescent="0.2">
      <c r="A378" t="s">
        <v>285</v>
      </c>
      <c r="B378" t="s">
        <v>357</v>
      </c>
      <c r="C378">
        <v>5</v>
      </c>
    </row>
    <row r="379" spans="1:3" ht="15.75" customHeight="1" x14ac:dyDescent="0.2">
      <c r="A379" t="s">
        <v>285</v>
      </c>
      <c r="B379" t="s">
        <v>357</v>
      </c>
      <c r="C379">
        <v>5</v>
      </c>
    </row>
    <row r="380" spans="1:3" ht="15.75" customHeight="1" x14ac:dyDescent="0.2">
      <c r="A380" t="s">
        <v>285</v>
      </c>
      <c r="B380" t="s">
        <v>357</v>
      </c>
      <c r="C380">
        <v>5</v>
      </c>
    </row>
    <row r="381" spans="1:3" ht="15.75" customHeight="1" x14ac:dyDescent="0.2">
      <c r="A381" t="s">
        <v>285</v>
      </c>
      <c r="B381" t="s">
        <v>357</v>
      </c>
      <c r="C381">
        <v>5</v>
      </c>
    </row>
    <row r="382" spans="1:3" ht="15.75" customHeight="1" x14ac:dyDescent="0.2">
      <c r="A382" t="s">
        <v>285</v>
      </c>
      <c r="B382" t="s">
        <v>357</v>
      </c>
      <c r="C382">
        <v>5</v>
      </c>
    </row>
    <row r="383" spans="1:3" ht="15.75" customHeight="1" x14ac:dyDescent="0.2">
      <c r="A383" t="s">
        <v>285</v>
      </c>
      <c r="B383" t="s">
        <v>357</v>
      </c>
      <c r="C383">
        <v>5</v>
      </c>
    </row>
    <row r="384" spans="1:3" ht="15.75" customHeight="1" x14ac:dyDescent="0.2">
      <c r="A384" t="s">
        <v>285</v>
      </c>
      <c r="B384" t="s">
        <v>357</v>
      </c>
      <c r="C384">
        <v>5</v>
      </c>
    </row>
    <row r="385" spans="1:3" ht="15.75" customHeight="1" x14ac:dyDescent="0.2">
      <c r="A385" t="s">
        <v>285</v>
      </c>
      <c r="B385" t="s">
        <v>357</v>
      </c>
      <c r="C385">
        <v>5</v>
      </c>
    </row>
    <row r="386" spans="1:3" ht="15.75" customHeight="1" x14ac:dyDescent="0.2">
      <c r="A386" t="s">
        <v>285</v>
      </c>
      <c r="B386" t="s">
        <v>357</v>
      </c>
      <c r="C386">
        <v>5</v>
      </c>
    </row>
    <row r="387" spans="1:3" ht="15.75" customHeight="1" x14ac:dyDescent="0.2">
      <c r="A387" t="s">
        <v>285</v>
      </c>
      <c r="B387" t="s">
        <v>357</v>
      </c>
      <c r="C387">
        <v>5</v>
      </c>
    </row>
    <row r="388" spans="1:3" ht="15.75" customHeight="1" x14ac:dyDescent="0.2">
      <c r="A388" t="s">
        <v>285</v>
      </c>
      <c r="B388" t="s">
        <v>357</v>
      </c>
      <c r="C388">
        <v>5</v>
      </c>
    </row>
    <row r="389" spans="1:3" ht="15.75" customHeight="1" x14ac:dyDescent="0.2">
      <c r="A389" t="s">
        <v>285</v>
      </c>
      <c r="B389" t="s">
        <v>357</v>
      </c>
      <c r="C389">
        <v>5</v>
      </c>
    </row>
    <row r="390" spans="1:3" ht="15.75" customHeight="1" x14ac:dyDescent="0.2">
      <c r="A390" t="s">
        <v>285</v>
      </c>
      <c r="B390" t="s">
        <v>357</v>
      </c>
      <c r="C390">
        <v>5</v>
      </c>
    </row>
    <row r="391" spans="1:3" ht="15.75" customHeight="1" x14ac:dyDescent="0.2">
      <c r="A391" t="s">
        <v>285</v>
      </c>
      <c r="B391" t="s">
        <v>357</v>
      </c>
      <c r="C391">
        <v>5</v>
      </c>
    </row>
    <row r="392" spans="1:3" ht="15.75" customHeight="1" x14ac:dyDescent="0.2">
      <c r="A392" t="s">
        <v>285</v>
      </c>
      <c r="B392" t="s">
        <v>357</v>
      </c>
      <c r="C392">
        <v>5</v>
      </c>
    </row>
    <row r="393" spans="1:3" ht="15.75" customHeight="1" x14ac:dyDescent="0.2">
      <c r="A393" t="s">
        <v>285</v>
      </c>
      <c r="B393" t="s">
        <v>357</v>
      </c>
      <c r="C393">
        <v>5</v>
      </c>
    </row>
    <row r="394" spans="1:3" ht="15.75" customHeight="1" x14ac:dyDescent="0.2">
      <c r="A394" t="s">
        <v>285</v>
      </c>
      <c r="B394" t="s">
        <v>357</v>
      </c>
      <c r="C394">
        <v>5</v>
      </c>
    </row>
    <row r="395" spans="1:3" ht="15.75" customHeight="1" x14ac:dyDescent="0.2">
      <c r="A395" t="s">
        <v>285</v>
      </c>
      <c r="B395" t="s">
        <v>357</v>
      </c>
      <c r="C395">
        <v>5</v>
      </c>
    </row>
    <row r="396" spans="1:3" ht="15.75" customHeight="1" x14ac:dyDescent="0.2">
      <c r="A396" t="s">
        <v>285</v>
      </c>
      <c r="B396" t="s">
        <v>357</v>
      </c>
      <c r="C396">
        <v>5</v>
      </c>
    </row>
    <row r="397" spans="1:3" ht="15.75" customHeight="1" x14ac:dyDescent="0.2">
      <c r="A397" t="s">
        <v>285</v>
      </c>
      <c r="B397" t="s">
        <v>357</v>
      </c>
      <c r="C397">
        <v>5</v>
      </c>
    </row>
    <row r="398" spans="1:3" ht="15.75" customHeight="1" x14ac:dyDescent="0.2">
      <c r="A398" t="s">
        <v>285</v>
      </c>
      <c r="B398" t="s">
        <v>357</v>
      </c>
      <c r="C398">
        <v>5</v>
      </c>
    </row>
    <row r="399" spans="1:3" ht="15.75" customHeight="1" x14ac:dyDescent="0.2">
      <c r="A399" t="s">
        <v>285</v>
      </c>
      <c r="B399" t="s">
        <v>357</v>
      </c>
      <c r="C399">
        <v>5</v>
      </c>
    </row>
    <row r="400" spans="1:3" ht="15.75" customHeight="1" x14ac:dyDescent="0.2">
      <c r="A400" t="s">
        <v>285</v>
      </c>
      <c r="B400" t="s">
        <v>357</v>
      </c>
      <c r="C400">
        <v>5</v>
      </c>
    </row>
    <row r="401" spans="1:3" ht="15.75" customHeight="1" x14ac:dyDescent="0.2">
      <c r="A401" t="s">
        <v>285</v>
      </c>
      <c r="B401" t="s">
        <v>357</v>
      </c>
      <c r="C401">
        <v>5</v>
      </c>
    </row>
    <row r="402" spans="1:3" ht="15.75" customHeight="1" x14ac:dyDescent="0.2">
      <c r="A402" t="s">
        <v>285</v>
      </c>
      <c r="B402" t="s">
        <v>357</v>
      </c>
      <c r="C402">
        <v>5</v>
      </c>
    </row>
    <row r="403" spans="1:3" ht="15.75" customHeight="1" x14ac:dyDescent="0.2">
      <c r="A403" t="s">
        <v>285</v>
      </c>
      <c r="B403" t="s">
        <v>357</v>
      </c>
      <c r="C403">
        <v>5</v>
      </c>
    </row>
    <row r="404" spans="1:3" ht="15.75" customHeight="1" x14ac:dyDescent="0.2">
      <c r="A404" t="s">
        <v>285</v>
      </c>
      <c r="B404" t="s">
        <v>357</v>
      </c>
      <c r="C404">
        <v>5</v>
      </c>
    </row>
    <row r="405" spans="1:3" ht="15.75" customHeight="1" x14ac:dyDescent="0.2">
      <c r="A405" t="s">
        <v>285</v>
      </c>
      <c r="B405" t="s">
        <v>357</v>
      </c>
      <c r="C405">
        <v>5</v>
      </c>
    </row>
    <row r="406" spans="1:3" ht="15.75" customHeight="1" x14ac:dyDescent="0.2">
      <c r="A406" t="s">
        <v>285</v>
      </c>
      <c r="B406" t="s">
        <v>357</v>
      </c>
      <c r="C406">
        <v>5</v>
      </c>
    </row>
    <row r="407" spans="1:3" ht="15.75" customHeight="1" x14ac:dyDescent="0.2">
      <c r="A407" t="s">
        <v>285</v>
      </c>
      <c r="B407" t="s">
        <v>357</v>
      </c>
      <c r="C407">
        <v>5</v>
      </c>
    </row>
    <row r="408" spans="1:3" ht="15.75" customHeight="1" x14ac:dyDescent="0.2">
      <c r="A408" t="s">
        <v>285</v>
      </c>
      <c r="B408" t="s">
        <v>357</v>
      </c>
      <c r="C408">
        <v>5</v>
      </c>
    </row>
    <row r="409" spans="1:3" ht="15.75" customHeight="1" x14ac:dyDescent="0.2">
      <c r="A409" t="s">
        <v>285</v>
      </c>
      <c r="B409" t="s">
        <v>357</v>
      </c>
      <c r="C409">
        <v>5</v>
      </c>
    </row>
    <row r="410" spans="1:3" ht="15.75" customHeight="1" x14ac:dyDescent="0.2">
      <c r="A410" t="s">
        <v>285</v>
      </c>
      <c r="B410" t="s">
        <v>357</v>
      </c>
      <c r="C410">
        <v>5</v>
      </c>
    </row>
    <row r="411" spans="1:3" ht="15.75" customHeight="1" x14ac:dyDescent="0.2">
      <c r="A411" t="s">
        <v>285</v>
      </c>
      <c r="B411" t="s">
        <v>357</v>
      </c>
      <c r="C411">
        <v>5</v>
      </c>
    </row>
    <row r="412" spans="1:3" ht="15.75" customHeight="1" x14ac:dyDescent="0.2">
      <c r="A412" t="s">
        <v>285</v>
      </c>
      <c r="B412" t="s">
        <v>357</v>
      </c>
      <c r="C412">
        <v>5</v>
      </c>
    </row>
    <row r="413" spans="1:3" ht="15.75" customHeight="1" x14ac:dyDescent="0.2">
      <c r="A413" t="s">
        <v>285</v>
      </c>
      <c r="B413" t="s">
        <v>357</v>
      </c>
      <c r="C413">
        <v>5</v>
      </c>
    </row>
    <row r="414" spans="1:3" ht="15.75" customHeight="1" x14ac:dyDescent="0.2">
      <c r="A414" t="s">
        <v>285</v>
      </c>
      <c r="B414" t="s">
        <v>357</v>
      </c>
      <c r="C414">
        <v>5</v>
      </c>
    </row>
    <row r="415" spans="1:3" ht="15.75" customHeight="1" x14ac:dyDescent="0.2">
      <c r="A415" t="s">
        <v>285</v>
      </c>
      <c r="B415" t="s">
        <v>357</v>
      </c>
      <c r="C415">
        <v>5</v>
      </c>
    </row>
    <row r="416" spans="1:3" ht="15.75" customHeight="1" x14ac:dyDescent="0.2">
      <c r="A416" t="s">
        <v>285</v>
      </c>
      <c r="B416" t="s">
        <v>357</v>
      </c>
      <c r="C416">
        <v>5</v>
      </c>
    </row>
    <row r="417" spans="1:3" ht="15.75" customHeight="1" x14ac:dyDescent="0.2">
      <c r="A417" t="s">
        <v>285</v>
      </c>
      <c r="B417" t="s">
        <v>357</v>
      </c>
      <c r="C417">
        <v>5</v>
      </c>
    </row>
    <row r="418" spans="1:3" ht="15.75" customHeight="1" x14ac:dyDescent="0.2">
      <c r="A418" t="s">
        <v>285</v>
      </c>
      <c r="B418" t="s">
        <v>357</v>
      </c>
      <c r="C418">
        <v>5</v>
      </c>
    </row>
    <row r="419" spans="1:3" ht="15.75" customHeight="1" x14ac:dyDescent="0.2">
      <c r="A419" t="s">
        <v>285</v>
      </c>
      <c r="B419" t="s">
        <v>357</v>
      </c>
      <c r="C419">
        <v>5</v>
      </c>
    </row>
    <row r="420" spans="1:3" ht="15.75" customHeight="1" x14ac:dyDescent="0.2">
      <c r="A420" t="s">
        <v>285</v>
      </c>
      <c r="B420" t="s">
        <v>357</v>
      </c>
      <c r="C420">
        <v>5</v>
      </c>
    </row>
    <row r="421" spans="1:3" ht="15.75" customHeight="1" x14ac:dyDescent="0.2">
      <c r="A421" t="s">
        <v>285</v>
      </c>
      <c r="B421" t="s">
        <v>357</v>
      </c>
      <c r="C421">
        <v>5</v>
      </c>
    </row>
    <row r="422" spans="1:3" ht="15.75" customHeight="1" x14ac:dyDescent="0.2">
      <c r="A422" t="s">
        <v>285</v>
      </c>
      <c r="B422" t="s">
        <v>357</v>
      </c>
      <c r="C422">
        <v>5</v>
      </c>
    </row>
    <row r="423" spans="1:3" ht="15.75" customHeight="1" x14ac:dyDescent="0.2">
      <c r="A423" t="s">
        <v>285</v>
      </c>
      <c r="B423" t="s">
        <v>357</v>
      </c>
      <c r="C423">
        <v>5</v>
      </c>
    </row>
    <row r="424" spans="1:3" ht="15.75" customHeight="1" x14ac:dyDescent="0.2">
      <c r="A424" t="s">
        <v>285</v>
      </c>
      <c r="B424" t="s">
        <v>357</v>
      </c>
      <c r="C424">
        <v>5</v>
      </c>
    </row>
    <row r="425" spans="1:3" ht="15.75" customHeight="1" x14ac:dyDescent="0.2">
      <c r="A425" t="s">
        <v>285</v>
      </c>
      <c r="B425" t="s">
        <v>357</v>
      </c>
      <c r="C425">
        <v>5</v>
      </c>
    </row>
    <row r="426" spans="1:3" ht="15.75" customHeight="1" x14ac:dyDescent="0.2">
      <c r="A426" t="s">
        <v>285</v>
      </c>
      <c r="B426" t="s">
        <v>357</v>
      </c>
      <c r="C426">
        <v>5</v>
      </c>
    </row>
    <row r="427" spans="1:3" ht="15.75" customHeight="1" x14ac:dyDescent="0.2">
      <c r="A427" t="s">
        <v>285</v>
      </c>
      <c r="B427" t="s">
        <v>357</v>
      </c>
      <c r="C427">
        <v>5</v>
      </c>
    </row>
    <row r="428" spans="1:3" ht="15.75" customHeight="1" x14ac:dyDescent="0.2">
      <c r="A428" t="s">
        <v>285</v>
      </c>
      <c r="B428" t="s">
        <v>357</v>
      </c>
      <c r="C428">
        <v>5</v>
      </c>
    </row>
    <row r="429" spans="1:3" ht="15.75" customHeight="1" x14ac:dyDescent="0.2">
      <c r="A429" t="s">
        <v>285</v>
      </c>
      <c r="B429" t="s">
        <v>357</v>
      </c>
      <c r="C429">
        <v>5</v>
      </c>
    </row>
    <row r="430" spans="1:3" ht="15.75" customHeight="1" x14ac:dyDescent="0.2">
      <c r="A430" t="s">
        <v>285</v>
      </c>
      <c r="B430" t="s">
        <v>357</v>
      </c>
      <c r="C430">
        <v>5</v>
      </c>
    </row>
    <row r="431" spans="1:3" ht="15.75" customHeight="1" x14ac:dyDescent="0.2">
      <c r="A431" t="s">
        <v>285</v>
      </c>
      <c r="B431" t="s">
        <v>357</v>
      </c>
      <c r="C431">
        <v>5</v>
      </c>
    </row>
    <row r="432" spans="1:3" ht="15.75" customHeight="1" x14ac:dyDescent="0.2">
      <c r="A432" t="s">
        <v>285</v>
      </c>
      <c r="B432" t="s">
        <v>357</v>
      </c>
      <c r="C432">
        <v>5</v>
      </c>
    </row>
    <row r="433" spans="1:3" ht="15.75" customHeight="1" x14ac:dyDescent="0.2">
      <c r="A433" t="s">
        <v>285</v>
      </c>
      <c r="B433" t="s">
        <v>357</v>
      </c>
      <c r="C433">
        <v>5</v>
      </c>
    </row>
    <row r="434" spans="1:3" ht="15.75" customHeight="1" x14ac:dyDescent="0.2">
      <c r="A434" t="s">
        <v>285</v>
      </c>
      <c r="B434" t="s">
        <v>357</v>
      </c>
      <c r="C434">
        <v>5</v>
      </c>
    </row>
    <row r="435" spans="1:3" ht="15.75" customHeight="1" x14ac:dyDescent="0.2">
      <c r="A435" t="s">
        <v>285</v>
      </c>
      <c r="B435" t="s">
        <v>357</v>
      </c>
      <c r="C435">
        <v>5</v>
      </c>
    </row>
    <row r="436" spans="1:3" ht="15.75" customHeight="1" x14ac:dyDescent="0.2">
      <c r="A436" t="s">
        <v>285</v>
      </c>
      <c r="B436" t="s">
        <v>368</v>
      </c>
      <c r="C436">
        <v>6</v>
      </c>
    </row>
    <row r="437" spans="1:3" ht="15.75" customHeight="1" x14ac:dyDescent="0.2">
      <c r="A437" t="s">
        <v>285</v>
      </c>
      <c r="B437" t="s">
        <v>368</v>
      </c>
      <c r="C437">
        <v>6</v>
      </c>
    </row>
    <row r="438" spans="1:3" ht="15.75" customHeight="1" x14ac:dyDescent="0.2">
      <c r="A438" t="s">
        <v>285</v>
      </c>
      <c r="B438" t="s">
        <v>368</v>
      </c>
      <c r="C438">
        <v>6</v>
      </c>
    </row>
    <row r="439" spans="1:3" ht="15.75" customHeight="1" x14ac:dyDescent="0.2">
      <c r="A439" t="s">
        <v>285</v>
      </c>
      <c r="B439" t="s">
        <v>368</v>
      </c>
      <c r="C439">
        <v>6</v>
      </c>
    </row>
    <row r="440" spans="1:3" ht="15.75" customHeight="1" x14ac:dyDescent="0.2">
      <c r="A440" t="s">
        <v>285</v>
      </c>
      <c r="B440" t="s">
        <v>368</v>
      </c>
      <c r="C440">
        <v>6</v>
      </c>
    </row>
    <row r="441" spans="1:3" ht="15.75" customHeight="1" x14ac:dyDescent="0.2">
      <c r="A441" t="s">
        <v>285</v>
      </c>
      <c r="B441" t="s">
        <v>368</v>
      </c>
      <c r="C441">
        <v>6</v>
      </c>
    </row>
    <row r="442" spans="1:3" ht="15.75" customHeight="1" x14ac:dyDescent="0.2">
      <c r="A442" t="s">
        <v>285</v>
      </c>
      <c r="B442" t="s">
        <v>368</v>
      </c>
      <c r="C442">
        <v>6</v>
      </c>
    </row>
    <row r="443" spans="1:3" ht="15.75" customHeight="1" x14ac:dyDescent="0.2">
      <c r="A443" t="s">
        <v>285</v>
      </c>
      <c r="B443" t="s">
        <v>368</v>
      </c>
      <c r="C443">
        <v>6</v>
      </c>
    </row>
    <row r="444" spans="1:3" ht="15.75" customHeight="1" x14ac:dyDescent="0.2">
      <c r="A444" t="s">
        <v>285</v>
      </c>
      <c r="B444" t="s">
        <v>368</v>
      </c>
      <c r="C444">
        <v>6</v>
      </c>
    </row>
    <row r="445" spans="1:3" ht="15.75" customHeight="1" x14ac:dyDescent="0.2">
      <c r="A445" t="s">
        <v>285</v>
      </c>
      <c r="B445" t="s">
        <v>368</v>
      </c>
      <c r="C445">
        <v>6</v>
      </c>
    </row>
    <row r="446" spans="1:3" ht="15.75" customHeight="1" x14ac:dyDescent="0.2">
      <c r="A446" t="s">
        <v>285</v>
      </c>
      <c r="B446" t="s">
        <v>368</v>
      </c>
      <c r="C446">
        <v>6</v>
      </c>
    </row>
    <row r="447" spans="1:3" ht="15.75" customHeight="1" x14ac:dyDescent="0.2">
      <c r="A447" t="s">
        <v>285</v>
      </c>
      <c r="B447" t="s">
        <v>368</v>
      </c>
      <c r="C447">
        <v>6</v>
      </c>
    </row>
    <row r="448" spans="1:3" ht="15.75" customHeight="1" x14ac:dyDescent="0.2">
      <c r="A448" t="s">
        <v>285</v>
      </c>
      <c r="B448" t="s">
        <v>368</v>
      </c>
      <c r="C448">
        <v>6</v>
      </c>
    </row>
    <row r="449" spans="1:3" ht="15.75" customHeight="1" x14ac:dyDescent="0.2">
      <c r="A449" t="s">
        <v>285</v>
      </c>
      <c r="B449" t="s">
        <v>368</v>
      </c>
      <c r="C449">
        <v>6</v>
      </c>
    </row>
    <row r="450" spans="1:3" ht="15.75" customHeight="1" x14ac:dyDescent="0.2">
      <c r="A450" t="s">
        <v>285</v>
      </c>
      <c r="B450" t="s">
        <v>368</v>
      </c>
      <c r="C450">
        <v>6</v>
      </c>
    </row>
    <row r="451" spans="1:3" ht="15.75" customHeight="1" x14ac:dyDescent="0.2">
      <c r="A451" t="s">
        <v>285</v>
      </c>
      <c r="B451" t="s">
        <v>368</v>
      </c>
      <c r="C451">
        <v>6</v>
      </c>
    </row>
    <row r="452" spans="1:3" ht="15.75" customHeight="1" x14ac:dyDescent="0.2">
      <c r="A452" t="s">
        <v>285</v>
      </c>
      <c r="B452" t="s">
        <v>368</v>
      </c>
      <c r="C452">
        <v>6</v>
      </c>
    </row>
    <row r="453" spans="1:3" ht="15.75" customHeight="1" x14ac:dyDescent="0.2">
      <c r="A453" t="s">
        <v>285</v>
      </c>
      <c r="B453" t="s">
        <v>368</v>
      </c>
      <c r="C453">
        <v>6</v>
      </c>
    </row>
    <row r="454" spans="1:3" ht="15.75" customHeight="1" x14ac:dyDescent="0.2">
      <c r="A454" t="s">
        <v>285</v>
      </c>
      <c r="B454" t="s">
        <v>368</v>
      </c>
      <c r="C454">
        <v>6</v>
      </c>
    </row>
    <row r="455" spans="1:3" ht="15.75" customHeight="1" x14ac:dyDescent="0.2">
      <c r="A455" t="s">
        <v>285</v>
      </c>
      <c r="B455" t="s">
        <v>368</v>
      </c>
      <c r="C455">
        <v>6</v>
      </c>
    </row>
    <row r="456" spans="1:3" ht="15.75" customHeight="1" x14ac:dyDescent="0.2">
      <c r="A456" t="s">
        <v>285</v>
      </c>
      <c r="B456" t="s">
        <v>368</v>
      </c>
      <c r="C456">
        <v>6</v>
      </c>
    </row>
    <row r="457" spans="1:3" ht="15.75" customHeight="1" x14ac:dyDescent="0.2">
      <c r="A457" t="s">
        <v>285</v>
      </c>
      <c r="B457" t="s">
        <v>368</v>
      </c>
      <c r="C457">
        <v>6</v>
      </c>
    </row>
    <row r="458" spans="1:3" ht="15.75" customHeight="1" x14ac:dyDescent="0.2">
      <c r="A458" t="s">
        <v>285</v>
      </c>
      <c r="B458" t="s">
        <v>368</v>
      </c>
      <c r="C458">
        <v>6</v>
      </c>
    </row>
    <row r="459" spans="1:3" ht="15.75" customHeight="1" x14ac:dyDescent="0.2">
      <c r="A459" t="s">
        <v>285</v>
      </c>
      <c r="B459" t="s">
        <v>368</v>
      </c>
      <c r="C459">
        <v>6</v>
      </c>
    </row>
    <row r="460" spans="1:3" ht="15.75" customHeight="1" x14ac:dyDescent="0.2">
      <c r="A460" t="s">
        <v>285</v>
      </c>
      <c r="B460" t="s">
        <v>368</v>
      </c>
      <c r="C460">
        <v>6</v>
      </c>
    </row>
    <row r="461" spans="1:3" ht="15.75" customHeight="1" x14ac:dyDescent="0.2">
      <c r="A461" t="s">
        <v>285</v>
      </c>
      <c r="B461" t="s">
        <v>368</v>
      </c>
      <c r="C461">
        <v>6</v>
      </c>
    </row>
    <row r="462" spans="1:3" ht="15.75" customHeight="1" x14ac:dyDescent="0.2">
      <c r="A462" t="s">
        <v>285</v>
      </c>
      <c r="B462" t="s">
        <v>368</v>
      </c>
      <c r="C462">
        <v>6</v>
      </c>
    </row>
    <row r="463" spans="1:3" ht="15.75" customHeight="1" x14ac:dyDescent="0.2">
      <c r="A463" t="s">
        <v>285</v>
      </c>
      <c r="B463" t="s">
        <v>368</v>
      </c>
      <c r="C463">
        <v>6</v>
      </c>
    </row>
    <row r="464" spans="1:3" ht="15.75" customHeight="1" x14ac:dyDescent="0.2">
      <c r="A464" t="s">
        <v>285</v>
      </c>
      <c r="B464" t="s">
        <v>368</v>
      </c>
      <c r="C464">
        <v>6</v>
      </c>
    </row>
    <row r="465" spans="1:3" ht="15.75" customHeight="1" x14ac:dyDescent="0.2">
      <c r="A465" t="s">
        <v>285</v>
      </c>
      <c r="B465" t="s">
        <v>368</v>
      </c>
      <c r="C465">
        <v>6</v>
      </c>
    </row>
    <row r="466" spans="1:3" ht="15.75" customHeight="1" x14ac:dyDescent="0.2">
      <c r="A466" t="s">
        <v>285</v>
      </c>
      <c r="B466" t="s">
        <v>368</v>
      </c>
      <c r="C466">
        <v>6</v>
      </c>
    </row>
    <row r="467" spans="1:3" ht="15.75" customHeight="1" x14ac:dyDescent="0.2">
      <c r="A467" t="s">
        <v>285</v>
      </c>
      <c r="B467" t="s">
        <v>368</v>
      </c>
      <c r="C467">
        <v>6</v>
      </c>
    </row>
    <row r="468" spans="1:3" ht="15.75" customHeight="1" x14ac:dyDescent="0.2">
      <c r="A468" t="s">
        <v>285</v>
      </c>
      <c r="B468" t="s">
        <v>368</v>
      </c>
      <c r="C468">
        <v>6</v>
      </c>
    </row>
    <row r="469" spans="1:3" ht="15.75" customHeight="1" x14ac:dyDescent="0.2">
      <c r="A469" t="s">
        <v>285</v>
      </c>
      <c r="B469" t="s">
        <v>368</v>
      </c>
      <c r="C469">
        <v>6</v>
      </c>
    </row>
    <row r="470" spans="1:3" ht="15.75" customHeight="1" x14ac:dyDescent="0.2">
      <c r="A470" t="s">
        <v>285</v>
      </c>
      <c r="B470" t="s">
        <v>368</v>
      </c>
      <c r="C470">
        <v>6</v>
      </c>
    </row>
    <row r="471" spans="1:3" ht="15.75" customHeight="1" x14ac:dyDescent="0.2">
      <c r="A471" t="s">
        <v>285</v>
      </c>
      <c r="B471" t="s">
        <v>368</v>
      </c>
      <c r="C471">
        <v>6</v>
      </c>
    </row>
    <row r="472" spans="1:3" ht="15.75" customHeight="1" x14ac:dyDescent="0.2">
      <c r="A472" t="s">
        <v>285</v>
      </c>
      <c r="B472" t="s">
        <v>368</v>
      </c>
      <c r="C472">
        <v>6</v>
      </c>
    </row>
    <row r="473" spans="1:3" ht="15.75" customHeight="1" x14ac:dyDescent="0.2">
      <c r="A473" t="s">
        <v>285</v>
      </c>
      <c r="B473" t="s">
        <v>368</v>
      </c>
      <c r="C473">
        <v>6</v>
      </c>
    </row>
    <row r="474" spans="1:3" ht="15.75" customHeight="1" x14ac:dyDescent="0.2">
      <c r="A474" t="s">
        <v>285</v>
      </c>
      <c r="B474" t="s">
        <v>368</v>
      </c>
      <c r="C474">
        <v>6</v>
      </c>
    </row>
    <row r="475" spans="1:3" ht="15.75" customHeight="1" x14ac:dyDescent="0.2">
      <c r="A475" t="s">
        <v>285</v>
      </c>
      <c r="B475" t="s">
        <v>368</v>
      </c>
      <c r="C475">
        <v>6</v>
      </c>
    </row>
    <row r="476" spans="1:3" ht="15.75" customHeight="1" x14ac:dyDescent="0.2">
      <c r="A476" t="s">
        <v>285</v>
      </c>
      <c r="B476" t="s">
        <v>368</v>
      </c>
      <c r="C476">
        <v>6</v>
      </c>
    </row>
    <row r="477" spans="1:3" ht="15.75" customHeight="1" x14ac:dyDescent="0.2">
      <c r="A477" t="s">
        <v>285</v>
      </c>
      <c r="B477" t="s">
        <v>368</v>
      </c>
      <c r="C477">
        <v>6</v>
      </c>
    </row>
    <row r="478" spans="1:3" ht="15.75" customHeight="1" x14ac:dyDescent="0.2">
      <c r="A478" t="s">
        <v>285</v>
      </c>
      <c r="B478" t="s">
        <v>368</v>
      </c>
      <c r="C478">
        <v>6</v>
      </c>
    </row>
    <row r="479" spans="1:3" ht="15.75" customHeight="1" x14ac:dyDescent="0.2">
      <c r="A479" t="s">
        <v>285</v>
      </c>
      <c r="B479" t="s">
        <v>368</v>
      </c>
      <c r="C479">
        <v>6</v>
      </c>
    </row>
    <row r="480" spans="1:3" ht="15.75" customHeight="1" x14ac:dyDescent="0.2">
      <c r="A480" t="s">
        <v>285</v>
      </c>
      <c r="B480" t="s">
        <v>368</v>
      </c>
      <c r="C480">
        <v>6</v>
      </c>
    </row>
    <row r="481" spans="1:3" ht="15.75" customHeight="1" x14ac:dyDescent="0.2">
      <c r="A481" t="s">
        <v>285</v>
      </c>
      <c r="B481" t="s">
        <v>368</v>
      </c>
      <c r="C481">
        <v>6</v>
      </c>
    </row>
    <row r="482" spans="1:3" ht="15.75" customHeight="1" x14ac:dyDescent="0.2">
      <c r="A482" t="s">
        <v>285</v>
      </c>
      <c r="B482" t="s">
        <v>368</v>
      </c>
      <c r="C482">
        <v>6</v>
      </c>
    </row>
    <row r="483" spans="1:3" ht="15.75" customHeight="1" x14ac:dyDescent="0.2">
      <c r="A483" t="s">
        <v>285</v>
      </c>
      <c r="B483" t="s">
        <v>368</v>
      </c>
      <c r="C483">
        <v>6</v>
      </c>
    </row>
    <row r="484" spans="1:3" ht="15.75" customHeight="1" x14ac:dyDescent="0.2">
      <c r="A484" t="s">
        <v>285</v>
      </c>
      <c r="B484" t="s">
        <v>368</v>
      </c>
      <c r="C484">
        <v>6</v>
      </c>
    </row>
    <row r="485" spans="1:3" ht="15.75" customHeight="1" x14ac:dyDescent="0.2">
      <c r="A485" t="s">
        <v>285</v>
      </c>
      <c r="B485" t="s">
        <v>368</v>
      </c>
      <c r="C485">
        <v>6</v>
      </c>
    </row>
    <row r="486" spans="1:3" ht="15.75" customHeight="1" x14ac:dyDescent="0.2">
      <c r="A486" t="s">
        <v>285</v>
      </c>
      <c r="B486" t="s">
        <v>368</v>
      </c>
      <c r="C486">
        <v>6</v>
      </c>
    </row>
    <row r="487" spans="1:3" ht="15.75" customHeight="1" x14ac:dyDescent="0.2">
      <c r="A487" t="s">
        <v>285</v>
      </c>
      <c r="B487" t="s">
        <v>368</v>
      </c>
      <c r="C487">
        <v>6</v>
      </c>
    </row>
    <row r="488" spans="1:3" ht="15.75" customHeight="1" x14ac:dyDescent="0.2">
      <c r="A488" t="s">
        <v>285</v>
      </c>
      <c r="B488" t="s">
        <v>368</v>
      </c>
      <c r="C488">
        <v>6</v>
      </c>
    </row>
    <row r="489" spans="1:3" ht="15.75" customHeight="1" x14ac:dyDescent="0.2">
      <c r="A489" t="s">
        <v>285</v>
      </c>
      <c r="B489" t="s">
        <v>368</v>
      </c>
      <c r="C489">
        <v>6</v>
      </c>
    </row>
    <row r="490" spans="1:3" ht="15.75" customHeight="1" x14ac:dyDescent="0.2">
      <c r="A490" t="s">
        <v>285</v>
      </c>
      <c r="B490" t="s">
        <v>368</v>
      </c>
      <c r="C490">
        <v>6</v>
      </c>
    </row>
    <row r="491" spans="1:3" ht="15.75" customHeight="1" x14ac:dyDescent="0.2">
      <c r="A491" t="s">
        <v>285</v>
      </c>
      <c r="B491" t="s">
        <v>368</v>
      </c>
      <c r="C491">
        <v>6</v>
      </c>
    </row>
    <row r="492" spans="1:3" ht="15.75" customHeight="1" x14ac:dyDescent="0.2">
      <c r="A492" t="s">
        <v>285</v>
      </c>
      <c r="B492" t="s">
        <v>368</v>
      </c>
      <c r="C492">
        <v>6</v>
      </c>
    </row>
    <row r="493" spans="1:3" ht="15.75" customHeight="1" x14ac:dyDescent="0.2">
      <c r="A493" t="s">
        <v>285</v>
      </c>
      <c r="B493" t="s">
        <v>368</v>
      </c>
      <c r="C493">
        <v>6</v>
      </c>
    </row>
    <row r="494" spans="1:3" ht="15.75" customHeight="1" x14ac:dyDescent="0.2">
      <c r="A494" t="s">
        <v>285</v>
      </c>
      <c r="B494" t="s">
        <v>368</v>
      </c>
      <c r="C494">
        <v>6</v>
      </c>
    </row>
    <row r="495" spans="1:3" ht="15.75" customHeight="1" x14ac:dyDescent="0.2">
      <c r="A495" t="s">
        <v>285</v>
      </c>
      <c r="B495" t="s">
        <v>368</v>
      </c>
      <c r="C495">
        <v>6</v>
      </c>
    </row>
    <row r="496" spans="1:3" ht="15.75" customHeight="1" x14ac:dyDescent="0.2">
      <c r="A496" t="s">
        <v>285</v>
      </c>
      <c r="B496" t="s">
        <v>368</v>
      </c>
      <c r="C496">
        <v>6</v>
      </c>
    </row>
    <row r="497" spans="1:3" ht="15.75" customHeight="1" x14ac:dyDescent="0.2">
      <c r="A497" t="s">
        <v>285</v>
      </c>
      <c r="B497" t="s">
        <v>368</v>
      </c>
      <c r="C497">
        <v>6</v>
      </c>
    </row>
    <row r="498" spans="1:3" ht="15.75" customHeight="1" x14ac:dyDescent="0.2">
      <c r="A498" t="s">
        <v>285</v>
      </c>
      <c r="B498" t="s">
        <v>368</v>
      </c>
      <c r="C498">
        <v>6</v>
      </c>
    </row>
    <row r="499" spans="1:3" ht="15.75" customHeight="1" x14ac:dyDescent="0.2">
      <c r="A499" t="s">
        <v>285</v>
      </c>
      <c r="B499" t="s">
        <v>368</v>
      </c>
      <c r="C499">
        <v>6</v>
      </c>
    </row>
    <row r="500" spans="1:3" ht="15.75" customHeight="1" x14ac:dyDescent="0.2">
      <c r="A500" t="s">
        <v>285</v>
      </c>
      <c r="B500" t="s">
        <v>368</v>
      </c>
      <c r="C500">
        <v>6</v>
      </c>
    </row>
    <row r="501" spans="1:3" ht="15.75" customHeight="1" x14ac:dyDescent="0.2">
      <c r="A501" t="s">
        <v>285</v>
      </c>
      <c r="B501" t="s">
        <v>368</v>
      </c>
      <c r="C501">
        <v>6</v>
      </c>
    </row>
    <row r="502" spans="1:3" ht="15.75" customHeight="1" x14ac:dyDescent="0.2">
      <c r="A502" t="s">
        <v>285</v>
      </c>
      <c r="B502" t="s">
        <v>368</v>
      </c>
      <c r="C502">
        <v>6</v>
      </c>
    </row>
    <row r="503" spans="1:3" ht="15.75" customHeight="1" x14ac:dyDescent="0.2">
      <c r="A503" t="s">
        <v>285</v>
      </c>
      <c r="B503" t="s">
        <v>368</v>
      </c>
      <c r="C503">
        <v>6</v>
      </c>
    </row>
    <row r="504" spans="1:3" ht="15.75" customHeight="1" x14ac:dyDescent="0.2">
      <c r="A504" t="s">
        <v>285</v>
      </c>
      <c r="B504" t="s">
        <v>368</v>
      </c>
      <c r="C504">
        <v>6</v>
      </c>
    </row>
    <row r="505" spans="1:3" ht="15.75" customHeight="1" x14ac:dyDescent="0.2">
      <c r="A505" t="s">
        <v>285</v>
      </c>
      <c r="B505" t="s">
        <v>368</v>
      </c>
      <c r="C505">
        <v>6</v>
      </c>
    </row>
    <row r="506" spans="1:3" ht="15.75" customHeight="1" x14ac:dyDescent="0.2">
      <c r="A506" t="s">
        <v>285</v>
      </c>
      <c r="B506" t="s">
        <v>368</v>
      </c>
      <c r="C506">
        <v>6</v>
      </c>
    </row>
    <row r="507" spans="1:3" ht="15.75" customHeight="1" x14ac:dyDescent="0.2">
      <c r="A507" t="s">
        <v>285</v>
      </c>
      <c r="B507" t="s">
        <v>368</v>
      </c>
      <c r="C507">
        <v>6</v>
      </c>
    </row>
    <row r="508" spans="1:3" ht="15.75" customHeight="1" x14ac:dyDescent="0.2">
      <c r="A508" t="s">
        <v>285</v>
      </c>
      <c r="B508" t="s">
        <v>368</v>
      </c>
      <c r="C508">
        <v>6</v>
      </c>
    </row>
    <row r="509" spans="1:3" ht="15.75" customHeight="1" x14ac:dyDescent="0.2">
      <c r="A509" t="s">
        <v>285</v>
      </c>
      <c r="B509" t="s">
        <v>368</v>
      </c>
      <c r="C509">
        <v>6</v>
      </c>
    </row>
    <row r="510" spans="1:3" ht="15.75" customHeight="1" x14ac:dyDescent="0.2">
      <c r="A510" t="s">
        <v>285</v>
      </c>
      <c r="B510" t="s">
        <v>368</v>
      </c>
      <c r="C510">
        <v>6</v>
      </c>
    </row>
    <row r="511" spans="1:3" ht="15.75" customHeight="1" x14ac:dyDescent="0.2">
      <c r="A511" t="s">
        <v>285</v>
      </c>
      <c r="B511" t="s">
        <v>368</v>
      </c>
      <c r="C511">
        <v>6</v>
      </c>
    </row>
    <row r="512" spans="1:3" ht="15.75" customHeight="1" x14ac:dyDescent="0.2">
      <c r="A512" t="s">
        <v>285</v>
      </c>
      <c r="B512" t="s">
        <v>368</v>
      </c>
      <c r="C512">
        <v>6</v>
      </c>
    </row>
    <row r="513" spans="1:3" ht="15.75" customHeight="1" x14ac:dyDescent="0.2">
      <c r="A513" t="s">
        <v>285</v>
      </c>
      <c r="B513" t="s">
        <v>368</v>
      </c>
      <c r="C513">
        <v>6</v>
      </c>
    </row>
    <row r="514" spans="1:3" ht="15.75" customHeight="1" x14ac:dyDescent="0.2">
      <c r="A514" t="s">
        <v>285</v>
      </c>
      <c r="B514" t="s">
        <v>368</v>
      </c>
      <c r="C514">
        <v>6</v>
      </c>
    </row>
    <row r="515" spans="1:3" ht="15.75" customHeight="1" x14ac:dyDescent="0.2">
      <c r="A515" t="s">
        <v>285</v>
      </c>
      <c r="B515" t="s">
        <v>368</v>
      </c>
      <c r="C515">
        <v>6</v>
      </c>
    </row>
    <row r="516" spans="1:3" ht="15.75" customHeight="1" x14ac:dyDescent="0.2">
      <c r="A516" t="s">
        <v>285</v>
      </c>
      <c r="B516" t="s">
        <v>368</v>
      </c>
      <c r="C516">
        <v>6</v>
      </c>
    </row>
    <row r="517" spans="1:3" ht="15.75" customHeight="1" x14ac:dyDescent="0.2">
      <c r="A517" t="s">
        <v>285</v>
      </c>
      <c r="B517" t="s">
        <v>368</v>
      </c>
      <c r="C517">
        <v>6</v>
      </c>
    </row>
    <row r="518" spans="1:3" ht="15.75" customHeight="1" x14ac:dyDescent="0.2">
      <c r="A518" t="s">
        <v>285</v>
      </c>
      <c r="B518" t="s">
        <v>368</v>
      </c>
      <c r="C518">
        <v>6</v>
      </c>
    </row>
    <row r="519" spans="1:3" ht="15.75" customHeight="1" x14ac:dyDescent="0.2">
      <c r="A519" t="s">
        <v>285</v>
      </c>
      <c r="B519" t="s">
        <v>368</v>
      </c>
      <c r="C519">
        <v>6</v>
      </c>
    </row>
    <row r="520" spans="1:3" ht="15.75" customHeight="1" x14ac:dyDescent="0.2">
      <c r="A520" t="s">
        <v>285</v>
      </c>
      <c r="B520" t="s">
        <v>368</v>
      </c>
      <c r="C520">
        <v>6</v>
      </c>
    </row>
    <row r="521" spans="1:3" ht="15.75" customHeight="1" x14ac:dyDescent="0.2">
      <c r="A521" t="s">
        <v>285</v>
      </c>
      <c r="B521" t="s">
        <v>368</v>
      </c>
      <c r="C521">
        <v>6</v>
      </c>
    </row>
    <row r="522" spans="1:3" ht="15.75" customHeight="1" x14ac:dyDescent="0.2">
      <c r="A522" t="s">
        <v>285</v>
      </c>
      <c r="B522" t="s">
        <v>368</v>
      </c>
      <c r="C522">
        <v>6</v>
      </c>
    </row>
    <row r="523" spans="1:3" ht="15.75" customHeight="1" x14ac:dyDescent="0.2">
      <c r="A523" t="s">
        <v>285</v>
      </c>
      <c r="B523" t="s">
        <v>368</v>
      </c>
      <c r="C523">
        <v>6</v>
      </c>
    </row>
    <row r="524" spans="1:3" ht="15.75" customHeight="1" x14ac:dyDescent="0.2">
      <c r="A524" t="s">
        <v>285</v>
      </c>
      <c r="B524" t="s">
        <v>368</v>
      </c>
      <c r="C524">
        <v>6</v>
      </c>
    </row>
    <row r="525" spans="1:3" ht="15.75" customHeight="1" x14ac:dyDescent="0.2">
      <c r="A525" t="s">
        <v>285</v>
      </c>
      <c r="B525" t="s">
        <v>368</v>
      </c>
      <c r="C525">
        <v>6</v>
      </c>
    </row>
    <row r="526" spans="1:3" ht="15.75" customHeight="1" x14ac:dyDescent="0.2">
      <c r="A526" t="s">
        <v>285</v>
      </c>
      <c r="B526" t="s">
        <v>368</v>
      </c>
      <c r="C526">
        <v>6</v>
      </c>
    </row>
    <row r="527" spans="1:3" ht="15.75" customHeight="1" x14ac:dyDescent="0.2">
      <c r="A527" t="s">
        <v>285</v>
      </c>
      <c r="B527" t="s">
        <v>368</v>
      </c>
      <c r="C527">
        <v>6</v>
      </c>
    </row>
    <row r="528" spans="1:3" ht="15.75" customHeight="1" x14ac:dyDescent="0.2">
      <c r="A528" t="s">
        <v>285</v>
      </c>
      <c r="B528" t="s">
        <v>368</v>
      </c>
      <c r="C528">
        <v>6</v>
      </c>
    </row>
    <row r="529" spans="1:3" ht="15.75" customHeight="1" x14ac:dyDescent="0.2">
      <c r="A529" t="s">
        <v>285</v>
      </c>
      <c r="B529" t="s">
        <v>368</v>
      </c>
      <c r="C529">
        <v>6</v>
      </c>
    </row>
    <row r="530" spans="1:3" ht="15.75" customHeight="1" x14ac:dyDescent="0.2">
      <c r="A530" t="s">
        <v>285</v>
      </c>
      <c r="B530" t="s">
        <v>368</v>
      </c>
      <c r="C530">
        <v>6</v>
      </c>
    </row>
    <row r="531" spans="1:3" ht="15.75" customHeight="1" x14ac:dyDescent="0.2">
      <c r="A531" t="s">
        <v>285</v>
      </c>
      <c r="B531" t="s">
        <v>368</v>
      </c>
      <c r="C531">
        <v>6</v>
      </c>
    </row>
    <row r="532" spans="1:3" ht="15.75" customHeight="1" x14ac:dyDescent="0.2">
      <c r="A532" t="s">
        <v>285</v>
      </c>
      <c r="B532" t="s">
        <v>368</v>
      </c>
      <c r="C532">
        <v>6</v>
      </c>
    </row>
    <row r="533" spans="1:3" ht="15.75" customHeight="1" x14ac:dyDescent="0.2">
      <c r="A533" t="s">
        <v>285</v>
      </c>
      <c r="B533" t="s">
        <v>368</v>
      </c>
      <c r="C533">
        <v>6</v>
      </c>
    </row>
    <row r="534" spans="1:3" ht="15.75" customHeight="1" x14ac:dyDescent="0.2">
      <c r="A534" t="s">
        <v>285</v>
      </c>
      <c r="B534" t="s">
        <v>368</v>
      </c>
      <c r="C534">
        <v>6</v>
      </c>
    </row>
    <row r="535" spans="1:3" ht="15.75" customHeight="1" x14ac:dyDescent="0.2">
      <c r="A535" t="s">
        <v>285</v>
      </c>
      <c r="B535" t="s">
        <v>368</v>
      </c>
      <c r="C535">
        <v>6</v>
      </c>
    </row>
    <row r="536" spans="1:3" ht="15.75" customHeight="1" x14ac:dyDescent="0.2">
      <c r="A536" t="s">
        <v>285</v>
      </c>
      <c r="B536" t="s">
        <v>368</v>
      </c>
      <c r="C536">
        <v>6</v>
      </c>
    </row>
    <row r="537" spans="1:3" ht="15.75" customHeight="1" x14ac:dyDescent="0.2">
      <c r="A537" t="s">
        <v>285</v>
      </c>
      <c r="B537" t="s">
        <v>368</v>
      </c>
      <c r="C537">
        <v>6</v>
      </c>
    </row>
    <row r="538" spans="1:3" ht="15.75" customHeight="1" x14ac:dyDescent="0.2">
      <c r="A538" t="s">
        <v>285</v>
      </c>
      <c r="B538" t="s">
        <v>368</v>
      </c>
      <c r="C538">
        <v>6</v>
      </c>
    </row>
    <row r="539" spans="1:3" ht="15.75" customHeight="1" x14ac:dyDescent="0.2">
      <c r="A539" t="s">
        <v>285</v>
      </c>
      <c r="B539" t="s">
        <v>368</v>
      </c>
      <c r="C539">
        <v>6</v>
      </c>
    </row>
    <row r="540" spans="1:3" ht="15.75" customHeight="1" x14ac:dyDescent="0.2">
      <c r="A540" t="s">
        <v>285</v>
      </c>
      <c r="B540" t="s">
        <v>368</v>
      </c>
      <c r="C540">
        <v>6</v>
      </c>
    </row>
    <row r="541" spans="1:3" ht="15.75" customHeight="1" x14ac:dyDescent="0.2">
      <c r="A541" t="s">
        <v>285</v>
      </c>
      <c r="B541" t="s">
        <v>368</v>
      </c>
      <c r="C541">
        <v>6</v>
      </c>
    </row>
    <row r="542" spans="1:3" ht="15.75" customHeight="1" x14ac:dyDescent="0.2">
      <c r="A542" t="s">
        <v>285</v>
      </c>
      <c r="B542" t="s">
        <v>368</v>
      </c>
      <c r="C542">
        <v>6</v>
      </c>
    </row>
    <row r="543" spans="1:3" ht="15.75" customHeight="1" x14ac:dyDescent="0.2">
      <c r="A543" t="s">
        <v>285</v>
      </c>
      <c r="B543" t="s">
        <v>368</v>
      </c>
      <c r="C543">
        <v>6</v>
      </c>
    </row>
    <row r="544" spans="1:3" ht="15.75" customHeight="1" x14ac:dyDescent="0.2">
      <c r="A544" t="s">
        <v>285</v>
      </c>
      <c r="B544" t="s">
        <v>368</v>
      </c>
      <c r="C544">
        <v>6</v>
      </c>
    </row>
    <row r="545" spans="1:3" ht="15.75" customHeight="1" x14ac:dyDescent="0.2">
      <c r="A545" t="s">
        <v>285</v>
      </c>
      <c r="B545" t="s">
        <v>368</v>
      </c>
      <c r="C545">
        <v>6</v>
      </c>
    </row>
    <row r="546" spans="1:3" ht="15.75" customHeight="1" x14ac:dyDescent="0.2">
      <c r="A546" t="s">
        <v>285</v>
      </c>
      <c r="B546" t="s">
        <v>368</v>
      </c>
      <c r="C546">
        <v>6</v>
      </c>
    </row>
    <row r="547" spans="1:3" ht="15.75" customHeight="1" x14ac:dyDescent="0.2">
      <c r="A547" t="s">
        <v>285</v>
      </c>
      <c r="B547" t="s">
        <v>368</v>
      </c>
      <c r="C547">
        <v>6</v>
      </c>
    </row>
    <row r="548" spans="1:3" ht="15.75" customHeight="1" x14ac:dyDescent="0.2">
      <c r="A548" t="s">
        <v>285</v>
      </c>
      <c r="B548" t="s">
        <v>368</v>
      </c>
      <c r="C548">
        <v>6</v>
      </c>
    </row>
    <row r="549" spans="1:3" ht="15.75" customHeight="1" x14ac:dyDescent="0.2">
      <c r="A549" t="s">
        <v>285</v>
      </c>
      <c r="B549" t="s">
        <v>368</v>
      </c>
      <c r="C549">
        <v>6</v>
      </c>
    </row>
    <row r="550" spans="1:3" ht="15.75" customHeight="1" x14ac:dyDescent="0.2">
      <c r="A550" t="s">
        <v>285</v>
      </c>
      <c r="B550" t="s">
        <v>368</v>
      </c>
      <c r="C550">
        <v>6</v>
      </c>
    </row>
    <row r="551" spans="1:3" ht="15.75" customHeight="1" x14ac:dyDescent="0.2">
      <c r="A551" t="s">
        <v>285</v>
      </c>
      <c r="B551" t="s">
        <v>368</v>
      </c>
      <c r="C551">
        <v>6</v>
      </c>
    </row>
    <row r="552" spans="1:3" ht="15.75" customHeight="1" x14ac:dyDescent="0.2">
      <c r="A552" t="s">
        <v>285</v>
      </c>
      <c r="B552" t="s">
        <v>368</v>
      </c>
      <c r="C552">
        <v>6</v>
      </c>
    </row>
    <row r="553" spans="1:3" ht="15.75" customHeight="1" x14ac:dyDescent="0.2">
      <c r="A553" t="s">
        <v>285</v>
      </c>
      <c r="B553" t="s">
        <v>368</v>
      </c>
      <c r="C553">
        <v>6</v>
      </c>
    </row>
    <row r="554" spans="1:3" ht="15.75" customHeight="1" x14ac:dyDescent="0.2">
      <c r="A554" t="s">
        <v>285</v>
      </c>
      <c r="B554" t="s">
        <v>368</v>
      </c>
      <c r="C554">
        <v>6</v>
      </c>
    </row>
    <row r="555" spans="1:3" ht="15.75" customHeight="1" x14ac:dyDescent="0.2">
      <c r="A555" t="s">
        <v>285</v>
      </c>
      <c r="B555" t="s">
        <v>368</v>
      </c>
      <c r="C555">
        <v>6</v>
      </c>
    </row>
    <row r="556" spans="1:3" ht="15.75" customHeight="1" x14ac:dyDescent="0.2">
      <c r="A556" t="s">
        <v>285</v>
      </c>
      <c r="B556" t="s">
        <v>368</v>
      </c>
      <c r="C556">
        <v>6</v>
      </c>
    </row>
    <row r="557" spans="1:3" ht="15.75" customHeight="1" x14ac:dyDescent="0.2">
      <c r="A557" t="s">
        <v>285</v>
      </c>
      <c r="B557" t="s">
        <v>368</v>
      </c>
      <c r="C557">
        <v>6</v>
      </c>
    </row>
    <row r="558" spans="1:3" ht="15.75" customHeight="1" x14ac:dyDescent="0.2">
      <c r="A558" t="s">
        <v>285</v>
      </c>
      <c r="B558" t="s">
        <v>368</v>
      </c>
      <c r="C558">
        <v>6</v>
      </c>
    </row>
    <row r="559" spans="1:3" ht="15.75" customHeight="1" x14ac:dyDescent="0.2">
      <c r="A559" t="s">
        <v>285</v>
      </c>
      <c r="B559" t="s">
        <v>368</v>
      </c>
      <c r="C559">
        <v>6</v>
      </c>
    </row>
    <row r="560" spans="1:3" ht="15.75" customHeight="1" x14ac:dyDescent="0.2">
      <c r="A560" t="s">
        <v>285</v>
      </c>
      <c r="B560" t="s">
        <v>368</v>
      </c>
      <c r="C560">
        <v>6</v>
      </c>
    </row>
    <row r="561" spans="1:3" ht="15.75" customHeight="1" x14ac:dyDescent="0.2">
      <c r="A561" t="s">
        <v>285</v>
      </c>
      <c r="B561" t="s">
        <v>368</v>
      </c>
      <c r="C561">
        <v>6</v>
      </c>
    </row>
    <row r="562" spans="1:3" ht="15.75" customHeight="1" x14ac:dyDescent="0.2">
      <c r="A562" t="s">
        <v>285</v>
      </c>
      <c r="B562" t="s">
        <v>368</v>
      </c>
      <c r="C562">
        <v>6</v>
      </c>
    </row>
    <row r="563" spans="1:3" ht="15.75" customHeight="1" x14ac:dyDescent="0.2">
      <c r="A563" t="s">
        <v>285</v>
      </c>
      <c r="B563" t="s">
        <v>368</v>
      </c>
      <c r="C563">
        <v>6</v>
      </c>
    </row>
    <row r="564" spans="1:3" ht="15.75" customHeight="1" x14ac:dyDescent="0.2">
      <c r="A564" t="s">
        <v>285</v>
      </c>
      <c r="B564" t="s">
        <v>368</v>
      </c>
      <c r="C564">
        <v>6</v>
      </c>
    </row>
    <row r="565" spans="1:3" ht="15.75" customHeight="1" x14ac:dyDescent="0.2">
      <c r="A565" t="s">
        <v>285</v>
      </c>
      <c r="B565" t="s">
        <v>368</v>
      </c>
      <c r="C565">
        <v>6</v>
      </c>
    </row>
    <row r="566" spans="1:3" ht="15.75" customHeight="1" x14ac:dyDescent="0.2">
      <c r="A566" t="s">
        <v>285</v>
      </c>
      <c r="B566" t="s">
        <v>368</v>
      </c>
      <c r="C566">
        <v>6</v>
      </c>
    </row>
    <row r="567" spans="1:3" ht="15.75" customHeight="1" x14ac:dyDescent="0.2">
      <c r="A567" t="s">
        <v>285</v>
      </c>
      <c r="B567" t="s">
        <v>368</v>
      </c>
      <c r="C567">
        <v>6</v>
      </c>
    </row>
    <row r="568" spans="1:3" ht="15.75" customHeight="1" x14ac:dyDescent="0.2">
      <c r="A568" t="s">
        <v>285</v>
      </c>
      <c r="B568" t="s">
        <v>368</v>
      </c>
      <c r="C568">
        <v>6</v>
      </c>
    </row>
    <row r="569" spans="1:3" ht="15.75" customHeight="1" x14ac:dyDescent="0.2">
      <c r="A569" t="s">
        <v>285</v>
      </c>
      <c r="B569" t="s">
        <v>368</v>
      </c>
      <c r="C569">
        <v>6</v>
      </c>
    </row>
    <row r="570" spans="1:3" ht="15.75" customHeight="1" x14ac:dyDescent="0.2">
      <c r="A570" t="s">
        <v>285</v>
      </c>
      <c r="B570" t="s">
        <v>368</v>
      </c>
      <c r="C570">
        <v>6</v>
      </c>
    </row>
    <row r="571" spans="1:3" ht="15.75" customHeight="1" x14ac:dyDescent="0.2">
      <c r="A571" t="s">
        <v>285</v>
      </c>
      <c r="B571" t="s">
        <v>368</v>
      </c>
      <c r="C571">
        <v>6</v>
      </c>
    </row>
    <row r="572" spans="1:3" ht="15.75" customHeight="1" x14ac:dyDescent="0.2">
      <c r="A572" t="s">
        <v>285</v>
      </c>
      <c r="B572" t="s">
        <v>368</v>
      </c>
      <c r="C572">
        <v>6</v>
      </c>
    </row>
    <row r="573" spans="1:3" ht="15.75" customHeight="1" x14ac:dyDescent="0.2">
      <c r="A573" t="s">
        <v>285</v>
      </c>
      <c r="B573" t="s">
        <v>368</v>
      </c>
      <c r="C573">
        <v>6</v>
      </c>
    </row>
    <row r="574" spans="1:3" ht="15.75" customHeight="1" x14ac:dyDescent="0.2">
      <c r="A574" t="s">
        <v>285</v>
      </c>
      <c r="B574" t="s">
        <v>368</v>
      </c>
      <c r="C574">
        <v>6</v>
      </c>
    </row>
    <row r="575" spans="1:3" ht="15.75" customHeight="1" x14ac:dyDescent="0.2">
      <c r="A575" t="s">
        <v>285</v>
      </c>
      <c r="B575" t="s">
        <v>368</v>
      </c>
      <c r="C575">
        <v>6</v>
      </c>
    </row>
    <row r="576" spans="1:3" ht="15.75" customHeight="1" x14ac:dyDescent="0.2">
      <c r="A576" t="s">
        <v>285</v>
      </c>
      <c r="B576" t="s">
        <v>368</v>
      </c>
      <c r="C576">
        <v>6</v>
      </c>
    </row>
    <row r="577" spans="1:3" ht="15.75" customHeight="1" x14ac:dyDescent="0.2">
      <c r="A577" t="s">
        <v>285</v>
      </c>
      <c r="B577" t="s">
        <v>368</v>
      </c>
      <c r="C577">
        <v>6</v>
      </c>
    </row>
    <row r="578" spans="1:3" ht="15.75" customHeight="1" x14ac:dyDescent="0.2">
      <c r="A578" t="s">
        <v>285</v>
      </c>
      <c r="B578" t="s">
        <v>368</v>
      </c>
      <c r="C578">
        <v>6</v>
      </c>
    </row>
    <row r="579" spans="1:3" ht="15.75" customHeight="1" x14ac:dyDescent="0.2">
      <c r="A579" t="s">
        <v>285</v>
      </c>
      <c r="B579" t="s">
        <v>368</v>
      </c>
      <c r="C579">
        <v>6</v>
      </c>
    </row>
    <row r="580" spans="1:3" ht="15.75" customHeight="1" x14ac:dyDescent="0.2">
      <c r="A580" t="s">
        <v>285</v>
      </c>
      <c r="B580" t="s">
        <v>368</v>
      </c>
      <c r="C580">
        <v>6</v>
      </c>
    </row>
    <row r="581" spans="1:3" ht="15.75" customHeight="1" x14ac:dyDescent="0.2">
      <c r="A581" t="s">
        <v>285</v>
      </c>
      <c r="B581" t="s">
        <v>368</v>
      </c>
      <c r="C581">
        <v>6</v>
      </c>
    </row>
    <row r="582" spans="1:3" ht="15.75" customHeight="1" x14ac:dyDescent="0.2">
      <c r="A582" t="s">
        <v>285</v>
      </c>
      <c r="B582" t="s">
        <v>368</v>
      </c>
      <c r="C582">
        <v>6</v>
      </c>
    </row>
    <row r="583" spans="1:3" ht="15.75" customHeight="1" x14ac:dyDescent="0.2">
      <c r="A583" t="s">
        <v>285</v>
      </c>
      <c r="B583" t="s">
        <v>368</v>
      </c>
      <c r="C583">
        <v>6</v>
      </c>
    </row>
    <row r="584" spans="1:3" ht="15.75" customHeight="1" x14ac:dyDescent="0.2">
      <c r="A584" t="s">
        <v>285</v>
      </c>
      <c r="B584" t="s">
        <v>368</v>
      </c>
      <c r="C584">
        <v>6</v>
      </c>
    </row>
    <row r="585" spans="1:3" ht="15.75" customHeight="1" x14ac:dyDescent="0.2">
      <c r="A585" t="s">
        <v>285</v>
      </c>
      <c r="B585" t="s">
        <v>368</v>
      </c>
      <c r="C585">
        <v>6</v>
      </c>
    </row>
    <row r="586" spans="1:3" ht="15.75" customHeight="1" x14ac:dyDescent="0.2">
      <c r="A586" t="s">
        <v>285</v>
      </c>
      <c r="B586" t="s">
        <v>368</v>
      </c>
      <c r="C586">
        <v>6</v>
      </c>
    </row>
    <row r="587" spans="1:3" ht="15.75" customHeight="1" x14ac:dyDescent="0.2">
      <c r="A587" t="s">
        <v>285</v>
      </c>
      <c r="B587" t="s">
        <v>368</v>
      </c>
      <c r="C587">
        <v>6</v>
      </c>
    </row>
    <row r="588" spans="1:3" ht="15.75" customHeight="1" x14ac:dyDescent="0.2">
      <c r="A588" t="s">
        <v>285</v>
      </c>
      <c r="B588" t="s">
        <v>368</v>
      </c>
      <c r="C588">
        <v>6</v>
      </c>
    </row>
    <row r="589" spans="1:3" ht="15.75" customHeight="1" x14ac:dyDescent="0.2">
      <c r="A589" t="s">
        <v>285</v>
      </c>
      <c r="B589" t="s">
        <v>368</v>
      </c>
      <c r="C589">
        <v>6</v>
      </c>
    </row>
    <row r="590" spans="1:3" ht="15.75" customHeight="1" x14ac:dyDescent="0.2">
      <c r="A590" t="s">
        <v>285</v>
      </c>
      <c r="B590" t="s">
        <v>368</v>
      </c>
      <c r="C590">
        <v>6</v>
      </c>
    </row>
    <row r="591" spans="1:3" ht="15.75" customHeight="1" x14ac:dyDescent="0.2">
      <c r="A591" t="s">
        <v>285</v>
      </c>
      <c r="B591" t="s">
        <v>368</v>
      </c>
      <c r="C591">
        <v>6</v>
      </c>
    </row>
    <row r="592" spans="1:3" ht="15.75" customHeight="1" x14ac:dyDescent="0.2">
      <c r="A592" t="s">
        <v>285</v>
      </c>
      <c r="B592" t="s">
        <v>368</v>
      </c>
      <c r="C592">
        <v>6</v>
      </c>
    </row>
    <row r="593" spans="1:3" ht="15.75" customHeight="1" x14ac:dyDescent="0.2">
      <c r="A593" t="s">
        <v>285</v>
      </c>
      <c r="B593" t="s">
        <v>368</v>
      </c>
      <c r="C593">
        <v>6</v>
      </c>
    </row>
    <row r="594" spans="1:3" ht="15.75" customHeight="1" x14ac:dyDescent="0.2">
      <c r="A594" t="s">
        <v>285</v>
      </c>
      <c r="B594" t="s">
        <v>368</v>
      </c>
      <c r="C594">
        <v>6</v>
      </c>
    </row>
    <row r="595" spans="1:3" ht="15.75" customHeight="1" x14ac:dyDescent="0.2">
      <c r="A595" t="s">
        <v>285</v>
      </c>
      <c r="B595" t="s">
        <v>368</v>
      </c>
      <c r="C595">
        <v>6</v>
      </c>
    </row>
    <row r="596" spans="1:3" ht="15.75" customHeight="1" x14ac:dyDescent="0.2">
      <c r="A596" t="s">
        <v>285</v>
      </c>
      <c r="B596" t="s">
        <v>368</v>
      </c>
      <c r="C596">
        <v>6</v>
      </c>
    </row>
    <row r="597" spans="1:3" ht="15.75" customHeight="1" x14ac:dyDescent="0.2">
      <c r="A597" t="s">
        <v>285</v>
      </c>
      <c r="B597" t="s">
        <v>368</v>
      </c>
      <c r="C597">
        <v>6</v>
      </c>
    </row>
    <row r="598" spans="1:3" ht="15.75" customHeight="1" x14ac:dyDescent="0.2">
      <c r="A598" t="s">
        <v>285</v>
      </c>
      <c r="B598" t="s">
        <v>368</v>
      </c>
      <c r="C598">
        <v>6</v>
      </c>
    </row>
    <row r="599" spans="1:3" ht="15.75" customHeight="1" x14ac:dyDescent="0.2">
      <c r="A599" t="s">
        <v>285</v>
      </c>
      <c r="B599" t="s">
        <v>368</v>
      </c>
      <c r="C599">
        <v>6</v>
      </c>
    </row>
    <row r="600" spans="1:3" ht="15.75" customHeight="1" x14ac:dyDescent="0.2">
      <c r="A600" t="s">
        <v>285</v>
      </c>
      <c r="B600" t="s">
        <v>368</v>
      </c>
      <c r="C600">
        <v>6</v>
      </c>
    </row>
    <row r="601" spans="1:3" ht="15.75" customHeight="1" x14ac:dyDescent="0.2">
      <c r="A601" t="s">
        <v>285</v>
      </c>
      <c r="B601" t="s">
        <v>368</v>
      </c>
      <c r="C601">
        <v>6</v>
      </c>
    </row>
    <row r="602" spans="1:3" ht="15.75" customHeight="1" x14ac:dyDescent="0.2">
      <c r="A602" t="s">
        <v>285</v>
      </c>
      <c r="B602" t="s">
        <v>368</v>
      </c>
      <c r="C602">
        <v>6</v>
      </c>
    </row>
    <row r="603" spans="1:3" ht="15.75" customHeight="1" x14ac:dyDescent="0.2">
      <c r="A603" t="s">
        <v>285</v>
      </c>
      <c r="B603" t="s">
        <v>368</v>
      </c>
      <c r="C603">
        <v>6</v>
      </c>
    </row>
    <row r="604" spans="1:3" ht="15.75" customHeight="1" x14ac:dyDescent="0.2">
      <c r="A604" t="s">
        <v>285</v>
      </c>
      <c r="B604" t="s">
        <v>368</v>
      </c>
      <c r="C604">
        <v>6</v>
      </c>
    </row>
    <row r="605" spans="1:3" ht="15.75" customHeight="1" x14ac:dyDescent="0.2">
      <c r="A605" t="s">
        <v>285</v>
      </c>
      <c r="B605" t="s">
        <v>368</v>
      </c>
      <c r="C605">
        <v>6</v>
      </c>
    </row>
    <row r="606" spans="1:3" ht="15.75" customHeight="1" x14ac:dyDescent="0.2">
      <c r="A606" t="s">
        <v>285</v>
      </c>
      <c r="B606" t="s">
        <v>368</v>
      </c>
      <c r="C606">
        <v>6</v>
      </c>
    </row>
    <row r="607" spans="1:3" ht="15.75" customHeight="1" x14ac:dyDescent="0.2">
      <c r="A607" t="s">
        <v>285</v>
      </c>
      <c r="B607" t="s">
        <v>368</v>
      </c>
      <c r="C607">
        <v>6</v>
      </c>
    </row>
    <row r="608" spans="1:3" ht="15.75" customHeight="1" x14ac:dyDescent="0.2">
      <c r="A608" t="s">
        <v>285</v>
      </c>
      <c r="B608" t="s">
        <v>368</v>
      </c>
      <c r="C608">
        <v>6</v>
      </c>
    </row>
    <row r="609" spans="1:3" ht="15.75" customHeight="1" x14ac:dyDescent="0.2">
      <c r="A609" t="s">
        <v>285</v>
      </c>
      <c r="B609" t="s">
        <v>368</v>
      </c>
      <c r="C609">
        <v>6</v>
      </c>
    </row>
    <row r="610" spans="1:3" ht="15.75" customHeight="1" x14ac:dyDescent="0.2">
      <c r="A610" t="s">
        <v>285</v>
      </c>
      <c r="B610" t="s">
        <v>368</v>
      </c>
      <c r="C610">
        <v>6</v>
      </c>
    </row>
    <row r="611" spans="1:3" ht="15.75" customHeight="1" x14ac:dyDescent="0.2">
      <c r="A611" t="s">
        <v>285</v>
      </c>
      <c r="B611" t="s">
        <v>368</v>
      </c>
      <c r="C611">
        <v>6</v>
      </c>
    </row>
    <row r="612" spans="1:3" ht="15.75" customHeight="1" x14ac:dyDescent="0.2">
      <c r="A612" t="s">
        <v>285</v>
      </c>
      <c r="B612" t="s">
        <v>368</v>
      </c>
      <c r="C612">
        <v>6</v>
      </c>
    </row>
    <row r="613" spans="1:3" ht="15.75" customHeight="1" x14ac:dyDescent="0.2">
      <c r="A613" t="s">
        <v>285</v>
      </c>
      <c r="B613" t="s">
        <v>368</v>
      </c>
      <c r="C613">
        <v>6</v>
      </c>
    </row>
    <row r="614" spans="1:3" ht="15.75" customHeight="1" x14ac:dyDescent="0.2">
      <c r="A614" t="s">
        <v>285</v>
      </c>
      <c r="B614" t="s">
        <v>368</v>
      </c>
      <c r="C614">
        <v>6</v>
      </c>
    </row>
    <row r="615" spans="1:3" ht="15.75" customHeight="1" x14ac:dyDescent="0.2">
      <c r="A615" t="s">
        <v>285</v>
      </c>
      <c r="B615" t="s">
        <v>368</v>
      </c>
      <c r="C615">
        <v>6</v>
      </c>
    </row>
    <row r="616" spans="1:3" ht="15.75" customHeight="1" x14ac:dyDescent="0.2">
      <c r="A616" t="s">
        <v>285</v>
      </c>
      <c r="B616" t="s">
        <v>368</v>
      </c>
      <c r="C616">
        <v>6</v>
      </c>
    </row>
    <row r="617" spans="1:3" ht="15.75" customHeight="1" x14ac:dyDescent="0.2">
      <c r="A617" t="s">
        <v>285</v>
      </c>
      <c r="B617" t="s">
        <v>368</v>
      </c>
      <c r="C617">
        <v>6</v>
      </c>
    </row>
    <row r="618" spans="1:3" ht="15.75" customHeight="1" x14ac:dyDescent="0.2">
      <c r="A618" t="s">
        <v>285</v>
      </c>
      <c r="B618" t="s">
        <v>368</v>
      </c>
      <c r="C618">
        <v>6</v>
      </c>
    </row>
    <row r="619" spans="1:3" ht="15.75" customHeight="1" x14ac:dyDescent="0.2">
      <c r="A619" t="s">
        <v>285</v>
      </c>
      <c r="B619" t="s">
        <v>368</v>
      </c>
      <c r="C619">
        <v>6</v>
      </c>
    </row>
    <row r="620" spans="1:3" ht="15.75" customHeight="1" x14ac:dyDescent="0.2">
      <c r="A620" t="s">
        <v>285</v>
      </c>
      <c r="B620" t="s">
        <v>368</v>
      </c>
      <c r="C620">
        <v>6</v>
      </c>
    </row>
    <row r="621" spans="1:3" ht="15.75" customHeight="1" x14ac:dyDescent="0.2">
      <c r="A621" t="s">
        <v>285</v>
      </c>
      <c r="B621" t="s">
        <v>368</v>
      </c>
      <c r="C621">
        <v>6</v>
      </c>
    </row>
    <row r="622" spans="1:3" ht="15.75" customHeight="1" x14ac:dyDescent="0.2">
      <c r="A622" t="s">
        <v>285</v>
      </c>
      <c r="B622" t="s">
        <v>368</v>
      </c>
      <c r="C622">
        <v>6</v>
      </c>
    </row>
    <row r="623" spans="1:3" ht="15.75" customHeight="1" x14ac:dyDescent="0.2">
      <c r="A623" t="s">
        <v>285</v>
      </c>
      <c r="B623" t="s">
        <v>368</v>
      </c>
      <c r="C623">
        <v>6</v>
      </c>
    </row>
    <row r="624" spans="1:3" ht="15.75" customHeight="1" x14ac:dyDescent="0.2">
      <c r="A624" t="s">
        <v>285</v>
      </c>
      <c r="B624" t="s">
        <v>368</v>
      </c>
      <c r="C624">
        <v>6</v>
      </c>
    </row>
    <row r="625" spans="1:3" ht="15.75" customHeight="1" x14ac:dyDescent="0.2">
      <c r="A625" t="s">
        <v>285</v>
      </c>
      <c r="B625" t="s">
        <v>368</v>
      </c>
      <c r="C625">
        <v>6</v>
      </c>
    </row>
    <row r="626" spans="1:3" ht="15.75" customHeight="1" x14ac:dyDescent="0.2">
      <c r="A626" t="s">
        <v>285</v>
      </c>
      <c r="B626" t="s">
        <v>368</v>
      </c>
      <c r="C626">
        <v>6</v>
      </c>
    </row>
    <row r="627" spans="1:3" ht="15.75" customHeight="1" x14ac:dyDescent="0.2">
      <c r="A627" t="s">
        <v>285</v>
      </c>
      <c r="B627" t="s">
        <v>368</v>
      </c>
      <c r="C627">
        <v>6</v>
      </c>
    </row>
    <row r="628" spans="1:3" ht="15.75" customHeight="1" x14ac:dyDescent="0.2">
      <c r="A628" t="s">
        <v>285</v>
      </c>
      <c r="B628" t="s">
        <v>368</v>
      </c>
      <c r="C628">
        <v>6</v>
      </c>
    </row>
    <row r="629" spans="1:3" ht="15.75" customHeight="1" x14ac:dyDescent="0.2">
      <c r="A629" t="s">
        <v>285</v>
      </c>
      <c r="B629" t="s">
        <v>368</v>
      </c>
      <c r="C629">
        <v>6</v>
      </c>
    </row>
    <row r="630" spans="1:3" ht="15.75" customHeight="1" x14ac:dyDescent="0.2">
      <c r="A630" t="s">
        <v>285</v>
      </c>
      <c r="B630" t="s">
        <v>368</v>
      </c>
      <c r="C630">
        <v>6</v>
      </c>
    </row>
    <row r="631" spans="1:3" ht="15.75" customHeight="1" x14ac:dyDescent="0.2">
      <c r="A631" t="s">
        <v>285</v>
      </c>
      <c r="B631" t="s">
        <v>368</v>
      </c>
      <c r="C631">
        <v>6</v>
      </c>
    </row>
    <row r="632" spans="1:3" ht="15.75" customHeight="1" x14ac:dyDescent="0.2">
      <c r="A632" t="s">
        <v>285</v>
      </c>
      <c r="B632" t="s">
        <v>368</v>
      </c>
      <c r="C632">
        <v>6</v>
      </c>
    </row>
    <row r="633" spans="1:3" ht="15.75" customHeight="1" x14ac:dyDescent="0.2">
      <c r="A633" t="s">
        <v>285</v>
      </c>
      <c r="B633" t="s">
        <v>368</v>
      </c>
      <c r="C633">
        <v>6</v>
      </c>
    </row>
    <row r="634" spans="1:3" ht="15.75" customHeight="1" x14ac:dyDescent="0.2">
      <c r="A634" t="s">
        <v>285</v>
      </c>
      <c r="B634" t="s">
        <v>368</v>
      </c>
      <c r="C634">
        <v>6</v>
      </c>
    </row>
    <row r="635" spans="1:3" ht="15.75" customHeight="1" x14ac:dyDescent="0.2">
      <c r="A635" t="s">
        <v>285</v>
      </c>
      <c r="B635" t="s">
        <v>368</v>
      </c>
      <c r="C635">
        <v>6</v>
      </c>
    </row>
    <row r="636" spans="1:3" ht="15.75" customHeight="1" x14ac:dyDescent="0.2">
      <c r="A636" t="s">
        <v>285</v>
      </c>
      <c r="B636" t="s">
        <v>368</v>
      </c>
      <c r="C636">
        <v>6</v>
      </c>
    </row>
    <row r="637" spans="1:3" ht="15.75" customHeight="1" x14ac:dyDescent="0.2">
      <c r="A637" t="s">
        <v>285</v>
      </c>
      <c r="B637" t="s">
        <v>368</v>
      </c>
      <c r="C637">
        <v>6</v>
      </c>
    </row>
    <row r="638" spans="1:3" ht="15.75" customHeight="1" x14ac:dyDescent="0.2">
      <c r="A638" t="s">
        <v>285</v>
      </c>
      <c r="B638" t="s">
        <v>368</v>
      </c>
      <c r="C638">
        <v>6</v>
      </c>
    </row>
    <row r="639" spans="1:3" ht="15.75" customHeight="1" x14ac:dyDescent="0.2">
      <c r="A639" t="s">
        <v>285</v>
      </c>
      <c r="B639" t="s">
        <v>368</v>
      </c>
      <c r="C639">
        <v>6</v>
      </c>
    </row>
    <row r="640" spans="1:3" ht="15.75" customHeight="1" x14ac:dyDescent="0.2">
      <c r="A640" t="s">
        <v>285</v>
      </c>
      <c r="B640" t="s">
        <v>368</v>
      </c>
      <c r="C640">
        <v>6</v>
      </c>
    </row>
    <row r="641" spans="1:3" ht="15.75" customHeight="1" x14ac:dyDescent="0.2">
      <c r="A641" t="s">
        <v>285</v>
      </c>
      <c r="B641" t="s">
        <v>368</v>
      </c>
      <c r="C641">
        <v>6</v>
      </c>
    </row>
    <row r="642" spans="1:3" ht="15.75" customHeight="1" x14ac:dyDescent="0.2">
      <c r="A642" t="s">
        <v>285</v>
      </c>
      <c r="B642" t="s">
        <v>368</v>
      </c>
      <c r="C642">
        <v>6</v>
      </c>
    </row>
    <row r="643" spans="1:3" ht="15.75" customHeight="1" x14ac:dyDescent="0.2">
      <c r="A643" t="s">
        <v>285</v>
      </c>
      <c r="B643" t="s">
        <v>368</v>
      </c>
      <c r="C643">
        <v>6</v>
      </c>
    </row>
    <row r="644" spans="1:3" ht="15.75" customHeight="1" x14ac:dyDescent="0.2">
      <c r="A644" t="s">
        <v>285</v>
      </c>
      <c r="B644" t="s">
        <v>368</v>
      </c>
      <c r="C644">
        <v>6</v>
      </c>
    </row>
    <row r="645" spans="1:3" ht="15.75" customHeight="1" x14ac:dyDescent="0.2">
      <c r="A645" t="s">
        <v>285</v>
      </c>
      <c r="B645" t="s">
        <v>368</v>
      </c>
      <c r="C645">
        <v>6</v>
      </c>
    </row>
    <row r="646" spans="1:3" ht="15.75" customHeight="1" x14ac:dyDescent="0.2">
      <c r="A646" t="s">
        <v>285</v>
      </c>
      <c r="B646" t="s">
        <v>368</v>
      </c>
      <c r="C646">
        <v>6</v>
      </c>
    </row>
    <row r="647" spans="1:3" ht="15.75" customHeight="1" x14ac:dyDescent="0.2">
      <c r="A647" t="s">
        <v>285</v>
      </c>
      <c r="B647" t="s">
        <v>368</v>
      </c>
      <c r="C647">
        <v>6</v>
      </c>
    </row>
    <row r="648" spans="1:3" ht="15.75" customHeight="1" x14ac:dyDescent="0.2">
      <c r="A648" t="s">
        <v>285</v>
      </c>
      <c r="B648" t="s">
        <v>368</v>
      </c>
      <c r="C648">
        <v>6</v>
      </c>
    </row>
    <row r="649" spans="1:3" ht="15.75" customHeight="1" x14ac:dyDescent="0.2">
      <c r="A649" t="s">
        <v>285</v>
      </c>
      <c r="B649" t="s">
        <v>368</v>
      </c>
      <c r="C649">
        <v>6</v>
      </c>
    </row>
    <row r="650" spans="1:3" ht="15.75" customHeight="1" x14ac:dyDescent="0.2">
      <c r="A650" t="s">
        <v>285</v>
      </c>
      <c r="B650" t="s">
        <v>368</v>
      </c>
      <c r="C650">
        <v>6</v>
      </c>
    </row>
    <row r="651" spans="1:3" ht="15.75" customHeight="1" x14ac:dyDescent="0.2">
      <c r="A651" t="s">
        <v>285</v>
      </c>
      <c r="B651" t="s">
        <v>368</v>
      </c>
      <c r="C651">
        <v>6</v>
      </c>
    </row>
    <row r="652" spans="1:3" ht="15.75" customHeight="1" x14ac:dyDescent="0.2">
      <c r="A652" t="s">
        <v>285</v>
      </c>
      <c r="B652" t="s">
        <v>368</v>
      </c>
      <c r="C652">
        <v>6</v>
      </c>
    </row>
    <row r="653" spans="1:3" ht="15.75" customHeight="1" x14ac:dyDescent="0.2">
      <c r="A653" t="s">
        <v>285</v>
      </c>
      <c r="B653" t="s">
        <v>368</v>
      </c>
      <c r="C653">
        <v>6</v>
      </c>
    </row>
    <row r="654" spans="1:3" ht="15.75" customHeight="1" x14ac:dyDescent="0.2">
      <c r="A654" t="s">
        <v>285</v>
      </c>
      <c r="B654" t="s">
        <v>368</v>
      </c>
      <c r="C654">
        <v>6</v>
      </c>
    </row>
    <row r="655" spans="1:3" ht="15.75" customHeight="1" x14ac:dyDescent="0.2">
      <c r="A655" t="s">
        <v>285</v>
      </c>
      <c r="B655" t="s">
        <v>368</v>
      </c>
      <c r="C655">
        <v>6</v>
      </c>
    </row>
    <row r="656" spans="1:3" ht="15.75" customHeight="1" x14ac:dyDescent="0.2">
      <c r="A656" t="s">
        <v>285</v>
      </c>
      <c r="B656" t="s">
        <v>368</v>
      </c>
      <c r="C656">
        <v>6</v>
      </c>
    </row>
    <row r="657" spans="1:3" ht="15.75" customHeight="1" x14ac:dyDescent="0.2">
      <c r="A657" t="s">
        <v>285</v>
      </c>
      <c r="B657" t="s">
        <v>368</v>
      </c>
      <c r="C657">
        <v>6</v>
      </c>
    </row>
    <row r="658" spans="1:3" ht="15.75" customHeight="1" x14ac:dyDescent="0.2">
      <c r="A658" t="s">
        <v>285</v>
      </c>
      <c r="B658" t="s">
        <v>368</v>
      </c>
      <c r="C658">
        <v>6</v>
      </c>
    </row>
    <row r="659" spans="1:3" ht="15.75" customHeight="1" x14ac:dyDescent="0.2">
      <c r="A659" t="s">
        <v>285</v>
      </c>
      <c r="B659" t="s">
        <v>368</v>
      </c>
      <c r="C659">
        <v>6</v>
      </c>
    </row>
    <row r="660" spans="1:3" ht="15.75" customHeight="1" x14ac:dyDescent="0.2">
      <c r="A660" t="s">
        <v>285</v>
      </c>
      <c r="B660" t="s">
        <v>368</v>
      </c>
      <c r="C660">
        <v>6</v>
      </c>
    </row>
    <row r="661" spans="1:3" ht="15.75" customHeight="1" x14ac:dyDescent="0.2">
      <c r="A661" t="s">
        <v>285</v>
      </c>
      <c r="B661" t="s">
        <v>368</v>
      </c>
      <c r="C661">
        <v>6</v>
      </c>
    </row>
    <row r="662" spans="1:3" ht="15.75" customHeight="1" x14ac:dyDescent="0.2">
      <c r="A662" t="s">
        <v>285</v>
      </c>
      <c r="B662" t="s">
        <v>368</v>
      </c>
      <c r="C662">
        <v>6</v>
      </c>
    </row>
    <row r="663" spans="1:3" ht="15.75" customHeight="1" x14ac:dyDescent="0.2">
      <c r="A663" t="s">
        <v>285</v>
      </c>
      <c r="B663" t="s">
        <v>368</v>
      </c>
      <c r="C663">
        <v>6</v>
      </c>
    </row>
    <row r="664" spans="1:3" ht="15.75" customHeight="1" x14ac:dyDescent="0.2">
      <c r="A664" t="s">
        <v>285</v>
      </c>
      <c r="B664" t="s">
        <v>368</v>
      </c>
      <c r="C664">
        <v>6</v>
      </c>
    </row>
    <row r="665" spans="1:3" ht="15.75" customHeight="1" x14ac:dyDescent="0.2">
      <c r="A665" t="s">
        <v>285</v>
      </c>
      <c r="B665" t="s">
        <v>368</v>
      </c>
      <c r="C665">
        <v>6</v>
      </c>
    </row>
    <row r="666" spans="1:3" ht="15.75" customHeight="1" x14ac:dyDescent="0.2">
      <c r="A666" t="s">
        <v>285</v>
      </c>
      <c r="B666" t="s">
        <v>368</v>
      </c>
      <c r="C666">
        <v>6</v>
      </c>
    </row>
    <row r="667" spans="1:3" ht="15.75" customHeight="1" x14ac:dyDescent="0.2">
      <c r="A667" t="s">
        <v>285</v>
      </c>
      <c r="B667" t="s">
        <v>368</v>
      </c>
      <c r="C667">
        <v>6</v>
      </c>
    </row>
    <row r="668" spans="1:3" ht="15.75" customHeight="1" x14ac:dyDescent="0.2">
      <c r="A668" t="s">
        <v>285</v>
      </c>
      <c r="B668" t="s">
        <v>368</v>
      </c>
      <c r="C668">
        <v>6</v>
      </c>
    </row>
    <row r="669" spans="1:3" ht="15.75" customHeight="1" x14ac:dyDescent="0.2">
      <c r="A669" t="s">
        <v>285</v>
      </c>
      <c r="B669" t="s">
        <v>368</v>
      </c>
      <c r="C669">
        <v>6</v>
      </c>
    </row>
    <row r="670" spans="1:3" ht="15.75" customHeight="1" x14ac:dyDescent="0.2">
      <c r="A670" t="s">
        <v>285</v>
      </c>
      <c r="B670" t="s">
        <v>368</v>
      </c>
      <c r="C670">
        <v>6</v>
      </c>
    </row>
    <row r="671" spans="1:3" ht="15.75" customHeight="1" x14ac:dyDescent="0.2">
      <c r="A671" t="s">
        <v>285</v>
      </c>
      <c r="B671" t="s">
        <v>368</v>
      </c>
      <c r="C671">
        <v>6</v>
      </c>
    </row>
    <row r="672" spans="1:3" ht="15.75" customHeight="1" x14ac:dyDescent="0.2">
      <c r="A672" t="s">
        <v>285</v>
      </c>
      <c r="B672" t="s">
        <v>368</v>
      </c>
      <c r="C672">
        <v>6</v>
      </c>
    </row>
    <row r="673" spans="1:3" ht="15.75" customHeight="1" x14ac:dyDescent="0.2">
      <c r="A673" t="s">
        <v>285</v>
      </c>
      <c r="B673" t="s">
        <v>368</v>
      </c>
      <c r="C673">
        <v>6</v>
      </c>
    </row>
    <row r="674" spans="1:3" ht="15.75" customHeight="1" x14ac:dyDescent="0.2">
      <c r="A674" t="s">
        <v>285</v>
      </c>
      <c r="B674" t="s">
        <v>368</v>
      </c>
      <c r="C674">
        <v>6</v>
      </c>
    </row>
    <row r="675" spans="1:3" ht="15.75" customHeight="1" x14ac:dyDescent="0.2">
      <c r="A675" t="s">
        <v>285</v>
      </c>
      <c r="B675" t="s">
        <v>368</v>
      </c>
      <c r="C675">
        <v>6</v>
      </c>
    </row>
    <row r="676" spans="1:3" ht="15.75" customHeight="1" x14ac:dyDescent="0.2">
      <c r="A676" t="s">
        <v>285</v>
      </c>
      <c r="B676" t="s">
        <v>368</v>
      </c>
      <c r="C676">
        <v>6</v>
      </c>
    </row>
    <row r="677" spans="1:3" ht="15.75" customHeight="1" x14ac:dyDescent="0.2">
      <c r="A677" t="s">
        <v>285</v>
      </c>
      <c r="B677" t="s">
        <v>368</v>
      </c>
      <c r="C677">
        <v>6</v>
      </c>
    </row>
    <row r="678" spans="1:3" ht="15.75" customHeight="1" x14ac:dyDescent="0.2">
      <c r="A678" t="s">
        <v>285</v>
      </c>
      <c r="B678" t="s">
        <v>368</v>
      </c>
      <c r="C678">
        <v>6</v>
      </c>
    </row>
    <row r="679" spans="1:3" ht="15.75" customHeight="1" x14ac:dyDescent="0.2">
      <c r="A679" t="s">
        <v>285</v>
      </c>
      <c r="B679" t="s">
        <v>368</v>
      </c>
      <c r="C679">
        <v>6</v>
      </c>
    </row>
    <row r="680" spans="1:3" ht="15.75" customHeight="1" x14ac:dyDescent="0.2">
      <c r="A680" t="s">
        <v>285</v>
      </c>
      <c r="B680" t="s">
        <v>368</v>
      </c>
      <c r="C680">
        <v>6</v>
      </c>
    </row>
    <row r="681" spans="1:3" ht="15.75" customHeight="1" x14ac:dyDescent="0.2">
      <c r="A681" t="s">
        <v>285</v>
      </c>
      <c r="B681" t="s">
        <v>368</v>
      </c>
      <c r="C681">
        <v>6</v>
      </c>
    </row>
    <row r="682" spans="1:3" ht="15.75" customHeight="1" x14ac:dyDescent="0.2">
      <c r="A682" t="s">
        <v>285</v>
      </c>
      <c r="B682" t="s">
        <v>368</v>
      </c>
      <c r="C682">
        <v>6</v>
      </c>
    </row>
    <row r="683" spans="1:3" ht="15.75" customHeight="1" x14ac:dyDescent="0.2">
      <c r="A683" t="s">
        <v>285</v>
      </c>
      <c r="B683" t="s">
        <v>368</v>
      </c>
      <c r="C683">
        <v>6</v>
      </c>
    </row>
    <row r="684" spans="1:3" ht="15.75" customHeight="1" x14ac:dyDescent="0.2">
      <c r="A684" t="s">
        <v>285</v>
      </c>
      <c r="B684" t="s">
        <v>368</v>
      </c>
      <c r="C684">
        <v>6</v>
      </c>
    </row>
    <row r="685" spans="1:3" ht="15.75" customHeight="1" x14ac:dyDescent="0.2">
      <c r="A685" t="s">
        <v>285</v>
      </c>
      <c r="B685" t="s">
        <v>368</v>
      </c>
      <c r="C685">
        <v>6</v>
      </c>
    </row>
    <row r="686" spans="1:3" ht="15.75" customHeight="1" x14ac:dyDescent="0.2">
      <c r="A686" t="s">
        <v>285</v>
      </c>
      <c r="B686" t="s">
        <v>368</v>
      </c>
      <c r="C686">
        <v>6</v>
      </c>
    </row>
    <row r="687" spans="1:3" ht="15.75" customHeight="1" x14ac:dyDescent="0.2">
      <c r="A687" t="s">
        <v>285</v>
      </c>
      <c r="B687" t="s">
        <v>368</v>
      </c>
      <c r="C687">
        <v>6</v>
      </c>
    </row>
    <row r="688" spans="1:3" ht="15.75" customHeight="1" x14ac:dyDescent="0.2">
      <c r="A688" t="s">
        <v>285</v>
      </c>
      <c r="B688" t="s">
        <v>368</v>
      </c>
      <c r="C688">
        <v>6</v>
      </c>
    </row>
    <row r="689" spans="1:3" ht="15.75" customHeight="1" x14ac:dyDescent="0.2">
      <c r="A689" t="s">
        <v>285</v>
      </c>
      <c r="B689" t="s">
        <v>368</v>
      </c>
      <c r="C689">
        <v>6</v>
      </c>
    </row>
    <row r="690" spans="1:3" ht="15.75" customHeight="1" x14ac:dyDescent="0.2">
      <c r="A690" t="s">
        <v>285</v>
      </c>
      <c r="B690" t="s">
        <v>368</v>
      </c>
      <c r="C690">
        <v>6</v>
      </c>
    </row>
    <row r="691" spans="1:3" ht="15.75" customHeight="1" x14ac:dyDescent="0.2">
      <c r="A691" t="s">
        <v>285</v>
      </c>
      <c r="B691" t="s">
        <v>368</v>
      </c>
      <c r="C691">
        <v>6</v>
      </c>
    </row>
    <row r="692" spans="1:3" ht="15.75" customHeight="1" x14ac:dyDescent="0.2">
      <c r="A692" t="s">
        <v>285</v>
      </c>
      <c r="B692" t="s">
        <v>368</v>
      </c>
      <c r="C692">
        <v>6</v>
      </c>
    </row>
    <row r="693" spans="1:3" ht="15.75" customHeight="1" x14ac:dyDescent="0.2">
      <c r="A693" t="s">
        <v>285</v>
      </c>
      <c r="B693" t="s">
        <v>368</v>
      </c>
      <c r="C693">
        <v>6</v>
      </c>
    </row>
    <row r="694" spans="1:3" ht="15.75" customHeight="1" x14ac:dyDescent="0.2">
      <c r="A694" t="s">
        <v>285</v>
      </c>
      <c r="B694" t="s">
        <v>368</v>
      </c>
      <c r="C694">
        <v>6</v>
      </c>
    </row>
    <row r="695" spans="1:3" ht="15.75" customHeight="1" x14ac:dyDescent="0.2">
      <c r="A695" t="s">
        <v>285</v>
      </c>
      <c r="B695" t="s">
        <v>368</v>
      </c>
      <c r="C695">
        <v>6</v>
      </c>
    </row>
    <row r="696" spans="1:3" ht="15.75" customHeight="1" x14ac:dyDescent="0.2">
      <c r="A696" t="s">
        <v>285</v>
      </c>
      <c r="B696" t="s">
        <v>368</v>
      </c>
      <c r="C696">
        <v>6</v>
      </c>
    </row>
    <row r="697" spans="1:3" ht="15.75" customHeight="1" x14ac:dyDescent="0.2">
      <c r="A697" t="s">
        <v>285</v>
      </c>
      <c r="B697" t="s">
        <v>368</v>
      </c>
      <c r="C697">
        <v>6</v>
      </c>
    </row>
    <row r="698" spans="1:3" ht="15.75" customHeight="1" x14ac:dyDescent="0.2">
      <c r="A698" t="s">
        <v>285</v>
      </c>
      <c r="B698" t="s">
        <v>368</v>
      </c>
      <c r="C698">
        <v>6</v>
      </c>
    </row>
    <row r="699" spans="1:3" ht="15.75" customHeight="1" x14ac:dyDescent="0.2">
      <c r="A699" t="s">
        <v>285</v>
      </c>
      <c r="B699" t="s">
        <v>368</v>
      </c>
      <c r="C699">
        <v>6</v>
      </c>
    </row>
    <row r="700" spans="1:3" ht="15.75" customHeight="1" x14ac:dyDescent="0.2">
      <c r="A700" t="s">
        <v>285</v>
      </c>
      <c r="B700" t="s">
        <v>368</v>
      </c>
      <c r="C700">
        <v>6</v>
      </c>
    </row>
    <row r="701" spans="1:3" ht="15.75" customHeight="1" x14ac:dyDescent="0.2">
      <c r="A701" t="s">
        <v>285</v>
      </c>
      <c r="B701" t="s">
        <v>368</v>
      </c>
      <c r="C701">
        <v>6</v>
      </c>
    </row>
    <row r="702" spans="1:3" ht="15.75" customHeight="1" x14ac:dyDescent="0.2">
      <c r="A702" t="s">
        <v>285</v>
      </c>
      <c r="B702" t="s">
        <v>368</v>
      </c>
      <c r="C702">
        <v>6</v>
      </c>
    </row>
    <row r="703" spans="1:3" ht="15.75" customHeight="1" x14ac:dyDescent="0.2">
      <c r="A703" t="s">
        <v>285</v>
      </c>
      <c r="B703" t="s">
        <v>368</v>
      </c>
      <c r="C703">
        <v>6</v>
      </c>
    </row>
    <row r="704" spans="1:3" ht="15.75" customHeight="1" x14ac:dyDescent="0.2">
      <c r="A704" t="s">
        <v>285</v>
      </c>
      <c r="B704" t="s">
        <v>368</v>
      </c>
      <c r="C704">
        <v>6</v>
      </c>
    </row>
    <row r="705" spans="1:3" ht="15.75" customHeight="1" x14ac:dyDescent="0.2">
      <c r="A705" t="s">
        <v>285</v>
      </c>
      <c r="B705" t="s">
        <v>368</v>
      </c>
      <c r="C705">
        <v>6</v>
      </c>
    </row>
    <row r="706" spans="1:3" ht="15.75" customHeight="1" x14ac:dyDescent="0.2">
      <c r="A706" t="s">
        <v>285</v>
      </c>
      <c r="B706" t="s">
        <v>368</v>
      </c>
      <c r="C706">
        <v>6</v>
      </c>
    </row>
    <row r="707" spans="1:3" ht="15.75" customHeight="1" x14ac:dyDescent="0.2">
      <c r="A707" t="s">
        <v>285</v>
      </c>
      <c r="B707" t="s">
        <v>368</v>
      </c>
      <c r="C707">
        <v>6</v>
      </c>
    </row>
    <row r="708" spans="1:3" ht="15.75" customHeight="1" x14ac:dyDescent="0.2">
      <c r="A708" t="s">
        <v>285</v>
      </c>
      <c r="B708" t="s">
        <v>368</v>
      </c>
      <c r="C708">
        <v>6</v>
      </c>
    </row>
    <row r="709" spans="1:3" ht="15.75" customHeight="1" x14ac:dyDescent="0.2">
      <c r="A709" t="s">
        <v>285</v>
      </c>
      <c r="B709" t="s">
        <v>368</v>
      </c>
      <c r="C709">
        <v>6</v>
      </c>
    </row>
    <row r="710" spans="1:3" ht="15.75" customHeight="1" x14ac:dyDescent="0.2">
      <c r="A710" t="s">
        <v>285</v>
      </c>
      <c r="B710" t="s">
        <v>368</v>
      </c>
      <c r="C710">
        <v>6</v>
      </c>
    </row>
    <row r="711" spans="1:3" ht="15.75" customHeight="1" x14ac:dyDescent="0.2">
      <c r="A711" t="s">
        <v>285</v>
      </c>
      <c r="B711" t="s">
        <v>368</v>
      </c>
      <c r="C711">
        <v>6</v>
      </c>
    </row>
    <row r="712" spans="1:3" ht="15.75" customHeight="1" x14ac:dyDescent="0.2">
      <c r="A712" t="s">
        <v>285</v>
      </c>
      <c r="B712" t="s">
        <v>368</v>
      </c>
      <c r="C712">
        <v>6</v>
      </c>
    </row>
    <row r="713" spans="1:3" ht="15.75" customHeight="1" x14ac:dyDescent="0.2">
      <c r="A713" t="s">
        <v>285</v>
      </c>
      <c r="B713" t="s">
        <v>368</v>
      </c>
      <c r="C713">
        <v>6</v>
      </c>
    </row>
    <row r="714" spans="1:3" ht="15.75" customHeight="1" x14ac:dyDescent="0.2">
      <c r="A714" t="s">
        <v>285</v>
      </c>
      <c r="B714" t="s">
        <v>368</v>
      </c>
      <c r="C714">
        <v>6</v>
      </c>
    </row>
    <row r="715" spans="1:3" ht="15.75" customHeight="1" x14ac:dyDescent="0.2">
      <c r="A715" t="s">
        <v>285</v>
      </c>
      <c r="B715" t="s">
        <v>368</v>
      </c>
      <c r="C715">
        <v>6</v>
      </c>
    </row>
    <row r="716" spans="1:3" ht="15.75" customHeight="1" x14ac:dyDescent="0.2">
      <c r="A716" t="s">
        <v>285</v>
      </c>
      <c r="B716" t="s">
        <v>368</v>
      </c>
      <c r="C716">
        <v>6</v>
      </c>
    </row>
    <row r="717" spans="1:3" ht="15.75" customHeight="1" x14ac:dyDescent="0.2">
      <c r="A717" t="s">
        <v>285</v>
      </c>
      <c r="B717" t="s">
        <v>368</v>
      </c>
      <c r="C717">
        <v>6</v>
      </c>
    </row>
    <row r="718" spans="1:3" ht="15.75" customHeight="1" x14ac:dyDescent="0.2">
      <c r="A718" t="s">
        <v>285</v>
      </c>
      <c r="B718" t="s">
        <v>368</v>
      </c>
      <c r="C718">
        <v>6</v>
      </c>
    </row>
    <row r="719" spans="1:3" ht="15.75" customHeight="1" x14ac:dyDescent="0.2">
      <c r="A719" t="s">
        <v>285</v>
      </c>
      <c r="B719" t="s">
        <v>368</v>
      </c>
      <c r="C719">
        <v>6</v>
      </c>
    </row>
    <row r="720" spans="1:3" ht="15.75" customHeight="1" x14ac:dyDescent="0.2">
      <c r="A720" t="s">
        <v>285</v>
      </c>
      <c r="B720" t="s">
        <v>368</v>
      </c>
      <c r="C720">
        <v>6</v>
      </c>
    </row>
    <row r="721" spans="1:3" ht="15.75" customHeight="1" x14ac:dyDescent="0.2">
      <c r="A721" t="s">
        <v>285</v>
      </c>
      <c r="B721" t="s">
        <v>368</v>
      </c>
      <c r="C721">
        <v>6</v>
      </c>
    </row>
    <row r="722" spans="1:3" ht="15.75" customHeight="1" x14ac:dyDescent="0.2">
      <c r="A722" t="s">
        <v>285</v>
      </c>
      <c r="B722" t="s">
        <v>368</v>
      </c>
      <c r="C722">
        <v>6</v>
      </c>
    </row>
    <row r="723" spans="1:3" ht="15.75" customHeight="1" x14ac:dyDescent="0.2">
      <c r="A723" t="s">
        <v>285</v>
      </c>
      <c r="B723" t="s">
        <v>368</v>
      </c>
      <c r="C723">
        <v>6</v>
      </c>
    </row>
    <row r="724" spans="1:3" ht="15.75" customHeight="1" x14ac:dyDescent="0.2">
      <c r="A724" t="s">
        <v>285</v>
      </c>
      <c r="B724" t="s">
        <v>368</v>
      </c>
      <c r="C724">
        <v>6</v>
      </c>
    </row>
    <row r="725" spans="1:3" ht="15.75" customHeight="1" x14ac:dyDescent="0.2">
      <c r="A725" t="s">
        <v>285</v>
      </c>
      <c r="B725" t="s">
        <v>368</v>
      </c>
      <c r="C725">
        <v>6</v>
      </c>
    </row>
    <row r="726" spans="1:3" ht="15.75" customHeight="1" x14ac:dyDescent="0.2">
      <c r="A726" t="s">
        <v>285</v>
      </c>
      <c r="B726" t="s">
        <v>368</v>
      </c>
      <c r="C726">
        <v>6</v>
      </c>
    </row>
    <row r="727" spans="1:3" ht="15.75" customHeight="1" x14ac:dyDescent="0.2">
      <c r="A727" t="s">
        <v>285</v>
      </c>
      <c r="B727" t="s">
        <v>368</v>
      </c>
      <c r="C727">
        <v>6</v>
      </c>
    </row>
    <row r="728" spans="1:3" ht="15.75" customHeight="1" x14ac:dyDescent="0.2">
      <c r="A728" t="s">
        <v>285</v>
      </c>
      <c r="B728" t="s">
        <v>368</v>
      </c>
      <c r="C728">
        <v>6</v>
      </c>
    </row>
    <row r="729" spans="1:3" ht="15.75" customHeight="1" x14ac:dyDescent="0.2">
      <c r="A729" t="s">
        <v>285</v>
      </c>
      <c r="B729" t="s">
        <v>368</v>
      </c>
      <c r="C729">
        <v>6</v>
      </c>
    </row>
    <row r="730" spans="1:3" ht="15.75" customHeight="1" x14ac:dyDescent="0.2">
      <c r="A730" t="s">
        <v>285</v>
      </c>
      <c r="B730" t="s">
        <v>368</v>
      </c>
      <c r="C730">
        <v>6</v>
      </c>
    </row>
    <row r="731" spans="1:3" ht="15.75" customHeight="1" x14ac:dyDescent="0.2">
      <c r="A731" t="s">
        <v>285</v>
      </c>
      <c r="B731" t="s">
        <v>368</v>
      </c>
      <c r="C731">
        <v>6</v>
      </c>
    </row>
    <row r="732" spans="1:3" ht="15.75" customHeight="1" x14ac:dyDescent="0.2">
      <c r="A732" t="s">
        <v>285</v>
      </c>
      <c r="B732" t="s">
        <v>368</v>
      </c>
      <c r="C732">
        <v>6</v>
      </c>
    </row>
    <row r="733" spans="1:3" ht="15.75" customHeight="1" x14ac:dyDescent="0.2">
      <c r="A733" t="s">
        <v>285</v>
      </c>
      <c r="B733" t="s">
        <v>368</v>
      </c>
      <c r="C733">
        <v>6</v>
      </c>
    </row>
    <row r="734" spans="1:3" ht="15.75" customHeight="1" x14ac:dyDescent="0.2">
      <c r="A734" t="s">
        <v>285</v>
      </c>
      <c r="B734" t="s">
        <v>368</v>
      </c>
      <c r="C734">
        <v>6</v>
      </c>
    </row>
    <row r="735" spans="1:3" ht="15.75" customHeight="1" x14ac:dyDescent="0.2">
      <c r="A735" t="s">
        <v>285</v>
      </c>
      <c r="B735" t="s">
        <v>368</v>
      </c>
      <c r="C735">
        <v>6</v>
      </c>
    </row>
    <row r="736" spans="1:3" ht="15.75" customHeight="1" x14ac:dyDescent="0.2">
      <c r="A736" t="s">
        <v>285</v>
      </c>
      <c r="B736" t="s">
        <v>368</v>
      </c>
      <c r="C736">
        <v>6</v>
      </c>
    </row>
    <row r="737" spans="1:3" ht="15.75" customHeight="1" x14ac:dyDescent="0.2">
      <c r="A737" t="s">
        <v>285</v>
      </c>
      <c r="B737" t="s">
        <v>368</v>
      </c>
      <c r="C737">
        <v>6</v>
      </c>
    </row>
    <row r="738" spans="1:3" ht="15.75" customHeight="1" x14ac:dyDescent="0.2">
      <c r="A738" t="s">
        <v>285</v>
      </c>
      <c r="B738" t="s">
        <v>368</v>
      </c>
      <c r="C738">
        <v>6</v>
      </c>
    </row>
    <row r="739" spans="1:3" ht="15.75" customHeight="1" x14ac:dyDescent="0.2">
      <c r="A739" t="s">
        <v>285</v>
      </c>
      <c r="B739" t="s">
        <v>368</v>
      </c>
      <c r="C739">
        <v>6</v>
      </c>
    </row>
    <row r="740" spans="1:3" ht="15.75" customHeight="1" x14ac:dyDescent="0.2">
      <c r="A740" t="s">
        <v>285</v>
      </c>
      <c r="B740" t="s">
        <v>368</v>
      </c>
      <c r="C740">
        <v>6</v>
      </c>
    </row>
    <row r="741" spans="1:3" ht="15.75" customHeight="1" x14ac:dyDescent="0.2">
      <c r="A741" t="s">
        <v>285</v>
      </c>
      <c r="B741" t="s">
        <v>368</v>
      </c>
      <c r="C741">
        <v>6</v>
      </c>
    </row>
    <row r="742" spans="1:3" ht="15.75" customHeight="1" x14ac:dyDescent="0.2">
      <c r="A742" t="s">
        <v>285</v>
      </c>
      <c r="B742" t="s">
        <v>368</v>
      </c>
      <c r="C742">
        <v>6</v>
      </c>
    </row>
    <row r="743" spans="1:3" ht="15.75" customHeight="1" x14ac:dyDescent="0.2">
      <c r="A743" t="s">
        <v>285</v>
      </c>
      <c r="B743" t="s">
        <v>368</v>
      </c>
      <c r="C743">
        <v>6</v>
      </c>
    </row>
    <row r="744" spans="1:3" ht="15.75" customHeight="1" x14ac:dyDescent="0.2">
      <c r="A744" t="s">
        <v>285</v>
      </c>
      <c r="B744" t="s">
        <v>368</v>
      </c>
      <c r="C744">
        <v>6</v>
      </c>
    </row>
    <row r="745" spans="1:3" ht="15.75" customHeight="1" x14ac:dyDescent="0.2">
      <c r="A745" t="s">
        <v>285</v>
      </c>
      <c r="B745" t="s">
        <v>368</v>
      </c>
      <c r="C745">
        <v>6</v>
      </c>
    </row>
    <row r="746" spans="1:3" ht="15.75" customHeight="1" x14ac:dyDescent="0.2">
      <c r="A746" t="s">
        <v>285</v>
      </c>
      <c r="B746" t="s">
        <v>368</v>
      </c>
      <c r="C746">
        <v>6</v>
      </c>
    </row>
    <row r="747" spans="1:3" ht="15.75" customHeight="1" x14ac:dyDescent="0.2">
      <c r="A747" t="s">
        <v>285</v>
      </c>
      <c r="B747" t="s">
        <v>368</v>
      </c>
      <c r="C747">
        <v>6</v>
      </c>
    </row>
    <row r="748" spans="1:3" ht="15.75" customHeight="1" x14ac:dyDescent="0.2">
      <c r="A748" t="s">
        <v>285</v>
      </c>
      <c r="B748" t="s">
        <v>368</v>
      </c>
      <c r="C748">
        <v>6</v>
      </c>
    </row>
    <row r="749" spans="1:3" ht="15.75" customHeight="1" x14ac:dyDescent="0.2">
      <c r="A749" t="s">
        <v>285</v>
      </c>
      <c r="B749" t="s">
        <v>368</v>
      </c>
      <c r="C749">
        <v>6</v>
      </c>
    </row>
    <row r="750" spans="1:3" ht="15.75" customHeight="1" x14ac:dyDescent="0.2">
      <c r="A750" t="s">
        <v>285</v>
      </c>
      <c r="B750" t="s">
        <v>368</v>
      </c>
      <c r="C750">
        <v>6</v>
      </c>
    </row>
    <row r="751" spans="1:3" ht="15.75" customHeight="1" x14ac:dyDescent="0.2">
      <c r="A751" t="s">
        <v>285</v>
      </c>
      <c r="B751" t="s">
        <v>368</v>
      </c>
      <c r="C751">
        <v>6</v>
      </c>
    </row>
    <row r="752" spans="1:3" ht="15.75" customHeight="1" x14ac:dyDescent="0.2">
      <c r="A752" t="s">
        <v>285</v>
      </c>
      <c r="B752" t="s">
        <v>368</v>
      </c>
      <c r="C752">
        <v>6</v>
      </c>
    </row>
    <row r="753" spans="1:3" ht="15.75" customHeight="1" x14ac:dyDescent="0.2">
      <c r="A753" t="s">
        <v>285</v>
      </c>
      <c r="B753" t="s">
        <v>368</v>
      </c>
      <c r="C753">
        <v>6</v>
      </c>
    </row>
    <row r="754" spans="1:3" ht="15.75" customHeight="1" x14ac:dyDescent="0.2">
      <c r="A754" t="s">
        <v>285</v>
      </c>
      <c r="B754" t="s">
        <v>368</v>
      </c>
      <c r="C754">
        <v>6</v>
      </c>
    </row>
    <row r="755" spans="1:3" ht="15.75" customHeight="1" x14ac:dyDescent="0.2">
      <c r="A755" t="s">
        <v>285</v>
      </c>
      <c r="B755" t="s">
        <v>368</v>
      </c>
      <c r="C755">
        <v>6</v>
      </c>
    </row>
    <row r="756" spans="1:3" ht="15.75" customHeight="1" x14ac:dyDescent="0.2">
      <c r="A756" t="s">
        <v>285</v>
      </c>
      <c r="B756" t="s">
        <v>368</v>
      </c>
      <c r="C756">
        <v>6</v>
      </c>
    </row>
    <row r="757" spans="1:3" ht="15.75" customHeight="1" x14ac:dyDescent="0.2">
      <c r="A757" t="s">
        <v>285</v>
      </c>
      <c r="B757" t="s">
        <v>368</v>
      </c>
      <c r="C757">
        <v>6</v>
      </c>
    </row>
    <row r="758" spans="1:3" ht="15.75" customHeight="1" x14ac:dyDescent="0.2">
      <c r="A758" t="s">
        <v>285</v>
      </c>
      <c r="B758" t="s">
        <v>368</v>
      </c>
      <c r="C758">
        <v>6</v>
      </c>
    </row>
    <row r="759" spans="1:3" ht="15.75" customHeight="1" x14ac:dyDescent="0.2">
      <c r="A759" t="s">
        <v>285</v>
      </c>
      <c r="B759" t="s">
        <v>368</v>
      </c>
      <c r="C759">
        <v>6</v>
      </c>
    </row>
    <row r="760" spans="1:3" ht="15.75" customHeight="1" x14ac:dyDescent="0.2">
      <c r="A760" t="s">
        <v>285</v>
      </c>
      <c r="B760" t="s">
        <v>368</v>
      </c>
      <c r="C760">
        <v>6</v>
      </c>
    </row>
    <row r="761" spans="1:3" ht="15.75" customHeight="1" x14ac:dyDescent="0.2">
      <c r="A761" t="s">
        <v>285</v>
      </c>
      <c r="B761" t="s">
        <v>368</v>
      </c>
      <c r="C761">
        <v>6</v>
      </c>
    </row>
    <row r="762" spans="1:3" ht="15.75" customHeight="1" x14ac:dyDescent="0.2">
      <c r="A762" t="s">
        <v>285</v>
      </c>
      <c r="B762" t="s">
        <v>368</v>
      </c>
      <c r="C762">
        <v>6</v>
      </c>
    </row>
    <row r="763" spans="1:3" ht="15.75" customHeight="1" x14ac:dyDescent="0.2">
      <c r="A763" t="s">
        <v>285</v>
      </c>
      <c r="B763" t="s">
        <v>368</v>
      </c>
      <c r="C763">
        <v>6</v>
      </c>
    </row>
    <row r="764" spans="1:3" ht="15.75" customHeight="1" x14ac:dyDescent="0.2">
      <c r="A764" t="s">
        <v>285</v>
      </c>
      <c r="B764" t="s">
        <v>368</v>
      </c>
      <c r="C764">
        <v>6</v>
      </c>
    </row>
    <row r="765" spans="1:3" ht="15.75" customHeight="1" x14ac:dyDescent="0.2">
      <c r="A765" t="s">
        <v>285</v>
      </c>
      <c r="B765" t="s">
        <v>384</v>
      </c>
      <c r="C765">
        <v>7</v>
      </c>
    </row>
    <row r="766" spans="1:3" ht="15.75" customHeight="1" x14ac:dyDescent="0.2">
      <c r="A766" t="s">
        <v>285</v>
      </c>
      <c r="B766" t="s">
        <v>384</v>
      </c>
      <c r="C766">
        <v>7</v>
      </c>
    </row>
    <row r="767" spans="1:3" ht="15.75" customHeight="1" x14ac:dyDescent="0.2">
      <c r="A767" t="s">
        <v>285</v>
      </c>
      <c r="B767" t="s">
        <v>384</v>
      </c>
      <c r="C767">
        <v>7</v>
      </c>
    </row>
    <row r="768" spans="1:3" ht="15.75" customHeight="1" x14ac:dyDescent="0.2">
      <c r="A768" t="s">
        <v>285</v>
      </c>
      <c r="B768" t="s">
        <v>384</v>
      </c>
      <c r="C768">
        <v>7</v>
      </c>
    </row>
    <row r="769" spans="1:3" ht="15.75" customHeight="1" x14ac:dyDescent="0.2">
      <c r="A769" t="s">
        <v>285</v>
      </c>
      <c r="B769" t="s">
        <v>384</v>
      </c>
      <c r="C769">
        <v>7</v>
      </c>
    </row>
    <row r="770" spans="1:3" ht="15.75" customHeight="1" x14ac:dyDescent="0.2">
      <c r="A770" t="s">
        <v>285</v>
      </c>
      <c r="B770" t="s">
        <v>384</v>
      </c>
      <c r="C770">
        <v>7</v>
      </c>
    </row>
    <row r="771" spans="1:3" ht="15.75" customHeight="1" x14ac:dyDescent="0.2">
      <c r="A771" t="s">
        <v>285</v>
      </c>
      <c r="B771" t="s">
        <v>384</v>
      </c>
      <c r="C771">
        <v>7</v>
      </c>
    </row>
    <row r="772" spans="1:3" ht="15.75" customHeight="1" x14ac:dyDescent="0.2">
      <c r="A772" t="s">
        <v>285</v>
      </c>
      <c r="B772" t="s">
        <v>384</v>
      </c>
      <c r="C772">
        <v>7</v>
      </c>
    </row>
    <row r="773" spans="1:3" ht="15.75" customHeight="1" x14ac:dyDescent="0.2">
      <c r="A773" t="s">
        <v>285</v>
      </c>
      <c r="B773" t="s">
        <v>384</v>
      </c>
      <c r="C773">
        <v>7</v>
      </c>
    </row>
    <row r="774" spans="1:3" ht="15.75" customHeight="1" x14ac:dyDescent="0.2">
      <c r="A774" t="s">
        <v>285</v>
      </c>
      <c r="B774" t="s">
        <v>384</v>
      </c>
      <c r="C774">
        <v>7</v>
      </c>
    </row>
    <row r="775" spans="1:3" ht="15.75" customHeight="1" x14ac:dyDescent="0.2">
      <c r="A775" t="s">
        <v>285</v>
      </c>
      <c r="B775" t="s">
        <v>384</v>
      </c>
      <c r="C775">
        <v>7</v>
      </c>
    </row>
    <row r="776" spans="1:3" ht="15.75" customHeight="1" x14ac:dyDescent="0.2">
      <c r="A776" t="s">
        <v>285</v>
      </c>
      <c r="B776" t="s">
        <v>384</v>
      </c>
      <c r="C776">
        <v>7</v>
      </c>
    </row>
    <row r="777" spans="1:3" ht="15.75" customHeight="1" x14ac:dyDescent="0.2">
      <c r="A777" t="s">
        <v>285</v>
      </c>
      <c r="B777" t="s">
        <v>384</v>
      </c>
      <c r="C777">
        <v>7</v>
      </c>
    </row>
    <row r="778" spans="1:3" ht="15.75" customHeight="1" x14ac:dyDescent="0.2">
      <c r="A778" t="s">
        <v>285</v>
      </c>
      <c r="B778" t="s">
        <v>384</v>
      </c>
      <c r="C778">
        <v>7</v>
      </c>
    </row>
    <row r="779" spans="1:3" ht="15.75" customHeight="1" x14ac:dyDescent="0.2">
      <c r="A779" t="s">
        <v>285</v>
      </c>
      <c r="B779" t="s">
        <v>384</v>
      </c>
      <c r="C779">
        <v>7</v>
      </c>
    </row>
    <row r="780" spans="1:3" ht="15.75" customHeight="1" x14ac:dyDescent="0.2">
      <c r="A780" t="s">
        <v>285</v>
      </c>
      <c r="B780" t="s">
        <v>384</v>
      </c>
      <c r="C780">
        <v>7</v>
      </c>
    </row>
    <row r="781" spans="1:3" ht="15.75" customHeight="1" x14ac:dyDescent="0.2">
      <c r="A781" t="s">
        <v>285</v>
      </c>
      <c r="B781" t="s">
        <v>384</v>
      </c>
      <c r="C781">
        <v>7</v>
      </c>
    </row>
    <row r="782" spans="1:3" ht="15.75" customHeight="1" x14ac:dyDescent="0.2">
      <c r="A782" t="s">
        <v>285</v>
      </c>
      <c r="B782" t="s">
        <v>384</v>
      </c>
      <c r="C782">
        <v>7</v>
      </c>
    </row>
    <row r="783" spans="1:3" ht="15.75" customHeight="1" x14ac:dyDescent="0.2">
      <c r="A783" t="s">
        <v>285</v>
      </c>
      <c r="B783" t="s">
        <v>384</v>
      </c>
      <c r="C783">
        <v>7</v>
      </c>
    </row>
    <row r="784" spans="1:3" ht="15.75" customHeight="1" x14ac:dyDescent="0.2">
      <c r="A784" t="s">
        <v>285</v>
      </c>
      <c r="B784" t="s">
        <v>384</v>
      </c>
      <c r="C784">
        <v>7</v>
      </c>
    </row>
    <row r="785" spans="1:3" ht="15.75" customHeight="1" x14ac:dyDescent="0.2">
      <c r="A785" t="s">
        <v>285</v>
      </c>
      <c r="B785" t="s">
        <v>384</v>
      </c>
      <c r="C785">
        <v>7</v>
      </c>
    </row>
    <row r="786" spans="1:3" ht="15.75" customHeight="1" x14ac:dyDescent="0.2">
      <c r="A786" t="s">
        <v>285</v>
      </c>
      <c r="B786" t="s">
        <v>384</v>
      </c>
      <c r="C786">
        <v>7</v>
      </c>
    </row>
    <row r="787" spans="1:3" ht="15.75" customHeight="1" x14ac:dyDescent="0.2">
      <c r="A787" t="s">
        <v>285</v>
      </c>
      <c r="B787" t="s">
        <v>384</v>
      </c>
      <c r="C787">
        <v>7</v>
      </c>
    </row>
    <row r="788" spans="1:3" ht="15.75" customHeight="1" x14ac:dyDescent="0.2">
      <c r="A788" t="s">
        <v>285</v>
      </c>
      <c r="B788" t="s">
        <v>384</v>
      </c>
      <c r="C788">
        <v>7</v>
      </c>
    </row>
    <row r="789" spans="1:3" ht="15.75" customHeight="1" x14ac:dyDescent="0.2">
      <c r="A789" t="s">
        <v>285</v>
      </c>
      <c r="B789" t="s">
        <v>384</v>
      </c>
      <c r="C789">
        <v>7</v>
      </c>
    </row>
    <row r="790" spans="1:3" ht="15.75" customHeight="1" x14ac:dyDescent="0.2">
      <c r="A790" t="s">
        <v>285</v>
      </c>
      <c r="B790" t="s">
        <v>384</v>
      </c>
      <c r="C790">
        <v>7</v>
      </c>
    </row>
    <row r="791" spans="1:3" ht="15.75" customHeight="1" x14ac:dyDescent="0.2">
      <c r="A791" t="s">
        <v>285</v>
      </c>
      <c r="B791" t="s">
        <v>384</v>
      </c>
      <c r="C791">
        <v>7</v>
      </c>
    </row>
    <row r="792" spans="1:3" ht="15.75" customHeight="1" x14ac:dyDescent="0.2">
      <c r="A792" t="s">
        <v>285</v>
      </c>
      <c r="B792" t="s">
        <v>384</v>
      </c>
      <c r="C792">
        <v>7</v>
      </c>
    </row>
    <row r="793" spans="1:3" ht="15.75" customHeight="1" x14ac:dyDescent="0.2">
      <c r="A793" t="s">
        <v>285</v>
      </c>
      <c r="B793" t="s">
        <v>384</v>
      </c>
      <c r="C793">
        <v>7</v>
      </c>
    </row>
    <row r="794" spans="1:3" ht="15.75" customHeight="1" x14ac:dyDescent="0.2">
      <c r="A794" t="s">
        <v>285</v>
      </c>
      <c r="B794" t="s">
        <v>384</v>
      </c>
      <c r="C794">
        <v>7</v>
      </c>
    </row>
    <row r="795" spans="1:3" ht="15.75" customHeight="1" x14ac:dyDescent="0.2">
      <c r="A795" t="s">
        <v>285</v>
      </c>
      <c r="B795" t="s">
        <v>384</v>
      </c>
      <c r="C795">
        <v>7</v>
      </c>
    </row>
    <row r="796" spans="1:3" ht="15.75" customHeight="1" x14ac:dyDescent="0.2">
      <c r="A796" t="s">
        <v>285</v>
      </c>
      <c r="B796" t="s">
        <v>384</v>
      </c>
      <c r="C796">
        <v>7</v>
      </c>
    </row>
    <row r="797" spans="1:3" ht="15.75" customHeight="1" x14ac:dyDescent="0.2">
      <c r="A797" t="s">
        <v>285</v>
      </c>
      <c r="B797" t="s">
        <v>384</v>
      </c>
      <c r="C797">
        <v>7</v>
      </c>
    </row>
    <row r="798" spans="1:3" ht="15.75" customHeight="1" x14ac:dyDescent="0.2">
      <c r="A798" t="s">
        <v>285</v>
      </c>
      <c r="B798" t="s">
        <v>384</v>
      </c>
      <c r="C798">
        <v>7</v>
      </c>
    </row>
    <row r="799" spans="1:3" ht="15.75" customHeight="1" x14ac:dyDescent="0.2">
      <c r="A799" t="s">
        <v>285</v>
      </c>
      <c r="B799" t="s">
        <v>384</v>
      </c>
      <c r="C799">
        <v>7</v>
      </c>
    </row>
    <row r="800" spans="1:3" ht="15.75" customHeight="1" x14ac:dyDescent="0.2">
      <c r="A800" t="s">
        <v>285</v>
      </c>
      <c r="B800" t="s">
        <v>384</v>
      </c>
      <c r="C800">
        <v>7</v>
      </c>
    </row>
    <row r="801" spans="1:3" ht="15.75" customHeight="1" x14ac:dyDescent="0.2">
      <c r="A801" t="s">
        <v>285</v>
      </c>
      <c r="B801" t="s">
        <v>384</v>
      </c>
      <c r="C801">
        <v>7</v>
      </c>
    </row>
    <row r="802" spans="1:3" ht="15.75" customHeight="1" x14ac:dyDescent="0.2">
      <c r="A802" t="s">
        <v>285</v>
      </c>
      <c r="B802" t="s">
        <v>384</v>
      </c>
      <c r="C802">
        <v>7</v>
      </c>
    </row>
    <row r="803" spans="1:3" ht="15.75" customHeight="1" x14ac:dyDescent="0.2">
      <c r="A803" t="s">
        <v>285</v>
      </c>
      <c r="B803" t="s">
        <v>384</v>
      </c>
      <c r="C803">
        <v>7</v>
      </c>
    </row>
    <row r="804" spans="1:3" ht="15.75" customHeight="1" x14ac:dyDescent="0.2">
      <c r="A804" t="s">
        <v>285</v>
      </c>
      <c r="B804" t="s">
        <v>384</v>
      </c>
      <c r="C804">
        <v>7</v>
      </c>
    </row>
    <row r="805" spans="1:3" ht="15.75" customHeight="1" x14ac:dyDescent="0.2">
      <c r="A805" t="s">
        <v>285</v>
      </c>
      <c r="B805" t="s">
        <v>384</v>
      </c>
      <c r="C805">
        <v>7</v>
      </c>
    </row>
    <row r="806" spans="1:3" ht="15.75" customHeight="1" x14ac:dyDescent="0.2">
      <c r="A806" t="s">
        <v>285</v>
      </c>
      <c r="B806" t="s">
        <v>384</v>
      </c>
      <c r="C806">
        <v>7</v>
      </c>
    </row>
    <row r="807" spans="1:3" ht="15.75" customHeight="1" x14ac:dyDescent="0.2">
      <c r="A807" t="s">
        <v>285</v>
      </c>
      <c r="B807" t="s">
        <v>384</v>
      </c>
      <c r="C807">
        <v>7</v>
      </c>
    </row>
    <row r="808" spans="1:3" ht="15.75" customHeight="1" x14ac:dyDescent="0.2">
      <c r="A808" t="s">
        <v>285</v>
      </c>
      <c r="B808" t="s">
        <v>384</v>
      </c>
      <c r="C808">
        <v>7</v>
      </c>
    </row>
    <row r="809" spans="1:3" ht="15.75" customHeight="1" x14ac:dyDescent="0.2">
      <c r="A809" t="s">
        <v>285</v>
      </c>
      <c r="B809" t="s">
        <v>384</v>
      </c>
      <c r="C809">
        <v>7</v>
      </c>
    </row>
    <row r="810" spans="1:3" ht="15.75" customHeight="1" x14ac:dyDescent="0.2">
      <c r="A810" t="s">
        <v>285</v>
      </c>
      <c r="B810" t="s">
        <v>384</v>
      </c>
      <c r="C810">
        <v>7</v>
      </c>
    </row>
    <row r="811" spans="1:3" ht="15.75" customHeight="1" x14ac:dyDescent="0.2">
      <c r="A811" t="s">
        <v>285</v>
      </c>
      <c r="B811" t="s">
        <v>384</v>
      </c>
      <c r="C811">
        <v>7</v>
      </c>
    </row>
    <row r="812" spans="1:3" ht="15.75" customHeight="1" x14ac:dyDescent="0.2">
      <c r="A812" t="s">
        <v>285</v>
      </c>
      <c r="B812" t="s">
        <v>384</v>
      </c>
      <c r="C812">
        <v>7</v>
      </c>
    </row>
    <row r="813" spans="1:3" ht="15.75" customHeight="1" x14ac:dyDescent="0.2">
      <c r="A813" t="s">
        <v>285</v>
      </c>
      <c r="B813" t="s">
        <v>384</v>
      </c>
      <c r="C813">
        <v>7</v>
      </c>
    </row>
    <row r="814" spans="1:3" ht="15.75" customHeight="1" x14ac:dyDescent="0.2">
      <c r="A814" t="s">
        <v>285</v>
      </c>
      <c r="B814" t="s">
        <v>386</v>
      </c>
      <c r="C814">
        <v>8</v>
      </c>
    </row>
    <row r="815" spans="1:3" ht="15.75" customHeight="1" x14ac:dyDescent="0.2">
      <c r="A815" t="s">
        <v>285</v>
      </c>
      <c r="B815" t="s">
        <v>386</v>
      </c>
      <c r="C815">
        <v>8</v>
      </c>
    </row>
    <row r="816" spans="1:3" ht="15.75" customHeight="1" x14ac:dyDescent="0.2">
      <c r="A816" t="s">
        <v>285</v>
      </c>
      <c r="B816" t="s">
        <v>386</v>
      </c>
      <c r="C816">
        <v>8</v>
      </c>
    </row>
    <row r="817" spans="1:3" ht="15.75" customHeight="1" x14ac:dyDescent="0.2">
      <c r="A817" t="s">
        <v>285</v>
      </c>
      <c r="B817" t="s">
        <v>386</v>
      </c>
      <c r="C817">
        <v>8</v>
      </c>
    </row>
    <row r="818" spans="1:3" ht="15.75" customHeight="1" x14ac:dyDescent="0.2">
      <c r="A818" t="s">
        <v>285</v>
      </c>
      <c r="B818" t="s">
        <v>386</v>
      </c>
      <c r="C818">
        <v>8</v>
      </c>
    </row>
    <row r="819" spans="1:3" ht="15.75" customHeight="1" x14ac:dyDescent="0.2">
      <c r="A819" t="s">
        <v>285</v>
      </c>
      <c r="B819" t="s">
        <v>386</v>
      </c>
      <c r="C819">
        <v>8</v>
      </c>
    </row>
    <row r="820" spans="1:3" ht="15.75" customHeight="1" x14ac:dyDescent="0.2">
      <c r="A820" t="s">
        <v>285</v>
      </c>
      <c r="B820" t="s">
        <v>386</v>
      </c>
      <c r="C820">
        <v>8</v>
      </c>
    </row>
    <row r="821" spans="1:3" ht="15.75" customHeight="1" x14ac:dyDescent="0.2">
      <c r="A821" t="s">
        <v>285</v>
      </c>
      <c r="B821" t="s">
        <v>386</v>
      </c>
      <c r="C821">
        <v>8</v>
      </c>
    </row>
    <row r="822" spans="1:3" ht="15.75" customHeight="1" x14ac:dyDescent="0.2">
      <c r="A822" t="s">
        <v>285</v>
      </c>
      <c r="B822" t="s">
        <v>386</v>
      </c>
      <c r="C822">
        <v>8</v>
      </c>
    </row>
    <row r="823" spans="1:3" ht="15.75" customHeight="1" x14ac:dyDescent="0.2">
      <c r="A823" t="s">
        <v>285</v>
      </c>
      <c r="B823" t="s">
        <v>386</v>
      </c>
      <c r="C823">
        <v>8</v>
      </c>
    </row>
    <row r="824" spans="1:3" ht="15.75" customHeight="1" x14ac:dyDescent="0.2">
      <c r="A824" t="s">
        <v>285</v>
      </c>
      <c r="B824" t="s">
        <v>386</v>
      </c>
      <c r="C824">
        <v>8</v>
      </c>
    </row>
    <row r="825" spans="1:3" ht="15.75" customHeight="1" x14ac:dyDescent="0.2">
      <c r="A825" t="s">
        <v>285</v>
      </c>
      <c r="B825" t="s">
        <v>386</v>
      </c>
      <c r="C825">
        <v>8</v>
      </c>
    </row>
    <row r="826" spans="1:3" ht="15.75" customHeight="1" x14ac:dyDescent="0.2">
      <c r="A826" t="s">
        <v>285</v>
      </c>
      <c r="B826" t="s">
        <v>386</v>
      </c>
      <c r="C826">
        <v>8</v>
      </c>
    </row>
    <row r="827" spans="1:3" ht="15.75" customHeight="1" x14ac:dyDescent="0.2">
      <c r="A827" t="s">
        <v>285</v>
      </c>
      <c r="B827" t="s">
        <v>386</v>
      </c>
      <c r="C827">
        <v>8</v>
      </c>
    </row>
    <row r="828" spans="1:3" ht="15.75" customHeight="1" x14ac:dyDescent="0.2">
      <c r="A828" t="s">
        <v>285</v>
      </c>
      <c r="B828" t="s">
        <v>386</v>
      </c>
      <c r="C828">
        <v>8</v>
      </c>
    </row>
    <row r="829" spans="1:3" ht="15.75" customHeight="1" x14ac:dyDescent="0.2">
      <c r="A829" t="s">
        <v>285</v>
      </c>
      <c r="B829" t="s">
        <v>386</v>
      </c>
      <c r="C829">
        <v>8</v>
      </c>
    </row>
    <row r="830" spans="1:3" ht="15.75" customHeight="1" x14ac:dyDescent="0.2">
      <c r="A830" t="s">
        <v>285</v>
      </c>
      <c r="B830" t="s">
        <v>386</v>
      </c>
      <c r="C830">
        <v>8</v>
      </c>
    </row>
    <row r="831" spans="1:3" ht="15.75" customHeight="1" x14ac:dyDescent="0.2">
      <c r="A831" t="s">
        <v>285</v>
      </c>
      <c r="B831" t="s">
        <v>386</v>
      </c>
      <c r="C831">
        <v>8</v>
      </c>
    </row>
    <row r="832" spans="1:3" ht="15.75" customHeight="1" x14ac:dyDescent="0.2">
      <c r="A832" t="s">
        <v>285</v>
      </c>
      <c r="B832" t="s">
        <v>386</v>
      </c>
      <c r="C832">
        <v>8</v>
      </c>
    </row>
    <row r="833" spans="1:3" ht="15.75" customHeight="1" x14ac:dyDescent="0.2">
      <c r="A833" t="s">
        <v>285</v>
      </c>
      <c r="B833" t="s">
        <v>386</v>
      </c>
      <c r="C833">
        <v>8</v>
      </c>
    </row>
    <row r="834" spans="1:3" ht="15.75" customHeight="1" x14ac:dyDescent="0.2">
      <c r="A834" t="s">
        <v>285</v>
      </c>
      <c r="B834" t="s">
        <v>386</v>
      </c>
      <c r="C834">
        <v>8</v>
      </c>
    </row>
    <row r="835" spans="1:3" ht="15.75" customHeight="1" x14ac:dyDescent="0.2">
      <c r="A835" t="s">
        <v>285</v>
      </c>
      <c r="B835" t="s">
        <v>386</v>
      </c>
      <c r="C835">
        <v>8</v>
      </c>
    </row>
    <row r="836" spans="1:3" ht="15.75" customHeight="1" x14ac:dyDescent="0.2">
      <c r="A836" t="s">
        <v>285</v>
      </c>
      <c r="B836" t="s">
        <v>386</v>
      </c>
      <c r="C836">
        <v>8</v>
      </c>
    </row>
    <row r="837" spans="1:3" ht="15.75" customHeight="1" x14ac:dyDescent="0.2">
      <c r="A837" t="s">
        <v>285</v>
      </c>
      <c r="B837" t="s">
        <v>386</v>
      </c>
      <c r="C837">
        <v>8</v>
      </c>
    </row>
    <row r="838" spans="1:3" ht="15.75" customHeight="1" x14ac:dyDescent="0.2">
      <c r="A838" t="s">
        <v>285</v>
      </c>
      <c r="B838" t="s">
        <v>386</v>
      </c>
      <c r="C838">
        <v>8</v>
      </c>
    </row>
    <row r="839" spans="1:3" ht="15.75" customHeight="1" x14ac:dyDescent="0.2">
      <c r="A839" t="s">
        <v>285</v>
      </c>
      <c r="B839" t="s">
        <v>386</v>
      </c>
      <c r="C839">
        <v>8</v>
      </c>
    </row>
    <row r="840" spans="1:3" ht="15.75" customHeight="1" x14ac:dyDescent="0.2">
      <c r="A840" t="s">
        <v>285</v>
      </c>
      <c r="B840" t="s">
        <v>386</v>
      </c>
      <c r="C840">
        <v>8</v>
      </c>
    </row>
    <row r="841" spans="1:3" ht="15.75" customHeight="1" x14ac:dyDescent="0.2">
      <c r="A841" t="s">
        <v>285</v>
      </c>
      <c r="B841" t="s">
        <v>386</v>
      </c>
      <c r="C841">
        <v>8</v>
      </c>
    </row>
    <row r="842" spans="1:3" ht="15.75" customHeight="1" x14ac:dyDescent="0.2">
      <c r="A842" t="s">
        <v>285</v>
      </c>
      <c r="B842" t="s">
        <v>386</v>
      </c>
      <c r="C842">
        <v>8</v>
      </c>
    </row>
    <row r="843" spans="1:3" ht="15.75" customHeight="1" x14ac:dyDescent="0.2">
      <c r="A843" t="s">
        <v>285</v>
      </c>
      <c r="B843" t="s">
        <v>386</v>
      </c>
      <c r="C843">
        <v>8</v>
      </c>
    </row>
    <row r="844" spans="1:3" ht="15.75" customHeight="1" x14ac:dyDescent="0.2">
      <c r="A844" t="s">
        <v>285</v>
      </c>
      <c r="B844" t="s">
        <v>386</v>
      </c>
      <c r="C844">
        <v>8</v>
      </c>
    </row>
    <row r="845" spans="1:3" ht="15.75" customHeight="1" x14ac:dyDescent="0.2">
      <c r="A845" t="s">
        <v>285</v>
      </c>
      <c r="B845" t="s">
        <v>386</v>
      </c>
      <c r="C845">
        <v>8</v>
      </c>
    </row>
    <row r="846" spans="1:3" ht="15.75" customHeight="1" x14ac:dyDescent="0.2">
      <c r="A846" t="s">
        <v>285</v>
      </c>
      <c r="B846" t="s">
        <v>386</v>
      </c>
      <c r="C846">
        <v>8</v>
      </c>
    </row>
    <row r="847" spans="1:3" ht="15.75" customHeight="1" x14ac:dyDescent="0.2">
      <c r="A847" t="s">
        <v>285</v>
      </c>
      <c r="B847" t="s">
        <v>386</v>
      </c>
      <c r="C847">
        <v>8</v>
      </c>
    </row>
    <row r="848" spans="1:3" ht="15.75" customHeight="1" x14ac:dyDescent="0.2">
      <c r="A848" t="s">
        <v>285</v>
      </c>
      <c r="B848" t="s">
        <v>386</v>
      </c>
      <c r="C848">
        <v>8</v>
      </c>
    </row>
    <row r="849" spans="1:3" ht="15.75" customHeight="1" x14ac:dyDescent="0.2">
      <c r="A849" t="s">
        <v>285</v>
      </c>
      <c r="B849" t="s">
        <v>386</v>
      </c>
      <c r="C849">
        <v>8</v>
      </c>
    </row>
    <row r="850" spans="1:3" ht="15.75" customHeight="1" x14ac:dyDescent="0.2">
      <c r="A850" t="s">
        <v>285</v>
      </c>
      <c r="B850" t="s">
        <v>386</v>
      </c>
      <c r="C850">
        <v>8</v>
      </c>
    </row>
    <row r="851" spans="1:3" ht="15.75" customHeight="1" x14ac:dyDescent="0.2">
      <c r="A851" t="s">
        <v>285</v>
      </c>
      <c r="B851" t="s">
        <v>386</v>
      </c>
      <c r="C851">
        <v>8</v>
      </c>
    </row>
    <row r="852" spans="1:3" ht="15.75" customHeight="1" x14ac:dyDescent="0.2">
      <c r="A852" t="s">
        <v>285</v>
      </c>
      <c r="B852" t="s">
        <v>386</v>
      </c>
      <c r="C852">
        <v>8</v>
      </c>
    </row>
    <row r="853" spans="1:3" ht="15.75" customHeight="1" x14ac:dyDescent="0.2">
      <c r="A853" t="s">
        <v>285</v>
      </c>
      <c r="B853" t="s">
        <v>386</v>
      </c>
      <c r="C853">
        <v>8</v>
      </c>
    </row>
    <row r="854" spans="1:3" ht="15.75" customHeight="1" x14ac:dyDescent="0.2">
      <c r="A854" t="s">
        <v>285</v>
      </c>
      <c r="B854" t="s">
        <v>386</v>
      </c>
      <c r="C854">
        <v>8</v>
      </c>
    </row>
    <row r="855" spans="1:3" ht="15.75" customHeight="1" x14ac:dyDescent="0.2">
      <c r="A855" t="s">
        <v>285</v>
      </c>
      <c r="B855" t="s">
        <v>386</v>
      </c>
      <c r="C855">
        <v>8</v>
      </c>
    </row>
    <row r="856" spans="1:3" ht="15.75" customHeight="1" x14ac:dyDescent="0.2">
      <c r="A856" t="s">
        <v>285</v>
      </c>
      <c r="B856" t="s">
        <v>386</v>
      </c>
      <c r="C856">
        <v>8</v>
      </c>
    </row>
    <row r="857" spans="1:3" ht="15.75" customHeight="1" x14ac:dyDescent="0.2">
      <c r="A857" t="s">
        <v>285</v>
      </c>
      <c r="B857" t="s">
        <v>386</v>
      </c>
      <c r="C857">
        <v>8</v>
      </c>
    </row>
    <row r="858" spans="1:3" ht="15.75" customHeight="1" x14ac:dyDescent="0.2">
      <c r="A858" t="s">
        <v>285</v>
      </c>
      <c r="B858" t="s">
        <v>386</v>
      </c>
      <c r="C858">
        <v>8</v>
      </c>
    </row>
    <row r="859" spans="1:3" ht="15.75" customHeight="1" x14ac:dyDescent="0.2">
      <c r="A859" t="s">
        <v>285</v>
      </c>
      <c r="B859" t="s">
        <v>386</v>
      </c>
      <c r="C859">
        <v>8</v>
      </c>
    </row>
    <row r="860" spans="1:3" ht="15.75" customHeight="1" x14ac:dyDescent="0.2">
      <c r="A860" t="s">
        <v>285</v>
      </c>
      <c r="B860" t="s">
        <v>386</v>
      </c>
      <c r="C860">
        <v>8</v>
      </c>
    </row>
    <row r="861" spans="1:3" ht="15.75" customHeight="1" x14ac:dyDescent="0.2">
      <c r="A861" t="s">
        <v>285</v>
      </c>
      <c r="B861" t="s">
        <v>386</v>
      </c>
      <c r="C861">
        <v>8</v>
      </c>
    </row>
    <row r="862" spans="1:3" ht="15.75" customHeight="1" x14ac:dyDescent="0.2">
      <c r="A862" t="s">
        <v>285</v>
      </c>
      <c r="B862" t="s">
        <v>386</v>
      </c>
      <c r="C862">
        <v>8</v>
      </c>
    </row>
    <row r="863" spans="1:3" ht="15.75" customHeight="1" x14ac:dyDescent="0.2">
      <c r="A863" t="s">
        <v>285</v>
      </c>
      <c r="B863" t="s">
        <v>386</v>
      </c>
      <c r="C863">
        <v>8</v>
      </c>
    </row>
    <row r="864" spans="1:3" ht="15.75" customHeight="1" x14ac:dyDescent="0.2">
      <c r="A864" t="s">
        <v>285</v>
      </c>
      <c r="B864" t="s">
        <v>386</v>
      </c>
      <c r="C864">
        <v>8</v>
      </c>
    </row>
    <row r="865" spans="1:3" ht="15.75" customHeight="1" x14ac:dyDescent="0.2">
      <c r="A865" t="s">
        <v>285</v>
      </c>
      <c r="B865" t="s">
        <v>386</v>
      </c>
      <c r="C865">
        <v>8</v>
      </c>
    </row>
    <row r="866" spans="1:3" ht="15.75" customHeight="1" x14ac:dyDescent="0.2">
      <c r="A866" t="s">
        <v>285</v>
      </c>
      <c r="B866" t="s">
        <v>386</v>
      </c>
      <c r="C866">
        <v>8</v>
      </c>
    </row>
    <row r="867" spans="1:3" ht="15.75" customHeight="1" x14ac:dyDescent="0.2">
      <c r="A867" t="s">
        <v>285</v>
      </c>
      <c r="B867" t="s">
        <v>386</v>
      </c>
      <c r="C867">
        <v>8</v>
      </c>
    </row>
    <row r="868" spans="1:3" ht="15.75" customHeight="1" x14ac:dyDescent="0.2">
      <c r="A868" t="s">
        <v>285</v>
      </c>
      <c r="B868" t="s">
        <v>386</v>
      </c>
      <c r="C868">
        <v>8</v>
      </c>
    </row>
    <row r="869" spans="1:3" ht="15.75" customHeight="1" x14ac:dyDescent="0.2">
      <c r="A869" t="s">
        <v>285</v>
      </c>
      <c r="B869" t="s">
        <v>386</v>
      </c>
      <c r="C869">
        <v>8</v>
      </c>
    </row>
    <row r="870" spans="1:3" ht="15.75" customHeight="1" x14ac:dyDescent="0.2">
      <c r="A870" t="s">
        <v>285</v>
      </c>
      <c r="B870" t="s">
        <v>386</v>
      </c>
      <c r="C870">
        <v>8</v>
      </c>
    </row>
    <row r="871" spans="1:3" ht="15.75" customHeight="1" x14ac:dyDescent="0.2">
      <c r="A871" t="s">
        <v>285</v>
      </c>
      <c r="B871" t="s">
        <v>386</v>
      </c>
      <c r="C871">
        <v>8</v>
      </c>
    </row>
    <row r="872" spans="1:3" ht="15.75" customHeight="1" x14ac:dyDescent="0.2">
      <c r="A872" t="s">
        <v>285</v>
      </c>
      <c r="B872" t="s">
        <v>386</v>
      </c>
      <c r="C872">
        <v>8</v>
      </c>
    </row>
    <row r="873" spans="1:3" ht="15.75" customHeight="1" x14ac:dyDescent="0.2">
      <c r="A873" t="s">
        <v>285</v>
      </c>
      <c r="B873" t="s">
        <v>386</v>
      </c>
      <c r="C873">
        <v>8</v>
      </c>
    </row>
    <row r="874" spans="1:3" ht="15.75" customHeight="1" x14ac:dyDescent="0.2">
      <c r="A874" t="s">
        <v>285</v>
      </c>
      <c r="B874" t="s">
        <v>386</v>
      </c>
      <c r="C874">
        <v>8</v>
      </c>
    </row>
    <row r="875" spans="1:3" ht="15.75" customHeight="1" x14ac:dyDescent="0.2">
      <c r="A875" t="s">
        <v>285</v>
      </c>
      <c r="B875" t="s">
        <v>386</v>
      </c>
      <c r="C875">
        <v>8</v>
      </c>
    </row>
    <row r="876" spans="1:3" ht="15.75" customHeight="1" x14ac:dyDescent="0.2">
      <c r="A876" t="s">
        <v>285</v>
      </c>
      <c r="B876" t="s">
        <v>386</v>
      </c>
      <c r="C876">
        <v>8</v>
      </c>
    </row>
    <row r="877" spans="1:3" ht="15.75" customHeight="1" x14ac:dyDescent="0.2">
      <c r="A877" t="s">
        <v>285</v>
      </c>
      <c r="B877" t="s">
        <v>386</v>
      </c>
      <c r="C877">
        <v>8</v>
      </c>
    </row>
    <row r="878" spans="1:3" ht="15.75" customHeight="1" x14ac:dyDescent="0.2">
      <c r="A878" t="s">
        <v>285</v>
      </c>
      <c r="B878" t="s">
        <v>386</v>
      </c>
      <c r="C878">
        <v>8</v>
      </c>
    </row>
    <row r="879" spans="1:3" ht="15.75" customHeight="1" x14ac:dyDescent="0.2">
      <c r="A879" t="s">
        <v>285</v>
      </c>
      <c r="B879" t="s">
        <v>386</v>
      </c>
      <c r="C879">
        <v>8</v>
      </c>
    </row>
    <row r="880" spans="1:3" ht="15.75" customHeight="1" x14ac:dyDescent="0.2">
      <c r="A880" t="s">
        <v>285</v>
      </c>
      <c r="B880" t="s">
        <v>386</v>
      </c>
      <c r="C880">
        <v>8</v>
      </c>
    </row>
    <row r="881" spans="1:3" ht="15.75" customHeight="1" x14ac:dyDescent="0.2">
      <c r="A881" t="s">
        <v>285</v>
      </c>
      <c r="B881" t="s">
        <v>386</v>
      </c>
      <c r="C881">
        <v>8</v>
      </c>
    </row>
    <row r="882" spans="1:3" ht="15.75" customHeight="1" x14ac:dyDescent="0.2">
      <c r="A882" t="s">
        <v>285</v>
      </c>
      <c r="B882" t="s">
        <v>386</v>
      </c>
      <c r="C882">
        <v>8</v>
      </c>
    </row>
    <row r="883" spans="1:3" ht="15.75" customHeight="1" x14ac:dyDescent="0.2">
      <c r="A883" t="s">
        <v>285</v>
      </c>
      <c r="B883" t="s">
        <v>386</v>
      </c>
      <c r="C883">
        <v>8</v>
      </c>
    </row>
    <row r="884" spans="1:3" ht="15.75" customHeight="1" x14ac:dyDescent="0.2">
      <c r="A884" t="s">
        <v>285</v>
      </c>
      <c r="B884" t="s">
        <v>386</v>
      </c>
      <c r="C884">
        <v>8</v>
      </c>
    </row>
    <row r="885" spans="1:3" ht="15.75" customHeight="1" x14ac:dyDescent="0.2">
      <c r="A885" t="s">
        <v>285</v>
      </c>
      <c r="B885" t="s">
        <v>386</v>
      </c>
      <c r="C885">
        <v>8</v>
      </c>
    </row>
    <row r="886" spans="1:3" ht="15.75" customHeight="1" x14ac:dyDescent="0.2">
      <c r="A886" t="s">
        <v>285</v>
      </c>
      <c r="B886" t="s">
        <v>386</v>
      </c>
      <c r="C886">
        <v>8</v>
      </c>
    </row>
    <row r="887" spans="1:3" ht="15.75" customHeight="1" x14ac:dyDescent="0.2">
      <c r="A887" t="s">
        <v>285</v>
      </c>
      <c r="B887" t="s">
        <v>386</v>
      </c>
      <c r="C887">
        <v>8</v>
      </c>
    </row>
    <row r="888" spans="1:3" ht="15.75" customHeight="1" x14ac:dyDescent="0.2">
      <c r="A888" t="s">
        <v>285</v>
      </c>
      <c r="B888" t="s">
        <v>386</v>
      </c>
      <c r="C888">
        <v>8</v>
      </c>
    </row>
    <row r="889" spans="1:3" ht="15.75" customHeight="1" x14ac:dyDescent="0.2">
      <c r="A889" t="s">
        <v>285</v>
      </c>
      <c r="B889" t="s">
        <v>386</v>
      </c>
      <c r="C889">
        <v>8</v>
      </c>
    </row>
    <row r="890" spans="1:3" ht="15.75" customHeight="1" x14ac:dyDescent="0.2">
      <c r="A890" t="s">
        <v>285</v>
      </c>
      <c r="B890" t="s">
        <v>386</v>
      </c>
      <c r="C890">
        <v>8</v>
      </c>
    </row>
    <row r="891" spans="1:3" ht="15.75" customHeight="1" x14ac:dyDescent="0.2">
      <c r="A891" t="s">
        <v>285</v>
      </c>
      <c r="B891" t="s">
        <v>386</v>
      </c>
      <c r="C891">
        <v>8</v>
      </c>
    </row>
    <row r="892" spans="1:3" ht="15.75" customHeight="1" x14ac:dyDescent="0.2">
      <c r="A892" t="s">
        <v>285</v>
      </c>
      <c r="B892" t="s">
        <v>386</v>
      </c>
      <c r="C892">
        <v>8</v>
      </c>
    </row>
    <row r="893" spans="1:3" ht="15.75" customHeight="1" x14ac:dyDescent="0.2">
      <c r="A893" t="s">
        <v>285</v>
      </c>
      <c r="B893" t="s">
        <v>386</v>
      </c>
      <c r="C893">
        <v>8</v>
      </c>
    </row>
    <row r="894" spans="1:3" ht="15.75" customHeight="1" x14ac:dyDescent="0.2">
      <c r="A894" t="s">
        <v>285</v>
      </c>
      <c r="B894" t="s">
        <v>386</v>
      </c>
      <c r="C894">
        <v>8</v>
      </c>
    </row>
    <row r="895" spans="1:3" ht="15.75" customHeight="1" x14ac:dyDescent="0.2">
      <c r="A895" t="s">
        <v>285</v>
      </c>
      <c r="B895" t="s">
        <v>386</v>
      </c>
      <c r="C895">
        <v>8</v>
      </c>
    </row>
    <row r="896" spans="1:3" ht="15.75" customHeight="1" x14ac:dyDescent="0.2">
      <c r="A896" t="s">
        <v>285</v>
      </c>
      <c r="B896" t="s">
        <v>386</v>
      </c>
      <c r="C896">
        <v>8</v>
      </c>
    </row>
    <row r="897" spans="1:3" ht="15.75" customHeight="1" x14ac:dyDescent="0.2">
      <c r="A897" t="s">
        <v>285</v>
      </c>
      <c r="B897" t="s">
        <v>386</v>
      </c>
      <c r="C897">
        <v>8</v>
      </c>
    </row>
    <row r="898" spans="1:3" ht="15.75" customHeight="1" x14ac:dyDescent="0.2">
      <c r="A898" t="s">
        <v>285</v>
      </c>
      <c r="B898" t="s">
        <v>386</v>
      </c>
      <c r="C898">
        <v>8</v>
      </c>
    </row>
    <row r="899" spans="1:3" ht="15.75" customHeight="1" x14ac:dyDescent="0.2">
      <c r="A899" t="s">
        <v>285</v>
      </c>
      <c r="B899" t="s">
        <v>386</v>
      </c>
      <c r="C899">
        <v>8</v>
      </c>
    </row>
    <row r="900" spans="1:3" ht="15.75" customHeight="1" x14ac:dyDescent="0.2">
      <c r="A900" t="s">
        <v>285</v>
      </c>
      <c r="B900" t="s">
        <v>386</v>
      </c>
      <c r="C900">
        <v>8</v>
      </c>
    </row>
    <row r="901" spans="1:3" ht="15.75" customHeight="1" x14ac:dyDescent="0.2">
      <c r="A901" t="s">
        <v>285</v>
      </c>
      <c r="B901" t="s">
        <v>386</v>
      </c>
      <c r="C901">
        <v>8</v>
      </c>
    </row>
    <row r="902" spans="1:3" ht="15.75" customHeight="1" x14ac:dyDescent="0.2">
      <c r="A902" t="s">
        <v>285</v>
      </c>
      <c r="B902" t="s">
        <v>386</v>
      </c>
      <c r="C902">
        <v>8</v>
      </c>
    </row>
    <row r="903" spans="1:3" ht="15.75" customHeight="1" x14ac:dyDescent="0.2">
      <c r="A903" t="s">
        <v>285</v>
      </c>
      <c r="B903" t="s">
        <v>386</v>
      </c>
      <c r="C903">
        <v>8</v>
      </c>
    </row>
    <row r="904" spans="1:3" ht="15.75" customHeight="1" x14ac:dyDescent="0.2">
      <c r="A904" t="s">
        <v>285</v>
      </c>
      <c r="B904" t="s">
        <v>386</v>
      </c>
      <c r="C904">
        <v>8</v>
      </c>
    </row>
    <row r="905" spans="1:3" ht="15.75" customHeight="1" x14ac:dyDescent="0.2">
      <c r="A905" t="s">
        <v>285</v>
      </c>
      <c r="B905" t="s">
        <v>386</v>
      </c>
      <c r="C905">
        <v>8</v>
      </c>
    </row>
    <row r="906" spans="1:3" ht="15.75" customHeight="1" x14ac:dyDescent="0.2">
      <c r="A906" t="s">
        <v>285</v>
      </c>
      <c r="B906" t="s">
        <v>386</v>
      </c>
      <c r="C906">
        <v>8</v>
      </c>
    </row>
    <row r="907" spans="1:3" ht="15.75" customHeight="1" x14ac:dyDescent="0.2">
      <c r="A907" t="s">
        <v>285</v>
      </c>
      <c r="B907" t="s">
        <v>386</v>
      </c>
      <c r="C907">
        <v>8</v>
      </c>
    </row>
    <row r="908" spans="1:3" ht="15.75" customHeight="1" x14ac:dyDescent="0.2">
      <c r="A908" t="s">
        <v>285</v>
      </c>
      <c r="B908" t="s">
        <v>386</v>
      </c>
      <c r="C908">
        <v>8</v>
      </c>
    </row>
    <row r="909" spans="1:3" ht="15.75" customHeight="1" x14ac:dyDescent="0.2">
      <c r="A909" t="s">
        <v>285</v>
      </c>
      <c r="B909" t="s">
        <v>386</v>
      </c>
      <c r="C909">
        <v>8</v>
      </c>
    </row>
    <row r="910" spans="1:3" ht="15.75" customHeight="1" x14ac:dyDescent="0.2">
      <c r="A910" t="s">
        <v>285</v>
      </c>
      <c r="B910" t="s">
        <v>386</v>
      </c>
      <c r="C910">
        <v>8</v>
      </c>
    </row>
    <row r="911" spans="1:3" ht="15.75" customHeight="1" x14ac:dyDescent="0.2">
      <c r="A911" t="s">
        <v>285</v>
      </c>
      <c r="B911" t="s">
        <v>386</v>
      </c>
      <c r="C911">
        <v>8</v>
      </c>
    </row>
    <row r="912" spans="1:3" ht="15.75" customHeight="1" x14ac:dyDescent="0.2">
      <c r="A912" t="s">
        <v>285</v>
      </c>
      <c r="B912" t="s">
        <v>386</v>
      </c>
      <c r="C912">
        <v>8</v>
      </c>
    </row>
    <row r="913" spans="1:3" ht="15.75" customHeight="1" x14ac:dyDescent="0.2">
      <c r="A913" t="s">
        <v>285</v>
      </c>
      <c r="B913" t="s">
        <v>386</v>
      </c>
      <c r="C913">
        <v>8</v>
      </c>
    </row>
    <row r="914" spans="1:3" ht="15.75" customHeight="1" x14ac:dyDescent="0.2">
      <c r="A914" t="s">
        <v>285</v>
      </c>
      <c r="B914" t="s">
        <v>386</v>
      </c>
      <c r="C914">
        <v>8</v>
      </c>
    </row>
    <row r="915" spans="1:3" ht="15.75" customHeight="1" x14ac:dyDescent="0.2">
      <c r="A915" t="s">
        <v>285</v>
      </c>
      <c r="B915" t="s">
        <v>386</v>
      </c>
      <c r="C915">
        <v>8</v>
      </c>
    </row>
    <row r="916" spans="1:3" ht="15.75" customHeight="1" x14ac:dyDescent="0.2">
      <c r="A916" t="s">
        <v>285</v>
      </c>
      <c r="B916" t="s">
        <v>386</v>
      </c>
      <c r="C916">
        <v>8</v>
      </c>
    </row>
    <row r="917" spans="1:3" ht="15.75" customHeight="1" x14ac:dyDescent="0.2">
      <c r="A917" t="s">
        <v>285</v>
      </c>
      <c r="B917" t="s">
        <v>386</v>
      </c>
      <c r="C917">
        <v>8</v>
      </c>
    </row>
    <row r="918" spans="1:3" ht="15.75" customHeight="1" x14ac:dyDescent="0.2">
      <c r="A918" t="s">
        <v>285</v>
      </c>
      <c r="B918" t="s">
        <v>386</v>
      </c>
      <c r="C918">
        <v>8</v>
      </c>
    </row>
    <row r="919" spans="1:3" ht="15.75" customHeight="1" x14ac:dyDescent="0.2">
      <c r="A919" t="s">
        <v>285</v>
      </c>
      <c r="B919" t="s">
        <v>386</v>
      </c>
      <c r="C919">
        <v>8</v>
      </c>
    </row>
    <row r="920" spans="1:3" ht="15.75" customHeight="1" x14ac:dyDescent="0.2">
      <c r="A920" t="s">
        <v>285</v>
      </c>
      <c r="B920" t="s">
        <v>386</v>
      </c>
      <c r="C920">
        <v>8</v>
      </c>
    </row>
    <row r="921" spans="1:3" ht="15.75" customHeight="1" x14ac:dyDescent="0.2">
      <c r="A921" t="s">
        <v>285</v>
      </c>
      <c r="B921" t="s">
        <v>386</v>
      </c>
      <c r="C921">
        <v>8</v>
      </c>
    </row>
    <row r="922" spans="1:3" ht="15.75" customHeight="1" x14ac:dyDescent="0.2">
      <c r="A922" t="s">
        <v>285</v>
      </c>
      <c r="B922" t="s">
        <v>386</v>
      </c>
      <c r="C922">
        <v>8</v>
      </c>
    </row>
    <row r="923" spans="1:3" ht="15.75" customHeight="1" x14ac:dyDescent="0.2">
      <c r="A923" t="s">
        <v>285</v>
      </c>
      <c r="B923" t="s">
        <v>386</v>
      </c>
      <c r="C923">
        <v>8</v>
      </c>
    </row>
    <row r="924" spans="1:3" ht="15.75" customHeight="1" x14ac:dyDescent="0.2">
      <c r="A924" t="s">
        <v>285</v>
      </c>
      <c r="B924" t="s">
        <v>386</v>
      </c>
      <c r="C924">
        <v>8</v>
      </c>
    </row>
    <row r="925" spans="1:3" ht="15.75" customHeight="1" x14ac:dyDescent="0.2">
      <c r="A925" t="s">
        <v>285</v>
      </c>
      <c r="B925" t="s">
        <v>386</v>
      </c>
      <c r="C925">
        <v>8</v>
      </c>
    </row>
    <row r="926" spans="1:3" ht="15.75" customHeight="1" x14ac:dyDescent="0.2">
      <c r="A926" t="s">
        <v>285</v>
      </c>
      <c r="B926" t="s">
        <v>386</v>
      </c>
      <c r="C926">
        <v>8</v>
      </c>
    </row>
    <row r="927" spans="1:3" ht="15.75" customHeight="1" x14ac:dyDescent="0.2">
      <c r="A927" t="s">
        <v>285</v>
      </c>
      <c r="B927" t="s">
        <v>386</v>
      </c>
      <c r="C927">
        <v>8</v>
      </c>
    </row>
    <row r="928" spans="1:3" ht="15.75" customHeight="1" x14ac:dyDescent="0.2">
      <c r="A928" t="s">
        <v>285</v>
      </c>
      <c r="B928" t="s">
        <v>386</v>
      </c>
      <c r="C928">
        <v>8</v>
      </c>
    </row>
    <row r="929" spans="1:3" ht="15.75" customHeight="1" x14ac:dyDescent="0.2">
      <c r="A929" t="s">
        <v>285</v>
      </c>
      <c r="B929" t="s">
        <v>386</v>
      </c>
      <c r="C929">
        <v>8</v>
      </c>
    </row>
    <row r="930" spans="1:3" ht="15.75" customHeight="1" x14ac:dyDescent="0.2">
      <c r="A930" t="s">
        <v>285</v>
      </c>
      <c r="B930" t="s">
        <v>386</v>
      </c>
      <c r="C930">
        <v>8</v>
      </c>
    </row>
    <row r="931" spans="1:3" ht="15.75" customHeight="1" x14ac:dyDescent="0.2">
      <c r="A931" t="s">
        <v>285</v>
      </c>
      <c r="B931" t="s">
        <v>386</v>
      </c>
      <c r="C931">
        <v>8</v>
      </c>
    </row>
    <row r="932" spans="1:3" ht="15.75" customHeight="1" x14ac:dyDescent="0.2">
      <c r="A932" t="s">
        <v>285</v>
      </c>
      <c r="B932" t="s">
        <v>386</v>
      </c>
      <c r="C932">
        <v>8</v>
      </c>
    </row>
    <row r="933" spans="1:3" ht="15.75" customHeight="1" x14ac:dyDescent="0.2">
      <c r="A933" t="s">
        <v>285</v>
      </c>
      <c r="B933" t="s">
        <v>386</v>
      </c>
      <c r="C933">
        <v>8</v>
      </c>
    </row>
    <row r="934" spans="1:3" ht="15.75" customHeight="1" x14ac:dyDescent="0.2">
      <c r="A934" t="s">
        <v>285</v>
      </c>
      <c r="B934" t="s">
        <v>386</v>
      </c>
      <c r="C934">
        <v>8</v>
      </c>
    </row>
    <row r="935" spans="1:3" ht="15.75" customHeight="1" x14ac:dyDescent="0.2">
      <c r="A935" t="s">
        <v>285</v>
      </c>
      <c r="B935" t="s">
        <v>386</v>
      </c>
      <c r="C935">
        <v>8</v>
      </c>
    </row>
    <row r="936" spans="1:3" ht="15.75" customHeight="1" x14ac:dyDescent="0.2">
      <c r="A936" t="s">
        <v>285</v>
      </c>
      <c r="B936" t="s">
        <v>386</v>
      </c>
      <c r="C936">
        <v>8</v>
      </c>
    </row>
    <row r="937" spans="1:3" ht="15.75" customHeight="1" x14ac:dyDescent="0.2">
      <c r="A937" t="s">
        <v>285</v>
      </c>
      <c r="B937" t="s">
        <v>386</v>
      </c>
      <c r="C937">
        <v>8</v>
      </c>
    </row>
    <row r="938" spans="1:3" ht="15.75" customHeight="1" x14ac:dyDescent="0.2">
      <c r="A938" t="s">
        <v>285</v>
      </c>
      <c r="B938" t="s">
        <v>386</v>
      </c>
      <c r="C938">
        <v>8</v>
      </c>
    </row>
    <row r="939" spans="1:3" ht="15.75" customHeight="1" x14ac:dyDescent="0.2">
      <c r="A939" t="s">
        <v>285</v>
      </c>
      <c r="B939" t="s">
        <v>386</v>
      </c>
      <c r="C939">
        <v>8</v>
      </c>
    </row>
    <row r="940" spans="1:3" ht="15.75" customHeight="1" x14ac:dyDescent="0.2">
      <c r="A940" t="s">
        <v>285</v>
      </c>
      <c r="B940" t="s">
        <v>386</v>
      </c>
      <c r="C940">
        <v>8</v>
      </c>
    </row>
    <row r="941" spans="1:3" ht="15.75" customHeight="1" x14ac:dyDescent="0.2">
      <c r="A941" t="s">
        <v>285</v>
      </c>
      <c r="B941" t="s">
        <v>386</v>
      </c>
      <c r="C941">
        <v>8</v>
      </c>
    </row>
    <row r="942" spans="1:3" ht="15.75" customHeight="1" x14ac:dyDescent="0.2">
      <c r="A942" t="s">
        <v>285</v>
      </c>
      <c r="B942" t="s">
        <v>386</v>
      </c>
      <c r="C942">
        <v>8</v>
      </c>
    </row>
    <row r="943" spans="1:3" ht="15.75" customHeight="1" x14ac:dyDescent="0.2">
      <c r="A943" t="s">
        <v>285</v>
      </c>
      <c r="B943" t="s">
        <v>392</v>
      </c>
      <c r="C943">
        <v>9</v>
      </c>
    </row>
    <row r="944" spans="1:3" ht="15.75" customHeight="1" x14ac:dyDescent="0.2">
      <c r="A944" t="s">
        <v>285</v>
      </c>
      <c r="B944" t="s">
        <v>392</v>
      </c>
      <c r="C944">
        <v>9</v>
      </c>
    </row>
    <row r="945" spans="1:3" ht="15.75" customHeight="1" x14ac:dyDescent="0.2">
      <c r="A945" t="s">
        <v>285</v>
      </c>
      <c r="B945" t="s">
        <v>392</v>
      </c>
      <c r="C945">
        <v>9</v>
      </c>
    </row>
    <row r="946" spans="1:3" ht="15.75" customHeight="1" x14ac:dyDescent="0.2">
      <c r="A946" t="s">
        <v>285</v>
      </c>
      <c r="B946" t="s">
        <v>392</v>
      </c>
      <c r="C946">
        <v>9</v>
      </c>
    </row>
    <row r="947" spans="1:3" ht="15.75" customHeight="1" x14ac:dyDescent="0.2">
      <c r="A947" t="s">
        <v>285</v>
      </c>
      <c r="B947" t="s">
        <v>392</v>
      </c>
      <c r="C947">
        <v>9</v>
      </c>
    </row>
    <row r="948" spans="1:3" ht="15.75" customHeight="1" x14ac:dyDescent="0.2">
      <c r="A948" t="s">
        <v>285</v>
      </c>
      <c r="B948" t="s">
        <v>392</v>
      </c>
      <c r="C948">
        <v>9</v>
      </c>
    </row>
    <row r="949" spans="1:3" ht="15.75" customHeight="1" x14ac:dyDescent="0.2">
      <c r="A949" t="s">
        <v>285</v>
      </c>
      <c r="B949" t="s">
        <v>392</v>
      </c>
      <c r="C949">
        <v>9</v>
      </c>
    </row>
    <row r="950" spans="1:3" ht="15.75" customHeight="1" x14ac:dyDescent="0.2">
      <c r="A950" t="s">
        <v>285</v>
      </c>
      <c r="B950" t="s">
        <v>392</v>
      </c>
      <c r="C950">
        <v>9</v>
      </c>
    </row>
    <row r="951" spans="1:3" ht="15.75" customHeight="1" x14ac:dyDescent="0.2">
      <c r="A951" t="s">
        <v>285</v>
      </c>
      <c r="B951" t="s">
        <v>392</v>
      </c>
      <c r="C951">
        <v>9</v>
      </c>
    </row>
    <row r="952" spans="1:3" ht="15.75" customHeight="1" x14ac:dyDescent="0.2">
      <c r="A952" t="s">
        <v>285</v>
      </c>
      <c r="B952" t="s">
        <v>392</v>
      </c>
      <c r="C952">
        <v>9</v>
      </c>
    </row>
    <row r="953" spans="1:3" ht="15.75" customHeight="1" x14ac:dyDescent="0.2">
      <c r="A953" t="s">
        <v>285</v>
      </c>
      <c r="B953" t="s">
        <v>392</v>
      </c>
      <c r="C953">
        <v>9</v>
      </c>
    </row>
    <row r="954" spans="1:3" ht="15.75" customHeight="1" x14ac:dyDescent="0.2">
      <c r="A954" t="s">
        <v>285</v>
      </c>
      <c r="B954" t="s">
        <v>392</v>
      </c>
      <c r="C954">
        <v>9</v>
      </c>
    </row>
    <row r="955" spans="1:3" ht="15.75" customHeight="1" x14ac:dyDescent="0.2">
      <c r="A955" t="s">
        <v>285</v>
      </c>
      <c r="B955" t="s">
        <v>392</v>
      </c>
      <c r="C955">
        <v>9</v>
      </c>
    </row>
    <row r="956" spans="1:3" ht="15.75" customHeight="1" x14ac:dyDescent="0.2">
      <c r="A956" t="s">
        <v>285</v>
      </c>
      <c r="B956" t="s">
        <v>392</v>
      </c>
      <c r="C956">
        <v>9</v>
      </c>
    </row>
    <row r="957" spans="1:3" ht="15.75" customHeight="1" x14ac:dyDescent="0.2">
      <c r="A957" t="s">
        <v>285</v>
      </c>
      <c r="B957" t="s">
        <v>392</v>
      </c>
      <c r="C957">
        <v>9</v>
      </c>
    </row>
    <row r="958" spans="1:3" ht="15.75" customHeight="1" x14ac:dyDescent="0.2">
      <c r="A958" t="s">
        <v>285</v>
      </c>
      <c r="B958" t="s">
        <v>392</v>
      </c>
      <c r="C958">
        <v>9</v>
      </c>
    </row>
    <row r="959" spans="1:3" ht="15.75" customHeight="1" x14ac:dyDescent="0.2">
      <c r="A959" t="s">
        <v>285</v>
      </c>
      <c r="B959" t="s">
        <v>392</v>
      </c>
      <c r="C959">
        <v>9</v>
      </c>
    </row>
    <row r="960" spans="1:3" ht="15.75" customHeight="1" x14ac:dyDescent="0.2">
      <c r="A960" t="s">
        <v>285</v>
      </c>
      <c r="B960" t="s">
        <v>392</v>
      </c>
      <c r="C960">
        <v>9</v>
      </c>
    </row>
    <row r="961" spans="1:3" ht="15.75" customHeight="1" x14ac:dyDescent="0.2">
      <c r="A961" t="s">
        <v>285</v>
      </c>
      <c r="B961" t="s">
        <v>392</v>
      </c>
      <c r="C961">
        <v>9</v>
      </c>
    </row>
    <row r="962" spans="1:3" ht="15.75" customHeight="1" x14ac:dyDescent="0.2">
      <c r="A962" t="s">
        <v>285</v>
      </c>
      <c r="B962" t="s">
        <v>392</v>
      </c>
      <c r="C962">
        <v>9</v>
      </c>
    </row>
    <row r="963" spans="1:3" ht="15.75" customHeight="1" x14ac:dyDescent="0.2">
      <c r="A963" t="s">
        <v>285</v>
      </c>
      <c r="B963" t="s">
        <v>392</v>
      </c>
      <c r="C963">
        <v>9</v>
      </c>
    </row>
    <row r="964" spans="1:3" ht="15.75" customHeight="1" x14ac:dyDescent="0.2">
      <c r="A964" t="s">
        <v>285</v>
      </c>
      <c r="B964" t="s">
        <v>392</v>
      </c>
      <c r="C964">
        <v>9</v>
      </c>
    </row>
    <row r="965" spans="1:3" ht="15.75" customHeight="1" x14ac:dyDescent="0.2">
      <c r="A965" t="s">
        <v>285</v>
      </c>
      <c r="B965" t="s">
        <v>392</v>
      </c>
      <c r="C965">
        <v>9</v>
      </c>
    </row>
    <row r="966" spans="1:3" ht="15.75" customHeight="1" x14ac:dyDescent="0.2">
      <c r="A966" t="s">
        <v>285</v>
      </c>
      <c r="B966" t="s">
        <v>392</v>
      </c>
      <c r="C966">
        <v>9</v>
      </c>
    </row>
    <row r="967" spans="1:3" ht="15.75" customHeight="1" x14ac:dyDescent="0.2">
      <c r="A967" t="s">
        <v>285</v>
      </c>
      <c r="B967" t="s">
        <v>392</v>
      </c>
      <c r="C967">
        <v>9</v>
      </c>
    </row>
    <row r="968" spans="1:3" ht="15.75" customHeight="1" x14ac:dyDescent="0.2">
      <c r="A968" t="s">
        <v>285</v>
      </c>
      <c r="B968" t="s">
        <v>392</v>
      </c>
      <c r="C968">
        <v>9</v>
      </c>
    </row>
    <row r="969" spans="1:3" ht="15.75" customHeight="1" x14ac:dyDescent="0.2">
      <c r="A969" t="s">
        <v>285</v>
      </c>
      <c r="B969" t="s">
        <v>392</v>
      </c>
      <c r="C969">
        <v>9</v>
      </c>
    </row>
    <row r="970" spans="1:3" ht="15.75" customHeight="1" x14ac:dyDescent="0.2">
      <c r="A970" t="s">
        <v>285</v>
      </c>
      <c r="B970" t="s">
        <v>392</v>
      </c>
      <c r="C970">
        <v>9</v>
      </c>
    </row>
    <row r="971" spans="1:3" ht="15.75" customHeight="1" x14ac:dyDescent="0.2">
      <c r="A971" t="s">
        <v>285</v>
      </c>
      <c r="B971" t="s">
        <v>392</v>
      </c>
      <c r="C971">
        <v>9</v>
      </c>
    </row>
    <row r="972" spans="1:3" ht="15.75" customHeight="1" x14ac:dyDescent="0.2">
      <c r="A972" t="s">
        <v>285</v>
      </c>
      <c r="B972" t="s">
        <v>392</v>
      </c>
      <c r="C972">
        <v>9</v>
      </c>
    </row>
    <row r="973" spans="1:3" ht="15.75" customHeight="1" x14ac:dyDescent="0.2">
      <c r="A973" t="s">
        <v>285</v>
      </c>
      <c r="B973" t="s">
        <v>392</v>
      </c>
      <c r="C973">
        <v>9</v>
      </c>
    </row>
    <row r="974" spans="1:3" ht="15.75" customHeight="1" x14ac:dyDescent="0.2">
      <c r="A974" t="s">
        <v>285</v>
      </c>
      <c r="B974" t="s">
        <v>392</v>
      </c>
      <c r="C974">
        <v>9</v>
      </c>
    </row>
    <row r="975" spans="1:3" ht="15.75" customHeight="1" x14ac:dyDescent="0.2">
      <c r="A975" t="s">
        <v>285</v>
      </c>
      <c r="B975" t="s">
        <v>392</v>
      </c>
      <c r="C975">
        <v>9</v>
      </c>
    </row>
    <row r="976" spans="1:3" ht="15.75" customHeight="1" x14ac:dyDescent="0.2">
      <c r="A976" t="s">
        <v>285</v>
      </c>
      <c r="B976" t="s">
        <v>392</v>
      </c>
      <c r="C976">
        <v>9</v>
      </c>
    </row>
    <row r="977" spans="1:3" ht="15.75" customHeight="1" x14ac:dyDescent="0.2">
      <c r="A977" t="s">
        <v>285</v>
      </c>
      <c r="B977" t="s">
        <v>392</v>
      </c>
      <c r="C977">
        <v>9</v>
      </c>
    </row>
    <row r="978" spans="1:3" ht="15.75" customHeight="1" x14ac:dyDescent="0.2">
      <c r="A978" t="s">
        <v>285</v>
      </c>
      <c r="B978" t="s">
        <v>392</v>
      </c>
      <c r="C978">
        <v>9</v>
      </c>
    </row>
    <row r="979" spans="1:3" ht="15.75" customHeight="1" x14ac:dyDescent="0.2">
      <c r="A979" t="s">
        <v>285</v>
      </c>
      <c r="B979" t="s">
        <v>392</v>
      </c>
      <c r="C979">
        <v>9</v>
      </c>
    </row>
    <row r="980" spans="1:3" ht="15.75" customHeight="1" x14ac:dyDescent="0.2">
      <c r="A980" t="s">
        <v>285</v>
      </c>
      <c r="B980" t="s">
        <v>392</v>
      </c>
      <c r="C980">
        <v>9</v>
      </c>
    </row>
    <row r="981" spans="1:3" ht="15.75" customHeight="1" x14ac:dyDescent="0.2">
      <c r="A981" t="s">
        <v>285</v>
      </c>
      <c r="B981" t="s">
        <v>392</v>
      </c>
      <c r="C981">
        <v>9</v>
      </c>
    </row>
    <row r="982" spans="1:3" ht="15.75" customHeight="1" x14ac:dyDescent="0.2">
      <c r="A982" t="s">
        <v>285</v>
      </c>
      <c r="B982" t="s">
        <v>392</v>
      </c>
      <c r="C982">
        <v>9</v>
      </c>
    </row>
    <row r="983" spans="1:3" ht="15.75" customHeight="1" x14ac:dyDescent="0.2">
      <c r="A983" t="s">
        <v>285</v>
      </c>
      <c r="B983" t="s">
        <v>392</v>
      </c>
      <c r="C983">
        <v>9</v>
      </c>
    </row>
    <row r="984" spans="1:3" ht="15.75" customHeight="1" x14ac:dyDescent="0.2">
      <c r="A984" t="s">
        <v>285</v>
      </c>
      <c r="B984" t="s">
        <v>392</v>
      </c>
      <c r="C984">
        <v>9</v>
      </c>
    </row>
    <row r="985" spans="1:3" ht="15.75" customHeight="1" x14ac:dyDescent="0.2">
      <c r="A985" t="s">
        <v>285</v>
      </c>
      <c r="B985" t="s">
        <v>392</v>
      </c>
      <c r="C985">
        <v>9</v>
      </c>
    </row>
    <row r="986" spans="1:3" ht="15.75" customHeight="1" x14ac:dyDescent="0.2">
      <c r="A986" t="s">
        <v>285</v>
      </c>
      <c r="B986" t="s">
        <v>392</v>
      </c>
      <c r="C986">
        <v>9</v>
      </c>
    </row>
    <row r="987" spans="1:3" ht="15.75" customHeight="1" x14ac:dyDescent="0.2">
      <c r="A987" t="s">
        <v>285</v>
      </c>
      <c r="B987" t="s">
        <v>392</v>
      </c>
      <c r="C987">
        <v>9</v>
      </c>
    </row>
    <row r="988" spans="1:3" ht="15.75" customHeight="1" x14ac:dyDescent="0.2">
      <c r="A988" t="s">
        <v>285</v>
      </c>
      <c r="B988" t="s">
        <v>392</v>
      </c>
      <c r="C988">
        <v>9</v>
      </c>
    </row>
    <row r="989" spans="1:3" ht="15.75" customHeight="1" x14ac:dyDescent="0.2">
      <c r="A989" t="s">
        <v>285</v>
      </c>
      <c r="B989" t="s">
        <v>392</v>
      </c>
      <c r="C989">
        <v>9</v>
      </c>
    </row>
    <row r="990" spans="1:3" ht="15.75" customHeight="1" x14ac:dyDescent="0.2">
      <c r="A990" t="s">
        <v>285</v>
      </c>
      <c r="B990" t="s">
        <v>392</v>
      </c>
      <c r="C990">
        <v>9</v>
      </c>
    </row>
    <row r="991" spans="1:3" ht="15.75" customHeight="1" x14ac:dyDescent="0.2">
      <c r="A991" t="s">
        <v>285</v>
      </c>
      <c r="B991" t="s">
        <v>392</v>
      </c>
      <c r="C991">
        <v>9</v>
      </c>
    </row>
    <row r="992" spans="1:3" ht="15.75" customHeight="1" x14ac:dyDescent="0.2">
      <c r="A992" t="s">
        <v>285</v>
      </c>
      <c r="B992" t="s">
        <v>392</v>
      </c>
      <c r="C992">
        <v>9</v>
      </c>
    </row>
    <row r="993" spans="1:3" ht="15.75" customHeight="1" x14ac:dyDescent="0.2">
      <c r="A993" t="s">
        <v>285</v>
      </c>
      <c r="B993" t="s">
        <v>392</v>
      </c>
      <c r="C993">
        <v>9</v>
      </c>
    </row>
    <row r="994" spans="1:3" ht="15.75" customHeight="1" x14ac:dyDescent="0.2">
      <c r="A994" t="s">
        <v>285</v>
      </c>
      <c r="B994" t="s">
        <v>392</v>
      </c>
      <c r="C994">
        <v>9</v>
      </c>
    </row>
    <row r="995" spans="1:3" ht="15.75" customHeight="1" x14ac:dyDescent="0.2">
      <c r="A995" t="s">
        <v>285</v>
      </c>
      <c r="B995" t="s">
        <v>392</v>
      </c>
      <c r="C995">
        <v>9</v>
      </c>
    </row>
    <row r="996" spans="1:3" ht="15.75" customHeight="1" x14ac:dyDescent="0.2">
      <c r="A996" t="s">
        <v>285</v>
      </c>
      <c r="B996" t="s">
        <v>392</v>
      </c>
      <c r="C996">
        <v>9</v>
      </c>
    </row>
    <row r="997" spans="1:3" ht="15.75" customHeight="1" x14ac:dyDescent="0.2">
      <c r="A997" t="s">
        <v>285</v>
      </c>
      <c r="B997" t="s">
        <v>392</v>
      </c>
      <c r="C997">
        <v>9</v>
      </c>
    </row>
    <row r="998" spans="1:3" ht="15.75" customHeight="1" x14ac:dyDescent="0.2">
      <c r="A998" t="s">
        <v>285</v>
      </c>
      <c r="B998" t="s">
        <v>392</v>
      </c>
      <c r="C998">
        <v>9</v>
      </c>
    </row>
    <row r="999" spans="1:3" ht="15.75" customHeight="1" x14ac:dyDescent="0.2">
      <c r="A999" t="s">
        <v>285</v>
      </c>
      <c r="B999" t="s">
        <v>392</v>
      </c>
      <c r="C999">
        <v>9</v>
      </c>
    </row>
    <row r="1000" spans="1:3" ht="15.75" customHeight="1" x14ac:dyDescent="0.2">
      <c r="A1000" t="s">
        <v>285</v>
      </c>
      <c r="B1000" t="s">
        <v>392</v>
      </c>
      <c r="C1000">
        <v>9</v>
      </c>
    </row>
    <row r="1001" spans="1:3" ht="15.75" customHeight="1" x14ac:dyDescent="0.2">
      <c r="A1001" t="s">
        <v>285</v>
      </c>
      <c r="B1001" t="s">
        <v>392</v>
      </c>
      <c r="C1001">
        <v>9</v>
      </c>
    </row>
    <row r="1002" spans="1:3" ht="15.75" customHeight="1" x14ac:dyDescent="0.2">
      <c r="A1002" t="s">
        <v>285</v>
      </c>
      <c r="B1002" t="s">
        <v>392</v>
      </c>
      <c r="C1002">
        <v>9</v>
      </c>
    </row>
    <row r="1003" spans="1:3" ht="15.75" customHeight="1" x14ac:dyDescent="0.2">
      <c r="A1003" t="s">
        <v>285</v>
      </c>
      <c r="B1003" t="s">
        <v>392</v>
      </c>
      <c r="C1003">
        <v>9</v>
      </c>
    </row>
    <row r="1004" spans="1:3" ht="15.75" customHeight="1" x14ac:dyDescent="0.2">
      <c r="A1004" t="s">
        <v>285</v>
      </c>
      <c r="B1004" t="s">
        <v>392</v>
      </c>
      <c r="C1004">
        <v>9</v>
      </c>
    </row>
    <row r="1005" spans="1:3" ht="15.75" customHeight="1" x14ac:dyDescent="0.2">
      <c r="A1005" t="s">
        <v>285</v>
      </c>
      <c r="B1005" t="s">
        <v>392</v>
      </c>
      <c r="C1005">
        <v>9</v>
      </c>
    </row>
    <row r="1006" spans="1:3" ht="15.75" customHeight="1" x14ac:dyDescent="0.2">
      <c r="A1006" t="s">
        <v>285</v>
      </c>
      <c r="B1006" t="s">
        <v>392</v>
      </c>
      <c r="C1006">
        <v>9</v>
      </c>
    </row>
    <row r="1007" spans="1:3" ht="15.75" customHeight="1" x14ac:dyDescent="0.2">
      <c r="A1007" t="s">
        <v>285</v>
      </c>
      <c r="B1007" t="s">
        <v>392</v>
      </c>
      <c r="C1007">
        <v>9</v>
      </c>
    </row>
    <row r="1008" spans="1:3" ht="15.75" customHeight="1" x14ac:dyDescent="0.2">
      <c r="A1008" t="s">
        <v>285</v>
      </c>
      <c r="B1008" t="s">
        <v>392</v>
      </c>
      <c r="C1008">
        <v>9</v>
      </c>
    </row>
    <row r="1009" spans="1:3" ht="15.75" customHeight="1" x14ac:dyDescent="0.2">
      <c r="A1009" t="s">
        <v>285</v>
      </c>
      <c r="B1009" t="s">
        <v>392</v>
      </c>
      <c r="C1009">
        <v>9</v>
      </c>
    </row>
    <row r="1010" spans="1:3" ht="15.75" customHeight="1" x14ac:dyDescent="0.2">
      <c r="A1010" t="s">
        <v>285</v>
      </c>
      <c r="B1010" t="s">
        <v>392</v>
      </c>
      <c r="C1010">
        <v>9</v>
      </c>
    </row>
    <row r="1011" spans="1:3" ht="15.75" customHeight="1" x14ac:dyDescent="0.2">
      <c r="A1011" t="s">
        <v>285</v>
      </c>
      <c r="B1011" t="s">
        <v>392</v>
      </c>
      <c r="C1011">
        <v>9</v>
      </c>
    </row>
    <row r="1012" spans="1:3" ht="15.75" customHeight="1" x14ac:dyDescent="0.2">
      <c r="A1012" t="s">
        <v>285</v>
      </c>
      <c r="B1012" t="s">
        <v>392</v>
      </c>
      <c r="C1012">
        <v>9</v>
      </c>
    </row>
    <row r="1013" spans="1:3" ht="15.75" customHeight="1" x14ac:dyDescent="0.2">
      <c r="A1013" t="s">
        <v>285</v>
      </c>
      <c r="B1013" t="s">
        <v>392</v>
      </c>
      <c r="C1013">
        <v>9</v>
      </c>
    </row>
    <row r="1014" spans="1:3" ht="15.75" customHeight="1" x14ac:dyDescent="0.2">
      <c r="A1014" t="s">
        <v>285</v>
      </c>
      <c r="B1014" t="s">
        <v>392</v>
      </c>
      <c r="C1014">
        <v>9</v>
      </c>
    </row>
    <row r="1015" spans="1:3" ht="15.75" customHeight="1" x14ac:dyDescent="0.2">
      <c r="A1015" t="s">
        <v>285</v>
      </c>
      <c r="B1015" t="s">
        <v>392</v>
      </c>
      <c r="C1015">
        <v>9</v>
      </c>
    </row>
    <row r="1016" spans="1:3" ht="15.75" customHeight="1" x14ac:dyDescent="0.2">
      <c r="A1016" t="s">
        <v>285</v>
      </c>
      <c r="B1016" t="s">
        <v>392</v>
      </c>
      <c r="C1016">
        <v>9</v>
      </c>
    </row>
    <row r="1017" spans="1:3" ht="15.75" customHeight="1" x14ac:dyDescent="0.2">
      <c r="A1017" t="s">
        <v>285</v>
      </c>
      <c r="B1017" t="s">
        <v>392</v>
      </c>
      <c r="C1017">
        <v>9</v>
      </c>
    </row>
    <row r="1018" spans="1:3" ht="15.75" customHeight="1" x14ac:dyDescent="0.2">
      <c r="A1018" t="s">
        <v>285</v>
      </c>
      <c r="B1018" t="s">
        <v>392</v>
      </c>
      <c r="C1018">
        <v>9</v>
      </c>
    </row>
    <row r="1019" spans="1:3" ht="15.75" customHeight="1" x14ac:dyDescent="0.2">
      <c r="A1019" t="s">
        <v>285</v>
      </c>
      <c r="B1019" t="s">
        <v>392</v>
      </c>
      <c r="C1019">
        <v>9</v>
      </c>
    </row>
    <row r="1020" spans="1:3" ht="15.75" customHeight="1" x14ac:dyDescent="0.2">
      <c r="A1020" t="s">
        <v>285</v>
      </c>
      <c r="B1020" t="s">
        <v>392</v>
      </c>
      <c r="C1020">
        <v>9</v>
      </c>
    </row>
    <row r="1021" spans="1:3" ht="15.75" customHeight="1" x14ac:dyDescent="0.2">
      <c r="A1021" t="s">
        <v>285</v>
      </c>
      <c r="B1021" t="s">
        <v>392</v>
      </c>
      <c r="C1021">
        <v>9</v>
      </c>
    </row>
    <row r="1022" spans="1:3" ht="15.75" customHeight="1" x14ac:dyDescent="0.2">
      <c r="A1022" t="s">
        <v>285</v>
      </c>
      <c r="B1022" t="s">
        <v>392</v>
      </c>
      <c r="C1022">
        <v>9</v>
      </c>
    </row>
    <row r="1023" spans="1:3" ht="15.75" customHeight="1" x14ac:dyDescent="0.2">
      <c r="A1023" t="s">
        <v>285</v>
      </c>
      <c r="B1023" t="s">
        <v>392</v>
      </c>
      <c r="C1023">
        <v>9</v>
      </c>
    </row>
    <row r="1024" spans="1:3" ht="15.75" customHeight="1" x14ac:dyDescent="0.2">
      <c r="A1024" t="s">
        <v>285</v>
      </c>
      <c r="B1024" t="s">
        <v>392</v>
      </c>
      <c r="C1024">
        <v>9</v>
      </c>
    </row>
    <row r="1025" spans="1:3" ht="15.75" customHeight="1" x14ac:dyDescent="0.2">
      <c r="A1025" t="s">
        <v>285</v>
      </c>
      <c r="B1025" t="s">
        <v>392</v>
      </c>
      <c r="C1025">
        <v>9</v>
      </c>
    </row>
    <row r="1026" spans="1:3" ht="15.75" customHeight="1" x14ac:dyDescent="0.2">
      <c r="A1026" t="s">
        <v>285</v>
      </c>
      <c r="B1026" t="s">
        <v>392</v>
      </c>
      <c r="C1026">
        <v>9</v>
      </c>
    </row>
    <row r="1027" spans="1:3" ht="15.75" customHeight="1" x14ac:dyDescent="0.2">
      <c r="A1027" t="s">
        <v>285</v>
      </c>
      <c r="B1027" t="s">
        <v>392</v>
      </c>
      <c r="C1027">
        <v>9</v>
      </c>
    </row>
    <row r="1028" spans="1:3" ht="15.75" customHeight="1" x14ac:dyDescent="0.2">
      <c r="A1028" t="s">
        <v>285</v>
      </c>
      <c r="B1028" t="s">
        <v>392</v>
      </c>
      <c r="C1028">
        <v>9</v>
      </c>
    </row>
    <row r="1029" spans="1:3" ht="15.75" customHeight="1" x14ac:dyDescent="0.2">
      <c r="A1029" t="s">
        <v>285</v>
      </c>
      <c r="B1029" t="s">
        <v>392</v>
      </c>
      <c r="C1029">
        <v>9</v>
      </c>
    </row>
    <row r="1030" spans="1:3" ht="15.75" customHeight="1" x14ac:dyDescent="0.2">
      <c r="A1030" t="s">
        <v>285</v>
      </c>
      <c r="B1030" t="s">
        <v>392</v>
      </c>
      <c r="C1030">
        <v>9</v>
      </c>
    </row>
    <row r="1031" spans="1:3" ht="15.75" customHeight="1" x14ac:dyDescent="0.2">
      <c r="A1031" t="s">
        <v>285</v>
      </c>
      <c r="B1031" t="s">
        <v>392</v>
      </c>
      <c r="C1031">
        <v>9</v>
      </c>
    </row>
    <row r="1032" spans="1:3" ht="15.75" customHeight="1" x14ac:dyDescent="0.2">
      <c r="A1032" t="s">
        <v>285</v>
      </c>
      <c r="B1032" t="s">
        <v>392</v>
      </c>
      <c r="C1032">
        <v>9</v>
      </c>
    </row>
    <row r="1033" spans="1:3" ht="15.75" customHeight="1" x14ac:dyDescent="0.2">
      <c r="A1033" t="s">
        <v>285</v>
      </c>
      <c r="B1033" t="s">
        <v>392</v>
      </c>
      <c r="C1033">
        <v>9</v>
      </c>
    </row>
    <row r="1034" spans="1:3" ht="15.75" customHeight="1" x14ac:dyDescent="0.2">
      <c r="A1034" t="s">
        <v>285</v>
      </c>
      <c r="B1034" t="s">
        <v>392</v>
      </c>
      <c r="C1034">
        <v>9</v>
      </c>
    </row>
    <row r="1035" spans="1:3" ht="15.75" customHeight="1" x14ac:dyDescent="0.2">
      <c r="A1035" t="s">
        <v>285</v>
      </c>
      <c r="B1035" t="s">
        <v>392</v>
      </c>
      <c r="C1035">
        <v>9</v>
      </c>
    </row>
    <row r="1036" spans="1:3" ht="15.75" customHeight="1" x14ac:dyDescent="0.2">
      <c r="A1036" t="s">
        <v>285</v>
      </c>
      <c r="B1036" t="s">
        <v>392</v>
      </c>
      <c r="C1036">
        <v>9</v>
      </c>
    </row>
    <row r="1037" spans="1:3" ht="15.75" customHeight="1" x14ac:dyDescent="0.2">
      <c r="A1037" t="s">
        <v>285</v>
      </c>
      <c r="B1037" t="s">
        <v>392</v>
      </c>
      <c r="C1037">
        <v>9</v>
      </c>
    </row>
    <row r="1038" spans="1:3" ht="15.75" customHeight="1" x14ac:dyDescent="0.2">
      <c r="A1038" t="s">
        <v>285</v>
      </c>
      <c r="B1038" t="s">
        <v>392</v>
      </c>
      <c r="C1038">
        <v>9</v>
      </c>
    </row>
    <row r="1039" spans="1:3" ht="15.75" customHeight="1" x14ac:dyDescent="0.2">
      <c r="A1039" t="s">
        <v>285</v>
      </c>
      <c r="B1039" t="s">
        <v>392</v>
      </c>
      <c r="C1039">
        <v>9</v>
      </c>
    </row>
    <row r="1040" spans="1:3" ht="15.75" customHeight="1" x14ac:dyDescent="0.2">
      <c r="A1040" t="s">
        <v>285</v>
      </c>
      <c r="B1040" t="s">
        <v>392</v>
      </c>
      <c r="C1040">
        <v>9</v>
      </c>
    </row>
    <row r="1041" spans="1:3" ht="15.75" customHeight="1" x14ac:dyDescent="0.2">
      <c r="A1041" t="s">
        <v>285</v>
      </c>
      <c r="B1041" t="s">
        <v>392</v>
      </c>
      <c r="C1041">
        <v>9</v>
      </c>
    </row>
    <row r="1042" spans="1:3" ht="15.75" customHeight="1" x14ac:dyDescent="0.2">
      <c r="A1042" t="s">
        <v>285</v>
      </c>
      <c r="B1042" t="s">
        <v>392</v>
      </c>
      <c r="C1042">
        <v>9</v>
      </c>
    </row>
    <row r="1043" spans="1:3" ht="15.75" customHeight="1" x14ac:dyDescent="0.2">
      <c r="A1043" t="s">
        <v>285</v>
      </c>
      <c r="B1043" t="s">
        <v>392</v>
      </c>
      <c r="C1043">
        <v>9</v>
      </c>
    </row>
    <row r="1044" spans="1:3" ht="15.75" customHeight="1" x14ac:dyDescent="0.2">
      <c r="A1044" t="s">
        <v>285</v>
      </c>
      <c r="B1044" t="s">
        <v>392</v>
      </c>
      <c r="C1044">
        <v>9</v>
      </c>
    </row>
    <row r="1045" spans="1:3" ht="15.75" customHeight="1" x14ac:dyDescent="0.2">
      <c r="A1045" t="s">
        <v>285</v>
      </c>
      <c r="B1045" t="s">
        <v>392</v>
      </c>
      <c r="C1045">
        <v>9</v>
      </c>
    </row>
    <row r="1046" spans="1:3" ht="15.75" customHeight="1" x14ac:dyDescent="0.2">
      <c r="A1046" t="s">
        <v>285</v>
      </c>
      <c r="B1046" t="s">
        <v>392</v>
      </c>
      <c r="C1046">
        <v>9</v>
      </c>
    </row>
    <row r="1047" spans="1:3" ht="15.75" customHeight="1" x14ac:dyDescent="0.2">
      <c r="A1047" t="s">
        <v>285</v>
      </c>
      <c r="B1047" t="s">
        <v>392</v>
      </c>
      <c r="C1047">
        <v>9</v>
      </c>
    </row>
    <row r="1048" spans="1:3" ht="15.75" customHeight="1" x14ac:dyDescent="0.2">
      <c r="A1048" t="s">
        <v>285</v>
      </c>
      <c r="B1048" t="s">
        <v>392</v>
      </c>
      <c r="C1048">
        <v>9</v>
      </c>
    </row>
    <row r="1049" spans="1:3" ht="15.75" customHeight="1" x14ac:dyDescent="0.2">
      <c r="A1049" t="s">
        <v>285</v>
      </c>
      <c r="B1049" t="s">
        <v>392</v>
      </c>
      <c r="C1049">
        <v>9</v>
      </c>
    </row>
    <row r="1050" spans="1:3" ht="15.75" customHeight="1" x14ac:dyDescent="0.2">
      <c r="A1050" t="s">
        <v>285</v>
      </c>
      <c r="B1050" t="s">
        <v>392</v>
      </c>
      <c r="C1050">
        <v>9</v>
      </c>
    </row>
    <row r="1051" spans="1:3" ht="15.75" customHeight="1" x14ac:dyDescent="0.2">
      <c r="A1051" t="s">
        <v>285</v>
      </c>
      <c r="B1051" t="s">
        <v>392</v>
      </c>
      <c r="C1051">
        <v>9</v>
      </c>
    </row>
    <row r="1052" spans="1:3" ht="15.75" customHeight="1" x14ac:dyDescent="0.2">
      <c r="A1052" t="s">
        <v>285</v>
      </c>
      <c r="B1052" t="s">
        <v>392</v>
      </c>
      <c r="C1052">
        <v>9</v>
      </c>
    </row>
    <row r="1053" spans="1:3" ht="15.75" customHeight="1" x14ac:dyDescent="0.2">
      <c r="A1053" t="s">
        <v>285</v>
      </c>
      <c r="B1053" t="s">
        <v>392</v>
      </c>
      <c r="C1053">
        <v>9</v>
      </c>
    </row>
    <row r="1054" spans="1:3" ht="15.75" customHeight="1" x14ac:dyDescent="0.2">
      <c r="A1054" t="s">
        <v>285</v>
      </c>
      <c r="B1054" t="s">
        <v>392</v>
      </c>
      <c r="C1054">
        <v>9</v>
      </c>
    </row>
    <row r="1055" spans="1:3" ht="15.75" customHeight="1" x14ac:dyDescent="0.2">
      <c r="A1055" t="s">
        <v>285</v>
      </c>
      <c r="B1055" t="s">
        <v>392</v>
      </c>
      <c r="C1055">
        <v>9</v>
      </c>
    </row>
    <row r="1056" spans="1:3" ht="15.75" customHeight="1" x14ac:dyDescent="0.2">
      <c r="A1056" t="s">
        <v>285</v>
      </c>
      <c r="B1056" t="s">
        <v>392</v>
      </c>
      <c r="C1056">
        <v>9</v>
      </c>
    </row>
    <row r="1057" spans="1:3" ht="15.75" customHeight="1" x14ac:dyDescent="0.2">
      <c r="A1057" t="s">
        <v>285</v>
      </c>
      <c r="B1057" t="s">
        <v>392</v>
      </c>
      <c r="C1057">
        <v>9</v>
      </c>
    </row>
    <row r="1058" spans="1:3" ht="15.75" customHeight="1" x14ac:dyDescent="0.2">
      <c r="A1058" t="s">
        <v>285</v>
      </c>
      <c r="B1058" t="s">
        <v>392</v>
      </c>
      <c r="C1058">
        <v>9</v>
      </c>
    </row>
    <row r="1059" spans="1:3" ht="15.75" customHeight="1" x14ac:dyDescent="0.2">
      <c r="A1059" t="s">
        <v>285</v>
      </c>
      <c r="B1059" t="s">
        <v>392</v>
      </c>
      <c r="C1059">
        <v>9</v>
      </c>
    </row>
    <row r="1060" spans="1:3" ht="15.75" customHeight="1" x14ac:dyDescent="0.2">
      <c r="A1060" t="s">
        <v>285</v>
      </c>
      <c r="B1060" t="s">
        <v>392</v>
      </c>
      <c r="C1060">
        <v>9</v>
      </c>
    </row>
    <row r="1061" spans="1:3" ht="15.75" customHeight="1" x14ac:dyDescent="0.2">
      <c r="A1061" t="s">
        <v>285</v>
      </c>
      <c r="B1061" t="s">
        <v>392</v>
      </c>
      <c r="C1061">
        <v>9</v>
      </c>
    </row>
    <row r="1062" spans="1:3" ht="15.75" customHeight="1" x14ac:dyDescent="0.2">
      <c r="A1062" t="s">
        <v>285</v>
      </c>
      <c r="B1062" t="s">
        <v>392</v>
      </c>
      <c r="C1062">
        <v>9</v>
      </c>
    </row>
    <row r="1063" spans="1:3" ht="15.75" customHeight="1" x14ac:dyDescent="0.2">
      <c r="A1063" t="s">
        <v>285</v>
      </c>
      <c r="B1063" t="s">
        <v>392</v>
      </c>
      <c r="C1063">
        <v>9</v>
      </c>
    </row>
    <row r="1064" spans="1:3" ht="15.75" customHeight="1" x14ac:dyDescent="0.2">
      <c r="A1064" t="s">
        <v>285</v>
      </c>
      <c r="B1064" t="s">
        <v>392</v>
      </c>
      <c r="C1064">
        <v>9</v>
      </c>
    </row>
    <row r="1065" spans="1:3" ht="15.75" customHeight="1" x14ac:dyDescent="0.2">
      <c r="A1065" t="s">
        <v>285</v>
      </c>
      <c r="B1065" t="s">
        <v>392</v>
      </c>
      <c r="C1065">
        <v>9</v>
      </c>
    </row>
    <row r="1066" spans="1:3" ht="15.75" customHeight="1" x14ac:dyDescent="0.2">
      <c r="A1066" t="s">
        <v>285</v>
      </c>
      <c r="B1066" t="s">
        <v>392</v>
      </c>
      <c r="C1066">
        <v>9</v>
      </c>
    </row>
    <row r="1067" spans="1:3" ht="15.75" customHeight="1" x14ac:dyDescent="0.2">
      <c r="A1067" t="s">
        <v>285</v>
      </c>
      <c r="B1067" t="s">
        <v>392</v>
      </c>
      <c r="C1067">
        <v>9</v>
      </c>
    </row>
    <row r="1068" spans="1:3" ht="15.75" customHeight="1" x14ac:dyDescent="0.2">
      <c r="A1068" t="s">
        <v>285</v>
      </c>
      <c r="B1068" t="s">
        <v>392</v>
      </c>
      <c r="C1068">
        <v>9</v>
      </c>
    </row>
    <row r="1069" spans="1:3" ht="15.75" customHeight="1" x14ac:dyDescent="0.2">
      <c r="A1069" t="s">
        <v>285</v>
      </c>
      <c r="B1069" t="s">
        <v>392</v>
      </c>
      <c r="C1069">
        <v>9</v>
      </c>
    </row>
    <row r="1070" spans="1:3" ht="15.75" customHeight="1" x14ac:dyDescent="0.2">
      <c r="A1070" t="s">
        <v>285</v>
      </c>
      <c r="B1070" t="s">
        <v>392</v>
      </c>
      <c r="C1070">
        <v>9</v>
      </c>
    </row>
    <row r="1071" spans="1:3" ht="15.75" customHeight="1" x14ac:dyDescent="0.2">
      <c r="A1071" t="s">
        <v>285</v>
      </c>
      <c r="B1071" t="s">
        <v>392</v>
      </c>
      <c r="C1071">
        <v>9</v>
      </c>
    </row>
    <row r="1072" spans="1:3" ht="15.75" customHeight="1" x14ac:dyDescent="0.2">
      <c r="A1072" t="s">
        <v>285</v>
      </c>
      <c r="B1072" t="s">
        <v>392</v>
      </c>
      <c r="C1072">
        <v>9</v>
      </c>
    </row>
    <row r="1073" spans="1:3" ht="15.75" customHeight="1" x14ac:dyDescent="0.2">
      <c r="A1073" t="s">
        <v>285</v>
      </c>
      <c r="B1073" t="s">
        <v>392</v>
      </c>
      <c r="C1073">
        <v>9</v>
      </c>
    </row>
    <row r="1074" spans="1:3" ht="15.75" customHeight="1" x14ac:dyDescent="0.2">
      <c r="A1074" t="s">
        <v>285</v>
      </c>
      <c r="B1074" t="s">
        <v>392</v>
      </c>
      <c r="C1074">
        <v>9</v>
      </c>
    </row>
    <row r="1075" spans="1:3" ht="15.75" customHeight="1" x14ac:dyDescent="0.2">
      <c r="A1075" t="s">
        <v>285</v>
      </c>
      <c r="B1075" t="s">
        <v>392</v>
      </c>
      <c r="C1075">
        <v>9</v>
      </c>
    </row>
    <row r="1076" spans="1:3" ht="15.75" customHeight="1" x14ac:dyDescent="0.2">
      <c r="A1076" t="s">
        <v>285</v>
      </c>
      <c r="B1076" t="s">
        <v>392</v>
      </c>
      <c r="C1076">
        <v>9</v>
      </c>
    </row>
    <row r="1077" spans="1:3" ht="15.75" customHeight="1" x14ac:dyDescent="0.2">
      <c r="A1077" t="s">
        <v>285</v>
      </c>
      <c r="B1077" t="s">
        <v>392</v>
      </c>
      <c r="C1077">
        <v>9</v>
      </c>
    </row>
    <row r="1078" spans="1:3" ht="15.75" customHeight="1" x14ac:dyDescent="0.2">
      <c r="A1078" t="s">
        <v>285</v>
      </c>
      <c r="B1078" t="s">
        <v>392</v>
      </c>
      <c r="C1078">
        <v>9</v>
      </c>
    </row>
    <row r="1079" spans="1:3" ht="15.75" customHeight="1" x14ac:dyDescent="0.2">
      <c r="A1079" t="s">
        <v>285</v>
      </c>
      <c r="B1079" t="s">
        <v>392</v>
      </c>
      <c r="C1079">
        <v>9</v>
      </c>
    </row>
    <row r="1080" spans="1:3" ht="15.75" customHeight="1" x14ac:dyDescent="0.2">
      <c r="A1080" t="s">
        <v>285</v>
      </c>
      <c r="B1080" t="s">
        <v>392</v>
      </c>
      <c r="C1080">
        <v>9</v>
      </c>
    </row>
    <row r="1081" spans="1:3" ht="15.75" customHeight="1" x14ac:dyDescent="0.2">
      <c r="A1081" t="s">
        <v>285</v>
      </c>
      <c r="B1081" t="s">
        <v>392</v>
      </c>
      <c r="C1081">
        <v>9</v>
      </c>
    </row>
    <row r="1082" spans="1:3" ht="15.75" customHeight="1" x14ac:dyDescent="0.2">
      <c r="A1082" t="s">
        <v>285</v>
      </c>
      <c r="B1082" t="s">
        <v>392</v>
      </c>
      <c r="C1082">
        <v>9</v>
      </c>
    </row>
    <row r="1083" spans="1:3" ht="15.75" customHeight="1" x14ac:dyDescent="0.2">
      <c r="A1083" t="s">
        <v>285</v>
      </c>
      <c r="B1083" t="s">
        <v>392</v>
      </c>
      <c r="C1083">
        <v>9</v>
      </c>
    </row>
    <row r="1084" spans="1:3" ht="15.75" customHeight="1" x14ac:dyDescent="0.2">
      <c r="A1084" t="s">
        <v>285</v>
      </c>
      <c r="B1084" t="s">
        <v>392</v>
      </c>
      <c r="C1084">
        <v>9</v>
      </c>
    </row>
    <row r="1085" spans="1:3" ht="15.75" customHeight="1" x14ac:dyDescent="0.2">
      <c r="A1085" t="s">
        <v>285</v>
      </c>
      <c r="B1085" t="s">
        <v>392</v>
      </c>
      <c r="C1085">
        <v>9</v>
      </c>
    </row>
    <row r="1086" spans="1:3" ht="15.75" customHeight="1" x14ac:dyDescent="0.2">
      <c r="A1086" t="s">
        <v>285</v>
      </c>
      <c r="B1086" t="s">
        <v>392</v>
      </c>
      <c r="C1086">
        <v>9</v>
      </c>
    </row>
    <row r="1087" spans="1:3" ht="15.75" customHeight="1" x14ac:dyDescent="0.2">
      <c r="A1087" t="s">
        <v>285</v>
      </c>
      <c r="B1087" t="s">
        <v>392</v>
      </c>
      <c r="C1087">
        <v>9</v>
      </c>
    </row>
    <row r="1088" spans="1:3" ht="15.75" customHeight="1" x14ac:dyDescent="0.2">
      <c r="A1088" t="s">
        <v>285</v>
      </c>
      <c r="B1088" t="s">
        <v>392</v>
      </c>
      <c r="C1088">
        <v>9</v>
      </c>
    </row>
    <row r="1089" spans="1:3" ht="15.75" customHeight="1" x14ac:dyDescent="0.2">
      <c r="A1089" t="s">
        <v>285</v>
      </c>
      <c r="B1089" t="s">
        <v>392</v>
      </c>
      <c r="C1089">
        <v>9</v>
      </c>
    </row>
    <row r="1090" spans="1:3" ht="15.75" customHeight="1" x14ac:dyDescent="0.2">
      <c r="A1090" t="s">
        <v>285</v>
      </c>
      <c r="B1090" t="s">
        <v>392</v>
      </c>
      <c r="C1090">
        <v>9</v>
      </c>
    </row>
    <row r="1091" spans="1:3" ht="15.75" customHeight="1" x14ac:dyDescent="0.2">
      <c r="A1091" t="s">
        <v>285</v>
      </c>
      <c r="B1091" t="s">
        <v>392</v>
      </c>
      <c r="C1091">
        <v>9</v>
      </c>
    </row>
    <row r="1092" spans="1:3" ht="15.75" customHeight="1" x14ac:dyDescent="0.2">
      <c r="A1092" t="s">
        <v>285</v>
      </c>
      <c r="B1092" t="s">
        <v>392</v>
      </c>
      <c r="C1092">
        <v>9</v>
      </c>
    </row>
    <row r="1093" spans="1:3" ht="15.75" customHeight="1" x14ac:dyDescent="0.2">
      <c r="A1093" t="s">
        <v>285</v>
      </c>
      <c r="B1093" t="s">
        <v>392</v>
      </c>
      <c r="C1093">
        <v>9</v>
      </c>
    </row>
    <row r="1094" spans="1:3" ht="15.75" customHeight="1" x14ac:dyDescent="0.2">
      <c r="A1094" t="s">
        <v>285</v>
      </c>
      <c r="B1094" t="s">
        <v>392</v>
      </c>
      <c r="C1094">
        <v>9</v>
      </c>
    </row>
    <row r="1095" spans="1:3" ht="15.75" customHeight="1" x14ac:dyDescent="0.2">
      <c r="A1095" t="s">
        <v>285</v>
      </c>
      <c r="B1095" t="s">
        <v>392</v>
      </c>
      <c r="C1095">
        <v>9</v>
      </c>
    </row>
    <row r="1096" spans="1:3" ht="15.75" customHeight="1" x14ac:dyDescent="0.2">
      <c r="A1096" t="s">
        <v>285</v>
      </c>
      <c r="B1096" t="s">
        <v>392</v>
      </c>
      <c r="C1096">
        <v>9</v>
      </c>
    </row>
    <row r="1097" spans="1:3" ht="15.75" customHeight="1" x14ac:dyDescent="0.2">
      <c r="A1097" t="s">
        <v>285</v>
      </c>
      <c r="B1097" t="s">
        <v>392</v>
      </c>
      <c r="C1097">
        <v>9</v>
      </c>
    </row>
    <row r="1098" spans="1:3" ht="15.75" customHeight="1" x14ac:dyDescent="0.2">
      <c r="A1098" t="s">
        <v>285</v>
      </c>
      <c r="B1098" t="s">
        <v>392</v>
      </c>
      <c r="C1098">
        <v>9</v>
      </c>
    </row>
    <row r="1099" spans="1:3" ht="15.75" customHeight="1" x14ac:dyDescent="0.2">
      <c r="A1099" t="s">
        <v>285</v>
      </c>
      <c r="B1099" t="s">
        <v>392</v>
      </c>
      <c r="C1099">
        <v>9</v>
      </c>
    </row>
    <row r="1100" spans="1:3" ht="15.75" customHeight="1" x14ac:dyDescent="0.2">
      <c r="A1100" t="s">
        <v>285</v>
      </c>
      <c r="B1100" t="s">
        <v>392</v>
      </c>
      <c r="C1100">
        <v>9</v>
      </c>
    </row>
    <row r="1101" spans="1:3" ht="15.75" customHeight="1" x14ac:dyDescent="0.2">
      <c r="A1101" t="s">
        <v>285</v>
      </c>
      <c r="B1101" t="s">
        <v>392</v>
      </c>
      <c r="C1101">
        <v>9</v>
      </c>
    </row>
    <row r="1102" spans="1:3" ht="15.75" customHeight="1" x14ac:dyDescent="0.2">
      <c r="A1102" t="s">
        <v>285</v>
      </c>
      <c r="B1102" t="s">
        <v>392</v>
      </c>
      <c r="C1102">
        <v>9</v>
      </c>
    </row>
    <row r="1103" spans="1:3" ht="15.75" customHeight="1" x14ac:dyDescent="0.2">
      <c r="A1103" t="s">
        <v>285</v>
      </c>
      <c r="B1103" t="s">
        <v>392</v>
      </c>
      <c r="C1103">
        <v>9</v>
      </c>
    </row>
    <row r="1104" spans="1:3" ht="15.75" customHeight="1" x14ac:dyDescent="0.2">
      <c r="A1104" t="s">
        <v>285</v>
      </c>
      <c r="B1104" t="s">
        <v>392</v>
      </c>
      <c r="C1104">
        <v>9</v>
      </c>
    </row>
    <row r="1105" spans="1:3" ht="15.75" customHeight="1" x14ac:dyDescent="0.2">
      <c r="A1105" t="s">
        <v>285</v>
      </c>
      <c r="B1105" t="s">
        <v>392</v>
      </c>
      <c r="C1105">
        <v>9</v>
      </c>
    </row>
    <row r="1106" spans="1:3" ht="15.75" customHeight="1" x14ac:dyDescent="0.2">
      <c r="A1106" t="s">
        <v>285</v>
      </c>
      <c r="B1106" t="s">
        <v>392</v>
      </c>
      <c r="C1106">
        <v>9</v>
      </c>
    </row>
    <row r="1107" spans="1:3" ht="15.75" customHeight="1" x14ac:dyDescent="0.2">
      <c r="A1107" t="s">
        <v>285</v>
      </c>
      <c r="B1107" t="s">
        <v>392</v>
      </c>
      <c r="C1107">
        <v>9</v>
      </c>
    </row>
    <row r="1108" spans="1:3" ht="15.75" customHeight="1" x14ac:dyDescent="0.2">
      <c r="A1108" t="s">
        <v>285</v>
      </c>
      <c r="B1108" t="s">
        <v>392</v>
      </c>
      <c r="C1108">
        <v>9</v>
      </c>
    </row>
    <row r="1109" spans="1:3" ht="15.75" customHeight="1" x14ac:dyDescent="0.2">
      <c r="A1109" t="s">
        <v>285</v>
      </c>
      <c r="B1109" t="s">
        <v>392</v>
      </c>
      <c r="C1109">
        <v>9</v>
      </c>
    </row>
    <row r="1110" spans="1:3" ht="15.75" customHeight="1" x14ac:dyDescent="0.2">
      <c r="A1110" t="s">
        <v>285</v>
      </c>
      <c r="B1110" t="s">
        <v>392</v>
      </c>
      <c r="C1110">
        <v>9</v>
      </c>
    </row>
    <row r="1111" spans="1:3" ht="15.75" customHeight="1" x14ac:dyDescent="0.2">
      <c r="A1111" t="s">
        <v>285</v>
      </c>
      <c r="B1111" t="s">
        <v>392</v>
      </c>
      <c r="C1111">
        <v>9</v>
      </c>
    </row>
    <row r="1112" spans="1:3" ht="15.75" customHeight="1" x14ac:dyDescent="0.2">
      <c r="A1112" t="s">
        <v>285</v>
      </c>
      <c r="B1112" t="s">
        <v>392</v>
      </c>
      <c r="C1112">
        <v>9</v>
      </c>
    </row>
    <row r="1113" spans="1:3" ht="15.75" customHeight="1" x14ac:dyDescent="0.2">
      <c r="A1113" t="s">
        <v>285</v>
      </c>
      <c r="B1113" t="s">
        <v>392</v>
      </c>
      <c r="C1113">
        <v>9</v>
      </c>
    </row>
    <row r="1114" spans="1:3" ht="15.75" customHeight="1" x14ac:dyDescent="0.2">
      <c r="A1114" t="s">
        <v>285</v>
      </c>
      <c r="B1114" t="s">
        <v>392</v>
      </c>
      <c r="C1114">
        <v>9</v>
      </c>
    </row>
    <row r="1115" spans="1:3" ht="15.75" customHeight="1" x14ac:dyDescent="0.2">
      <c r="A1115" t="s">
        <v>285</v>
      </c>
      <c r="B1115" t="s">
        <v>392</v>
      </c>
      <c r="C1115">
        <v>9</v>
      </c>
    </row>
    <row r="1116" spans="1:3" ht="15.75" customHeight="1" x14ac:dyDescent="0.2">
      <c r="A1116" t="s">
        <v>285</v>
      </c>
      <c r="B1116" t="s">
        <v>392</v>
      </c>
      <c r="C1116">
        <v>9</v>
      </c>
    </row>
    <row r="1117" spans="1:3" ht="15.75" customHeight="1" x14ac:dyDescent="0.2">
      <c r="A1117" t="s">
        <v>285</v>
      </c>
      <c r="B1117" t="s">
        <v>392</v>
      </c>
      <c r="C1117">
        <v>9</v>
      </c>
    </row>
    <row r="1118" spans="1:3" ht="15.75" customHeight="1" x14ac:dyDescent="0.2">
      <c r="A1118" t="s">
        <v>285</v>
      </c>
      <c r="B1118" t="s">
        <v>392</v>
      </c>
      <c r="C1118">
        <v>9</v>
      </c>
    </row>
    <row r="1119" spans="1:3" ht="15.75" customHeight="1" x14ac:dyDescent="0.2">
      <c r="A1119" t="s">
        <v>285</v>
      </c>
      <c r="B1119" t="s">
        <v>392</v>
      </c>
      <c r="C1119">
        <v>9</v>
      </c>
    </row>
    <row r="1120" spans="1:3" ht="15.75" customHeight="1" x14ac:dyDescent="0.2">
      <c r="A1120" t="s">
        <v>285</v>
      </c>
      <c r="B1120" t="s">
        <v>392</v>
      </c>
      <c r="C1120">
        <v>9</v>
      </c>
    </row>
    <row r="1121" spans="1:3" ht="15.75" customHeight="1" x14ac:dyDescent="0.2">
      <c r="A1121" t="s">
        <v>285</v>
      </c>
      <c r="B1121" t="s">
        <v>392</v>
      </c>
      <c r="C1121">
        <v>9</v>
      </c>
    </row>
    <row r="1122" spans="1:3" ht="15.75" customHeight="1" x14ac:dyDescent="0.2">
      <c r="A1122" t="s">
        <v>285</v>
      </c>
      <c r="B1122" t="s">
        <v>392</v>
      </c>
      <c r="C1122">
        <v>9</v>
      </c>
    </row>
    <row r="1123" spans="1:3" ht="15.75" customHeight="1" x14ac:dyDescent="0.2">
      <c r="A1123" t="s">
        <v>285</v>
      </c>
      <c r="B1123" t="s">
        <v>392</v>
      </c>
      <c r="C1123">
        <v>9</v>
      </c>
    </row>
    <row r="1124" spans="1:3" ht="15.75" customHeight="1" x14ac:dyDescent="0.2">
      <c r="A1124" t="s">
        <v>285</v>
      </c>
      <c r="B1124" t="s">
        <v>392</v>
      </c>
      <c r="C1124">
        <v>9</v>
      </c>
    </row>
    <row r="1125" spans="1:3" ht="15.75" customHeight="1" x14ac:dyDescent="0.2">
      <c r="A1125" t="s">
        <v>285</v>
      </c>
      <c r="B1125" t="s">
        <v>392</v>
      </c>
      <c r="C1125">
        <v>9</v>
      </c>
    </row>
    <row r="1126" spans="1:3" ht="15.75" customHeight="1" x14ac:dyDescent="0.2">
      <c r="A1126" t="s">
        <v>285</v>
      </c>
      <c r="B1126" t="s">
        <v>392</v>
      </c>
      <c r="C1126">
        <v>9</v>
      </c>
    </row>
    <row r="1127" spans="1:3" ht="15.75" customHeight="1" x14ac:dyDescent="0.2">
      <c r="A1127" t="s">
        <v>285</v>
      </c>
      <c r="B1127" t="s">
        <v>392</v>
      </c>
      <c r="C1127">
        <v>9</v>
      </c>
    </row>
    <row r="1128" spans="1:3" ht="15.75" customHeight="1" x14ac:dyDescent="0.2">
      <c r="A1128" t="s">
        <v>285</v>
      </c>
      <c r="B1128" t="s">
        <v>392</v>
      </c>
      <c r="C1128">
        <v>9</v>
      </c>
    </row>
    <row r="1129" spans="1:3" ht="15.75" customHeight="1" x14ac:dyDescent="0.2">
      <c r="A1129" t="s">
        <v>285</v>
      </c>
      <c r="B1129" t="s">
        <v>392</v>
      </c>
      <c r="C1129">
        <v>9</v>
      </c>
    </row>
    <row r="1130" spans="1:3" ht="15.75" customHeight="1" x14ac:dyDescent="0.2">
      <c r="A1130" t="s">
        <v>285</v>
      </c>
      <c r="B1130" t="s">
        <v>392</v>
      </c>
      <c r="C1130">
        <v>9</v>
      </c>
    </row>
    <row r="1131" spans="1:3" ht="15.75" customHeight="1" x14ac:dyDescent="0.2">
      <c r="A1131" t="s">
        <v>285</v>
      </c>
      <c r="B1131" t="s">
        <v>392</v>
      </c>
      <c r="C1131">
        <v>9</v>
      </c>
    </row>
    <row r="1132" spans="1:3" ht="15.75" customHeight="1" x14ac:dyDescent="0.2">
      <c r="A1132" t="s">
        <v>285</v>
      </c>
      <c r="B1132" t="s">
        <v>392</v>
      </c>
      <c r="C1132">
        <v>9</v>
      </c>
    </row>
    <row r="1133" spans="1:3" ht="15.75" customHeight="1" x14ac:dyDescent="0.2">
      <c r="A1133" t="s">
        <v>285</v>
      </c>
      <c r="B1133" t="s">
        <v>392</v>
      </c>
      <c r="C1133">
        <v>9</v>
      </c>
    </row>
    <row r="1134" spans="1:3" ht="15.75" customHeight="1" x14ac:dyDescent="0.2">
      <c r="A1134" t="s">
        <v>285</v>
      </c>
      <c r="B1134" t="s">
        <v>392</v>
      </c>
      <c r="C1134">
        <v>9</v>
      </c>
    </row>
    <row r="1135" spans="1:3" ht="15.75" customHeight="1" x14ac:dyDescent="0.2">
      <c r="A1135" t="s">
        <v>285</v>
      </c>
      <c r="B1135" t="s">
        <v>392</v>
      </c>
      <c r="C1135">
        <v>9</v>
      </c>
    </row>
    <row r="1136" spans="1:3" ht="15.75" customHeight="1" x14ac:dyDescent="0.2">
      <c r="A1136" t="s">
        <v>285</v>
      </c>
      <c r="B1136" t="s">
        <v>392</v>
      </c>
      <c r="C1136">
        <v>9</v>
      </c>
    </row>
    <row r="1137" spans="1:3" ht="15.75" customHeight="1" x14ac:dyDescent="0.2">
      <c r="A1137" t="s">
        <v>285</v>
      </c>
      <c r="B1137" t="s">
        <v>392</v>
      </c>
      <c r="C1137">
        <v>9</v>
      </c>
    </row>
    <row r="1138" spans="1:3" ht="15.75" customHeight="1" x14ac:dyDescent="0.2">
      <c r="A1138" t="s">
        <v>285</v>
      </c>
      <c r="B1138" t="s">
        <v>392</v>
      </c>
      <c r="C1138">
        <v>9</v>
      </c>
    </row>
    <row r="1139" spans="1:3" ht="15.75" customHeight="1" x14ac:dyDescent="0.2">
      <c r="A1139" t="s">
        <v>285</v>
      </c>
      <c r="B1139" t="s">
        <v>392</v>
      </c>
      <c r="C1139">
        <v>9</v>
      </c>
    </row>
    <row r="1140" spans="1:3" ht="15.75" customHeight="1" x14ac:dyDescent="0.2">
      <c r="A1140" t="s">
        <v>285</v>
      </c>
      <c r="B1140" t="s">
        <v>392</v>
      </c>
      <c r="C1140">
        <v>9</v>
      </c>
    </row>
    <row r="1141" spans="1:3" ht="15.75" customHeight="1" x14ac:dyDescent="0.2">
      <c r="A1141" t="s">
        <v>285</v>
      </c>
      <c r="B1141" t="s">
        <v>392</v>
      </c>
      <c r="C1141">
        <v>9</v>
      </c>
    </row>
    <row r="1142" spans="1:3" ht="15.75" customHeight="1" x14ac:dyDescent="0.2">
      <c r="A1142" t="s">
        <v>285</v>
      </c>
      <c r="B1142" t="s">
        <v>392</v>
      </c>
      <c r="C1142">
        <v>9</v>
      </c>
    </row>
    <row r="1143" spans="1:3" ht="15.75" customHeight="1" x14ac:dyDescent="0.2">
      <c r="A1143" t="s">
        <v>285</v>
      </c>
      <c r="B1143" t="s">
        <v>392</v>
      </c>
      <c r="C1143">
        <v>9</v>
      </c>
    </row>
    <row r="1144" spans="1:3" ht="15.75" customHeight="1" x14ac:dyDescent="0.2">
      <c r="A1144" t="s">
        <v>285</v>
      </c>
      <c r="B1144" t="s">
        <v>392</v>
      </c>
      <c r="C1144">
        <v>9</v>
      </c>
    </row>
    <row r="1145" spans="1:3" ht="15.75" customHeight="1" x14ac:dyDescent="0.2">
      <c r="A1145" t="s">
        <v>285</v>
      </c>
      <c r="B1145" t="s">
        <v>392</v>
      </c>
      <c r="C1145">
        <v>9</v>
      </c>
    </row>
    <row r="1146" spans="1:3" ht="15.75" customHeight="1" x14ac:dyDescent="0.2">
      <c r="A1146" t="s">
        <v>285</v>
      </c>
      <c r="B1146" t="s">
        <v>392</v>
      </c>
      <c r="C1146">
        <v>9</v>
      </c>
    </row>
    <row r="1147" spans="1:3" ht="15.75" customHeight="1" x14ac:dyDescent="0.2">
      <c r="A1147" t="s">
        <v>285</v>
      </c>
      <c r="B1147" t="s">
        <v>392</v>
      </c>
      <c r="C1147">
        <v>9</v>
      </c>
    </row>
    <row r="1148" spans="1:3" ht="15.75" customHeight="1" x14ac:dyDescent="0.2">
      <c r="A1148" t="s">
        <v>285</v>
      </c>
      <c r="B1148" t="s">
        <v>392</v>
      </c>
      <c r="C1148">
        <v>9</v>
      </c>
    </row>
    <row r="1149" spans="1:3" ht="15.75" customHeight="1" x14ac:dyDescent="0.2">
      <c r="A1149" t="s">
        <v>285</v>
      </c>
      <c r="B1149" t="s">
        <v>392</v>
      </c>
      <c r="C1149">
        <v>9</v>
      </c>
    </row>
    <row r="1150" spans="1:3" ht="15.75" customHeight="1" x14ac:dyDescent="0.2">
      <c r="A1150" t="s">
        <v>285</v>
      </c>
      <c r="B1150" t="s">
        <v>392</v>
      </c>
      <c r="C1150">
        <v>9</v>
      </c>
    </row>
    <row r="1151" spans="1:3" ht="15.75" customHeight="1" x14ac:dyDescent="0.2">
      <c r="A1151" t="s">
        <v>285</v>
      </c>
      <c r="B1151" t="s">
        <v>392</v>
      </c>
      <c r="C1151">
        <v>9</v>
      </c>
    </row>
    <row r="1152" spans="1:3" ht="15.75" customHeight="1" x14ac:dyDescent="0.2">
      <c r="A1152" t="s">
        <v>285</v>
      </c>
      <c r="B1152" t="s">
        <v>392</v>
      </c>
      <c r="C1152">
        <v>9</v>
      </c>
    </row>
    <row r="1153" spans="1:3" ht="15.75" customHeight="1" x14ac:dyDescent="0.2">
      <c r="A1153" t="s">
        <v>285</v>
      </c>
      <c r="B1153" t="s">
        <v>392</v>
      </c>
      <c r="C1153">
        <v>9</v>
      </c>
    </row>
    <row r="1154" spans="1:3" ht="15.75" customHeight="1" x14ac:dyDescent="0.2">
      <c r="A1154" t="s">
        <v>285</v>
      </c>
      <c r="B1154" t="s">
        <v>392</v>
      </c>
      <c r="C1154">
        <v>9</v>
      </c>
    </row>
    <row r="1155" spans="1:3" ht="15.75" customHeight="1" x14ac:dyDescent="0.2">
      <c r="A1155" t="s">
        <v>285</v>
      </c>
      <c r="B1155" t="s">
        <v>392</v>
      </c>
      <c r="C1155">
        <v>9</v>
      </c>
    </row>
    <row r="1156" spans="1:3" ht="15.75" customHeight="1" x14ac:dyDescent="0.2">
      <c r="A1156" t="s">
        <v>285</v>
      </c>
      <c r="B1156" t="s">
        <v>392</v>
      </c>
      <c r="C1156">
        <v>9</v>
      </c>
    </row>
    <row r="1157" spans="1:3" ht="15.75" customHeight="1" x14ac:dyDescent="0.2">
      <c r="A1157" t="s">
        <v>285</v>
      </c>
      <c r="B1157" t="s">
        <v>392</v>
      </c>
      <c r="C1157">
        <v>9</v>
      </c>
    </row>
    <row r="1158" spans="1:3" ht="15.75" customHeight="1" x14ac:dyDescent="0.2">
      <c r="A1158" t="s">
        <v>285</v>
      </c>
      <c r="B1158" t="s">
        <v>392</v>
      </c>
      <c r="C1158">
        <v>9</v>
      </c>
    </row>
    <row r="1159" spans="1:3" ht="15.75" customHeight="1" x14ac:dyDescent="0.2">
      <c r="A1159" t="s">
        <v>285</v>
      </c>
      <c r="B1159" t="s">
        <v>392</v>
      </c>
      <c r="C1159">
        <v>9</v>
      </c>
    </row>
    <row r="1160" spans="1:3" ht="15.75" customHeight="1" x14ac:dyDescent="0.2">
      <c r="A1160" t="s">
        <v>285</v>
      </c>
      <c r="B1160" t="s">
        <v>392</v>
      </c>
      <c r="C1160">
        <v>9</v>
      </c>
    </row>
    <row r="1161" spans="1:3" ht="15.75" customHeight="1" x14ac:dyDescent="0.2">
      <c r="A1161" t="s">
        <v>285</v>
      </c>
      <c r="B1161" t="s">
        <v>392</v>
      </c>
      <c r="C1161">
        <v>9</v>
      </c>
    </row>
    <row r="1162" spans="1:3" ht="15.75" customHeight="1" x14ac:dyDescent="0.2">
      <c r="A1162" t="s">
        <v>285</v>
      </c>
      <c r="B1162" t="s">
        <v>392</v>
      </c>
      <c r="C1162">
        <v>9</v>
      </c>
    </row>
    <row r="1163" spans="1:3" ht="15.75" customHeight="1" x14ac:dyDescent="0.2">
      <c r="A1163" t="s">
        <v>285</v>
      </c>
      <c r="B1163" t="s">
        <v>392</v>
      </c>
      <c r="C1163">
        <v>9</v>
      </c>
    </row>
    <row r="1164" spans="1:3" ht="15.75" customHeight="1" x14ac:dyDescent="0.2">
      <c r="A1164" t="s">
        <v>285</v>
      </c>
      <c r="B1164" t="s">
        <v>392</v>
      </c>
      <c r="C1164">
        <v>9</v>
      </c>
    </row>
    <row r="1165" spans="1:3" ht="15.75" customHeight="1" x14ac:dyDescent="0.2">
      <c r="A1165" t="s">
        <v>285</v>
      </c>
      <c r="B1165" t="s">
        <v>392</v>
      </c>
      <c r="C1165">
        <v>9</v>
      </c>
    </row>
    <row r="1166" spans="1:3" ht="15.75" customHeight="1" x14ac:dyDescent="0.2">
      <c r="A1166" t="s">
        <v>285</v>
      </c>
      <c r="B1166" t="s">
        <v>392</v>
      </c>
      <c r="C1166">
        <v>9</v>
      </c>
    </row>
    <row r="1167" spans="1:3" ht="15.75" customHeight="1" x14ac:dyDescent="0.2">
      <c r="A1167" t="s">
        <v>285</v>
      </c>
      <c r="B1167" t="s">
        <v>392</v>
      </c>
      <c r="C1167">
        <v>9</v>
      </c>
    </row>
    <row r="1168" spans="1:3" ht="15.75" customHeight="1" x14ac:dyDescent="0.2">
      <c r="A1168" t="s">
        <v>285</v>
      </c>
      <c r="B1168" t="s">
        <v>392</v>
      </c>
      <c r="C1168">
        <v>9</v>
      </c>
    </row>
    <row r="1169" spans="1:3" ht="15.75" customHeight="1" x14ac:dyDescent="0.2">
      <c r="A1169" t="s">
        <v>285</v>
      </c>
      <c r="B1169" t="s">
        <v>392</v>
      </c>
      <c r="C1169">
        <v>9</v>
      </c>
    </row>
    <row r="1170" spans="1:3" ht="15.75" customHeight="1" x14ac:dyDescent="0.2">
      <c r="A1170" t="s">
        <v>285</v>
      </c>
      <c r="B1170" t="s">
        <v>392</v>
      </c>
      <c r="C1170">
        <v>9</v>
      </c>
    </row>
    <row r="1171" spans="1:3" ht="15.75" customHeight="1" x14ac:dyDescent="0.2">
      <c r="A1171" t="s">
        <v>285</v>
      </c>
      <c r="B1171" t="s">
        <v>392</v>
      </c>
      <c r="C1171">
        <v>9</v>
      </c>
    </row>
    <row r="1172" spans="1:3" ht="15.75" customHeight="1" x14ac:dyDescent="0.2">
      <c r="A1172" t="s">
        <v>285</v>
      </c>
      <c r="B1172" t="s">
        <v>392</v>
      </c>
      <c r="C1172">
        <v>9</v>
      </c>
    </row>
    <row r="1173" spans="1:3" ht="15.75" customHeight="1" x14ac:dyDescent="0.2">
      <c r="A1173" t="s">
        <v>285</v>
      </c>
      <c r="B1173" t="s">
        <v>392</v>
      </c>
      <c r="C1173">
        <v>9</v>
      </c>
    </row>
    <row r="1174" spans="1:3" ht="15.75" customHeight="1" x14ac:dyDescent="0.2">
      <c r="A1174" t="s">
        <v>285</v>
      </c>
      <c r="B1174" t="s">
        <v>392</v>
      </c>
      <c r="C1174">
        <v>9</v>
      </c>
    </row>
    <row r="1175" spans="1:3" ht="15.75" customHeight="1" x14ac:dyDescent="0.2">
      <c r="A1175" t="s">
        <v>285</v>
      </c>
      <c r="B1175" t="s">
        <v>392</v>
      </c>
      <c r="C1175">
        <v>9</v>
      </c>
    </row>
    <row r="1176" spans="1:3" ht="15.75" customHeight="1" x14ac:dyDescent="0.2">
      <c r="A1176" t="s">
        <v>285</v>
      </c>
      <c r="B1176" t="s">
        <v>392</v>
      </c>
      <c r="C1176">
        <v>9</v>
      </c>
    </row>
    <row r="1177" spans="1:3" ht="15.75" customHeight="1" x14ac:dyDescent="0.2">
      <c r="A1177" t="s">
        <v>285</v>
      </c>
      <c r="B1177" t="s">
        <v>392</v>
      </c>
      <c r="C1177">
        <v>9</v>
      </c>
    </row>
    <row r="1178" spans="1:3" ht="15.75" customHeight="1" x14ac:dyDescent="0.2">
      <c r="A1178" t="s">
        <v>285</v>
      </c>
      <c r="B1178" t="s">
        <v>392</v>
      </c>
      <c r="C1178">
        <v>9</v>
      </c>
    </row>
    <row r="1179" spans="1:3" ht="15.75" customHeight="1" x14ac:dyDescent="0.2">
      <c r="A1179" t="s">
        <v>285</v>
      </c>
      <c r="B1179" t="s">
        <v>392</v>
      </c>
      <c r="C1179">
        <v>9</v>
      </c>
    </row>
    <row r="1180" spans="1:3" ht="15.75" customHeight="1" x14ac:dyDescent="0.2">
      <c r="A1180" t="s">
        <v>285</v>
      </c>
      <c r="B1180" t="s">
        <v>392</v>
      </c>
      <c r="C1180">
        <v>9</v>
      </c>
    </row>
    <row r="1181" spans="1:3" ht="15.75" customHeight="1" x14ac:dyDescent="0.2">
      <c r="A1181" t="s">
        <v>285</v>
      </c>
      <c r="B1181" t="s">
        <v>392</v>
      </c>
      <c r="C1181">
        <v>9</v>
      </c>
    </row>
    <row r="1182" spans="1:3" ht="15.75" customHeight="1" x14ac:dyDescent="0.2">
      <c r="A1182" t="s">
        <v>285</v>
      </c>
      <c r="B1182" t="s">
        <v>392</v>
      </c>
      <c r="C1182">
        <v>9</v>
      </c>
    </row>
    <row r="1183" spans="1:3" ht="15.75" customHeight="1" x14ac:dyDescent="0.2">
      <c r="A1183" t="s">
        <v>285</v>
      </c>
      <c r="B1183" t="s">
        <v>392</v>
      </c>
      <c r="C1183">
        <v>9</v>
      </c>
    </row>
    <row r="1184" spans="1:3" ht="15.75" customHeight="1" x14ac:dyDescent="0.2">
      <c r="A1184" t="s">
        <v>285</v>
      </c>
      <c r="B1184" t="s">
        <v>392</v>
      </c>
      <c r="C1184">
        <v>9</v>
      </c>
    </row>
    <row r="1185" spans="1:3" ht="15.75" customHeight="1" x14ac:dyDescent="0.2">
      <c r="A1185" t="s">
        <v>285</v>
      </c>
      <c r="B1185" t="s">
        <v>392</v>
      </c>
      <c r="C1185">
        <v>9</v>
      </c>
    </row>
    <row r="1186" spans="1:3" ht="15.75" customHeight="1" x14ac:dyDescent="0.2">
      <c r="A1186" t="s">
        <v>285</v>
      </c>
      <c r="B1186" t="s">
        <v>392</v>
      </c>
      <c r="C1186">
        <v>9</v>
      </c>
    </row>
    <row r="1187" spans="1:3" ht="15.75" customHeight="1" x14ac:dyDescent="0.2">
      <c r="A1187" t="s">
        <v>285</v>
      </c>
      <c r="B1187" t="s">
        <v>392</v>
      </c>
      <c r="C1187">
        <v>9</v>
      </c>
    </row>
    <row r="1188" spans="1:3" ht="15.75" customHeight="1" x14ac:dyDescent="0.2">
      <c r="A1188" t="s">
        <v>285</v>
      </c>
      <c r="B1188" t="s">
        <v>392</v>
      </c>
      <c r="C1188">
        <v>9</v>
      </c>
    </row>
    <row r="1189" spans="1:3" ht="15.75" customHeight="1" x14ac:dyDescent="0.2">
      <c r="A1189" t="s">
        <v>285</v>
      </c>
      <c r="B1189" t="s">
        <v>392</v>
      </c>
      <c r="C1189">
        <v>9</v>
      </c>
    </row>
    <row r="1190" spans="1:3" ht="15.75" customHeight="1" x14ac:dyDescent="0.2">
      <c r="A1190" t="s">
        <v>285</v>
      </c>
      <c r="B1190" t="s">
        <v>392</v>
      </c>
      <c r="C1190">
        <v>9</v>
      </c>
    </row>
    <row r="1191" spans="1:3" ht="15.75" customHeight="1" x14ac:dyDescent="0.2">
      <c r="A1191" t="s">
        <v>285</v>
      </c>
      <c r="B1191" t="s">
        <v>392</v>
      </c>
      <c r="C1191">
        <v>9</v>
      </c>
    </row>
    <row r="1192" spans="1:3" ht="15.75" customHeight="1" x14ac:dyDescent="0.2">
      <c r="A1192" t="s">
        <v>285</v>
      </c>
      <c r="B1192" t="s">
        <v>392</v>
      </c>
      <c r="C1192">
        <v>9</v>
      </c>
    </row>
    <row r="1193" spans="1:3" ht="15.75" customHeight="1" x14ac:dyDescent="0.2">
      <c r="A1193" t="s">
        <v>285</v>
      </c>
      <c r="B1193" t="s">
        <v>392</v>
      </c>
      <c r="C1193">
        <v>9</v>
      </c>
    </row>
    <row r="1194" spans="1:3" ht="15.75" customHeight="1" x14ac:dyDescent="0.2">
      <c r="A1194" t="s">
        <v>285</v>
      </c>
      <c r="B1194" t="s">
        <v>392</v>
      </c>
      <c r="C1194">
        <v>9</v>
      </c>
    </row>
    <row r="1195" spans="1:3" ht="15.75" customHeight="1" x14ac:dyDescent="0.2">
      <c r="A1195" t="s">
        <v>285</v>
      </c>
      <c r="B1195" t="s">
        <v>392</v>
      </c>
      <c r="C1195">
        <v>9</v>
      </c>
    </row>
    <row r="1196" spans="1:3" ht="15.75" customHeight="1" x14ac:dyDescent="0.2">
      <c r="A1196" t="s">
        <v>285</v>
      </c>
      <c r="B1196" t="s">
        <v>392</v>
      </c>
      <c r="C1196">
        <v>9</v>
      </c>
    </row>
    <row r="1197" spans="1:3" ht="15.75" customHeight="1" x14ac:dyDescent="0.2">
      <c r="A1197" t="s">
        <v>285</v>
      </c>
      <c r="B1197" t="s">
        <v>392</v>
      </c>
      <c r="C1197">
        <v>9</v>
      </c>
    </row>
    <row r="1198" spans="1:3" ht="15.75" customHeight="1" x14ac:dyDescent="0.2">
      <c r="A1198" t="s">
        <v>285</v>
      </c>
      <c r="B1198" t="s">
        <v>392</v>
      </c>
      <c r="C1198">
        <v>9</v>
      </c>
    </row>
    <row r="1199" spans="1:3" ht="15.75" customHeight="1" x14ac:dyDescent="0.2">
      <c r="A1199" t="s">
        <v>285</v>
      </c>
      <c r="B1199" t="s">
        <v>392</v>
      </c>
      <c r="C1199">
        <v>9</v>
      </c>
    </row>
    <row r="1200" spans="1:3" ht="15.75" customHeight="1" x14ac:dyDescent="0.2">
      <c r="A1200" t="s">
        <v>285</v>
      </c>
      <c r="B1200" t="s">
        <v>392</v>
      </c>
      <c r="C1200">
        <v>9</v>
      </c>
    </row>
    <row r="1201" spans="1:3" ht="15.75" customHeight="1" x14ac:dyDescent="0.2">
      <c r="A1201" t="s">
        <v>285</v>
      </c>
      <c r="B1201" t="s">
        <v>392</v>
      </c>
      <c r="C1201">
        <v>9</v>
      </c>
    </row>
    <row r="1202" spans="1:3" ht="15.75" customHeight="1" x14ac:dyDescent="0.2">
      <c r="A1202" t="s">
        <v>285</v>
      </c>
      <c r="B1202" t="s">
        <v>392</v>
      </c>
      <c r="C1202">
        <v>9</v>
      </c>
    </row>
    <row r="1203" spans="1:3" ht="15.75" customHeight="1" x14ac:dyDescent="0.2">
      <c r="A1203" t="s">
        <v>285</v>
      </c>
      <c r="B1203" t="s">
        <v>392</v>
      </c>
      <c r="C1203">
        <v>9</v>
      </c>
    </row>
    <row r="1204" spans="1:3" ht="15.75" customHeight="1" x14ac:dyDescent="0.2">
      <c r="A1204" t="s">
        <v>285</v>
      </c>
      <c r="B1204" t="s">
        <v>392</v>
      </c>
      <c r="C1204">
        <v>9</v>
      </c>
    </row>
    <row r="1205" spans="1:3" ht="15.75" customHeight="1" x14ac:dyDescent="0.2">
      <c r="A1205" t="s">
        <v>285</v>
      </c>
      <c r="B1205" t="s">
        <v>392</v>
      </c>
      <c r="C1205">
        <v>9</v>
      </c>
    </row>
    <row r="1206" spans="1:3" ht="15.75" customHeight="1" x14ac:dyDescent="0.2">
      <c r="A1206" t="s">
        <v>285</v>
      </c>
      <c r="B1206" t="s">
        <v>392</v>
      </c>
      <c r="C1206">
        <v>9</v>
      </c>
    </row>
    <row r="1207" spans="1:3" ht="15.75" customHeight="1" x14ac:dyDescent="0.2">
      <c r="A1207" t="s">
        <v>285</v>
      </c>
      <c r="B1207" t="s">
        <v>392</v>
      </c>
      <c r="C1207">
        <v>9</v>
      </c>
    </row>
    <row r="1208" spans="1:3" ht="15.75" customHeight="1" x14ac:dyDescent="0.2">
      <c r="A1208" t="s">
        <v>285</v>
      </c>
      <c r="B1208" t="s">
        <v>392</v>
      </c>
      <c r="C1208">
        <v>9</v>
      </c>
    </row>
    <row r="1209" spans="1:3" ht="15.75" customHeight="1" x14ac:dyDescent="0.2">
      <c r="A1209" t="s">
        <v>285</v>
      </c>
      <c r="B1209" t="s">
        <v>392</v>
      </c>
      <c r="C1209">
        <v>9</v>
      </c>
    </row>
    <row r="1210" spans="1:3" ht="15.75" customHeight="1" x14ac:dyDescent="0.2">
      <c r="A1210" t="s">
        <v>285</v>
      </c>
      <c r="B1210" t="s">
        <v>392</v>
      </c>
      <c r="C1210">
        <v>9</v>
      </c>
    </row>
    <row r="1211" spans="1:3" ht="15.75" customHeight="1" x14ac:dyDescent="0.2">
      <c r="A1211" t="s">
        <v>285</v>
      </c>
      <c r="B1211" t="s">
        <v>392</v>
      </c>
      <c r="C1211">
        <v>9</v>
      </c>
    </row>
    <row r="1212" spans="1:3" ht="15.75" customHeight="1" x14ac:dyDescent="0.2">
      <c r="A1212" t="s">
        <v>285</v>
      </c>
      <c r="B1212" t="s">
        <v>392</v>
      </c>
      <c r="C1212">
        <v>9</v>
      </c>
    </row>
    <row r="1213" spans="1:3" ht="15.75" customHeight="1" x14ac:dyDescent="0.2">
      <c r="A1213" t="s">
        <v>285</v>
      </c>
      <c r="B1213" t="s">
        <v>392</v>
      </c>
      <c r="C1213">
        <v>9</v>
      </c>
    </row>
    <row r="1214" spans="1:3" ht="15.75" customHeight="1" x14ac:dyDescent="0.2">
      <c r="A1214" t="s">
        <v>285</v>
      </c>
      <c r="B1214" t="s">
        <v>392</v>
      </c>
      <c r="C1214">
        <v>9</v>
      </c>
    </row>
    <row r="1215" spans="1:3" ht="15.75" customHeight="1" x14ac:dyDescent="0.2">
      <c r="A1215" t="s">
        <v>285</v>
      </c>
      <c r="B1215" t="s">
        <v>392</v>
      </c>
      <c r="C1215">
        <v>9</v>
      </c>
    </row>
    <row r="1216" spans="1:3" ht="15.75" customHeight="1" x14ac:dyDescent="0.2">
      <c r="A1216" t="s">
        <v>285</v>
      </c>
      <c r="B1216" t="s">
        <v>392</v>
      </c>
      <c r="C1216">
        <v>9</v>
      </c>
    </row>
    <row r="1217" spans="1:3" ht="15.75" customHeight="1" x14ac:dyDescent="0.2">
      <c r="A1217" t="s">
        <v>285</v>
      </c>
      <c r="B1217" t="s">
        <v>392</v>
      </c>
      <c r="C1217">
        <v>9</v>
      </c>
    </row>
    <row r="1218" spans="1:3" ht="15.75" customHeight="1" x14ac:dyDescent="0.2">
      <c r="A1218" t="s">
        <v>285</v>
      </c>
      <c r="B1218" t="s">
        <v>392</v>
      </c>
      <c r="C1218">
        <v>9</v>
      </c>
    </row>
    <row r="1219" spans="1:3" ht="15.75" customHeight="1" x14ac:dyDescent="0.2">
      <c r="A1219" t="s">
        <v>285</v>
      </c>
      <c r="B1219" t="s">
        <v>392</v>
      </c>
      <c r="C1219">
        <v>9</v>
      </c>
    </row>
    <row r="1220" spans="1:3" ht="15.75" customHeight="1" x14ac:dyDescent="0.2">
      <c r="A1220" t="s">
        <v>285</v>
      </c>
      <c r="B1220" t="s">
        <v>392</v>
      </c>
      <c r="C1220">
        <v>9</v>
      </c>
    </row>
    <row r="1221" spans="1:3" ht="15.75" customHeight="1" x14ac:dyDescent="0.2">
      <c r="A1221" t="s">
        <v>285</v>
      </c>
      <c r="B1221" t="s">
        <v>392</v>
      </c>
      <c r="C1221">
        <v>9</v>
      </c>
    </row>
    <row r="1222" spans="1:3" ht="15.75" customHeight="1" x14ac:dyDescent="0.2">
      <c r="A1222" t="s">
        <v>285</v>
      </c>
      <c r="B1222" t="s">
        <v>392</v>
      </c>
      <c r="C1222">
        <v>9</v>
      </c>
    </row>
    <row r="1223" spans="1:3" ht="15.75" customHeight="1" x14ac:dyDescent="0.2">
      <c r="A1223" t="s">
        <v>285</v>
      </c>
      <c r="B1223" t="s">
        <v>392</v>
      </c>
      <c r="C1223">
        <v>9</v>
      </c>
    </row>
    <row r="1224" spans="1:3" ht="15.75" customHeight="1" x14ac:dyDescent="0.2">
      <c r="A1224" t="s">
        <v>285</v>
      </c>
      <c r="B1224" t="s">
        <v>392</v>
      </c>
      <c r="C1224">
        <v>9</v>
      </c>
    </row>
    <row r="1225" spans="1:3" ht="15.75" customHeight="1" x14ac:dyDescent="0.2">
      <c r="A1225" t="s">
        <v>285</v>
      </c>
      <c r="B1225" t="s">
        <v>392</v>
      </c>
      <c r="C1225">
        <v>9</v>
      </c>
    </row>
    <row r="1226" spans="1:3" ht="15.75" customHeight="1" x14ac:dyDescent="0.2">
      <c r="A1226" t="s">
        <v>285</v>
      </c>
      <c r="B1226" t="s">
        <v>392</v>
      </c>
      <c r="C1226">
        <v>9</v>
      </c>
    </row>
    <row r="1227" spans="1:3" ht="15.75" customHeight="1" x14ac:dyDescent="0.2">
      <c r="A1227" t="s">
        <v>285</v>
      </c>
      <c r="B1227" t="s">
        <v>392</v>
      </c>
      <c r="C1227">
        <v>9</v>
      </c>
    </row>
    <row r="1228" spans="1:3" ht="15.75" customHeight="1" x14ac:dyDescent="0.2">
      <c r="A1228" t="s">
        <v>285</v>
      </c>
      <c r="B1228" t="s">
        <v>392</v>
      </c>
      <c r="C1228">
        <v>9</v>
      </c>
    </row>
    <row r="1229" spans="1:3" ht="15.75" customHeight="1" x14ac:dyDescent="0.2">
      <c r="A1229" t="s">
        <v>285</v>
      </c>
      <c r="B1229" t="s">
        <v>392</v>
      </c>
      <c r="C1229">
        <v>9</v>
      </c>
    </row>
    <row r="1230" spans="1:3" ht="15.75" customHeight="1" x14ac:dyDescent="0.2">
      <c r="A1230" t="s">
        <v>285</v>
      </c>
      <c r="B1230" t="s">
        <v>392</v>
      </c>
      <c r="C1230">
        <v>9</v>
      </c>
    </row>
    <row r="1231" spans="1:3" ht="15.75" customHeight="1" x14ac:dyDescent="0.2">
      <c r="A1231" t="s">
        <v>285</v>
      </c>
      <c r="B1231" t="s">
        <v>392</v>
      </c>
      <c r="C1231">
        <v>9</v>
      </c>
    </row>
    <row r="1232" spans="1:3" ht="15.75" customHeight="1" x14ac:dyDescent="0.2">
      <c r="A1232" t="s">
        <v>285</v>
      </c>
      <c r="B1232" t="s">
        <v>392</v>
      </c>
      <c r="C1232">
        <v>9</v>
      </c>
    </row>
    <row r="1233" spans="1:3" ht="15.75" customHeight="1" x14ac:dyDescent="0.2">
      <c r="A1233" t="s">
        <v>285</v>
      </c>
      <c r="B1233" t="s">
        <v>392</v>
      </c>
      <c r="C1233">
        <v>9</v>
      </c>
    </row>
    <row r="1234" spans="1:3" ht="15.75" customHeight="1" x14ac:dyDescent="0.2">
      <c r="A1234" t="s">
        <v>285</v>
      </c>
      <c r="B1234" t="s">
        <v>392</v>
      </c>
      <c r="C1234">
        <v>9</v>
      </c>
    </row>
    <row r="1235" spans="1:3" ht="15.75" customHeight="1" x14ac:dyDescent="0.2">
      <c r="A1235" t="s">
        <v>285</v>
      </c>
      <c r="B1235" t="s">
        <v>392</v>
      </c>
      <c r="C1235">
        <v>9</v>
      </c>
    </row>
    <row r="1236" spans="1:3" ht="15.75" customHeight="1" x14ac:dyDescent="0.2">
      <c r="A1236" t="s">
        <v>285</v>
      </c>
      <c r="B1236" t="s">
        <v>392</v>
      </c>
      <c r="C1236">
        <v>9</v>
      </c>
    </row>
    <row r="1237" spans="1:3" ht="15.75" customHeight="1" x14ac:dyDescent="0.2">
      <c r="A1237" t="s">
        <v>285</v>
      </c>
      <c r="B1237" t="s">
        <v>392</v>
      </c>
      <c r="C1237">
        <v>9</v>
      </c>
    </row>
    <row r="1238" spans="1:3" ht="15.75" customHeight="1" x14ac:dyDescent="0.2">
      <c r="A1238" t="s">
        <v>285</v>
      </c>
      <c r="B1238" t="s">
        <v>392</v>
      </c>
      <c r="C1238">
        <v>9</v>
      </c>
    </row>
    <row r="1239" spans="1:3" ht="15.75" customHeight="1" x14ac:dyDescent="0.2">
      <c r="A1239" t="s">
        <v>285</v>
      </c>
      <c r="B1239" t="s">
        <v>392</v>
      </c>
      <c r="C1239">
        <v>9</v>
      </c>
    </row>
    <row r="1240" spans="1:3" ht="15.75" customHeight="1" x14ac:dyDescent="0.2">
      <c r="A1240" t="s">
        <v>285</v>
      </c>
      <c r="B1240" t="s">
        <v>392</v>
      </c>
      <c r="C1240">
        <v>9</v>
      </c>
    </row>
    <row r="1241" spans="1:3" ht="15.75" customHeight="1" x14ac:dyDescent="0.2">
      <c r="A1241" t="s">
        <v>285</v>
      </c>
      <c r="B1241" t="s">
        <v>392</v>
      </c>
      <c r="C1241">
        <v>9</v>
      </c>
    </row>
    <row r="1242" spans="1:3" ht="15.75" customHeight="1" x14ac:dyDescent="0.2">
      <c r="A1242" t="s">
        <v>285</v>
      </c>
      <c r="B1242" t="s">
        <v>392</v>
      </c>
      <c r="C1242">
        <v>9</v>
      </c>
    </row>
    <row r="1243" spans="1:3" ht="15.75" customHeight="1" x14ac:dyDescent="0.2">
      <c r="A1243" t="s">
        <v>285</v>
      </c>
      <c r="B1243" t="s">
        <v>392</v>
      </c>
      <c r="C1243">
        <v>9</v>
      </c>
    </row>
    <row r="1244" spans="1:3" ht="15.75" customHeight="1" x14ac:dyDescent="0.2">
      <c r="A1244" t="s">
        <v>285</v>
      </c>
      <c r="B1244" t="s">
        <v>392</v>
      </c>
      <c r="C1244">
        <v>9</v>
      </c>
    </row>
    <row r="1245" spans="1:3" ht="15.75" customHeight="1" x14ac:dyDescent="0.2">
      <c r="A1245" t="s">
        <v>285</v>
      </c>
      <c r="B1245" t="s">
        <v>392</v>
      </c>
      <c r="C1245">
        <v>9</v>
      </c>
    </row>
    <row r="1246" spans="1:3" ht="15.75" customHeight="1" x14ac:dyDescent="0.2">
      <c r="A1246" t="s">
        <v>285</v>
      </c>
      <c r="B1246" t="s">
        <v>392</v>
      </c>
      <c r="C1246">
        <v>9</v>
      </c>
    </row>
    <row r="1247" spans="1:3" ht="15.75" customHeight="1" x14ac:dyDescent="0.2">
      <c r="A1247" t="s">
        <v>285</v>
      </c>
      <c r="B1247" t="s">
        <v>392</v>
      </c>
      <c r="C1247">
        <v>9</v>
      </c>
    </row>
    <row r="1248" spans="1:3" ht="15.75" customHeight="1" x14ac:dyDescent="0.2">
      <c r="A1248" t="s">
        <v>285</v>
      </c>
      <c r="B1248" t="s">
        <v>392</v>
      </c>
      <c r="C1248">
        <v>9</v>
      </c>
    </row>
    <row r="1249" spans="1:3" ht="15.75" customHeight="1" x14ac:dyDescent="0.2">
      <c r="A1249" t="s">
        <v>285</v>
      </c>
      <c r="B1249" t="s">
        <v>392</v>
      </c>
      <c r="C1249">
        <v>9</v>
      </c>
    </row>
    <row r="1250" spans="1:3" ht="15.75" customHeight="1" x14ac:dyDescent="0.2">
      <c r="A1250" t="s">
        <v>285</v>
      </c>
      <c r="B1250" t="s">
        <v>392</v>
      </c>
      <c r="C1250">
        <v>9</v>
      </c>
    </row>
    <row r="1251" spans="1:3" ht="15.75" customHeight="1" x14ac:dyDescent="0.2">
      <c r="A1251" t="s">
        <v>285</v>
      </c>
      <c r="B1251" t="s">
        <v>392</v>
      </c>
      <c r="C1251">
        <v>9</v>
      </c>
    </row>
    <row r="1252" spans="1:3" ht="15.75" customHeight="1" x14ac:dyDescent="0.2">
      <c r="A1252" t="s">
        <v>285</v>
      </c>
      <c r="B1252" t="s">
        <v>392</v>
      </c>
      <c r="C1252">
        <v>9</v>
      </c>
    </row>
    <row r="1253" spans="1:3" ht="15.75" customHeight="1" x14ac:dyDescent="0.2">
      <c r="A1253" t="s">
        <v>285</v>
      </c>
      <c r="B1253" t="s">
        <v>392</v>
      </c>
      <c r="C1253">
        <v>9</v>
      </c>
    </row>
    <row r="1254" spans="1:3" ht="15.75" customHeight="1" x14ac:dyDescent="0.2">
      <c r="A1254" t="s">
        <v>285</v>
      </c>
      <c r="B1254" t="s">
        <v>392</v>
      </c>
      <c r="C1254">
        <v>9</v>
      </c>
    </row>
    <row r="1255" spans="1:3" ht="15.75" customHeight="1" x14ac:dyDescent="0.2">
      <c r="A1255" t="s">
        <v>285</v>
      </c>
      <c r="B1255" t="s">
        <v>392</v>
      </c>
      <c r="C1255">
        <v>9</v>
      </c>
    </row>
    <row r="1256" spans="1:3" ht="15.75" customHeight="1" x14ac:dyDescent="0.2">
      <c r="A1256" t="s">
        <v>285</v>
      </c>
      <c r="B1256" t="s">
        <v>392</v>
      </c>
      <c r="C1256">
        <v>9</v>
      </c>
    </row>
    <row r="1257" spans="1:3" ht="15.75" customHeight="1" x14ac:dyDescent="0.2">
      <c r="A1257" t="s">
        <v>285</v>
      </c>
      <c r="B1257" t="s">
        <v>392</v>
      </c>
      <c r="C1257">
        <v>9</v>
      </c>
    </row>
    <row r="1258" spans="1:3" ht="15.75" customHeight="1" x14ac:dyDescent="0.2">
      <c r="A1258" t="s">
        <v>285</v>
      </c>
      <c r="B1258" t="s">
        <v>392</v>
      </c>
      <c r="C1258">
        <v>9</v>
      </c>
    </row>
    <row r="1259" spans="1:3" ht="15.75" customHeight="1" x14ac:dyDescent="0.2">
      <c r="A1259" t="s">
        <v>285</v>
      </c>
      <c r="B1259" t="s">
        <v>392</v>
      </c>
      <c r="C1259">
        <v>9</v>
      </c>
    </row>
    <row r="1260" spans="1:3" ht="15.75" customHeight="1" x14ac:dyDescent="0.2">
      <c r="A1260" t="s">
        <v>285</v>
      </c>
      <c r="B1260" t="s">
        <v>392</v>
      </c>
      <c r="C1260">
        <v>9</v>
      </c>
    </row>
    <row r="1261" spans="1:3" ht="15.75" customHeight="1" x14ac:dyDescent="0.2">
      <c r="A1261" t="s">
        <v>285</v>
      </c>
      <c r="B1261" t="s">
        <v>392</v>
      </c>
      <c r="C1261">
        <v>9</v>
      </c>
    </row>
    <row r="1262" spans="1:3" ht="15.75" customHeight="1" x14ac:dyDescent="0.2">
      <c r="A1262" t="s">
        <v>285</v>
      </c>
      <c r="B1262" t="s">
        <v>392</v>
      </c>
      <c r="C1262">
        <v>9</v>
      </c>
    </row>
    <row r="1263" spans="1:3" ht="15.75" customHeight="1" x14ac:dyDescent="0.2">
      <c r="A1263" t="s">
        <v>285</v>
      </c>
      <c r="B1263" t="s">
        <v>392</v>
      </c>
      <c r="C1263">
        <v>9</v>
      </c>
    </row>
    <row r="1264" spans="1:3" ht="15.75" customHeight="1" x14ac:dyDescent="0.2">
      <c r="A1264" t="s">
        <v>285</v>
      </c>
      <c r="B1264" t="s">
        <v>392</v>
      </c>
      <c r="C1264">
        <v>9</v>
      </c>
    </row>
    <row r="1265" spans="1:3" ht="15.75" customHeight="1" x14ac:dyDescent="0.2">
      <c r="A1265" t="s">
        <v>285</v>
      </c>
      <c r="B1265" t="s">
        <v>392</v>
      </c>
      <c r="C1265">
        <v>9</v>
      </c>
    </row>
    <row r="1266" spans="1:3" ht="15.75" customHeight="1" x14ac:dyDescent="0.2">
      <c r="A1266" t="s">
        <v>285</v>
      </c>
      <c r="B1266" t="s">
        <v>392</v>
      </c>
      <c r="C1266">
        <v>9</v>
      </c>
    </row>
    <row r="1267" spans="1:3" ht="15.75" customHeight="1" x14ac:dyDescent="0.2">
      <c r="A1267" t="s">
        <v>285</v>
      </c>
      <c r="B1267" t="s">
        <v>392</v>
      </c>
      <c r="C1267">
        <v>9</v>
      </c>
    </row>
    <row r="1268" spans="1:3" ht="15.75" customHeight="1" x14ac:dyDescent="0.2">
      <c r="A1268" t="s">
        <v>285</v>
      </c>
      <c r="B1268" t="s">
        <v>392</v>
      </c>
      <c r="C1268">
        <v>9</v>
      </c>
    </row>
    <row r="1269" spans="1:3" ht="15.75" customHeight="1" x14ac:dyDescent="0.2">
      <c r="A1269" t="s">
        <v>285</v>
      </c>
      <c r="B1269" t="s">
        <v>392</v>
      </c>
      <c r="C1269">
        <v>9</v>
      </c>
    </row>
    <row r="1270" spans="1:3" ht="15.75" customHeight="1" x14ac:dyDescent="0.2">
      <c r="A1270" t="s">
        <v>285</v>
      </c>
      <c r="B1270" t="s">
        <v>392</v>
      </c>
      <c r="C1270">
        <v>9</v>
      </c>
    </row>
    <row r="1271" spans="1:3" ht="15.75" customHeight="1" x14ac:dyDescent="0.2">
      <c r="A1271" t="s">
        <v>285</v>
      </c>
      <c r="B1271" t="s">
        <v>392</v>
      </c>
      <c r="C1271">
        <v>9</v>
      </c>
    </row>
    <row r="1272" spans="1:3" ht="15.75" customHeight="1" x14ac:dyDescent="0.2">
      <c r="A1272" t="s">
        <v>285</v>
      </c>
      <c r="B1272" t="s">
        <v>392</v>
      </c>
      <c r="C1272">
        <v>9</v>
      </c>
    </row>
    <row r="1273" spans="1:3" ht="15.75" customHeight="1" x14ac:dyDescent="0.2">
      <c r="A1273" t="s">
        <v>285</v>
      </c>
      <c r="B1273" t="s">
        <v>392</v>
      </c>
      <c r="C1273">
        <v>9</v>
      </c>
    </row>
    <row r="1274" spans="1:3" ht="15.75" customHeight="1" x14ac:dyDescent="0.2">
      <c r="A1274" t="s">
        <v>285</v>
      </c>
      <c r="B1274" t="s">
        <v>392</v>
      </c>
      <c r="C1274">
        <v>9</v>
      </c>
    </row>
    <row r="1275" spans="1:3" ht="15.75" customHeight="1" x14ac:dyDescent="0.2">
      <c r="A1275" t="s">
        <v>285</v>
      </c>
      <c r="B1275" t="s">
        <v>392</v>
      </c>
      <c r="C1275">
        <v>9</v>
      </c>
    </row>
    <row r="1276" spans="1:3" ht="15.75" customHeight="1" x14ac:dyDescent="0.2">
      <c r="A1276" t="s">
        <v>285</v>
      </c>
      <c r="B1276" t="s">
        <v>392</v>
      </c>
      <c r="C1276">
        <v>9</v>
      </c>
    </row>
    <row r="1277" spans="1:3" ht="15.75" customHeight="1" x14ac:dyDescent="0.2">
      <c r="A1277" t="s">
        <v>285</v>
      </c>
      <c r="B1277" t="s">
        <v>392</v>
      </c>
      <c r="C1277">
        <v>9</v>
      </c>
    </row>
    <row r="1278" spans="1:3" ht="15.75" customHeight="1" x14ac:dyDescent="0.2">
      <c r="A1278" t="s">
        <v>285</v>
      </c>
      <c r="B1278" t="s">
        <v>392</v>
      </c>
      <c r="C1278">
        <v>9</v>
      </c>
    </row>
    <row r="1279" spans="1:3" ht="15.75" customHeight="1" x14ac:dyDescent="0.2">
      <c r="A1279" t="s">
        <v>285</v>
      </c>
      <c r="B1279" t="s">
        <v>392</v>
      </c>
      <c r="C1279">
        <v>9</v>
      </c>
    </row>
    <row r="1280" spans="1:3" ht="15.75" customHeight="1" x14ac:dyDescent="0.2">
      <c r="A1280" t="s">
        <v>285</v>
      </c>
      <c r="B1280" t="s">
        <v>392</v>
      </c>
      <c r="C1280">
        <v>9</v>
      </c>
    </row>
    <row r="1281" spans="1:3" ht="15.75" customHeight="1" x14ac:dyDescent="0.2">
      <c r="A1281" t="s">
        <v>285</v>
      </c>
      <c r="B1281" t="s">
        <v>392</v>
      </c>
      <c r="C1281">
        <v>9</v>
      </c>
    </row>
    <row r="1282" spans="1:3" ht="15.75" customHeight="1" x14ac:dyDescent="0.2">
      <c r="A1282" t="s">
        <v>285</v>
      </c>
      <c r="B1282" t="s">
        <v>392</v>
      </c>
      <c r="C1282">
        <v>9</v>
      </c>
    </row>
    <row r="1283" spans="1:3" ht="15.75" customHeight="1" x14ac:dyDescent="0.2">
      <c r="A1283" t="s">
        <v>285</v>
      </c>
      <c r="B1283" t="s">
        <v>392</v>
      </c>
      <c r="C1283">
        <v>9</v>
      </c>
    </row>
    <row r="1284" spans="1:3" ht="15.75" customHeight="1" x14ac:dyDescent="0.2">
      <c r="A1284" t="s">
        <v>285</v>
      </c>
      <c r="B1284" t="s">
        <v>392</v>
      </c>
      <c r="C1284">
        <v>9</v>
      </c>
    </row>
    <row r="1285" spans="1:3" ht="15.75" customHeight="1" x14ac:dyDescent="0.2">
      <c r="A1285" t="s">
        <v>285</v>
      </c>
      <c r="B1285" t="s">
        <v>392</v>
      </c>
      <c r="C1285">
        <v>9</v>
      </c>
    </row>
    <row r="1286" spans="1:3" ht="15.75" customHeight="1" x14ac:dyDescent="0.2">
      <c r="A1286" t="s">
        <v>285</v>
      </c>
      <c r="B1286" t="s">
        <v>392</v>
      </c>
      <c r="C1286">
        <v>9</v>
      </c>
    </row>
    <row r="1287" spans="1:3" ht="15.75" customHeight="1" x14ac:dyDescent="0.2">
      <c r="A1287" t="s">
        <v>285</v>
      </c>
      <c r="B1287" t="s">
        <v>392</v>
      </c>
      <c r="C1287">
        <v>9</v>
      </c>
    </row>
    <row r="1288" spans="1:3" ht="15.75" customHeight="1" x14ac:dyDescent="0.2">
      <c r="A1288" t="s">
        <v>285</v>
      </c>
      <c r="B1288" t="s">
        <v>392</v>
      </c>
      <c r="C1288">
        <v>9</v>
      </c>
    </row>
    <row r="1289" spans="1:3" ht="15.75" customHeight="1" x14ac:dyDescent="0.2">
      <c r="A1289" t="s">
        <v>285</v>
      </c>
      <c r="B1289" t="s">
        <v>392</v>
      </c>
      <c r="C1289">
        <v>9</v>
      </c>
    </row>
    <row r="1290" spans="1:3" ht="15.75" customHeight="1" x14ac:dyDescent="0.2">
      <c r="A1290" t="s">
        <v>285</v>
      </c>
      <c r="B1290" t="s">
        <v>392</v>
      </c>
      <c r="C1290">
        <v>9</v>
      </c>
    </row>
    <row r="1291" spans="1:3" ht="15.75" customHeight="1" x14ac:dyDescent="0.2">
      <c r="A1291" t="s">
        <v>285</v>
      </c>
      <c r="B1291" t="s">
        <v>392</v>
      </c>
      <c r="C1291">
        <v>9</v>
      </c>
    </row>
    <row r="1292" spans="1:3" ht="15.75" customHeight="1" x14ac:dyDescent="0.2">
      <c r="A1292" t="s">
        <v>285</v>
      </c>
      <c r="B1292" t="s">
        <v>392</v>
      </c>
      <c r="C1292">
        <v>9</v>
      </c>
    </row>
    <row r="1293" spans="1:3" ht="15.75" customHeight="1" x14ac:dyDescent="0.2">
      <c r="A1293" t="s">
        <v>285</v>
      </c>
      <c r="B1293" t="s">
        <v>392</v>
      </c>
      <c r="C1293">
        <v>9</v>
      </c>
    </row>
    <row r="1294" spans="1:3" ht="15.75" customHeight="1" x14ac:dyDescent="0.2">
      <c r="A1294" t="s">
        <v>285</v>
      </c>
      <c r="B1294" t="s">
        <v>392</v>
      </c>
      <c r="C1294">
        <v>9</v>
      </c>
    </row>
    <row r="1295" spans="1:3" ht="15.75" customHeight="1" x14ac:dyDescent="0.2">
      <c r="A1295" t="s">
        <v>285</v>
      </c>
      <c r="B1295" t="s">
        <v>392</v>
      </c>
      <c r="C1295">
        <v>9</v>
      </c>
    </row>
    <row r="1296" spans="1:3" ht="15.75" customHeight="1" x14ac:dyDescent="0.2">
      <c r="A1296" t="s">
        <v>285</v>
      </c>
      <c r="B1296" t="s">
        <v>392</v>
      </c>
      <c r="C1296">
        <v>9</v>
      </c>
    </row>
    <row r="1297" spans="1:3" ht="15.75" customHeight="1" x14ac:dyDescent="0.2">
      <c r="A1297" t="s">
        <v>285</v>
      </c>
      <c r="B1297" t="s">
        <v>392</v>
      </c>
      <c r="C1297">
        <v>9</v>
      </c>
    </row>
    <row r="1298" spans="1:3" ht="15.75" customHeight="1" x14ac:dyDescent="0.2">
      <c r="A1298" t="s">
        <v>285</v>
      </c>
      <c r="B1298" t="s">
        <v>392</v>
      </c>
      <c r="C1298">
        <v>9</v>
      </c>
    </row>
    <row r="1299" spans="1:3" ht="15.75" customHeight="1" x14ac:dyDescent="0.2">
      <c r="A1299" t="s">
        <v>285</v>
      </c>
      <c r="B1299" t="s">
        <v>392</v>
      </c>
      <c r="C1299">
        <v>9</v>
      </c>
    </row>
    <row r="1300" spans="1:3" ht="15.75" customHeight="1" x14ac:dyDescent="0.2">
      <c r="A1300" t="s">
        <v>285</v>
      </c>
      <c r="B1300" t="s">
        <v>392</v>
      </c>
      <c r="C1300">
        <v>9</v>
      </c>
    </row>
    <row r="1301" spans="1:3" ht="15.75" customHeight="1" x14ac:dyDescent="0.2">
      <c r="A1301" t="s">
        <v>285</v>
      </c>
      <c r="B1301" t="s">
        <v>392</v>
      </c>
      <c r="C1301">
        <v>9</v>
      </c>
    </row>
    <row r="1302" spans="1:3" ht="15.75" customHeight="1" x14ac:dyDescent="0.2">
      <c r="A1302" t="s">
        <v>285</v>
      </c>
      <c r="B1302" t="s">
        <v>392</v>
      </c>
      <c r="C1302">
        <v>9</v>
      </c>
    </row>
    <row r="1303" spans="1:3" ht="15.75" customHeight="1" x14ac:dyDescent="0.2">
      <c r="A1303" t="s">
        <v>285</v>
      </c>
      <c r="B1303" t="s">
        <v>392</v>
      </c>
      <c r="C1303">
        <v>9</v>
      </c>
    </row>
    <row r="1304" spans="1:3" ht="15.75" customHeight="1" x14ac:dyDescent="0.2">
      <c r="A1304" t="s">
        <v>285</v>
      </c>
      <c r="B1304" t="s">
        <v>392</v>
      </c>
      <c r="C1304">
        <v>9</v>
      </c>
    </row>
    <row r="1305" spans="1:3" ht="15.75" customHeight="1" x14ac:dyDescent="0.2">
      <c r="A1305" t="s">
        <v>285</v>
      </c>
      <c r="B1305" t="s">
        <v>392</v>
      </c>
      <c r="C1305">
        <v>9</v>
      </c>
    </row>
    <row r="1306" spans="1:3" ht="15.75" customHeight="1" x14ac:dyDescent="0.2">
      <c r="A1306" t="s">
        <v>285</v>
      </c>
      <c r="B1306" t="s">
        <v>392</v>
      </c>
      <c r="C1306">
        <v>9</v>
      </c>
    </row>
    <row r="1307" spans="1:3" ht="15.75" customHeight="1" x14ac:dyDescent="0.2">
      <c r="A1307" t="s">
        <v>285</v>
      </c>
      <c r="B1307" t="s">
        <v>392</v>
      </c>
      <c r="C1307">
        <v>9</v>
      </c>
    </row>
    <row r="1308" spans="1:3" ht="15.75" customHeight="1" x14ac:dyDescent="0.2">
      <c r="A1308" t="s">
        <v>285</v>
      </c>
      <c r="B1308" t="s">
        <v>392</v>
      </c>
      <c r="C1308">
        <v>9</v>
      </c>
    </row>
    <row r="1309" spans="1:3" ht="15.75" customHeight="1" x14ac:dyDescent="0.2">
      <c r="A1309" t="s">
        <v>285</v>
      </c>
      <c r="B1309" t="s">
        <v>392</v>
      </c>
      <c r="C1309">
        <v>9</v>
      </c>
    </row>
    <row r="1310" spans="1:3" ht="15.75" customHeight="1" x14ac:dyDescent="0.2">
      <c r="A1310" t="s">
        <v>285</v>
      </c>
      <c r="B1310" t="s">
        <v>392</v>
      </c>
      <c r="C1310">
        <v>9</v>
      </c>
    </row>
    <row r="1311" spans="1:3" ht="15.75" customHeight="1" x14ac:dyDescent="0.2">
      <c r="A1311" t="s">
        <v>285</v>
      </c>
      <c r="B1311" t="s">
        <v>392</v>
      </c>
      <c r="C1311">
        <v>9</v>
      </c>
    </row>
    <row r="1312" spans="1:3" ht="15.75" customHeight="1" x14ac:dyDescent="0.2">
      <c r="A1312" t="s">
        <v>285</v>
      </c>
      <c r="B1312" t="s">
        <v>392</v>
      </c>
      <c r="C1312">
        <v>9</v>
      </c>
    </row>
    <row r="1313" spans="1:3" ht="15.75" customHeight="1" x14ac:dyDescent="0.2">
      <c r="A1313" t="s">
        <v>285</v>
      </c>
      <c r="B1313" t="s">
        <v>392</v>
      </c>
      <c r="C1313">
        <v>9</v>
      </c>
    </row>
    <row r="1314" spans="1:3" ht="15.75" customHeight="1" x14ac:dyDescent="0.2">
      <c r="A1314" t="s">
        <v>285</v>
      </c>
      <c r="B1314" t="s">
        <v>392</v>
      </c>
      <c r="C1314">
        <v>9</v>
      </c>
    </row>
    <row r="1315" spans="1:3" ht="15.75" customHeight="1" x14ac:dyDescent="0.2">
      <c r="A1315" t="s">
        <v>285</v>
      </c>
      <c r="B1315" t="s">
        <v>392</v>
      </c>
      <c r="C1315">
        <v>9</v>
      </c>
    </row>
    <row r="1316" spans="1:3" ht="15.75" customHeight="1" x14ac:dyDescent="0.2">
      <c r="A1316" t="s">
        <v>285</v>
      </c>
      <c r="B1316" t="s">
        <v>392</v>
      </c>
      <c r="C1316">
        <v>9</v>
      </c>
    </row>
    <row r="1317" spans="1:3" ht="15.75" customHeight="1" x14ac:dyDescent="0.2">
      <c r="A1317" t="s">
        <v>285</v>
      </c>
      <c r="B1317" t="s">
        <v>392</v>
      </c>
      <c r="C1317">
        <v>9</v>
      </c>
    </row>
    <row r="1318" spans="1:3" ht="15.75" customHeight="1" x14ac:dyDescent="0.2">
      <c r="A1318" t="s">
        <v>285</v>
      </c>
      <c r="B1318" t="s">
        <v>392</v>
      </c>
      <c r="C1318">
        <v>9</v>
      </c>
    </row>
    <row r="1319" spans="1:3" ht="15.75" customHeight="1" x14ac:dyDescent="0.2">
      <c r="A1319" t="s">
        <v>285</v>
      </c>
      <c r="B1319" t="s">
        <v>392</v>
      </c>
      <c r="C1319">
        <v>9</v>
      </c>
    </row>
    <row r="1320" spans="1:3" ht="15.75" customHeight="1" x14ac:dyDescent="0.2">
      <c r="A1320" t="s">
        <v>285</v>
      </c>
      <c r="B1320" t="s">
        <v>392</v>
      </c>
      <c r="C1320">
        <v>9</v>
      </c>
    </row>
    <row r="1321" spans="1:3" ht="15.75" customHeight="1" x14ac:dyDescent="0.2">
      <c r="A1321" t="s">
        <v>285</v>
      </c>
      <c r="B1321" t="s">
        <v>392</v>
      </c>
      <c r="C1321">
        <v>9</v>
      </c>
    </row>
    <row r="1322" spans="1:3" ht="15.75" customHeight="1" x14ac:dyDescent="0.2">
      <c r="A1322" t="s">
        <v>285</v>
      </c>
      <c r="B1322" t="s">
        <v>392</v>
      </c>
      <c r="C1322">
        <v>9</v>
      </c>
    </row>
    <row r="1323" spans="1:3" ht="15.75" customHeight="1" x14ac:dyDescent="0.2">
      <c r="A1323" t="s">
        <v>285</v>
      </c>
      <c r="B1323" t="s">
        <v>392</v>
      </c>
      <c r="C1323">
        <v>9</v>
      </c>
    </row>
    <row r="1324" spans="1:3" ht="15.75" customHeight="1" x14ac:dyDescent="0.2">
      <c r="A1324" t="s">
        <v>285</v>
      </c>
      <c r="B1324" t="s">
        <v>392</v>
      </c>
      <c r="C1324">
        <v>9</v>
      </c>
    </row>
    <row r="1325" spans="1:3" ht="15.75" customHeight="1" x14ac:dyDescent="0.2">
      <c r="A1325" t="s">
        <v>285</v>
      </c>
      <c r="B1325" t="s">
        <v>392</v>
      </c>
      <c r="C1325">
        <v>9</v>
      </c>
    </row>
    <row r="1326" spans="1:3" ht="15.75" customHeight="1" x14ac:dyDescent="0.2">
      <c r="A1326" t="s">
        <v>285</v>
      </c>
      <c r="B1326" t="s">
        <v>392</v>
      </c>
      <c r="C1326">
        <v>9</v>
      </c>
    </row>
    <row r="1327" spans="1:3" ht="15.75" customHeight="1" x14ac:dyDescent="0.2">
      <c r="A1327" t="s">
        <v>285</v>
      </c>
      <c r="B1327" t="s">
        <v>392</v>
      </c>
      <c r="C1327">
        <v>9</v>
      </c>
    </row>
    <row r="1328" spans="1:3" ht="15.75" customHeight="1" x14ac:dyDescent="0.2">
      <c r="A1328" t="s">
        <v>285</v>
      </c>
      <c r="B1328" t="s">
        <v>392</v>
      </c>
      <c r="C1328">
        <v>9</v>
      </c>
    </row>
    <row r="1329" spans="1:3" ht="15.75" customHeight="1" x14ac:dyDescent="0.2">
      <c r="A1329" t="s">
        <v>285</v>
      </c>
      <c r="B1329" t="s">
        <v>392</v>
      </c>
      <c r="C1329">
        <v>9</v>
      </c>
    </row>
    <row r="1330" spans="1:3" ht="15.75" customHeight="1" x14ac:dyDescent="0.2">
      <c r="A1330" t="s">
        <v>285</v>
      </c>
      <c r="B1330" t="s">
        <v>392</v>
      </c>
      <c r="C1330">
        <v>9</v>
      </c>
    </row>
    <row r="1331" spans="1:3" ht="15.75" customHeight="1" x14ac:dyDescent="0.2">
      <c r="A1331" t="s">
        <v>285</v>
      </c>
      <c r="B1331" t="s">
        <v>392</v>
      </c>
      <c r="C1331">
        <v>9</v>
      </c>
    </row>
    <row r="1332" spans="1:3" ht="15.75" customHeight="1" x14ac:dyDescent="0.2">
      <c r="A1332" t="s">
        <v>285</v>
      </c>
      <c r="B1332" t="s">
        <v>392</v>
      </c>
      <c r="C1332">
        <v>9</v>
      </c>
    </row>
    <row r="1333" spans="1:3" ht="15.75" customHeight="1" x14ac:dyDescent="0.2">
      <c r="A1333" t="s">
        <v>285</v>
      </c>
      <c r="B1333" t="s">
        <v>392</v>
      </c>
      <c r="C1333">
        <v>9</v>
      </c>
    </row>
    <row r="1334" spans="1:3" ht="15.75" customHeight="1" x14ac:dyDescent="0.2">
      <c r="A1334" t="s">
        <v>285</v>
      </c>
      <c r="B1334" t="s">
        <v>392</v>
      </c>
      <c r="C1334">
        <v>9</v>
      </c>
    </row>
    <row r="1335" spans="1:3" ht="15.75" customHeight="1" x14ac:dyDescent="0.2">
      <c r="A1335" t="s">
        <v>285</v>
      </c>
      <c r="B1335" t="s">
        <v>392</v>
      </c>
      <c r="C1335">
        <v>9</v>
      </c>
    </row>
    <row r="1336" spans="1:3" ht="15.75" customHeight="1" x14ac:dyDescent="0.2">
      <c r="A1336" t="s">
        <v>285</v>
      </c>
      <c r="B1336" t="s">
        <v>392</v>
      </c>
      <c r="C1336">
        <v>9</v>
      </c>
    </row>
    <row r="1337" spans="1:3" ht="15.75" customHeight="1" x14ac:dyDescent="0.2">
      <c r="A1337" t="s">
        <v>285</v>
      </c>
      <c r="B1337" t="s">
        <v>392</v>
      </c>
      <c r="C1337">
        <v>9</v>
      </c>
    </row>
    <row r="1338" spans="1:3" ht="15.75" customHeight="1" x14ac:dyDescent="0.2">
      <c r="A1338" t="s">
        <v>285</v>
      </c>
      <c r="B1338" t="s">
        <v>392</v>
      </c>
      <c r="C1338">
        <v>9</v>
      </c>
    </row>
    <row r="1339" spans="1:3" ht="15.75" customHeight="1" x14ac:dyDescent="0.2">
      <c r="A1339" t="s">
        <v>285</v>
      </c>
      <c r="B1339" t="s">
        <v>392</v>
      </c>
      <c r="C1339">
        <v>9</v>
      </c>
    </row>
    <row r="1340" spans="1:3" ht="15.75" customHeight="1" x14ac:dyDescent="0.2">
      <c r="A1340" t="s">
        <v>285</v>
      </c>
      <c r="B1340" t="s">
        <v>392</v>
      </c>
      <c r="C1340">
        <v>9</v>
      </c>
    </row>
    <row r="1341" spans="1:3" ht="15.75" customHeight="1" x14ac:dyDescent="0.2">
      <c r="A1341" t="s">
        <v>285</v>
      </c>
      <c r="B1341" t="s">
        <v>392</v>
      </c>
      <c r="C1341">
        <v>9</v>
      </c>
    </row>
    <row r="1342" spans="1:3" ht="15.75" customHeight="1" x14ac:dyDescent="0.2">
      <c r="A1342" t="s">
        <v>285</v>
      </c>
      <c r="B1342" t="s">
        <v>392</v>
      </c>
      <c r="C1342">
        <v>9</v>
      </c>
    </row>
    <row r="1343" spans="1:3" ht="15.75" customHeight="1" x14ac:dyDescent="0.2">
      <c r="A1343" t="s">
        <v>285</v>
      </c>
      <c r="B1343" t="s">
        <v>392</v>
      </c>
      <c r="C1343">
        <v>9</v>
      </c>
    </row>
    <row r="1344" spans="1:3" ht="15.75" customHeight="1" x14ac:dyDescent="0.2">
      <c r="A1344" t="s">
        <v>285</v>
      </c>
      <c r="B1344" t="s">
        <v>392</v>
      </c>
      <c r="C1344">
        <v>9</v>
      </c>
    </row>
    <row r="1345" spans="1:3" ht="15.75" customHeight="1" x14ac:dyDescent="0.2">
      <c r="A1345" t="s">
        <v>285</v>
      </c>
      <c r="B1345" t="s">
        <v>392</v>
      </c>
      <c r="C1345">
        <v>9</v>
      </c>
    </row>
    <row r="1346" spans="1:3" ht="15.75" customHeight="1" x14ac:dyDescent="0.2">
      <c r="A1346" t="s">
        <v>285</v>
      </c>
      <c r="B1346" t="s">
        <v>392</v>
      </c>
      <c r="C1346">
        <v>9</v>
      </c>
    </row>
    <row r="1347" spans="1:3" ht="15.75" customHeight="1" x14ac:dyDescent="0.2">
      <c r="A1347" t="s">
        <v>285</v>
      </c>
      <c r="B1347" t="s">
        <v>392</v>
      </c>
      <c r="C1347">
        <v>9</v>
      </c>
    </row>
    <row r="1348" spans="1:3" ht="15.75" customHeight="1" x14ac:dyDescent="0.2">
      <c r="A1348" t="s">
        <v>285</v>
      </c>
      <c r="B1348" t="s">
        <v>392</v>
      </c>
      <c r="C1348">
        <v>9</v>
      </c>
    </row>
    <row r="1349" spans="1:3" ht="15.75" customHeight="1" x14ac:dyDescent="0.2">
      <c r="A1349" t="s">
        <v>285</v>
      </c>
      <c r="B1349" t="s">
        <v>392</v>
      </c>
      <c r="C1349">
        <v>9</v>
      </c>
    </row>
    <row r="1350" spans="1:3" ht="15.75" customHeight="1" x14ac:dyDescent="0.2">
      <c r="A1350" t="s">
        <v>285</v>
      </c>
      <c r="B1350" t="s">
        <v>392</v>
      </c>
      <c r="C1350">
        <v>9</v>
      </c>
    </row>
    <row r="1351" spans="1:3" ht="15.75" customHeight="1" x14ac:dyDescent="0.2">
      <c r="A1351" t="s">
        <v>285</v>
      </c>
      <c r="B1351" t="s">
        <v>392</v>
      </c>
      <c r="C1351">
        <v>9</v>
      </c>
    </row>
    <row r="1352" spans="1:3" ht="15.75" customHeight="1" x14ac:dyDescent="0.2">
      <c r="A1352" t="s">
        <v>285</v>
      </c>
      <c r="B1352" t="s">
        <v>392</v>
      </c>
      <c r="C1352">
        <v>9</v>
      </c>
    </row>
    <row r="1353" spans="1:3" ht="15.75" customHeight="1" x14ac:dyDescent="0.2">
      <c r="A1353" t="s">
        <v>285</v>
      </c>
      <c r="B1353" t="s">
        <v>392</v>
      </c>
      <c r="C1353">
        <v>9</v>
      </c>
    </row>
    <row r="1354" spans="1:3" ht="15.75" customHeight="1" x14ac:dyDescent="0.2">
      <c r="A1354" t="s">
        <v>285</v>
      </c>
      <c r="B1354" t="s">
        <v>392</v>
      </c>
      <c r="C1354">
        <v>9</v>
      </c>
    </row>
    <row r="1355" spans="1:3" ht="15.75" customHeight="1" x14ac:dyDescent="0.2">
      <c r="A1355" t="s">
        <v>285</v>
      </c>
      <c r="B1355" t="s">
        <v>392</v>
      </c>
      <c r="C1355">
        <v>9</v>
      </c>
    </row>
    <row r="1356" spans="1:3" ht="15.75" customHeight="1" x14ac:dyDescent="0.2">
      <c r="A1356" t="s">
        <v>285</v>
      </c>
      <c r="B1356" t="s">
        <v>392</v>
      </c>
      <c r="C1356">
        <v>9</v>
      </c>
    </row>
    <row r="1357" spans="1:3" ht="15.75" customHeight="1" x14ac:dyDescent="0.2">
      <c r="A1357" t="s">
        <v>285</v>
      </c>
      <c r="B1357" t="s">
        <v>392</v>
      </c>
      <c r="C1357">
        <v>9</v>
      </c>
    </row>
    <row r="1358" spans="1:3" ht="15.75" customHeight="1" x14ac:dyDescent="0.2">
      <c r="A1358" t="s">
        <v>285</v>
      </c>
      <c r="B1358" t="s">
        <v>392</v>
      </c>
      <c r="C1358">
        <v>9</v>
      </c>
    </row>
    <row r="1359" spans="1:3" ht="15.75" customHeight="1" x14ac:dyDescent="0.2">
      <c r="A1359" t="s">
        <v>285</v>
      </c>
      <c r="B1359" t="s">
        <v>392</v>
      </c>
      <c r="C1359">
        <v>9</v>
      </c>
    </row>
    <row r="1360" spans="1:3" ht="15.75" customHeight="1" x14ac:dyDescent="0.2">
      <c r="A1360" t="s">
        <v>285</v>
      </c>
      <c r="B1360" t="s">
        <v>392</v>
      </c>
      <c r="C1360">
        <v>9</v>
      </c>
    </row>
    <row r="1361" spans="1:3" ht="15.75" customHeight="1" x14ac:dyDescent="0.2">
      <c r="A1361" t="s">
        <v>285</v>
      </c>
      <c r="B1361" t="s">
        <v>392</v>
      </c>
      <c r="C1361">
        <v>9</v>
      </c>
    </row>
    <row r="1362" spans="1:3" ht="15.75" customHeight="1" x14ac:dyDescent="0.2">
      <c r="A1362" t="s">
        <v>285</v>
      </c>
      <c r="B1362" t="s">
        <v>392</v>
      </c>
      <c r="C1362">
        <v>9</v>
      </c>
    </row>
    <row r="1363" spans="1:3" ht="15.75" customHeight="1" x14ac:dyDescent="0.2">
      <c r="A1363" t="s">
        <v>285</v>
      </c>
      <c r="B1363" t="s">
        <v>392</v>
      </c>
      <c r="C1363">
        <v>9</v>
      </c>
    </row>
    <row r="1364" spans="1:3" ht="15.75" customHeight="1" x14ac:dyDescent="0.2">
      <c r="A1364" t="s">
        <v>285</v>
      </c>
      <c r="B1364" t="s">
        <v>392</v>
      </c>
      <c r="C1364">
        <v>9</v>
      </c>
    </row>
    <row r="1365" spans="1:3" ht="15.75" customHeight="1" x14ac:dyDescent="0.2">
      <c r="A1365" t="s">
        <v>285</v>
      </c>
      <c r="B1365" t="s">
        <v>392</v>
      </c>
      <c r="C1365">
        <v>9</v>
      </c>
    </row>
    <row r="1366" spans="1:3" ht="15.75" customHeight="1" x14ac:dyDescent="0.2">
      <c r="A1366" t="s">
        <v>285</v>
      </c>
      <c r="B1366" t="s">
        <v>392</v>
      </c>
      <c r="C1366">
        <v>9</v>
      </c>
    </row>
    <row r="1367" spans="1:3" ht="15.75" customHeight="1" x14ac:dyDescent="0.2">
      <c r="A1367" t="s">
        <v>285</v>
      </c>
      <c r="B1367" t="s">
        <v>392</v>
      </c>
      <c r="C1367">
        <v>9</v>
      </c>
    </row>
    <row r="1368" spans="1:3" ht="15.75" customHeight="1" x14ac:dyDescent="0.2">
      <c r="A1368" t="s">
        <v>285</v>
      </c>
      <c r="B1368" t="s">
        <v>392</v>
      </c>
      <c r="C1368">
        <v>9</v>
      </c>
    </row>
    <row r="1369" spans="1:3" ht="15.75" customHeight="1" x14ac:dyDescent="0.2">
      <c r="A1369" t="s">
        <v>285</v>
      </c>
      <c r="B1369" t="s">
        <v>392</v>
      </c>
      <c r="C1369">
        <v>9</v>
      </c>
    </row>
    <row r="1370" spans="1:3" ht="15.75" customHeight="1" x14ac:dyDescent="0.2">
      <c r="A1370" t="s">
        <v>285</v>
      </c>
      <c r="B1370" t="s">
        <v>392</v>
      </c>
      <c r="C1370">
        <v>9</v>
      </c>
    </row>
    <row r="1371" spans="1:3" ht="15.75" customHeight="1" x14ac:dyDescent="0.2">
      <c r="A1371" t="s">
        <v>285</v>
      </c>
      <c r="B1371" t="s">
        <v>392</v>
      </c>
      <c r="C1371">
        <v>9</v>
      </c>
    </row>
    <row r="1372" spans="1:3" ht="15.75" customHeight="1" x14ac:dyDescent="0.2">
      <c r="A1372" t="s">
        <v>285</v>
      </c>
      <c r="B1372" t="s">
        <v>392</v>
      </c>
      <c r="C1372">
        <v>9</v>
      </c>
    </row>
    <row r="1373" spans="1:3" ht="15.75" customHeight="1" x14ac:dyDescent="0.2">
      <c r="A1373" t="s">
        <v>285</v>
      </c>
      <c r="B1373" t="s">
        <v>392</v>
      </c>
      <c r="C1373">
        <v>9</v>
      </c>
    </row>
    <row r="1374" spans="1:3" ht="15.75" customHeight="1" x14ac:dyDescent="0.2">
      <c r="A1374" t="s">
        <v>285</v>
      </c>
      <c r="B1374" t="s">
        <v>392</v>
      </c>
      <c r="C1374">
        <v>9</v>
      </c>
    </row>
    <row r="1375" spans="1:3" ht="15.75" customHeight="1" x14ac:dyDescent="0.2">
      <c r="A1375" t="s">
        <v>285</v>
      </c>
      <c r="B1375" t="s">
        <v>392</v>
      </c>
      <c r="C1375">
        <v>9</v>
      </c>
    </row>
    <row r="1376" spans="1:3" ht="15.75" customHeight="1" x14ac:dyDescent="0.2">
      <c r="A1376" t="s">
        <v>285</v>
      </c>
      <c r="B1376" t="s">
        <v>392</v>
      </c>
      <c r="C1376">
        <v>9</v>
      </c>
    </row>
    <row r="1377" spans="1:3" ht="15.75" customHeight="1" x14ac:dyDescent="0.2">
      <c r="A1377" t="s">
        <v>285</v>
      </c>
      <c r="B1377" t="s">
        <v>392</v>
      </c>
      <c r="C1377">
        <v>9</v>
      </c>
    </row>
    <row r="1378" spans="1:3" ht="15.75" customHeight="1" x14ac:dyDescent="0.2">
      <c r="A1378" t="s">
        <v>285</v>
      </c>
      <c r="B1378" t="s">
        <v>392</v>
      </c>
      <c r="C1378">
        <v>9</v>
      </c>
    </row>
    <row r="1379" spans="1:3" ht="15.75" customHeight="1" x14ac:dyDescent="0.2">
      <c r="A1379" t="s">
        <v>285</v>
      </c>
      <c r="B1379" t="s">
        <v>392</v>
      </c>
      <c r="C1379">
        <v>9</v>
      </c>
    </row>
    <row r="1380" spans="1:3" ht="15.75" customHeight="1" x14ac:dyDescent="0.2">
      <c r="A1380" t="s">
        <v>285</v>
      </c>
      <c r="B1380" t="s">
        <v>392</v>
      </c>
      <c r="C1380">
        <v>9</v>
      </c>
    </row>
    <row r="1381" spans="1:3" ht="15.75" customHeight="1" x14ac:dyDescent="0.2">
      <c r="A1381" t="s">
        <v>285</v>
      </c>
      <c r="B1381" t="s">
        <v>392</v>
      </c>
      <c r="C1381">
        <v>9</v>
      </c>
    </row>
    <row r="1382" spans="1:3" ht="15.75" customHeight="1" x14ac:dyDescent="0.2">
      <c r="A1382" t="s">
        <v>285</v>
      </c>
      <c r="B1382" t="s">
        <v>392</v>
      </c>
      <c r="C1382">
        <v>9</v>
      </c>
    </row>
    <row r="1383" spans="1:3" ht="15.75" customHeight="1" x14ac:dyDescent="0.2">
      <c r="A1383" t="s">
        <v>285</v>
      </c>
      <c r="B1383" t="s">
        <v>392</v>
      </c>
      <c r="C1383">
        <v>9</v>
      </c>
    </row>
    <row r="1384" spans="1:3" ht="15.75" customHeight="1" x14ac:dyDescent="0.2">
      <c r="A1384" t="s">
        <v>285</v>
      </c>
      <c r="B1384" t="s">
        <v>392</v>
      </c>
      <c r="C1384">
        <v>9</v>
      </c>
    </row>
    <row r="1385" spans="1:3" ht="15.75" customHeight="1" x14ac:dyDescent="0.2">
      <c r="A1385" t="s">
        <v>285</v>
      </c>
      <c r="B1385" t="s">
        <v>392</v>
      </c>
      <c r="C1385">
        <v>9</v>
      </c>
    </row>
    <row r="1386" spans="1:3" ht="15.75" customHeight="1" x14ac:dyDescent="0.2">
      <c r="A1386" t="s">
        <v>285</v>
      </c>
      <c r="B1386" t="s">
        <v>392</v>
      </c>
      <c r="C1386">
        <v>9</v>
      </c>
    </row>
    <row r="1387" spans="1:3" ht="15.75" customHeight="1" x14ac:dyDescent="0.2">
      <c r="A1387" t="s">
        <v>285</v>
      </c>
      <c r="B1387" t="s">
        <v>392</v>
      </c>
      <c r="C1387">
        <v>9</v>
      </c>
    </row>
    <row r="1388" spans="1:3" ht="15.75" customHeight="1" x14ac:dyDescent="0.2">
      <c r="A1388" t="s">
        <v>285</v>
      </c>
      <c r="B1388" t="s">
        <v>392</v>
      </c>
      <c r="C1388">
        <v>9</v>
      </c>
    </row>
    <row r="1389" spans="1:3" ht="15.75" customHeight="1" x14ac:dyDescent="0.2">
      <c r="A1389" t="s">
        <v>285</v>
      </c>
      <c r="B1389" t="s">
        <v>392</v>
      </c>
      <c r="C1389">
        <v>9</v>
      </c>
    </row>
    <row r="1390" spans="1:3" ht="15.75" customHeight="1" x14ac:dyDescent="0.2">
      <c r="A1390" t="s">
        <v>285</v>
      </c>
      <c r="B1390" t="s">
        <v>392</v>
      </c>
      <c r="C1390">
        <v>9</v>
      </c>
    </row>
    <row r="1391" spans="1:3" ht="15.75" customHeight="1" x14ac:dyDescent="0.2">
      <c r="A1391" t="s">
        <v>285</v>
      </c>
      <c r="B1391" t="s">
        <v>392</v>
      </c>
      <c r="C1391">
        <v>9</v>
      </c>
    </row>
    <row r="1392" spans="1:3" ht="15.75" customHeight="1" x14ac:dyDescent="0.2">
      <c r="A1392" t="s">
        <v>285</v>
      </c>
      <c r="B1392" t="s">
        <v>392</v>
      </c>
      <c r="C1392">
        <v>9</v>
      </c>
    </row>
    <row r="1393" spans="1:3" ht="15.75" customHeight="1" x14ac:dyDescent="0.2">
      <c r="A1393" t="s">
        <v>285</v>
      </c>
      <c r="B1393" t="s">
        <v>392</v>
      </c>
      <c r="C1393">
        <v>9</v>
      </c>
    </row>
    <row r="1394" spans="1:3" ht="15.75" customHeight="1" x14ac:dyDescent="0.2">
      <c r="A1394" t="s">
        <v>285</v>
      </c>
      <c r="B1394" t="s">
        <v>392</v>
      </c>
      <c r="C1394">
        <v>9</v>
      </c>
    </row>
    <row r="1395" spans="1:3" ht="15.75" customHeight="1" x14ac:dyDescent="0.2">
      <c r="A1395" t="s">
        <v>285</v>
      </c>
      <c r="B1395" t="s">
        <v>392</v>
      </c>
      <c r="C1395">
        <v>9</v>
      </c>
    </row>
    <row r="1396" spans="1:3" ht="15.75" customHeight="1" x14ac:dyDescent="0.2">
      <c r="A1396" t="s">
        <v>285</v>
      </c>
      <c r="B1396" t="s">
        <v>392</v>
      </c>
      <c r="C1396">
        <v>9</v>
      </c>
    </row>
    <row r="1397" spans="1:3" ht="15.75" customHeight="1" x14ac:dyDescent="0.2">
      <c r="A1397" t="s">
        <v>285</v>
      </c>
      <c r="B1397" t="s">
        <v>392</v>
      </c>
      <c r="C1397">
        <v>9</v>
      </c>
    </row>
    <row r="1398" spans="1:3" ht="15.75" customHeight="1" x14ac:dyDescent="0.2">
      <c r="A1398" t="s">
        <v>285</v>
      </c>
      <c r="B1398" t="s">
        <v>392</v>
      </c>
      <c r="C1398">
        <v>9</v>
      </c>
    </row>
    <row r="1399" spans="1:3" ht="15.75" customHeight="1" x14ac:dyDescent="0.2">
      <c r="A1399" t="s">
        <v>285</v>
      </c>
      <c r="B1399" t="s">
        <v>392</v>
      </c>
      <c r="C1399">
        <v>9</v>
      </c>
    </row>
    <row r="1400" spans="1:3" ht="15.75" customHeight="1" x14ac:dyDescent="0.2">
      <c r="A1400" t="s">
        <v>285</v>
      </c>
      <c r="B1400" t="s">
        <v>392</v>
      </c>
      <c r="C1400">
        <v>9</v>
      </c>
    </row>
    <row r="1401" spans="1:3" ht="15.75" customHeight="1" x14ac:dyDescent="0.2">
      <c r="A1401" t="s">
        <v>285</v>
      </c>
      <c r="B1401" t="s">
        <v>392</v>
      </c>
      <c r="C1401">
        <v>9</v>
      </c>
    </row>
    <row r="1402" spans="1:3" ht="15.75" customHeight="1" x14ac:dyDescent="0.2">
      <c r="A1402" t="s">
        <v>285</v>
      </c>
      <c r="B1402" t="s">
        <v>392</v>
      </c>
      <c r="C1402">
        <v>9</v>
      </c>
    </row>
    <row r="1403" spans="1:3" ht="15.75" customHeight="1" x14ac:dyDescent="0.2">
      <c r="A1403" t="s">
        <v>285</v>
      </c>
      <c r="B1403" t="s">
        <v>392</v>
      </c>
      <c r="C1403">
        <v>9</v>
      </c>
    </row>
    <row r="1404" spans="1:3" ht="15.75" customHeight="1" x14ac:dyDescent="0.2">
      <c r="A1404" t="s">
        <v>285</v>
      </c>
      <c r="B1404" t="s">
        <v>392</v>
      </c>
      <c r="C1404">
        <v>9</v>
      </c>
    </row>
    <row r="1405" spans="1:3" ht="15.75" customHeight="1" x14ac:dyDescent="0.2">
      <c r="A1405" t="s">
        <v>285</v>
      </c>
      <c r="B1405" t="s">
        <v>392</v>
      </c>
      <c r="C1405">
        <v>9</v>
      </c>
    </row>
    <row r="1406" spans="1:3" ht="15.75" customHeight="1" x14ac:dyDescent="0.2">
      <c r="A1406" t="s">
        <v>285</v>
      </c>
      <c r="B1406" t="s">
        <v>392</v>
      </c>
      <c r="C1406">
        <v>9</v>
      </c>
    </row>
    <row r="1407" spans="1:3" ht="15.75" customHeight="1" x14ac:dyDescent="0.2">
      <c r="A1407" t="s">
        <v>285</v>
      </c>
      <c r="B1407" t="s">
        <v>392</v>
      </c>
      <c r="C1407">
        <v>9</v>
      </c>
    </row>
    <row r="1408" spans="1:3" ht="15.75" customHeight="1" x14ac:dyDescent="0.2">
      <c r="A1408" t="s">
        <v>285</v>
      </c>
      <c r="B1408" t="s">
        <v>392</v>
      </c>
      <c r="C1408">
        <v>9</v>
      </c>
    </row>
    <row r="1409" spans="1:3" ht="15.75" customHeight="1" x14ac:dyDescent="0.2">
      <c r="A1409" t="s">
        <v>285</v>
      </c>
      <c r="B1409" t="s">
        <v>392</v>
      </c>
      <c r="C1409">
        <v>9</v>
      </c>
    </row>
    <row r="1410" spans="1:3" ht="15.75" customHeight="1" x14ac:dyDescent="0.2">
      <c r="A1410" t="s">
        <v>285</v>
      </c>
      <c r="B1410" t="s">
        <v>392</v>
      </c>
      <c r="C1410">
        <v>9</v>
      </c>
    </row>
    <row r="1411" spans="1:3" ht="15.75" customHeight="1" x14ac:dyDescent="0.2">
      <c r="A1411" t="s">
        <v>285</v>
      </c>
      <c r="B1411" t="s">
        <v>392</v>
      </c>
      <c r="C1411">
        <v>9</v>
      </c>
    </row>
    <row r="1412" spans="1:3" ht="15.75" customHeight="1" x14ac:dyDescent="0.2">
      <c r="A1412" t="s">
        <v>285</v>
      </c>
      <c r="B1412" t="s">
        <v>392</v>
      </c>
      <c r="C1412">
        <v>9</v>
      </c>
    </row>
    <row r="1413" spans="1:3" ht="15.75" customHeight="1" x14ac:dyDescent="0.2">
      <c r="A1413" t="s">
        <v>285</v>
      </c>
      <c r="B1413" t="s">
        <v>392</v>
      </c>
      <c r="C1413">
        <v>9</v>
      </c>
    </row>
    <row r="1414" spans="1:3" ht="15.75" customHeight="1" x14ac:dyDescent="0.2">
      <c r="A1414" t="s">
        <v>285</v>
      </c>
      <c r="B1414" t="s">
        <v>392</v>
      </c>
      <c r="C1414">
        <v>9</v>
      </c>
    </row>
    <row r="1415" spans="1:3" ht="15.75" customHeight="1" x14ac:dyDescent="0.2">
      <c r="A1415" t="s">
        <v>285</v>
      </c>
      <c r="B1415" t="s">
        <v>392</v>
      </c>
      <c r="C1415">
        <v>9</v>
      </c>
    </row>
    <row r="1416" spans="1:3" ht="15.75" customHeight="1" x14ac:dyDescent="0.2">
      <c r="A1416" t="s">
        <v>285</v>
      </c>
      <c r="B1416" t="s">
        <v>392</v>
      </c>
      <c r="C1416">
        <v>9</v>
      </c>
    </row>
    <row r="1417" spans="1:3" ht="15.75" customHeight="1" x14ac:dyDescent="0.2">
      <c r="A1417" t="s">
        <v>285</v>
      </c>
      <c r="B1417" t="s">
        <v>392</v>
      </c>
      <c r="C1417">
        <v>9</v>
      </c>
    </row>
    <row r="1418" spans="1:3" ht="15.75" customHeight="1" x14ac:dyDescent="0.2">
      <c r="A1418" t="s">
        <v>285</v>
      </c>
      <c r="B1418" t="s">
        <v>392</v>
      </c>
      <c r="C1418">
        <v>9</v>
      </c>
    </row>
    <row r="1419" spans="1:3" ht="15.75" customHeight="1" x14ac:dyDescent="0.2">
      <c r="A1419" t="s">
        <v>285</v>
      </c>
      <c r="B1419" t="s">
        <v>392</v>
      </c>
      <c r="C1419">
        <v>9</v>
      </c>
    </row>
    <row r="1420" spans="1:3" ht="15.75" customHeight="1" x14ac:dyDescent="0.2">
      <c r="A1420" t="s">
        <v>285</v>
      </c>
      <c r="B1420" t="s">
        <v>392</v>
      </c>
      <c r="C1420">
        <v>9</v>
      </c>
    </row>
    <row r="1421" spans="1:3" ht="15.75" customHeight="1" x14ac:dyDescent="0.2">
      <c r="A1421" t="s">
        <v>285</v>
      </c>
      <c r="B1421" t="s">
        <v>392</v>
      </c>
      <c r="C1421">
        <v>9</v>
      </c>
    </row>
    <row r="1422" spans="1:3" ht="15.75" customHeight="1" x14ac:dyDescent="0.2">
      <c r="A1422" t="s">
        <v>285</v>
      </c>
      <c r="B1422" t="s">
        <v>392</v>
      </c>
      <c r="C1422">
        <v>9</v>
      </c>
    </row>
    <row r="1423" spans="1:3" ht="15.75" customHeight="1" x14ac:dyDescent="0.2">
      <c r="A1423" t="s">
        <v>285</v>
      </c>
      <c r="B1423" t="s">
        <v>392</v>
      </c>
      <c r="C1423">
        <v>9</v>
      </c>
    </row>
    <row r="1424" spans="1:3" ht="15.75" customHeight="1" x14ac:dyDescent="0.2">
      <c r="A1424" t="s">
        <v>285</v>
      </c>
      <c r="B1424" t="s">
        <v>392</v>
      </c>
      <c r="C1424">
        <v>9</v>
      </c>
    </row>
    <row r="1425" spans="1:3" ht="15.75" customHeight="1" x14ac:dyDescent="0.2">
      <c r="A1425" t="s">
        <v>285</v>
      </c>
      <c r="B1425" t="s">
        <v>392</v>
      </c>
      <c r="C1425">
        <v>9</v>
      </c>
    </row>
    <row r="1426" spans="1:3" ht="15.75" customHeight="1" x14ac:dyDescent="0.2">
      <c r="A1426" t="s">
        <v>285</v>
      </c>
      <c r="B1426" t="s">
        <v>392</v>
      </c>
      <c r="C1426">
        <v>9</v>
      </c>
    </row>
    <row r="1427" spans="1:3" ht="15.75" customHeight="1" x14ac:dyDescent="0.2">
      <c r="A1427" t="s">
        <v>285</v>
      </c>
      <c r="B1427" t="s">
        <v>392</v>
      </c>
      <c r="C1427">
        <v>9</v>
      </c>
    </row>
    <row r="1428" spans="1:3" ht="15.75" customHeight="1" x14ac:dyDescent="0.2">
      <c r="A1428" t="s">
        <v>285</v>
      </c>
      <c r="B1428" t="s">
        <v>392</v>
      </c>
      <c r="C1428">
        <v>9</v>
      </c>
    </row>
    <row r="1429" spans="1:3" ht="15.75" customHeight="1" x14ac:dyDescent="0.2">
      <c r="A1429" t="s">
        <v>285</v>
      </c>
      <c r="B1429" t="s">
        <v>392</v>
      </c>
      <c r="C1429">
        <v>9</v>
      </c>
    </row>
    <row r="1430" spans="1:3" ht="15.75" customHeight="1" x14ac:dyDescent="0.2">
      <c r="A1430" t="s">
        <v>285</v>
      </c>
      <c r="B1430" t="s">
        <v>392</v>
      </c>
      <c r="C1430">
        <v>9</v>
      </c>
    </row>
    <row r="1431" spans="1:3" ht="15.75" customHeight="1" x14ac:dyDescent="0.2">
      <c r="A1431" t="s">
        <v>285</v>
      </c>
      <c r="B1431" t="s">
        <v>392</v>
      </c>
      <c r="C1431">
        <v>9</v>
      </c>
    </row>
    <row r="1432" spans="1:3" ht="15.75" customHeight="1" x14ac:dyDescent="0.2">
      <c r="A1432" t="s">
        <v>285</v>
      </c>
      <c r="B1432" t="s">
        <v>392</v>
      </c>
      <c r="C1432">
        <v>9</v>
      </c>
    </row>
    <row r="1433" spans="1:3" ht="15.75" customHeight="1" x14ac:dyDescent="0.2">
      <c r="A1433" t="s">
        <v>285</v>
      </c>
      <c r="B1433" t="s">
        <v>392</v>
      </c>
      <c r="C1433">
        <v>9</v>
      </c>
    </row>
    <row r="1434" spans="1:3" ht="15.75" customHeight="1" x14ac:dyDescent="0.2">
      <c r="A1434" t="s">
        <v>285</v>
      </c>
      <c r="B1434" t="s">
        <v>392</v>
      </c>
      <c r="C1434">
        <v>9</v>
      </c>
    </row>
    <row r="1435" spans="1:3" ht="15.75" customHeight="1" x14ac:dyDescent="0.2">
      <c r="A1435" t="s">
        <v>285</v>
      </c>
      <c r="B1435" t="s">
        <v>392</v>
      </c>
      <c r="C1435">
        <v>9</v>
      </c>
    </row>
    <row r="1436" spans="1:3" ht="15.75" customHeight="1" x14ac:dyDescent="0.2">
      <c r="A1436" t="s">
        <v>285</v>
      </c>
      <c r="B1436" t="s">
        <v>392</v>
      </c>
      <c r="C1436">
        <v>9</v>
      </c>
    </row>
    <row r="1437" spans="1:3" ht="15.75" customHeight="1" x14ac:dyDescent="0.2">
      <c r="A1437" t="s">
        <v>285</v>
      </c>
      <c r="B1437" t="s">
        <v>392</v>
      </c>
      <c r="C1437">
        <v>9</v>
      </c>
    </row>
    <row r="1438" spans="1:3" ht="15.75" customHeight="1" x14ac:dyDescent="0.2">
      <c r="A1438" t="s">
        <v>285</v>
      </c>
      <c r="B1438" t="s">
        <v>392</v>
      </c>
      <c r="C1438">
        <v>9</v>
      </c>
    </row>
    <row r="1439" spans="1:3" ht="15.75" customHeight="1" x14ac:dyDescent="0.2">
      <c r="A1439" t="s">
        <v>285</v>
      </c>
      <c r="B1439" t="s">
        <v>392</v>
      </c>
      <c r="C1439">
        <v>9</v>
      </c>
    </row>
    <row r="1440" spans="1:3" ht="15.75" customHeight="1" x14ac:dyDescent="0.2">
      <c r="A1440" t="s">
        <v>285</v>
      </c>
      <c r="B1440" t="s">
        <v>392</v>
      </c>
      <c r="C1440">
        <v>9</v>
      </c>
    </row>
    <row r="1441" spans="1:3" ht="15.75" customHeight="1" x14ac:dyDescent="0.2">
      <c r="A1441" t="s">
        <v>285</v>
      </c>
      <c r="B1441" t="s">
        <v>392</v>
      </c>
      <c r="C1441">
        <v>9</v>
      </c>
    </row>
    <row r="1442" spans="1:3" ht="15.75" customHeight="1" x14ac:dyDescent="0.2">
      <c r="A1442" t="s">
        <v>285</v>
      </c>
      <c r="B1442" t="s">
        <v>392</v>
      </c>
      <c r="C1442">
        <v>9</v>
      </c>
    </row>
    <row r="1443" spans="1:3" ht="15.75" customHeight="1" x14ac:dyDescent="0.2">
      <c r="A1443" t="s">
        <v>285</v>
      </c>
      <c r="B1443" t="s">
        <v>392</v>
      </c>
      <c r="C1443">
        <v>9</v>
      </c>
    </row>
    <row r="1444" spans="1:3" ht="15.75" customHeight="1" x14ac:dyDescent="0.2">
      <c r="A1444" t="s">
        <v>285</v>
      </c>
      <c r="B1444" t="s">
        <v>392</v>
      </c>
      <c r="C1444">
        <v>9</v>
      </c>
    </row>
    <row r="1445" spans="1:3" ht="15.75" customHeight="1" x14ac:dyDescent="0.2">
      <c r="A1445" t="s">
        <v>285</v>
      </c>
      <c r="B1445" t="s">
        <v>392</v>
      </c>
      <c r="C1445">
        <v>9</v>
      </c>
    </row>
    <row r="1446" spans="1:3" ht="15.75" customHeight="1" x14ac:dyDescent="0.2">
      <c r="A1446" t="s">
        <v>285</v>
      </c>
      <c r="B1446" t="s">
        <v>392</v>
      </c>
      <c r="C1446">
        <v>9</v>
      </c>
    </row>
    <row r="1447" spans="1:3" ht="15.75" customHeight="1" x14ac:dyDescent="0.2">
      <c r="A1447" t="s">
        <v>285</v>
      </c>
      <c r="B1447" t="s">
        <v>392</v>
      </c>
      <c r="C1447">
        <v>9</v>
      </c>
    </row>
    <row r="1448" spans="1:3" ht="15.75" customHeight="1" x14ac:dyDescent="0.2">
      <c r="A1448" t="s">
        <v>285</v>
      </c>
      <c r="B1448" t="s">
        <v>392</v>
      </c>
      <c r="C1448">
        <v>9</v>
      </c>
    </row>
    <row r="1449" spans="1:3" ht="15.75" customHeight="1" x14ac:dyDescent="0.2">
      <c r="A1449" t="s">
        <v>285</v>
      </c>
      <c r="B1449" t="s">
        <v>392</v>
      </c>
      <c r="C1449">
        <v>9</v>
      </c>
    </row>
    <row r="1450" spans="1:3" ht="15.75" customHeight="1" x14ac:dyDescent="0.2">
      <c r="A1450" t="s">
        <v>285</v>
      </c>
      <c r="B1450" t="s">
        <v>392</v>
      </c>
      <c r="C1450">
        <v>9</v>
      </c>
    </row>
    <row r="1451" spans="1:3" ht="15.75" customHeight="1" x14ac:dyDescent="0.2">
      <c r="A1451" t="s">
        <v>285</v>
      </c>
      <c r="B1451" t="s">
        <v>392</v>
      </c>
      <c r="C1451">
        <v>9</v>
      </c>
    </row>
    <row r="1452" spans="1:3" ht="15.75" customHeight="1" x14ac:dyDescent="0.2">
      <c r="A1452" t="s">
        <v>285</v>
      </c>
      <c r="B1452" t="s">
        <v>392</v>
      </c>
      <c r="C1452">
        <v>9</v>
      </c>
    </row>
    <row r="1453" spans="1:3" ht="15.75" customHeight="1" x14ac:dyDescent="0.2">
      <c r="A1453" t="s">
        <v>285</v>
      </c>
      <c r="B1453" t="s">
        <v>392</v>
      </c>
      <c r="C1453">
        <v>9</v>
      </c>
    </row>
    <row r="1454" spans="1:3" ht="15.75" customHeight="1" x14ac:dyDescent="0.2">
      <c r="A1454" t="s">
        <v>285</v>
      </c>
      <c r="B1454" t="s">
        <v>392</v>
      </c>
      <c r="C1454">
        <v>9</v>
      </c>
    </row>
    <row r="1455" spans="1:3" ht="15.75" customHeight="1" x14ac:dyDescent="0.2">
      <c r="A1455" t="s">
        <v>285</v>
      </c>
      <c r="B1455" t="s">
        <v>392</v>
      </c>
      <c r="C1455">
        <v>9</v>
      </c>
    </row>
    <row r="1456" spans="1:3" ht="15.75" customHeight="1" x14ac:dyDescent="0.2">
      <c r="A1456" t="s">
        <v>285</v>
      </c>
      <c r="B1456" t="s">
        <v>392</v>
      </c>
      <c r="C1456">
        <v>9</v>
      </c>
    </row>
    <row r="1457" spans="1:3" ht="15.75" customHeight="1" x14ac:dyDescent="0.2">
      <c r="A1457" t="s">
        <v>285</v>
      </c>
      <c r="B1457" t="s">
        <v>392</v>
      </c>
      <c r="C1457">
        <v>9</v>
      </c>
    </row>
    <row r="1458" spans="1:3" ht="15.75" customHeight="1" x14ac:dyDescent="0.2">
      <c r="A1458" t="s">
        <v>285</v>
      </c>
      <c r="B1458" t="s">
        <v>392</v>
      </c>
      <c r="C1458">
        <v>9</v>
      </c>
    </row>
    <row r="1459" spans="1:3" ht="15.75" customHeight="1" x14ac:dyDescent="0.2">
      <c r="A1459" t="s">
        <v>285</v>
      </c>
      <c r="B1459" t="s">
        <v>392</v>
      </c>
      <c r="C1459">
        <v>9</v>
      </c>
    </row>
    <row r="1460" spans="1:3" ht="15.75" customHeight="1" x14ac:dyDescent="0.2">
      <c r="A1460" t="s">
        <v>285</v>
      </c>
      <c r="B1460" t="s">
        <v>392</v>
      </c>
      <c r="C1460">
        <v>9</v>
      </c>
    </row>
    <row r="1461" spans="1:3" ht="15.75" customHeight="1" x14ac:dyDescent="0.2">
      <c r="A1461" t="s">
        <v>285</v>
      </c>
      <c r="B1461" t="s">
        <v>392</v>
      </c>
      <c r="C1461">
        <v>9</v>
      </c>
    </row>
    <row r="1462" spans="1:3" ht="15.75" customHeight="1" x14ac:dyDescent="0.2">
      <c r="A1462" t="s">
        <v>285</v>
      </c>
      <c r="B1462" t="s">
        <v>392</v>
      </c>
      <c r="C1462">
        <v>9</v>
      </c>
    </row>
    <row r="1463" spans="1:3" ht="15.75" customHeight="1" x14ac:dyDescent="0.2">
      <c r="A1463" t="s">
        <v>285</v>
      </c>
      <c r="B1463" t="s">
        <v>392</v>
      </c>
      <c r="C1463">
        <v>9</v>
      </c>
    </row>
    <row r="1464" spans="1:3" ht="15.75" customHeight="1" x14ac:dyDescent="0.2">
      <c r="A1464" t="s">
        <v>285</v>
      </c>
      <c r="B1464" t="s">
        <v>392</v>
      </c>
      <c r="C1464">
        <v>9</v>
      </c>
    </row>
    <row r="1465" spans="1:3" ht="15.75" customHeight="1" x14ac:dyDescent="0.2">
      <c r="A1465" t="s">
        <v>285</v>
      </c>
      <c r="B1465" t="s">
        <v>392</v>
      </c>
      <c r="C1465">
        <v>9</v>
      </c>
    </row>
    <row r="1466" spans="1:3" ht="15.75" customHeight="1" x14ac:dyDescent="0.2">
      <c r="A1466" t="s">
        <v>285</v>
      </c>
      <c r="B1466" t="s">
        <v>392</v>
      </c>
      <c r="C1466">
        <v>9</v>
      </c>
    </row>
    <row r="1467" spans="1:3" ht="15.75" customHeight="1" x14ac:dyDescent="0.2">
      <c r="A1467" t="s">
        <v>285</v>
      </c>
      <c r="B1467" t="s">
        <v>392</v>
      </c>
      <c r="C1467">
        <v>9</v>
      </c>
    </row>
    <row r="1468" spans="1:3" ht="15.75" customHeight="1" x14ac:dyDescent="0.2">
      <c r="A1468" t="s">
        <v>285</v>
      </c>
      <c r="B1468" t="s">
        <v>392</v>
      </c>
      <c r="C1468">
        <v>9</v>
      </c>
    </row>
    <row r="1469" spans="1:3" ht="15.75" customHeight="1" x14ac:dyDescent="0.2">
      <c r="A1469" t="s">
        <v>285</v>
      </c>
      <c r="B1469" t="s">
        <v>392</v>
      </c>
      <c r="C1469">
        <v>9</v>
      </c>
    </row>
    <row r="1470" spans="1:3" ht="15.75" customHeight="1" x14ac:dyDescent="0.2">
      <c r="A1470" t="s">
        <v>285</v>
      </c>
      <c r="B1470" t="s">
        <v>392</v>
      </c>
      <c r="C1470">
        <v>9</v>
      </c>
    </row>
    <row r="1471" spans="1:3" ht="15.75" customHeight="1" x14ac:dyDescent="0.2">
      <c r="A1471" t="s">
        <v>285</v>
      </c>
      <c r="B1471" t="s">
        <v>392</v>
      </c>
      <c r="C1471">
        <v>9</v>
      </c>
    </row>
    <row r="1472" spans="1:3" ht="15.75" customHeight="1" x14ac:dyDescent="0.2">
      <c r="A1472" t="s">
        <v>285</v>
      </c>
      <c r="B1472" t="s">
        <v>392</v>
      </c>
      <c r="C1472">
        <v>9</v>
      </c>
    </row>
    <row r="1473" spans="1:3" ht="15.75" customHeight="1" x14ac:dyDescent="0.2">
      <c r="A1473" t="s">
        <v>285</v>
      </c>
      <c r="B1473" t="s">
        <v>392</v>
      </c>
      <c r="C1473">
        <v>9</v>
      </c>
    </row>
    <row r="1474" spans="1:3" ht="15.75" customHeight="1" x14ac:dyDescent="0.2">
      <c r="A1474" t="s">
        <v>285</v>
      </c>
      <c r="B1474" t="s">
        <v>392</v>
      </c>
      <c r="C1474">
        <v>9</v>
      </c>
    </row>
    <row r="1475" spans="1:3" ht="15.75" customHeight="1" x14ac:dyDescent="0.2">
      <c r="A1475" t="s">
        <v>285</v>
      </c>
      <c r="B1475" t="s">
        <v>392</v>
      </c>
      <c r="C1475">
        <v>9</v>
      </c>
    </row>
    <row r="1476" spans="1:3" ht="15.75" customHeight="1" x14ac:dyDescent="0.2">
      <c r="A1476" t="s">
        <v>285</v>
      </c>
      <c r="B1476" t="s">
        <v>392</v>
      </c>
      <c r="C1476">
        <v>9</v>
      </c>
    </row>
    <row r="1477" spans="1:3" ht="15.75" customHeight="1" x14ac:dyDescent="0.2">
      <c r="A1477" t="s">
        <v>285</v>
      </c>
      <c r="B1477" t="s">
        <v>392</v>
      </c>
      <c r="C1477">
        <v>9</v>
      </c>
    </row>
    <row r="1478" spans="1:3" ht="15.75" customHeight="1" x14ac:dyDescent="0.2">
      <c r="A1478" t="s">
        <v>285</v>
      </c>
      <c r="B1478" t="s">
        <v>392</v>
      </c>
      <c r="C1478">
        <v>9</v>
      </c>
    </row>
    <row r="1479" spans="1:3" ht="15.75" customHeight="1" x14ac:dyDescent="0.2">
      <c r="A1479" t="s">
        <v>285</v>
      </c>
      <c r="B1479" t="s">
        <v>392</v>
      </c>
      <c r="C1479">
        <v>9</v>
      </c>
    </row>
    <row r="1480" spans="1:3" ht="15.75" customHeight="1" x14ac:dyDescent="0.2">
      <c r="A1480" t="s">
        <v>285</v>
      </c>
      <c r="B1480" t="s">
        <v>392</v>
      </c>
      <c r="C1480">
        <v>9</v>
      </c>
    </row>
    <row r="1481" spans="1:3" ht="15.75" customHeight="1" x14ac:dyDescent="0.2">
      <c r="A1481" t="s">
        <v>285</v>
      </c>
      <c r="B1481" t="s">
        <v>392</v>
      </c>
      <c r="C1481">
        <v>9</v>
      </c>
    </row>
    <row r="1482" spans="1:3" ht="15.75" customHeight="1" x14ac:dyDescent="0.2">
      <c r="A1482" t="s">
        <v>285</v>
      </c>
      <c r="B1482" t="s">
        <v>392</v>
      </c>
      <c r="C1482">
        <v>9</v>
      </c>
    </row>
    <row r="1483" spans="1:3" ht="15.75" customHeight="1" x14ac:dyDescent="0.2">
      <c r="A1483" t="s">
        <v>285</v>
      </c>
      <c r="B1483" t="s">
        <v>392</v>
      </c>
      <c r="C1483">
        <v>9</v>
      </c>
    </row>
    <row r="1484" spans="1:3" ht="15.75" customHeight="1" x14ac:dyDescent="0.2">
      <c r="A1484" t="s">
        <v>285</v>
      </c>
      <c r="B1484" t="s">
        <v>392</v>
      </c>
      <c r="C1484">
        <v>9</v>
      </c>
    </row>
    <row r="1485" spans="1:3" ht="15.75" customHeight="1" x14ac:dyDescent="0.2">
      <c r="A1485" t="s">
        <v>285</v>
      </c>
      <c r="B1485" t="s">
        <v>392</v>
      </c>
      <c r="C1485">
        <v>9</v>
      </c>
    </row>
    <row r="1486" spans="1:3" ht="15.75" customHeight="1" x14ac:dyDescent="0.2">
      <c r="A1486" t="s">
        <v>285</v>
      </c>
      <c r="B1486" t="s">
        <v>392</v>
      </c>
      <c r="C1486">
        <v>9</v>
      </c>
    </row>
    <row r="1487" spans="1:3" ht="15.75" customHeight="1" x14ac:dyDescent="0.2">
      <c r="A1487" t="s">
        <v>285</v>
      </c>
      <c r="B1487" t="s">
        <v>392</v>
      </c>
      <c r="C1487">
        <v>9</v>
      </c>
    </row>
    <row r="1488" spans="1:3" ht="15.75" customHeight="1" x14ac:dyDescent="0.2">
      <c r="A1488" t="s">
        <v>285</v>
      </c>
      <c r="B1488" t="s">
        <v>392</v>
      </c>
      <c r="C1488">
        <v>9</v>
      </c>
    </row>
    <row r="1489" spans="1:3" ht="15.75" customHeight="1" x14ac:dyDescent="0.2">
      <c r="A1489" t="s">
        <v>285</v>
      </c>
      <c r="B1489" t="s">
        <v>392</v>
      </c>
      <c r="C1489">
        <v>9</v>
      </c>
    </row>
    <row r="1490" spans="1:3" ht="15.75" customHeight="1" x14ac:dyDescent="0.2">
      <c r="A1490" t="s">
        <v>285</v>
      </c>
      <c r="B1490" t="s">
        <v>392</v>
      </c>
      <c r="C1490">
        <v>9</v>
      </c>
    </row>
    <row r="1491" spans="1:3" ht="15.75" customHeight="1" x14ac:dyDescent="0.2">
      <c r="A1491" t="s">
        <v>285</v>
      </c>
      <c r="B1491" t="s">
        <v>392</v>
      </c>
      <c r="C1491">
        <v>9</v>
      </c>
    </row>
    <row r="1492" spans="1:3" ht="15.75" customHeight="1" x14ac:dyDescent="0.2">
      <c r="A1492" t="s">
        <v>285</v>
      </c>
      <c r="B1492" t="s">
        <v>392</v>
      </c>
      <c r="C1492">
        <v>9</v>
      </c>
    </row>
    <row r="1493" spans="1:3" ht="15.75" customHeight="1" x14ac:dyDescent="0.2">
      <c r="A1493" t="s">
        <v>285</v>
      </c>
      <c r="B1493" t="s">
        <v>392</v>
      </c>
      <c r="C1493">
        <v>9</v>
      </c>
    </row>
    <row r="1494" spans="1:3" ht="15.75" customHeight="1" x14ac:dyDescent="0.2">
      <c r="A1494" t="s">
        <v>285</v>
      </c>
      <c r="B1494" t="s">
        <v>392</v>
      </c>
      <c r="C1494">
        <v>9</v>
      </c>
    </row>
    <row r="1495" spans="1:3" ht="15.75" customHeight="1" x14ac:dyDescent="0.2">
      <c r="A1495" t="s">
        <v>285</v>
      </c>
      <c r="B1495" t="s">
        <v>392</v>
      </c>
      <c r="C1495">
        <v>9</v>
      </c>
    </row>
    <row r="1496" spans="1:3" ht="15.75" customHeight="1" x14ac:dyDescent="0.2">
      <c r="A1496" t="s">
        <v>285</v>
      </c>
      <c r="B1496" t="s">
        <v>392</v>
      </c>
      <c r="C1496">
        <v>9</v>
      </c>
    </row>
    <row r="1497" spans="1:3" ht="15.75" customHeight="1" x14ac:dyDescent="0.2">
      <c r="A1497" t="s">
        <v>285</v>
      </c>
      <c r="B1497" t="s">
        <v>392</v>
      </c>
      <c r="C1497">
        <v>9</v>
      </c>
    </row>
    <row r="1498" spans="1:3" ht="15.75" customHeight="1" x14ac:dyDescent="0.2">
      <c r="A1498" t="s">
        <v>285</v>
      </c>
      <c r="B1498" t="s">
        <v>392</v>
      </c>
      <c r="C1498">
        <v>9</v>
      </c>
    </row>
    <row r="1499" spans="1:3" ht="15.75" customHeight="1" x14ac:dyDescent="0.2">
      <c r="A1499" t="s">
        <v>285</v>
      </c>
      <c r="B1499" t="s">
        <v>392</v>
      </c>
      <c r="C1499">
        <v>9</v>
      </c>
    </row>
    <row r="1500" spans="1:3" ht="15.75" customHeight="1" x14ac:dyDescent="0.2">
      <c r="A1500" t="s">
        <v>285</v>
      </c>
      <c r="B1500" t="s">
        <v>392</v>
      </c>
      <c r="C1500">
        <v>9</v>
      </c>
    </row>
    <row r="1501" spans="1:3" ht="15.75" customHeight="1" x14ac:dyDescent="0.2">
      <c r="A1501" t="s">
        <v>285</v>
      </c>
      <c r="B1501" t="s">
        <v>392</v>
      </c>
      <c r="C1501">
        <v>9</v>
      </c>
    </row>
    <row r="1502" spans="1:3" ht="15.75" customHeight="1" x14ac:dyDescent="0.2">
      <c r="A1502" t="s">
        <v>285</v>
      </c>
      <c r="B1502" t="s">
        <v>392</v>
      </c>
      <c r="C1502">
        <v>9</v>
      </c>
    </row>
    <row r="1503" spans="1:3" ht="15.75" customHeight="1" x14ac:dyDescent="0.2">
      <c r="A1503" t="s">
        <v>285</v>
      </c>
      <c r="B1503" t="s">
        <v>392</v>
      </c>
      <c r="C1503">
        <v>9</v>
      </c>
    </row>
    <row r="1504" spans="1:3" ht="15.75" customHeight="1" x14ac:dyDescent="0.2">
      <c r="A1504" t="s">
        <v>285</v>
      </c>
      <c r="B1504" t="s">
        <v>392</v>
      </c>
      <c r="C1504">
        <v>9</v>
      </c>
    </row>
    <row r="1505" spans="1:3" ht="15.75" customHeight="1" x14ac:dyDescent="0.2">
      <c r="A1505" t="s">
        <v>285</v>
      </c>
      <c r="B1505" t="s">
        <v>392</v>
      </c>
      <c r="C1505">
        <v>9</v>
      </c>
    </row>
    <row r="1506" spans="1:3" ht="15.75" customHeight="1" x14ac:dyDescent="0.2">
      <c r="A1506" t="s">
        <v>285</v>
      </c>
      <c r="B1506" t="s">
        <v>392</v>
      </c>
      <c r="C1506">
        <v>9</v>
      </c>
    </row>
    <row r="1507" spans="1:3" ht="15.75" customHeight="1" x14ac:dyDescent="0.2">
      <c r="A1507" t="s">
        <v>285</v>
      </c>
      <c r="B1507" t="s">
        <v>392</v>
      </c>
      <c r="C1507">
        <v>9</v>
      </c>
    </row>
    <row r="1508" spans="1:3" ht="15.75" customHeight="1" x14ac:dyDescent="0.2">
      <c r="A1508" t="s">
        <v>285</v>
      </c>
      <c r="B1508" t="s">
        <v>392</v>
      </c>
      <c r="C1508">
        <v>9</v>
      </c>
    </row>
    <row r="1509" spans="1:3" ht="15.75" customHeight="1" x14ac:dyDescent="0.2">
      <c r="A1509" t="s">
        <v>285</v>
      </c>
      <c r="B1509" t="s">
        <v>392</v>
      </c>
      <c r="C1509">
        <v>9</v>
      </c>
    </row>
    <row r="1510" spans="1:3" ht="15.75" customHeight="1" x14ac:dyDescent="0.2">
      <c r="A1510" t="s">
        <v>285</v>
      </c>
      <c r="B1510" t="s">
        <v>392</v>
      </c>
      <c r="C1510">
        <v>9</v>
      </c>
    </row>
    <row r="1511" spans="1:3" ht="15.75" customHeight="1" x14ac:dyDescent="0.2">
      <c r="A1511" t="s">
        <v>285</v>
      </c>
      <c r="B1511" t="s">
        <v>392</v>
      </c>
      <c r="C1511">
        <v>9</v>
      </c>
    </row>
    <row r="1512" spans="1:3" ht="15.75" customHeight="1" x14ac:dyDescent="0.2">
      <c r="A1512" t="s">
        <v>285</v>
      </c>
      <c r="B1512" t="s">
        <v>392</v>
      </c>
      <c r="C1512">
        <v>9</v>
      </c>
    </row>
    <row r="1513" spans="1:3" ht="15.75" customHeight="1" x14ac:dyDescent="0.2">
      <c r="A1513" t="s">
        <v>285</v>
      </c>
      <c r="B1513" t="s">
        <v>392</v>
      </c>
      <c r="C1513">
        <v>9</v>
      </c>
    </row>
    <row r="1514" spans="1:3" ht="15.75" customHeight="1" x14ac:dyDescent="0.2">
      <c r="A1514" t="s">
        <v>285</v>
      </c>
      <c r="B1514" t="s">
        <v>392</v>
      </c>
      <c r="C1514">
        <v>9</v>
      </c>
    </row>
    <row r="1515" spans="1:3" ht="15.75" customHeight="1" x14ac:dyDescent="0.2">
      <c r="A1515" t="s">
        <v>285</v>
      </c>
      <c r="B1515" t="s">
        <v>392</v>
      </c>
      <c r="C1515">
        <v>9</v>
      </c>
    </row>
    <row r="1516" spans="1:3" ht="15.75" customHeight="1" x14ac:dyDescent="0.2">
      <c r="A1516" t="s">
        <v>285</v>
      </c>
      <c r="B1516" t="s">
        <v>392</v>
      </c>
      <c r="C1516">
        <v>9</v>
      </c>
    </row>
    <row r="1517" spans="1:3" ht="15.75" customHeight="1" x14ac:dyDescent="0.2">
      <c r="A1517" t="s">
        <v>285</v>
      </c>
      <c r="B1517" t="s">
        <v>392</v>
      </c>
      <c r="C1517">
        <v>9</v>
      </c>
    </row>
    <row r="1518" spans="1:3" ht="15.75" customHeight="1" x14ac:dyDescent="0.2">
      <c r="A1518" t="s">
        <v>285</v>
      </c>
      <c r="B1518" t="s">
        <v>392</v>
      </c>
      <c r="C1518">
        <v>9</v>
      </c>
    </row>
    <row r="1519" spans="1:3" ht="15.75" customHeight="1" x14ac:dyDescent="0.2">
      <c r="A1519" t="s">
        <v>285</v>
      </c>
      <c r="B1519" t="s">
        <v>392</v>
      </c>
      <c r="C1519">
        <v>9</v>
      </c>
    </row>
    <row r="1520" spans="1:3" ht="15.75" customHeight="1" x14ac:dyDescent="0.2">
      <c r="A1520" t="s">
        <v>285</v>
      </c>
      <c r="B1520" t="s">
        <v>392</v>
      </c>
      <c r="C1520">
        <v>9</v>
      </c>
    </row>
    <row r="1521" spans="1:3" ht="15.75" customHeight="1" x14ac:dyDescent="0.2">
      <c r="A1521" t="s">
        <v>285</v>
      </c>
      <c r="B1521" t="s">
        <v>392</v>
      </c>
      <c r="C1521">
        <v>9</v>
      </c>
    </row>
    <row r="1522" spans="1:3" ht="15.75" customHeight="1" x14ac:dyDescent="0.2">
      <c r="A1522" t="s">
        <v>285</v>
      </c>
      <c r="B1522" t="s">
        <v>392</v>
      </c>
      <c r="C1522">
        <v>9</v>
      </c>
    </row>
    <row r="1523" spans="1:3" ht="15.75" customHeight="1" x14ac:dyDescent="0.2">
      <c r="A1523" t="s">
        <v>285</v>
      </c>
      <c r="B1523" t="s">
        <v>392</v>
      </c>
      <c r="C1523">
        <v>9</v>
      </c>
    </row>
    <row r="1524" spans="1:3" ht="15.75" customHeight="1" x14ac:dyDescent="0.2">
      <c r="A1524" t="s">
        <v>285</v>
      </c>
      <c r="B1524" t="s">
        <v>392</v>
      </c>
      <c r="C1524">
        <v>9</v>
      </c>
    </row>
    <row r="1525" spans="1:3" ht="15.75" customHeight="1" x14ac:dyDescent="0.2">
      <c r="A1525" t="s">
        <v>285</v>
      </c>
      <c r="B1525" t="s">
        <v>392</v>
      </c>
      <c r="C1525">
        <v>9</v>
      </c>
    </row>
    <row r="1526" spans="1:3" ht="15.75" customHeight="1" x14ac:dyDescent="0.2">
      <c r="A1526" t="s">
        <v>285</v>
      </c>
      <c r="B1526" t="s">
        <v>392</v>
      </c>
      <c r="C1526">
        <v>9</v>
      </c>
    </row>
    <row r="1527" spans="1:3" ht="15.75" customHeight="1" x14ac:dyDescent="0.2">
      <c r="A1527" t="s">
        <v>285</v>
      </c>
      <c r="B1527" t="s">
        <v>392</v>
      </c>
      <c r="C1527">
        <v>9</v>
      </c>
    </row>
    <row r="1528" spans="1:3" ht="15.75" customHeight="1" x14ac:dyDescent="0.2">
      <c r="A1528" t="s">
        <v>285</v>
      </c>
      <c r="B1528" t="s">
        <v>392</v>
      </c>
      <c r="C1528">
        <v>9</v>
      </c>
    </row>
    <row r="1529" spans="1:3" ht="15.75" customHeight="1" x14ac:dyDescent="0.2">
      <c r="A1529" t="s">
        <v>285</v>
      </c>
      <c r="B1529" t="s">
        <v>392</v>
      </c>
      <c r="C1529">
        <v>9</v>
      </c>
    </row>
    <row r="1530" spans="1:3" ht="15.75" customHeight="1" x14ac:dyDescent="0.2">
      <c r="A1530" t="s">
        <v>285</v>
      </c>
      <c r="B1530" t="s">
        <v>392</v>
      </c>
      <c r="C1530">
        <v>9</v>
      </c>
    </row>
    <row r="1531" spans="1:3" ht="15.75" customHeight="1" x14ac:dyDescent="0.2">
      <c r="A1531" t="s">
        <v>285</v>
      </c>
      <c r="B1531" t="s">
        <v>392</v>
      </c>
      <c r="C1531">
        <v>9</v>
      </c>
    </row>
    <row r="1532" spans="1:3" ht="15.75" customHeight="1" x14ac:dyDescent="0.2">
      <c r="A1532" t="s">
        <v>285</v>
      </c>
      <c r="B1532" t="s">
        <v>420</v>
      </c>
      <c r="C1532">
        <v>10</v>
      </c>
    </row>
    <row r="1533" spans="1:3" ht="15.75" customHeight="1" x14ac:dyDescent="0.2">
      <c r="A1533" t="s">
        <v>285</v>
      </c>
      <c r="B1533" t="s">
        <v>420</v>
      </c>
      <c r="C1533">
        <v>10</v>
      </c>
    </row>
    <row r="1534" spans="1:3" ht="15.75" customHeight="1" x14ac:dyDescent="0.2">
      <c r="A1534" t="s">
        <v>285</v>
      </c>
      <c r="B1534" t="s">
        <v>420</v>
      </c>
      <c r="C1534">
        <v>10</v>
      </c>
    </row>
    <row r="1535" spans="1:3" ht="15.75" customHeight="1" x14ac:dyDescent="0.2">
      <c r="A1535" t="s">
        <v>285</v>
      </c>
      <c r="B1535" t="s">
        <v>420</v>
      </c>
      <c r="C1535">
        <v>10</v>
      </c>
    </row>
    <row r="1536" spans="1:3" ht="15.75" customHeight="1" x14ac:dyDescent="0.2">
      <c r="A1536" t="s">
        <v>285</v>
      </c>
      <c r="B1536" t="s">
        <v>420</v>
      </c>
      <c r="C1536">
        <v>10</v>
      </c>
    </row>
    <row r="1537" spans="1:3" ht="15.75" customHeight="1" x14ac:dyDescent="0.2">
      <c r="A1537" t="s">
        <v>285</v>
      </c>
      <c r="B1537" t="s">
        <v>420</v>
      </c>
      <c r="C1537">
        <v>10</v>
      </c>
    </row>
    <row r="1538" spans="1:3" ht="15.75" customHeight="1" x14ac:dyDescent="0.2">
      <c r="A1538" t="s">
        <v>285</v>
      </c>
      <c r="B1538" t="s">
        <v>420</v>
      </c>
      <c r="C1538">
        <v>10</v>
      </c>
    </row>
    <row r="1539" spans="1:3" ht="15.75" customHeight="1" x14ac:dyDescent="0.2">
      <c r="A1539" t="s">
        <v>285</v>
      </c>
      <c r="B1539" t="s">
        <v>420</v>
      </c>
      <c r="C1539">
        <v>10</v>
      </c>
    </row>
    <row r="1540" spans="1:3" ht="15.75" customHeight="1" x14ac:dyDescent="0.2">
      <c r="A1540" t="s">
        <v>285</v>
      </c>
      <c r="B1540" t="s">
        <v>420</v>
      </c>
      <c r="C1540">
        <v>10</v>
      </c>
    </row>
    <row r="1541" spans="1:3" ht="15.75" customHeight="1" x14ac:dyDescent="0.2">
      <c r="A1541" t="s">
        <v>285</v>
      </c>
      <c r="B1541" t="s">
        <v>420</v>
      </c>
      <c r="C1541">
        <v>10</v>
      </c>
    </row>
    <row r="1542" spans="1:3" ht="15.75" customHeight="1" x14ac:dyDescent="0.2">
      <c r="A1542" t="s">
        <v>285</v>
      </c>
      <c r="B1542" t="s">
        <v>420</v>
      </c>
      <c r="C1542">
        <v>10</v>
      </c>
    </row>
    <row r="1543" spans="1:3" ht="15.75" customHeight="1" x14ac:dyDescent="0.2">
      <c r="A1543" t="s">
        <v>285</v>
      </c>
      <c r="B1543" t="s">
        <v>420</v>
      </c>
      <c r="C1543">
        <v>10</v>
      </c>
    </row>
    <row r="1544" spans="1:3" ht="15.75" customHeight="1" x14ac:dyDescent="0.2">
      <c r="A1544" t="s">
        <v>285</v>
      </c>
      <c r="B1544" t="s">
        <v>420</v>
      </c>
      <c r="C1544">
        <v>10</v>
      </c>
    </row>
    <row r="1545" spans="1:3" ht="15.75" customHeight="1" x14ac:dyDescent="0.2">
      <c r="A1545" t="s">
        <v>285</v>
      </c>
      <c r="B1545" t="s">
        <v>420</v>
      </c>
      <c r="C1545">
        <v>10</v>
      </c>
    </row>
    <row r="1546" spans="1:3" ht="15.75" customHeight="1" x14ac:dyDescent="0.2">
      <c r="A1546" t="s">
        <v>285</v>
      </c>
      <c r="B1546" t="s">
        <v>420</v>
      </c>
      <c r="C1546">
        <v>10</v>
      </c>
    </row>
    <row r="1547" spans="1:3" ht="15.75" customHeight="1" x14ac:dyDescent="0.2">
      <c r="A1547" t="s">
        <v>285</v>
      </c>
      <c r="B1547" t="s">
        <v>420</v>
      </c>
      <c r="C1547">
        <v>10</v>
      </c>
    </row>
    <row r="1548" spans="1:3" ht="15.75" customHeight="1" x14ac:dyDescent="0.2">
      <c r="A1548" t="s">
        <v>285</v>
      </c>
      <c r="B1548" t="s">
        <v>420</v>
      </c>
      <c r="C1548">
        <v>10</v>
      </c>
    </row>
    <row r="1549" spans="1:3" ht="15.75" customHeight="1" x14ac:dyDescent="0.2">
      <c r="A1549" t="s">
        <v>285</v>
      </c>
      <c r="B1549" t="s">
        <v>420</v>
      </c>
      <c r="C1549">
        <v>10</v>
      </c>
    </row>
    <row r="1550" spans="1:3" ht="15.75" customHeight="1" x14ac:dyDescent="0.2">
      <c r="A1550" t="s">
        <v>285</v>
      </c>
      <c r="B1550" t="s">
        <v>420</v>
      </c>
      <c r="C1550">
        <v>10</v>
      </c>
    </row>
    <row r="1551" spans="1:3" ht="15.75" customHeight="1" x14ac:dyDescent="0.2">
      <c r="A1551" t="s">
        <v>285</v>
      </c>
      <c r="B1551" t="s">
        <v>420</v>
      </c>
      <c r="C1551">
        <v>10</v>
      </c>
    </row>
    <row r="1552" spans="1:3" ht="15.75" customHeight="1" x14ac:dyDescent="0.2">
      <c r="A1552" t="s">
        <v>285</v>
      </c>
      <c r="B1552" t="s">
        <v>420</v>
      </c>
      <c r="C1552">
        <v>10</v>
      </c>
    </row>
    <row r="1553" spans="1:3" ht="15.75" customHeight="1" x14ac:dyDescent="0.2">
      <c r="A1553" t="s">
        <v>285</v>
      </c>
      <c r="B1553" t="s">
        <v>420</v>
      </c>
      <c r="C1553">
        <v>10</v>
      </c>
    </row>
    <row r="1554" spans="1:3" ht="15.75" customHeight="1" x14ac:dyDescent="0.2">
      <c r="A1554" t="s">
        <v>285</v>
      </c>
      <c r="B1554" t="s">
        <v>420</v>
      </c>
      <c r="C1554">
        <v>10</v>
      </c>
    </row>
    <row r="1555" spans="1:3" ht="15.75" customHeight="1" x14ac:dyDescent="0.2">
      <c r="A1555" t="s">
        <v>285</v>
      </c>
      <c r="B1555" t="s">
        <v>420</v>
      </c>
      <c r="C1555">
        <v>10</v>
      </c>
    </row>
    <row r="1556" spans="1:3" ht="15.75" customHeight="1" x14ac:dyDescent="0.2">
      <c r="A1556" t="s">
        <v>285</v>
      </c>
      <c r="B1556" t="s">
        <v>420</v>
      </c>
      <c r="C1556">
        <v>10</v>
      </c>
    </row>
    <row r="1557" spans="1:3" ht="15.75" customHeight="1" x14ac:dyDescent="0.2">
      <c r="A1557" t="s">
        <v>285</v>
      </c>
      <c r="B1557" t="s">
        <v>420</v>
      </c>
      <c r="C1557">
        <v>10</v>
      </c>
    </row>
    <row r="1558" spans="1:3" ht="15.75" customHeight="1" x14ac:dyDescent="0.2">
      <c r="A1558" t="s">
        <v>285</v>
      </c>
      <c r="B1558" t="s">
        <v>420</v>
      </c>
      <c r="C1558">
        <v>10</v>
      </c>
    </row>
    <row r="1559" spans="1:3" ht="15.75" customHeight="1" x14ac:dyDescent="0.2">
      <c r="A1559" t="s">
        <v>285</v>
      </c>
      <c r="B1559" t="s">
        <v>420</v>
      </c>
      <c r="C1559">
        <v>10</v>
      </c>
    </row>
    <row r="1560" spans="1:3" ht="15.75" customHeight="1" x14ac:dyDescent="0.2">
      <c r="A1560" t="s">
        <v>285</v>
      </c>
      <c r="B1560" t="s">
        <v>420</v>
      </c>
      <c r="C1560">
        <v>10</v>
      </c>
    </row>
    <row r="1561" spans="1:3" ht="15.75" customHeight="1" x14ac:dyDescent="0.2">
      <c r="A1561" t="s">
        <v>285</v>
      </c>
      <c r="B1561" t="s">
        <v>420</v>
      </c>
      <c r="C1561">
        <v>10</v>
      </c>
    </row>
    <row r="1562" spans="1:3" ht="15.75" customHeight="1" x14ac:dyDescent="0.2">
      <c r="A1562" t="s">
        <v>285</v>
      </c>
      <c r="B1562" t="s">
        <v>420</v>
      </c>
      <c r="C1562">
        <v>10</v>
      </c>
    </row>
    <row r="1563" spans="1:3" ht="15.75" customHeight="1" x14ac:dyDescent="0.2">
      <c r="A1563" t="s">
        <v>285</v>
      </c>
      <c r="B1563" t="s">
        <v>420</v>
      </c>
      <c r="C1563">
        <v>10</v>
      </c>
    </row>
    <row r="1564" spans="1:3" ht="15.75" customHeight="1" x14ac:dyDescent="0.2">
      <c r="A1564" t="s">
        <v>285</v>
      </c>
      <c r="B1564" t="s">
        <v>420</v>
      </c>
      <c r="C1564">
        <v>10</v>
      </c>
    </row>
    <row r="1565" spans="1:3" ht="15.75" customHeight="1" x14ac:dyDescent="0.2">
      <c r="A1565" t="s">
        <v>285</v>
      </c>
      <c r="B1565" t="s">
        <v>420</v>
      </c>
      <c r="C1565">
        <v>10</v>
      </c>
    </row>
    <row r="1566" spans="1:3" ht="15.75" customHeight="1" x14ac:dyDescent="0.2">
      <c r="A1566" t="s">
        <v>285</v>
      </c>
      <c r="B1566" t="s">
        <v>420</v>
      </c>
      <c r="C1566">
        <v>10</v>
      </c>
    </row>
    <row r="1567" spans="1:3" ht="15.75" customHeight="1" x14ac:dyDescent="0.2">
      <c r="A1567" t="s">
        <v>285</v>
      </c>
      <c r="B1567" t="s">
        <v>420</v>
      </c>
      <c r="C1567">
        <v>10</v>
      </c>
    </row>
    <row r="1568" spans="1:3" ht="15.75" customHeight="1" x14ac:dyDescent="0.2">
      <c r="A1568" t="s">
        <v>285</v>
      </c>
      <c r="B1568" t="s">
        <v>420</v>
      </c>
      <c r="C1568">
        <v>10</v>
      </c>
    </row>
    <row r="1569" spans="1:3" ht="15.75" customHeight="1" x14ac:dyDescent="0.2">
      <c r="A1569" t="s">
        <v>285</v>
      </c>
      <c r="B1569" t="s">
        <v>420</v>
      </c>
      <c r="C1569">
        <v>10</v>
      </c>
    </row>
    <row r="1570" spans="1:3" ht="15.75" customHeight="1" x14ac:dyDescent="0.2">
      <c r="A1570" t="s">
        <v>285</v>
      </c>
      <c r="B1570" t="s">
        <v>420</v>
      </c>
      <c r="C1570">
        <v>10</v>
      </c>
    </row>
    <row r="1571" spans="1:3" ht="15.75" customHeight="1" x14ac:dyDescent="0.2">
      <c r="A1571" t="s">
        <v>285</v>
      </c>
      <c r="B1571" t="s">
        <v>420</v>
      </c>
      <c r="C1571">
        <v>10</v>
      </c>
    </row>
    <row r="1572" spans="1:3" ht="15.75" customHeight="1" x14ac:dyDescent="0.2">
      <c r="A1572" t="s">
        <v>285</v>
      </c>
      <c r="B1572" t="s">
        <v>420</v>
      </c>
      <c r="C1572">
        <v>10</v>
      </c>
    </row>
    <row r="1573" spans="1:3" ht="15.75" customHeight="1" x14ac:dyDescent="0.2">
      <c r="A1573" t="s">
        <v>285</v>
      </c>
      <c r="B1573" t="s">
        <v>420</v>
      </c>
      <c r="C1573">
        <v>10</v>
      </c>
    </row>
    <row r="1574" spans="1:3" ht="15.75" customHeight="1" x14ac:dyDescent="0.2">
      <c r="A1574" t="s">
        <v>285</v>
      </c>
      <c r="B1574" t="s">
        <v>420</v>
      </c>
      <c r="C1574">
        <v>10</v>
      </c>
    </row>
    <row r="1575" spans="1:3" ht="15.75" customHeight="1" x14ac:dyDescent="0.2">
      <c r="A1575" t="s">
        <v>285</v>
      </c>
      <c r="B1575" t="s">
        <v>420</v>
      </c>
      <c r="C1575">
        <v>10</v>
      </c>
    </row>
    <row r="1576" spans="1:3" ht="15.75" customHeight="1" x14ac:dyDescent="0.2">
      <c r="A1576" t="s">
        <v>285</v>
      </c>
      <c r="B1576" t="s">
        <v>420</v>
      </c>
      <c r="C1576">
        <v>10</v>
      </c>
    </row>
    <row r="1577" spans="1:3" ht="15.75" customHeight="1" x14ac:dyDescent="0.2">
      <c r="A1577" t="s">
        <v>285</v>
      </c>
      <c r="B1577" t="s">
        <v>420</v>
      </c>
      <c r="C1577">
        <v>10</v>
      </c>
    </row>
    <row r="1578" spans="1:3" ht="15.75" customHeight="1" x14ac:dyDescent="0.2">
      <c r="A1578" t="s">
        <v>285</v>
      </c>
      <c r="B1578" t="s">
        <v>420</v>
      </c>
      <c r="C1578">
        <v>10</v>
      </c>
    </row>
    <row r="1579" spans="1:3" ht="15.75" customHeight="1" x14ac:dyDescent="0.2">
      <c r="A1579" t="s">
        <v>285</v>
      </c>
      <c r="B1579" t="s">
        <v>420</v>
      </c>
      <c r="C1579">
        <v>10</v>
      </c>
    </row>
    <row r="1580" spans="1:3" ht="15.75" customHeight="1" x14ac:dyDescent="0.2">
      <c r="A1580" t="s">
        <v>285</v>
      </c>
      <c r="B1580" t="s">
        <v>420</v>
      </c>
      <c r="C1580">
        <v>10</v>
      </c>
    </row>
    <row r="1581" spans="1:3" ht="15.75" customHeight="1" x14ac:dyDescent="0.2">
      <c r="A1581" t="s">
        <v>285</v>
      </c>
      <c r="B1581" t="s">
        <v>420</v>
      </c>
      <c r="C1581">
        <v>10</v>
      </c>
    </row>
    <row r="1582" spans="1:3" ht="15.75" customHeight="1" x14ac:dyDescent="0.2">
      <c r="A1582" t="s">
        <v>285</v>
      </c>
      <c r="B1582" t="s">
        <v>420</v>
      </c>
      <c r="C1582">
        <v>10</v>
      </c>
    </row>
    <row r="1583" spans="1:3" ht="15.75" customHeight="1" x14ac:dyDescent="0.2">
      <c r="A1583" t="s">
        <v>285</v>
      </c>
      <c r="B1583" t="s">
        <v>420</v>
      </c>
      <c r="C1583">
        <v>10</v>
      </c>
    </row>
    <row r="1584" spans="1:3" ht="15.75" customHeight="1" x14ac:dyDescent="0.2">
      <c r="A1584" t="s">
        <v>285</v>
      </c>
      <c r="B1584" t="s">
        <v>420</v>
      </c>
      <c r="C1584">
        <v>10</v>
      </c>
    </row>
    <row r="1585" spans="1:3" ht="15.75" customHeight="1" x14ac:dyDescent="0.2">
      <c r="A1585" t="s">
        <v>285</v>
      </c>
      <c r="B1585" t="s">
        <v>420</v>
      </c>
      <c r="C1585">
        <v>10</v>
      </c>
    </row>
    <row r="1586" spans="1:3" ht="15.75" customHeight="1" x14ac:dyDescent="0.2">
      <c r="A1586" t="s">
        <v>285</v>
      </c>
      <c r="B1586" t="s">
        <v>420</v>
      </c>
      <c r="C1586">
        <v>10</v>
      </c>
    </row>
    <row r="1587" spans="1:3" ht="15.75" customHeight="1" x14ac:dyDescent="0.2">
      <c r="A1587" t="s">
        <v>285</v>
      </c>
      <c r="B1587" t="s">
        <v>420</v>
      </c>
      <c r="C1587">
        <v>10</v>
      </c>
    </row>
    <row r="1588" spans="1:3" ht="15.75" customHeight="1" x14ac:dyDescent="0.2">
      <c r="A1588" t="s">
        <v>285</v>
      </c>
      <c r="B1588" t="s">
        <v>420</v>
      </c>
      <c r="C1588">
        <v>10</v>
      </c>
    </row>
    <row r="1589" spans="1:3" ht="15.75" customHeight="1" x14ac:dyDescent="0.2">
      <c r="A1589" t="s">
        <v>285</v>
      </c>
      <c r="B1589" t="s">
        <v>420</v>
      </c>
      <c r="C1589">
        <v>10</v>
      </c>
    </row>
    <row r="1590" spans="1:3" ht="15.75" customHeight="1" x14ac:dyDescent="0.2">
      <c r="A1590" t="s">
        <v>285</v>
      </c>
      <c r="B1590" t="s">
        <v>420</v>
      </c>
      <c r="C1590">
        <v>10</v>
      </c>
    </row>
    <row r="1591" spans="1:3" ht="15.75" customHeight="1" x14ac:dyDescent="0.2">
      <c r="A1591" t="s">
        <v>285</v>
      </c>
      <c r="B1591" t="s">
        <v>420</v>
      </c>
      <c r="C1591">
        <v>10</v>
      </c>
    </row>
    <row r="1592" spans="1:3" ht="15.75" customHeight="1" x14ac:dyDescent="0.2">
      <c r="A1592" t="s">
        <v>285</v>
      </c>
      <c r="B1592" t="s">
        <v>420</v>
      </c>
      <c r="C1592">
        <v>10</v>
      </c>
    </row>
    <row r="1593" spans="1:3" ht="15.75" customHeight="1" x14ac:dyDescent="0.2">
      <c r="A1593" t="s">
        <v>285</v>
      </c>
      <c r="B1593" t="s">
        <v>420</v>
      </c>
      <c r="C1593">
        <v>10</v>
      </c>
    </row>
    <row r="1594" spans="1:3" ht="15.75" customHeight="1" x14ac:dyDescent="0.2">
      <c r="A1594" t="s">
        <v>285</v>
      </c>
      <c r="B1594" t="s">
        <v>420</v>
      </c>
      <c r="C1594">
        <v>10</v>
      </c>
    </row>
    <row r="1595" spans="1:3" ht="15.75" customHeight="1" x14ac:dyDescent="0.2">
      <c r="A1595" t="s">
        <v>285</v>
      </c>
      <c r="B1595" t="s">
        <v>420</v>
      </c>
      <c r="C1595">
        <v>10</v>
      </c>
    </row>
    <row r="1596" spans="1:3" ht="15.75" customHeight="1" x14ac:dyDescent="0.2">
      <c r="A1596" t="s">
        <v>285</v>
      </c>
      <c r="B1596" t="s">
        <v>420</v>
      </c>
      <c r="C1596">
        <v>10</v>
      </c>
    </row>
    <row r="1597" spans="1:3" ht="15.75" customHeight="1" x14ac:dyDescent="0.2">
      <c r="A1597" t="s">
        <v>285</v>
      </c>
      <c r="B1597" t="s">
        <v>420</v>
      </c>
      <c r="C1597">
        <v>10</v>
      </c>
    </row>
    <row r="1598" spans="1:3" ht="15.75" customHeight="1" x14ac:dyDescent="0.2">
      <c r="A1598" t="s">
        <v>285</v>
      </c>
      <c r="B1598" t="s">
        <v>420</v>
      </c>
      <c r="C1598">
        <v>10</v>
      </c>
    </row>
    <row r="1599" spans="1:3" ht="15.75" customHeight="1" x14ac:dyDescent="0.2">
      <c r="A1599" t="s">
        <v>285</v>
      </c>
      <c r="B1599" t="s">
        <v>420</v>
      </c>
      <c r="C1599">
        <v>10</v>
      </c>
    </row>
    <row r="1600" spans="1:3" ht="15.75" customHeight="1" x14ac:dyDescent="0.2">
      <c r="A1600" t="s">
        <v>285</v>
      </c>
      <c r="B1600" t="s">
        <v>420</v>
      </c>
      <c r="C1600">
        <v>10</v>
      </c>
    </row>
    <row r="1601" spans="1:3" ht="15.75" customHeight="1" x14ac:dyDescent="0.2">
      <c r="A1601" t="s">
        <v>285</v>
      </c>
      <c r="B1601" t="s">
        <v>420</v>
      </c>
      <c r="C1601">
        <v>10</v>
      </c>
    </row>
    <row r="1602" spans="1:3" ht="15.75" customHeight="1" x14ac:dyDescent="0.2">
      <c r="A1602" t="s">
        <v>285</v>
      </c>
      <c r="B1602" t="s">
        <v>420</v>
      </c>
      <c r="C1602">
        <v>10</v>
      </c>
    </row>
    <row r="1603" spans="1:3" ht="15.75" customHeight="1" x14ac:dyDescent="0.2">
      <c r="A1603" t="s">
        <v>285</v>
      </c>
      <c r="B1603" t="s">
        <v>420</v>
      </c>
      <c r="C1603">
        <v>10</v>
      </c>
    </row>
    <row r="1604" spans="1:3" ht="15.75" customHeight="1" x14ac:dyDescent="0.2">
      <c r="A1604" t="s">
        <v>285</v>
      </c>
      <c r="B1604" t="s">
        <v>420</v>
      </c>
      <c r="C1604">
        <v>10</v>
      </c>
    </row>
    <row r="1605" spans="1:3" ht="15.75" customHeight="1" x14ac:dyDescent="0.2">
      <c r="A1605" t="s">
        <v>285</v>
      </c>
      <c r="B1605" t="s">
        <v>420</v>
      </c>
      <c r="C1605">
        <v>10</v>
      </c>
    </row>
    <row r="1606" spans="1:3" ht="15.75" customHeight="1" x14ac:dyDescent="0.2">
      <c r="A1606" t="s">
        <v>285</v>
      </c>
      <c r="B1606" t="s">
        <v>420</v>
      </c>
      <c r="C1606">
        <v>10</v>
      </c>
    </row>
    <row r="1607" spans="1:3" ht="15.75" customHeight="1" x14ac:dyDescent="0.2">
      <c r="A1607" t="s">
        <v>285</v>
      </c>
      <c r="B1607" t="s">
        <v>420</v>
      </c>
      <c r="C1607">
        <v>10</v>
      </c>
    </row>
    <row r="1608" spans="1:3" ht="15.75" customHeight="1" x14ac:dyDescent="0.2">
      <c r="A1608" t="s">
        <v>285</v>
      </c>
      <c r="B1608" t="s">
        <v>420</v>
      </c>
      <c r="C1608">
        <v>10</v>
      </c>
    </row>
    <row r="1609" spans="1:3" ht="15.75" customHeight="1" x14ac:dyDescent="0.2">
      <c r="A1609" t="s">
        <v>285</v>
      </c>
      <c r="B1609" t="s">
        <v>420</v>
      </c>
      <c r="C1609">
        <v>10</v>
      </c>
    </row>
    <row r="1610" spans="1:3" ht="15.75" customHeight="1" x14ac:dyDescent="0.2">
      <c r="A1610" t="s">
        <v>285</v>
      </c>
      <c r="B1610" t="s">
        <v>420</v>
      </c>
      <c r="C1610">
        <v>10</v>
      </c>
    </row>
    <row r="1611" spans="1:3" ht="15.75" customHeight="1" x14ac:dyDescent="0.2">
      <c r="A1611" t="s">
        <v>285</v>
      </c>
      <c r="B1611" t="s">
        <v>420</v>
      </c>
      <c r="C1611">
        <v>10</v>
      </c>
    </row>
    <row r="1612" spans="1:3" ht="15.75" customHeight="1" x14ac:dyDescent="0.2">
      <c r="A1612" t="s">
        <v>285</v>
      </c>
      <c r="B1612" t="s">
        <v>420</v>
      </c>
      <c r="C1612">
        <v>10</v>
      </c>
    </row>
    <row r="1613" spans="1:3" ht="15.75" customHeight="1" x14ac:dyDescent="0.2">
      <c r="A1613" t="s">
        <v>285</v>
      </c>
      <c r="B1613" t="s">
        <v>420</v>
      </c>
      <c r="C1613">
        <v>10</v>
      </c>
    </row>
    <row r="1614" spans="1:3" ht="15.75" customHeight="1" x14ac:dyDescent="0.2">
      <c r="A1614" t="s">
        <v>285</v>
      </c>
      <c r="B1614" t="s">
        <v>420</v>
      </c>
      <c r="C1614">
        <v>10</v>
      </c>
    </row>
    <row r="1615" spans="1:3" ht="15.75" customHeight="1" x14ac:dyDescent="0.2">
      <c r="A1615" t="s">
        <v>285</v>
      </c>
      <c r="B1615" t="s">
        <v>420</v>
      </c>
      <c r="C1615">
        <v>10</v>
      </c>
    </row>
    <row r="1616" spans="1:3" ht="15.75" customHeight="1" x14ac:dyDescent="0.2">
      <c r="A1616" t="s">
        <v>285</v>
      </c>
      <c r="B1616" t="s">
        <v>420</v>
      </c>
      <c r="C1616">
        <v>10</v>
      </c>
    </row>
    <row r="1617" spans="1:3" ht="15.75" customHeight="1" x14ac:dyDescent="0.2">
      <c r="A1617" t="s">
        <v>285</v>
      </c>
      <c r="B1617" t="s">
        <v>420</v>
      </c>
      <c r="C1617">
        <v>10</v>
      </c>
    </row>
    <row r="1618" spans="1:3" ht="15.75" customHeight="1" x14ac:dyDescent="0.2">
      <c r="A1618" t="s">
        <v>285</v>
      </c>
      <c r="B1618" t="s">
        <v>420</v>
      </c>
      <c r="C1618">
        <v>10</v>
      </c>
    </row>
    <row r="1619" spans="1:3" ht="15.75" customHeight="1" x14ac:dyDescent="0.2">
      <c r="A1619" t="s">
        <v>285</v>
      </c>
      <c r="B1619" t="s">
        <v>420</v>
      </c>
      <c r="C1619">
        <v>10</v>
      </c>
    </row>
    <row r="1620" spans="1:3" ht="15.75" customHeight="1" x14ac:dyDescent="0.2">
      <c r="A1620" t="s">
        <v>285</v>
      </c>
      <c r="B1620" t="s">
        <v>420</v>
      </c>
      <c r="C1620">
        <v>10</v>
      </c>
    </row>
    <row r="1621" spans="1:3" ht="15.75" customHeight="1" x14ac:dyDescent="0.2">
      <c r="A1621" t="s">
        <v>285</v>
      </c>
      <c r="B1621" t="s">
        <v>420</v>
      </c>
      <c r="C1621">
        <v>10</v>
      </c>
    </row>
    <row r="1622" spans="1:3" ht="15.75" customHeight="1" x14ac:dyDescent="0.2">
      <c r="A1622" t="s">
        <v>285</v>
      </c>
      <c r="B1622" t="s">
        <v>420</v>
      </c>
      <c r="C1622">
        <v>10</v>
      </c>
    </row>
    <row r="1623" spans="1:3" ht="15.75" customHeight="1" x14ac:dyDescent="0.2">
      <c r="A1623" t="s">
        <v>285</v>
      </c>
      <c r="B1623" t="s">
        <v>420</v>
      </c>
      <c r="C1623">
        <v>10</v>
      </c>
    </row>
    <row r="1624" spans="1:3" ht="15.75" customHeight="1" x14ac:dyDescent="0.2">
      <c r="A1624" t="s">
        <v>285</v>
      </c>
      <c r="B1624" t="s">
        <v>420</v>
      </c>
      <c r="C1624">
        <v>10</v>
      </c>
    </row>
    <row r="1625" spans="1:3" ht="15.75" customHeight="1" x14ac:dyDescent="0.2">
      <c r="A1625" t="s">
        <v>285</v>
      </c>
      <c r="B1625" t="s">
        <v>420</v>
      </c>
      <c r="C1625">
        <v>10</v>
      </c>
    </row>
    <row r="1626" spans="1:3" ht="15.75" customHeight="1" x14ac:dyDescent="0.2">
      <c r="A1626" t="s">
        <v>285</v>
      </c>
      <c r="B1626" t="s">
        <v>420</v>
      </c>
      <c r="C1626">
        <v>10</v>
      </c>
    </row>
    <row r="1627" spans="1:3" ht="15.75" customHeight="1" x14ac:dyDescent="0.2">
      <c r="A1627" t="s">
        <v>285</v>
      </c>
      <c r="B1627" t="s">
        <v>420</v>
      </c>
      <c r="C1627">
        <v>10</v>
      </c>
    </row>
    <row r="1628" spans="1:3" ht="15.75" customHeight="1" x14ac:dyDescent="0.2">
      <c r="A1628" t="s">
        <v>285</v>
      </c>
      <c r="B1628" t="s">
        <v>420</v>
      </c>
      <c r="C1628">
        <v>10</v>
      </c>
    </row>
    <row r="1629" spans="1:3" ht="15.75" customHeight="1" x14ac:dyDescent="0.2">
      <c r="A1629" t="s">
        <v>285</v>
      </c>
      <c r="B1629" t="s">
        <v>420</v>
      </c>
      <c r="C1629">
        <v>10</v>
      </c>
    </row>
    <row r="1630" spans="1:3" ht="15.75" customHeight="1" x14ac:dyDescent="0.2">
      <c r="A1630" t="s">
        <v>285</v>
      </c>
      <c r="B1630" t="s">
        <v>420</v>
      </c>
      <c r="C1630">
        <v>10</v>
      </c>
    </row>
    <row r="1631" spans="1:3" ht="15.75" customHeight="1" x14ac:dyDescent="0.2">
      <c r="A1631" t="s">
        <v>285</v>
      </c>
      <c r="B1631" t="s">
        <v>420</v>
      </c>
      <c r="C1631">
        <v>10</v>
      </c>
    </row>
    <row r="1632" spans="1:3" ht="15.75" customHeight="1" x14ac:dyDescent="0.2">
      <c r="A1632" t="s">
        <v>285</v>
      </c>
      <c r="B1632" t="s">
        <v>420</v>
      </c>
      <c r="C1632">
        <v>10</v>
      </c>
    </row>
    <row r="1633" spans="1:3" ht="15.75" customHeight="1" x14ac:dyDescent="0.2">
      <c r="A1633" t="s">
        <v>285</v>
      </c>
      <c r="B1633" t="s">
        <v>420</v>
      </c>
      <c r="C1633">
        <v>10</v>
      </c>
    </row>
    <row r="1634" spans="1:3" ht="15.75" customHeight="1" x14ac:dyDescent="0.2">
      <c r="A1634" t="s">
        <v>285</v>
      </c>
      <c r="B1634" t="s">
        <v>420</v>
      </c>
      <c r="C1634">
        <v>10</v>
      </c>
    </row>
    <row r="1635" spans="1:3" ht="15.75" customHeight="1" x14ac:dyDescent="0.2">
      <c r="A1635" t="s">
        <v>285</v>
      </c>
      <c r="B1635" t="s">
        <v>420</v>
      </c>
      <c r="C1635">
        <v>10</v>
      </c>
    </row>
    <row r="1636" spans="1:3" ht="15.75" customHeight="1" x14ac:dyDescent="0.2">
      <c r="A1636" t="s">
        <v>285</v>
      </c>
      <c r="B1636" t="s">
        <v>420</v>
      </c>
      <c r="C1636">
        <v>10</v>
      </c>
    </row>
    <row r="1637" spans="1:3" ht="15.75" customHeight="1" x14ac:dyDescent="0.2">
      <c r="A1637" t="s">
        <v>285</v>
      </c>
      <c r="B1637" t="s">
        <v>420</v>
      </c>
      <c r="C1637">
        <v>10</v>
      </c>
    </row>
    <row r="1638" spans="1:3" ht="15.75" customHeight="1" x14ac:dyDescent="0.2">
      <c r="A1638" t="s">
        <v>285</v>
      </c>
      <c r="B1638" t="s">
        <v>420</v>
      </c>
      <c r="C1638">
        <v>10</v>
      </c>
    </row>
    <row r="1639" spans="1:3" ht="15.75" customHeight="1" x14ac:dyDescent="0.2">
      <c r="A1639" t="s">
        <v>285</v>
      </c>
      <c r="B1639" t="s">
        <v>420</v>
      </c>
      <c r="C1639">
        <v>10</v>
      </c>
    </row>
    <row r="1640" spans="1:3" ht="15.75" customHeight="1" x14ac:dyDescent="0.2">
      <c r="A1640" t="s">
        <v>285</v>
      </c>
      <c r="B1640" t="s">
        <v>420</v>
      </c>
      <c r="C1640">
        <v>10</v>
      </c>
    </row>
    <row r="1641" spans="1:3" ht="15.75" customHeight="1" x14ac:dyDescent="0.2">
      <c r="A1641" t="s">
        <v>285</v>
      </c>
      <c r="B1641" t="s">
        <v>420</v>
      </c>
      <c r="C1641">
        <v>10</v>
      </c>
    </row>
    <row r="1642" spans="1:3" ht="15.75" customHeight="1" x14ac:dyDescent="0.2">
      <c r="A1642" t="s">
        <v>285</v>
      </c>
      <c r="B1642" t="s">
        <v>420</v>
      </c>
      <c r="C1642">
        <v>10</v>
      </c>
    </row>
    <row r="1643" spans="1:3" ht="15.75" customHeight="1" x14ac:dyDescent="0.2">
      <c r="A1643" t="s">
        <v>285</v>
      </c>
      <c r="B1643" t="s">
        <v>420</v>
      </c>
      <c r="C1643">
        <v>10</v>
      </c>
    </row>
    <row r="1644" spans="1:3" ht="15.75" customHeight="1" x14ac:dyDescent="0.2">
      <c r="A1644" t="s">
        <v>285</v>
      </c>
      <c r="B1644" t="s">
        <v>420</v>
      </c>
      <c r="C1644">
        <v>10</v>
      </c>
    </row>
    <row r="1645" spans="1:3" ht="15.75" customHeight="1" x14ac:dyDescent="0.2">
      <c r="A1645" t="s">
        <v>285</v>
      </c>
      <c r="B1645" t="s">
        <v>420</v>
      </c>
      <c r="C1645">
        <v>10</v>
      </c>
    </row>
    <row r="1646" spans="1:3" ht="15.75" customHeight="1" x14ac:dyDescent="0.2">
      <c r="A1646" t="s">
        <v>285</v>
      </c>
      <c r="B1646" t="s">
        <v>420</v>
      </c>
      <c r="C1646">
        <v>10</v>
      </c>
    </row>
    <row r="1647" spans="1:3" ht="15.75" customHeight="1" x14ac:dyDescent="0.2">
      <c r="A1647" t="s">
        <v>285</v>
      </c>
      <c r="B1647" t="s">
        <v>420</v>
      </c>
      <c r="C1647">
        <v>10</v>
      </c>
    </row>
    <row r="1648" spans="1:3" ht="15.75" customHeight="1" x14ac:dyDescent="0.2">
      <c r="A1648" t="s">
        <v>285</v>
      </c>
      <c r="B1648" t="s">
        <v>420</v>
      </c>
      <c r="C1648">
        <v>10</v>
      </c>
    </row>
    <row r="1649" spans="1:3" ht="15.75" customHeight="1" x14ac:dyDescent="0.2">
      <c r="A1649" t="s">
        <v>285</v>
      </c>
      <c r="B1649" t="s">
        <v>420</v>
      </c>
      <c r="C1649">
        <v>10</v>
      </c>
    </row>
    <row r="1650" spans="1:3" ht="15.75" customHeight="1" x14ac:dyDescent="0.2">
      <c r="A1650" t="s">
        <v>285</v>
      </c>
      <c r="B1650" t="s">
        <v>420</v>
      </c>
      <c r="C1650">
        <v>10</v>
      </c>
    </row>
    <row r="1651" spans="1:3" ht="15.75" customHeight="1" x14ac:dyDescent="0.2">
      <c r="A1651" t="s">
        <v>285</v>
      </c>
      <c r="B1651" t="s">
        <v>420</v>
      </c>
      <c r="C1651">
        <v>10</v>
      </c>
    </row>
    <row r="1652" spans="1:3" ht="15.75" customHeight="1" x14ac:dyDescent="0.2">
      <c r="A1652" t="s">
        <v>285</v>
      </c>
      <c r="B1652" t="s">
        <v>420</v>
      </c>
      <c r="C1652">
        <v>10</v>
      </c>
    </row>
    <row r="1653" spans="1:3" ht="15.75" customHeight="1" x14ac:dyDescent="0.2">
      <c r="A1653" t="s">
        <v>285</v>
      </c>
      <c r="B1653" t="s">
        <v>420</v>
      </c>
      <c r="C1653">
        <v>10</v>
      </c>
    </row>
    <row r="1654" spans="1:3" ht="15.75" customHeight="1" x14ac:dyDescent="0.2">
      <c r="A1654" t="s">
        <v>285</v>
      </c>
      <c r="B1654" t="s">
        <v>420</v>
      </c>
      <c r="C1654">
        <v>10</v>
      </c>
    </row>
    <row r="1655" spans="1:3" ht="15.75" customHeight="1" x14ac:dyDescent="0.2">
      <c r="A1655" t="s">
        <v>285</v>
      </c>
      <c r="B1655" t="s">
        <v>420</v>
      </c>
      <c r="C1655">
        <v>10</v>
      </c>
    </row>
    <row r="1656" spans="1:3" ht="15.75" customHeight="1" x14ac:dyDescent="0.2">
      <c r="A1656" t="s">
        <v>285</v>
      </c>
      <c r="B1656" t="s">
        <v>420</v>
      </c>
      <c r="C1656">
        <v>10</v>
      </c>
    </row>
    <row r="1657" spans="1:3" ht="15.75" customHeight="1" x14ac:dyDescent="0.2">
      <c r="A1657" t="s">
        <v>285</v>
      </c>
      <c r="B1657" t="s">
        <v>420</v>
      </c>
      <c r="C1657">
        <v>10</v>
      </c>
    </row>
    <row r="1658" spans="1:3" ht="15.75" customHeight="1" x14ac:dyDescent="0.2">
      <c r="A1658" t="s">
        <v>285</v>
      </c>
      <c r="B1658" t="s">
        <v>420</v>
      </c>
      <c r="C1658">
        <v>10</v>
      </c>
    </row>
    <row r="1659" spans="1:3" ht="15.75" customHeight="1" x14ac:dyDescent="0.2">
      <c r="A1659" t="s">
        <v>285</v>
      </c>
      <c r="B1659" t="s">
        <v>420</v>
      </c>
      <c r="C1659">
        <v>10</v>
      </c>
    </row>
    <row r="1660" spans="1:3" ht="15.75" customHeight="1" x14ac:dyDescent="0.2">
      <c r="A1660" t="s">
        <v>285</v>
      </c>
      <c r="B1660" t="s">
        <v>420</v>
      </c>
      <c r="C1660">
        <v>10</v>
      </c>
    </row>
    <row r="1661" spans="1:3" ht="15.75" customHeight="1" x14ac:dyDescent="0.2">
      <c r="A1661" t="s">
        <v>285</v>
      </c>
      <c r="B1661" t="s">
        <v>420</v>
      </c>
      <c r="C1661">
        <v>10</v>
      </c>
    </row>
    <row r="1662" spans="1:3" ht="15.75" customHeight="1" x14ac:dyDescent="0.2">
      <c r="A1662" t="s">
        <v>285</v>
      </c>
      <c r="B1662" t="s">
        <v>420</v>
      </c>
      <c r="C1662">
        <v>10</v>
      </c>
    </row>
    <row r="1663" spans="1:3" ht="15.75" customHeight="1" x14ac:dyDescent="0.2">
      <c r="A1663" t="s">
        <v>285</v>
      </c>
      <c r="B1663" t="s">
        <v>420</v>
      </c>
      <c r="C1663">
        <v>10</v>
      </c>
    </row>
    <row r="1664" spans="1:3" ht="15.75" customHeight="1" x14ac:dyDescent="0.2">
      <c r="A1664" t="s">
        <v>285</v>
      </c>
      <c r="B1664" t="s">
        <v>420</v>
      </c>
      <c r="C1664">
        <v>10</v>
      </c>
    </row>
    <row r="1665" spans="1:3" ht="15.75" customHeight="1" x14ac:dyDescent="0.2">
      <c r="A1665" t="s">
        <v>285</v>
      </c>
      <c r="B1665" t="s">
        <v>420</v>
      </c>
      <c r="C1665">
        <v>10</v>
      </c>
    </row>
    <row r="1666" spans="1:3" ht="15.75" customHeight="1" x14ac:dyDescent="0.2">
      <c r="A1666" t="s">
        <v>285</v>
      </c>
      <c r="B1666" t="s">
        <v>420</v>
      </c>
      <c r="C1666">
        <v>10</v>
      </c>
    </row>
    <row r="1667" spans="1:3" ht="15.75" customHeight="1" x14ac:dyDescent="0.2">
      <c r="A1667" t="s">
        <v>285</v>
      </c>
      <c r="B1667" t="s">
        <v>420</v>
      </c>
      <c r="C1667">
        <v>10</v>
      </c>
    </row>
    <row r="1668" spans="1:3" ht="15.75" customHeight="1" x14ac:dyDescent="0.2">
      <c r="A1668" t="s">
        <v>285</v>
      </c>
      <c r="B1668" t="s">
        <v>420</v>
      </c>
      <c r="C1668">
        <v>10</v>
      </c>
    </row>
    <row r="1669" spans="1:3" ht="15.75" customHeight="1" x14ac:dyDescent="0.2">
      <c r="A1669" t="s">
        <v>285</v>
      </c>
      <c r="B1669" t="s">
        <v>420</v>
      </c>
      <c r="C1669">
        <v>10</v>
      </c>
    </row>
    <row r="1670" spans="1:3" ht="15.75" customHeight="1" x14ac:dyDescent="0.2">
      <c r="A1670" t="s">
        <v>285</v>
      </c>
      <c r="B1670" t="s">
        <v>420</v>
      </c>
      <c r="C1670">
        <v>10</v>
      </c>
    </row>
    <row r="1671" spans="1:3" ht="15.75" customHeight="1" x14ac:dyDescent="0.2">
      <c r="A1671" t="s">
        <v>285</v>
      </c>
      <c r="B1671" t="s">
        <v>420</v>
      </c>
      <c r="C1671">
        <v>10</v>
      </c>
    </row>
    <row r="1672" spans="1:3" ht="15.75" customHeight="1" x14ac:dyDescent="0.2">
      <c r="A1672" t="s">
        <v>285</v>
      </c>
      <c r="B1672" t="s">
        <v>420</v>
      </c>
      <c r="C1672">
        <v>10</v>
      </c>
    </row>
    <row r="1673" spans="1:3" ht="15.75" customHeight="1" x14ac:dyDescent="0.2">
      <c r="A1673" t="s">
        <v>285</v>
      </c>
      <c r="B1673" t="s">
        <v>420</v>
      </c>
      <c r="C1673">
        <v>10</v>
      </c>
    </row>
    <row r="1674" spans="1:3" ht="15.75" customHeight="1" x14ac:dyDescent="0.2">
      <c r="A1674" t="s">
        <v>285</v>
      </c>
      <c r="B1674" t="s">
        <v>420</v>
      </c>
      <c r="C1674">
        <v>10</v>
      </c>
    </row>
    <row r="1675" spans="1:3" ht="15.75" customHeight="1" x14ac:dyDescent="0.2">
      <c r="A1675" t="s">
        <v>285</v>
      </c>
      <c r="B1675" t="s">
        <v>420</v>
      </c>
      <c r="C1675">
        <v>10</v>
      </c>
    </row>
    <row r="1676" spans="1:3" ht="15.75" customHeight="1" x14ac:dyDescent="0.2">
      <c r="A1676" t="s">
        <v>285</v>
      </c>
      <c r="B1676" t="s">
        <v>420</v>
      </c>
      <c r="C1676">
        <v>10</v>
      </c>
    </row>
    <row r="1677" spans="1:3" ht="15.75" customHeight="1" x14ac:dyDescent="0.2">
      <c r="A1677" t="s">
        <v>285</v>
      </c>
      <c r="B1677" t="s">
        <v>420</v>
      </c>
      <c r="C1677">
        <v>10</v>
      </c>
    </row>
    <row r="1678" spans="1:3" ht="15.75" customHeight="1" x14ac:dyDescent="0.2">
      <c r="A1678" t="s">
        <v>285</v>
      </c>
      <c r="B1678" t="s">
        <v>420</v>
      </c>
      <c r="C1678">
        <v>10</v>
      </c>
    </row>
    <row r="1679" spans="1:3" ht="15.75" customHeight="1" x14ac:dyDescent="0.2">
      <c r="A1679" t="s">
        <v>285</v>
      </c>
      <c r="B1679" t="s">
        <v>420</v>
      </c>
      <c r="C1679">
        <v>10</v>
      </c>
    </row>
    <row r="1680" spans="1:3" ht="15.75" customHeight="1" x14ac:dyDescent="0.2">
      <c r="A1680" t="s">
        <v>285</v>
      </c>
      <c r="B1680" t="s">
        <v>420</v>
      </c>
      <c r="C1680">
        <v>10</v>
      </c>
    </row>
    <row r="1681" spans="1:3" ht="15.75" customHeight="1" x14ac:dyDescent="0.2">
      <c r="A1681" t="s">
        <v>285</v>
      </c>
      <c r="B1681" t="s">
        <v>420</v>
      </c>
      <c r="C1681">
        <v>10</v>
      </c>
    </row>
    <row r="1682" spans="1:3" ht="15.75" customHeight="1" x14ac:dyDescent="0.2">
      <c r="A1682" t="s">
        <v>285</v>
      </c>
      <c r="B1682" t="s">
        <v>420</v>
      </c>
      <c r="C1682">
        <v>10</v>
      </c>
    </row>
    <row r="1683" spans="1:3" ht="15.75" customHeight="1" x14ac:dyDescent="0.2">
      <c r="A1683" t="s">
        <v>285</v>
      </c>
      <c r="B1683" t="s">
        <v>420</v>
      </c>
      <c r="C1683">
        <v>10</v>
      </c>
    </row>
    <row r="1684" spans="1:3" ht="15.75" customHeight="1" x14ac:dyDescent="0.2">
      <c r="A1684" t="s">
        <v>285</v>
      </c>
      <c r="B1684" t="s">
        <v>420</v>
      </c>
      <c r="C1684">
        <v>10</v>
      </c>
    </row>
    <row r="1685" spans="1:3" ht="15.75" customHeight="1" x14ac:dyDescent="0.2">
      <c r="A1685" t="s">
        <v>285</v>
      </c>
      <c r="B1685" t="s">
        <v>420</v>
      </c>
      <c r="C1685">
        <v>10</v>
      </c>
    </row>
    <row r="1686" spans="1:3" ht="15.75" customHeight="1" x14ac:dyDescent="0.2">
      <c r="A1686" t="s">
        <v>285</v>
      </c>
      <c r="B1686" t="s">
        <v>420</v>
      </c>
      <c r="C1686">
        <v>10</v>
      </c>
    </row>
    <row r="1687" spans="1:3" ht="15.75" customHeight="1" x14ac:dyDescent="0.2">
      <c r="A1687" t="s">
        <v>285</v>
      </c>
      <c r="B1687" t="s">
        <v>420</v>
      </c>
      <c r="C1687">
        <v>10</v>
      </c>
    </row>
    <row r="1688" spans="1:3" ht="15.75" customHeight="1" x14ac:dyDescent="0.2">
      <c r="A1688" t="s">
        <v>285</v>
      </c>
      <c r="B1688" t="s">
        <v>420</v>
      </c>
      <c r="C1688">
        <v>10</v>
      </c>
    </row>
    <row r="1689" spans="1:3" ht="15.75" customHeight="1" x14ac:dyDescent="0.2">
      <c r="A1689" t="s">
        <v>285</v>
      </c>
      <c r="B1689" t="s">
        <v>420</v>
      </c>
      <c r="C1689">
        <v>10</v>
      </c>
    </row>
    <row r="1690" spans="1:3" ht="15.75" customHeight="1" x14ac:dyDescent="0.2">
      <c r="A1690" t="s">
        <v>285</v>
      </c>
      <c r="B1690" t="s">
        <v>420</v>
      </c>
      <c r="C1690">
        <v>10</v>
      </c>
    </row>
    <row r="1691" spans="1:3" ht="15.75" customHeight="1" x14ac:dyDescent="0.2">
      <c r="A1691" t="s">
        <v>285</v>
      </c>
      <c r="B1691" t="s">
        <v>420</v>
      </c>
      <c r="C1691">
        <v>10</v>
      </c>
    </row>
    <row r="1692" spans="1:3" ht="15.75" customHeight="1" x14ac:dyDescent="0.2">
      <c r="A1692" t="s">
        <v>285</v>
      </c>
      <c r="B1692" t="s">
        <v>420</v>
      </c>
      <c r="C1692">
        <v>10</v>
      </c>
    </row>
    <row r="1693" spans="1:3" ht="15.75" customHeight="1" x14ac:dyDescent="0.2">
      <c r="A1693" t="s">
        <v>285</v>
      </c>
      <c r="B1693" t="s">
        <v>420</v>
      </c>
      <c r="C1693">
        <v>10</v>
      </c>
    </row>
    <row r="1694" spans="1:3" ht="15.75" customHeight="1" x14ac:dyDescent="0.2">
      <c r="A1694" t="s">
        <v>285</v>
      </c>
      <c r="B1694" t="s">
        <v>420</v>
      </c>
      <c r="C1694">
        <v>10</v>
      </c>
    </row>
    <row r="1695" spans="1:3" ht="15.75" customHeight="1" x14ac:dyDescent="0.2">
      <c r="A1695" t="s">
        <v>285</v>
      </c>
      <c r="B1695" t="s">
        <v>420</v>
      </c>
      <c r="C1695">
        <v>10</v>
      </c>
    </row>
    <row r="1696" spans="1:3" ht="15.75" customHeight="1" x14ac:dyDescent="0.2">
      <c r="A1696" t="s">
        <v>285</v>
      </c>
      <c r="B1696" t="s">
        <v>420</v>
      </c>
      <c r="C1696">
        <v>10</v>
      </c>
    </row>
    <row r="1697" spans="1:3" ht="15.75" customHeight="1" x14ac:dyDescent="0.2">
      <c r="A1697" t="s">
        <v>285</v>
      </c>
      <c r="B1697" t="s">
        <v>420</v>
      </c>
      <c r="C1697">
        <v>10</v>
      </c>
    </row>
    <row r="1698" spans="1:3" ht="15.75" customHeight="1" x14ac:dyDescent="0.2">
      <c r="A1698" t="s">
        <v>285</v>
      </c>
      <c r="B1698" t="s">
        <v>420</v>
      </c>
      <c r="C1698">
        <v>10</v>
      </c>
    </row>
    <row r="1699" spans="1:3" ht="15.75" customHeight="1" x14ac:dyDescent="0.2">
      <c r="A1699" t="s">
        <v>285</v>
      </c>
      <c r="B1699" t="s">
        <v>420</v>
      </c>
      <c r="C1699">
        <v>10</v>
      </c>
    </row>
    <row r="1700" spans="1:3" ht="15.75" customHeight="1" x14ac:dyDescent="0.2">
      <c r="A1700" t="s">
        <v>285</v>
      </c>
      <c r="B1700" t="s">
        <v>420</v>
      </c>
      <c r="C1700">
        <v>10</v>
      </c>
    </row>
    <row r="1701" spans="1:3" ht="15.75" customHeight="1" x14ac:dyDescent="0.2">
      <c r="A1701" t="s">
        <v>285</v>
      </c>
      <c r="B1701" t="s">
        <v>420</v>
      </c>
      <c r="C1701">
        <v>10</v>
      </c>
    </row>
    <row r="1702" spans="1:3" ht="15.75" customHeight="1" x14ac:dyDescent="0.2">
      <c r="A1702" t="s">
        <v>285</v>
      </c>
      <c r="B1702" t="s">
        <v>420</v>
      </c>
      <c r="C1702">
        <v>10</v>
      </c>
    </row>
    <row r="1703" spans="1:3" ht="15.75" customHeight="1" x14ac:dyDescent="0.2">
      <c r="A1703" t="s">
        <v>285</v>
      </c>
      <c r="B1703" t="s">
        <v>420</v>
      </c>
      <c r="C1703">
        <v>10</v>
      </c>
    </row>
    <row r="1704" spans="1:3" ht="15.75" customHeight="1" x14ac:dyDescent="0.2">
      <c r="A1704" t="s">
        <v>285</v>
      </c>
      <c r="B1704" t="s">
        <v>420</v>
      </c>
      <c r="C1704">
        <v>10</v>
      </c>
    </row>
    <row r="1705" spans="1:3" ht="15.75" customHeight="1" x14ac:dyDescent="0.2">
      <c r="A1705" t="s">
        <v>285</v>
      </c>
      <c r="B1705" t="s">
        <v>420</v>
      </c>
      <c r="C1705">
        <v>10</v>
      </c>
    </row>
    <row r="1706" spans="1:3" ht="15.75" customHeight="1" x14ac:dyDescent="0.2">
      <c r="A1706" t="s">
        <v>285</v>
      </c>
      <c r="B1706" t="s">
        <v>420</v>
      </c>
      <c r="C1706">
        <v>10</v>
      </c>
    </row>
    <row r="1707" spans="1:3" ht="15.75" customHeight="1" x14ac:dyDescent="0.2">
      <c r="A1707" t="s">
        <v>285</v>
      </c>
      <c r="B1707" t="s">
        <v>420</v>
      </c>
      <c r="C1707">
        <v>10</v>
      </c>
    </row>
    <row r="1708" spans="1:3" ht="15.75" customHeight="1" x14ac:dyDescent="0.2">
      <c r="A1708" t="s">
        <v>285</v>
      </c>
      <c r="B1708" t="s">
        <v>420</v>
      </c>
      <c r="C1708">
        <v>10</v>
      </c>
    </row>
    <row r="1709" spans="1:3" ht="15.75" customHeight="1" x14ac:dyDescent="0.2">
      <c r="A1709" t="s">
        <v>285</v>
      </c>
      <c r="B1709" t="s">
        <v>420</v>
      </c>
      <c r="C1709">
        <v>10</v>
      </c>
    </row>
    <row r="1710" spans="1:3" ht="15.75" customHeight="1" x14ac:dyDescent="0.2">
      <c r="A1710" t="s">
        <v>285</v>
      </c>
      <c r="B1710" t="s">
        <v>420</v>
      </c>
      <c r="C1710">
        <v>10</v>
      </c>
    </row>
    <row r="1711" spans="1:3" ht="15.75" customHeight="1" x14ac:dyDescent="0.2">
      <c r="A1711" t="s">
        <v>285</v>
      </c>
      <c r="B1711" t="s">
        <v>420</v>
      </c>
      <c r="C1711">
        <v>10</v>
      </c>
    </row>
    <row r="1712" spans="1:3" ht="15.75" customHeight="1" x14ac:dyDescent="0.2">
      <c r="A1712" t="s">
        <v>285</v>
      </c>
      <c r="B1712" t="s">
        <v>420</v>
      </c>
      <c r="C1712">
        <v>10</v>
      </c>
    </row>
    <row r="1713" spans="1:3" ht="15.75" customHeight="1" x14ac:dyDescent="0.2">
      <c r="A1713" t="s">
        <v>285</v>
      </c>
      <c r="B1713" t="s">
        <v>420</v>
      </c>
      <c r="C1713">
        <v>10</v>
      </c>
    </row>
    <row r="1714" spans="1:3" ht="15.75" customHeight="1" x14ac:dyDescent="0.2">
      <c r="A1714" t="s">
        <v>285</v>
      </c>
      <c r="B1714" t="s">
        <v>420</v>
      </c>
      <c r="C1714">
        <v>10</v>
      </c>
    </row>
    <row r="1715" spans="1:3" ht="15.75" customHeight="1" x14ac:dyDescent="0.2">
      <c r="A1715" t="s">
        <v>285</v>
      </c>
      <c r="B1715" t="s">
        <v>420</v>
      </c>
      <c r="C1715">
        <v>10</v>
      </c>
    </row>
    <row r="1716" spans="1:3" ht="15.75" customHeight="1" x14ac:dyDescent="0.2">
      <c r="A1716" t="s">
        <v>285</v>
      </c>
      <c r="B1716" t="s">
        <v>420</v>
      </c>
      <c r="C1716">
        <v>10</v>
      </c>
    </row>
    <row r="1717" spans="1:3" ht="15.75" customHeight="1" x14ac:dyDescent="0.2">
      <c r="A1717" t="s">
        <v>285</v>
      </c>
      <c r="B1717" t="s">
        <v>420</v>
      </c>
      <c r="C1717">
        <v>10</v>
      </c>
    </row>
    <row r="1718" spans="1:3" ht="15.75" customHeight="1" x14ac:dyDescent="0.2">
      <c r="A1718" t="s">
        <v>285</v>
      </c>
      <c r="B1718" t="s">
        <v>420</v>
      </c>
      <c r="C1718">
        <v>10</v>
      </c>
    </row>
    <row r="1719" spans="1:3" ht="15.75" customHeight="1" x14ac:dyDescent="0.2">
      <c r="A1719" t="s">
        <v>285</v>
      </c>
      <c r="B1719" t="s">
        <v>420</v>
      </c>
      <c r="C1719">
        <v>10</v>
      </c>
    </row>
    <row r="1720" spans="1:3" ht="15.75" customHeight="1" x14ac:dyDescent="0.2">
      <c r="A1720" t="s">
        <v>285</v>
      </c>
      <c r="B1720" t="s">
        <v>420</v>
      </c>
      <c r="C1720">
        <v>10</v>
      </c>
    </row>
    <row r="1721" spans="1:3" ht="15.75" customHeight="1" x14ac:dyDescent="0.2">
      <c r="A1721" t="s">
        <v>285</v>
      </c>
      <c r="B1721" t="s">
        <v>420</v>
      </c>
      <c r="C1721">
        <v>10</v>
      </c>
    </row>
    <row r="1722" spans="1:3" ht="15.75" customHeight="1" x14ac:dyDescent="0.2">
      <c r="A1722" t="s">
        <v>285</v>
      </c>
      <c r="B1722" t="s">
        <v>420</v>
      </c>
      <c r="C1722">
        <v>10</v>
      </c>
    </row>
    <row r="1723" spans="1:3" ht="15.75" customHeight="1" x14ac:dyDescent="0.2">
      <c r="A1723" t="s">
        <v>285</v>
      </c>
      <c r="B1723" t="s">
        <v>420</v>
      </c>
      <c r="C1723">
        <v>10</v>
      </c>
    </row>
    <row r="1724" spans="1:3" ht="15.75" customHeight="1" x14ac:dyDescent="0.2">
      <c r="A1724" t="s">
        <v>285</v>
      </c>
      <c r="B1724" t="s">
        <v>420</v>
      </c>
      <c r="C1724">
        <v>10</v>
      </c>
    </row>
    <row r="1725" spans="1:3" ht="15.75" customHeight="1" x14ac:dyDescent="0.2">
      <c r="A1725" t="s">
        <v>285</v>
      </c>
      <c r="B1725" t="s">
        <v>420</v>
      </c>
      <c r="C1725">
        <v>10</v>
      </c>
    </row>
    <row r="1726" spans="1:3" ht="15.75" customHeight="1" x14ac:dyDescent="0.2">
      <c r="A1726" t="s">
        <v>285</v>
      </c>
      <c r="B1726" t="s">
        <v>420</v>
      </c>
      <c r="C1726">
        <v>10</v>
      </c>
    </row>
    <row r="1727" spans="1:3" ht="15.75" customHeight="1" x14ac:dyDescent="0.2">
      <c r="A1727" t="s">
        <v>285</v>
      </c>
      <c r="B1727" t="s">
        <v>420</v>
      </c>
      <c r="C1727">
        <v>10</v>
      </c>
    </row>
    <row r="1728" spans="1:3" ht="15.75" customHeight="1" x14ac:dyDescent="0.2">
      <c r="A1728" t="s">
        <v>285</v>
      </c>
      <c r="B1728" t="s">
        <v>420</v>
      </c>
      <c r="C1728">
        <v>10</v>
      </c>
    </row>
    <row r="1729" spans="1:3" ht="15.75" customHeight="1" x14ac:dyDescent="0.2">
      <c r="A1729" t="s">
        <v>285</v>
      </c>
      <c r="B1729" t="s">
        <v>420</v>
      </c>
      <c r="C1729">
        <v>10</v>
      </c>
    </row>
    <row r="1730" spans="1:3" ht="15.75" customHeight="1" x14ac:dyDescent="0.2">
      <c r="A1730" t="s">
        <v>285</v>
      </c>
      <c r="B1730" t="s">
        <v>420</v>
      </c>
      <c r="C1730">
        <v>10</v>
      </c>
    </row>
    <row r="1731" spans="1:3" ht="15.75" customHeight="1" x14ac:dyDescent="0.2">
      <c r="A1731" t="s">
        <v>285</v>
      </c>
      <c r="B1731" t="s">
        <v>420</v>
      </c>
      <c r="C1731">
        <v>10</v>
      </c>
    </row>
    <row r="1732" spans="1:3" ht="15.75" customHeight="1" x14ac:dyDescent="0.2">
      <c r="A1732" t="s">
        <v>285</v>
      </c>
      <c r="B1732" t="s">
        <v>420</v>
      </c>
      <c r="C1732">
        <v>10</v>
      </c>
    </row>
    <row r="1733" spans="1:3" ht="15.75" customHeight="1" x14ac:dyDescent="0.2">
      <c r="A1733" t="s">
        <v>285</v>
      </c>
      <c r="B1733" t="s">
        <v>420</v>
      </c>
      <c r="C1733">
        <v>10</v>
      </c>
    </row>
    <row r="1734" spans="1:3" ht="15.75" customHeight="1" x14ac:dyDescent="0.2">
      <c r="A1734" t="s">
        <v>285</v>
      </c>
      <c r="B1734" t="s">
        <v>420</v>
      </c>
      <c r="C1734">
        <v>10</v>
      </c>
    </row>
    <row r="1735" spans="1:3" ht="15.75" customHeight="1" x14ac:dyDescent="0.2">
      <c r="A1735" t="s">
        <v>285</v>
      </c>
      <c r="B1735" t="s">
        <v>420</v>
      </c>
      <c r="C1735">
        <v>10</v>
      </c>
    </row>
    <row r="1736" spans="1:3" ht="15.75" customHeight="1" x14ac:dyDescent="0.2">
      <c r="A1736" t="s">
        <v>285</v>
      </c>
      <c r="B1736" t="s">
        <v>420</v>
      </c>
      <c r="C1736">
        <v>10</v>
      </c>
    </row>
    <row r="1737" spans="1:3" ht="15.75" customHeight="1" x14ac:dyDescent="0.2">
      <c r="A1737" t="s">
        <v>285</v>
      </c>
      <c r="B1737" t="s">
        <v>420</v>
      </c>
      <c r="C1737">
        <v>10</v>
      </c>
    </row>
    <row r="1738" spans="1:3" ht="15.75" customHeight="1" x14ac:dyDescent="0.2">
      <c r="A1738" t="s">
        <v>285</v>
      </c>
      <c r="B1738" t="s">
        <v>420</v>
      </c>
      <c r="C1738">
        <v>10</v>
      </c>
    </row>
    <row r="1739" spans="1:3" ht="15.75" customHeight="1" x14ac:dyDescent="0.2">
      <c r="A1739" t="s">
        <v>285</v>
      </c>
      <c r="B1739" t="s">
        <v>420</v>
      </c>
      <c r="C1739">
        <v>10</v>
      </c>
    </row>
    <row r="1740" spans="1:3" ht="15.75" customHeight="1" x14ac:dyDescent="0.2">
      <c r="A1740" t="s">
        <v>285</v>
      </c>
      <c r="B1740" t="s">
        <v>420</v>
      </c>
      <c r="C1740">
        <v>10</v>
      </c>
    </row>
    <row r="1741" spans="1:3" ht="15.75" customHeight="1" x14ac:dyDescent="0.2">
      <c r="A1741" t="s">
        <v>285</v>
      </c>
      <c r="B1741" t="s">
        <v>420</v>
      </c>
      <c r="C1741">
        <v>10</v>
      </c>
    </row>
    <row r="1742" spans="1:3" ht="15.75" customHeight="1" x14ac:dyDescent="0.2">
      <c r="A1742" t="s">
        <v>285</v>
      </c>
      <c r="B1742" t="s">
        <v>420</v>
      </c>
      <c r="C1742">
        <v>10</v>
      </c>
    </row>
    <row r="1743" spans="1:3" ht="15.75" customHeight="1" x14ac:dyDescent="0.2">
      <c r="A1743" t="s">
        <v>285</v>
      </c>
      <c r="B1743" t="s">
        <v>420</v>
      </c>
      <c r="C1743">
        <v>10</v>
      </c>
    </row>
    <row r="1744" spans="1:3" ht="15.75" customHeight="1" x14ac:dyDescent="0.2">
      <c r="A1744" t="s">
        <v>285</v>
      </c>
      <c r="B1744" t="s">
        <v>420</v>
      </c>
      <c r="C1744">
        <v>10</v>
      </c>
    </row>
    <row r="1745" spans="1:3" ht="15.75" customHeight="1" x14ac:dyDescent="0.2">
      <c r="A1745" t="s">
        <v>285</v>
      </c>
      <c r="B1745" t="s">
        <v>420</v>
      </c>
      <c r="C1745">
        <v>10</v>
      </c>
    </row>
    <row r="1746" spans="1:3" ht="15.75" customHeight="1" x14ac:dyDescent="0.2">
      <c r="A1746" t="s">
        <v>285</v>
      </c>
      <c r="B1746" t="s">
        <v>420</v>
      </c>
      <c r="C1746">
        <v>10</v>
      </c>
    </row>
    <row r="1747" spans="1:3" ht="15.75" customHeight="1" x14ac:dyDescent="0.2">
      <c r="A1747" t="s">
        <v>285</v>
      </c>
      <c r="B1747" t="s">
        <v>420</v>
      </c>
      <c r="C1747">
        <v>10</v>
      </c>
    </row>
    <row r="1748" spans="1:3" ht="15.75" customHeight="1" x14ac:dyDescent="0.2">
      <c r="A1748" t="s">
        <v>285</v>
      </c>
      <c r="B1748" t="s">
        <v>420</v>
      </c>
      <c r="C1748">
        <v>10</v>
      </c>
    </row>
    <row r="1749" spans="1:3" ht="15.75" customHeight="1" x14ac:dyDescent="0.2">
      <c r="A1749" t="s">
        <v>285</v>
      </c>
      <c r="B1749" t="s">
        <v>420</v>
      </c>
      <c r="C1749">
        <v>10</v>
      </c>
    </row>
    <row r="1750" spans="1:3" ht="15.75" customHeight="1" x14ac:dyDescent="0.2">
      <c r="A1750" t="s">
        <v>285</v>
      </c>
      <c r="B1750" t="s">
        <v>420</v>
      </c>
      <c r="C1750">
        <v>10</v>
      </c>
    </row>
    <row r="1751" spans="1:3" ht="15.75" customHeight="1" x14ac:dyDescent="0.2">
      <c r="A1751" t="s">
        <v>285</v>
      </c>
      <c r="B1751" t="s">
        <v>420</v>
      </c>
      <c r="C1751">
        <v>10</v>
      </c>
    </row>
    <row r="1752" spans="1:3" ht="15.75" customHeight="1" x14ac:dyDescent="0.2">
      <c r="A1752" t="s">
        <v>285</v>
      </c>
      <c r="B1752" t="s">
        <v>420</v>
      </c>
      <c r="C1752">
        <v>10</v>
      </c>
    </row>
    <row r="1753" spans="1:3" ht="15.75" customHeight="1" x14ac:dyDescent="0.2">
      <c r="A1753" t="s">
        <v>285</v>
      </c>
      <c r="B1753" t="s">
        <v>420</v>
      </c>
      <c r="C1753">
        <v>10</v>
      </c>
    </row>
    <row r="1754" spans="1:3" ht="15.75" customHeight="1" x14ac:dyDescent="0.2">
      <c r="A1754" t="s">
        <v>285</v>
      </c>
      <c r="B1754" t="s">
        <v>420</v>
      </c>
      <c r="C1754">
        <v>10</v>
      </c>
    </row>
    <row r="1755" spans="1:3" ht="15.75" customHeight="1" x14ac:dyDescent="0.2">
      <c r="A1755" t="s">
        <v>285</v>
      </c>
      <c r="B1755" t="s">
        <v>420</v>
      </c>
      <c r="C1755">
        <v>10</v>
      </c>
    </row>
    <row r="1756" spans="1:3" ht="15.75" customHeight="1" x14ac:dyDescent="0.2">
      <c r="A1756" t="s">
        <v>285</v>
      </c>
      <c r="B1756" t="s">
        <v>420</v>
      </c>
      <c r="C1756">
        <v>10</v>
      </c>
    </row>
    <row r="1757" spans="1:3" ht="15.75" customHeight="1" x14ac:dyDescent="0.2">
      <c r="A1757" t="s">
        <v>285</v>
      </c>
      <c r="B1757" t="s">
        <v>420</v>
      </c>
      <c r="C1757">
        <v>10</v>
      </c>
    </row>
    <row r="1758" spans="1:3" ht="15.75" customHeight="1" x14ac:dyDescent="0.2">
      <c r="A1758" t="s">
        <v>285</v>
      </c>
      <c r="B1758" t="s">
        <v>420</v>
      </c>
      <c r="C1758">
        <v>10</v>
      </c>
    </row>
    <row r="1759" spans="1:3" ht="15.75" customHeight="1" x14ac:dyDescent="0.2">
      <c r="A1759" t="s">
        <v>285</v>
      </c>
      <c r="B1759" t="s">
        <v>420</v>
      </c>
      <c r="C1759">
        <v>10</v>
      </c>
    </row>
    <row r="1760" spans="1:3" ht="15.75" customHeight="1" x14ac:dyDescent="0.2">
      <c r="A1760" t="s">
        <v>285</v>
      </c>
      <c r="B1760" t="s">
        <v>420</v>
      </c>
      <c r="C1760">
        <v>10</v>
      </c>
    </row>
    <row r="1761" spans="1:3" ht="15.75" customHeight="1" x14ac:dyDescent="0.2">
      <c r="A1761" t="s">
        <v>285</v>
      </c>
      <c r="B1761" t="s">
        <v>431</v>
      </c>
      <c r="C1761">
        <v>11</v>
      </c>
    </row>
    <row r="1762" spans="1:3" ht="15.75" customHeight="1" x14ac:dyDescent="0.2">
      <c r="A1762" t="s">
        <v>285</v>
      </c>
      <c r="B1762" t="s">
        <v>431</v>
      </c>
      <c r="C1762">
        <v>11</v>
      </c>
    </row>
    <row r="1763" spans="1:3" ht="15.75" customHeight="1" x14ac:dyDescent="0.2">
      <c r="A1763" t="s">
        <v>285</v>
      </c>
      <c r="B1763" t="s">
        <v>431</v>
      </c>
      <c r="C1763">
        <v>11</v>
      </c>
    </row>
    <row r="1764" spans="1:3" ht="15.75" customHeight="1" x14ac:dyDescent="0.2">
      <c r="A1764" t="s">
        <v>285</v>
      </c>
      <c r="B1764" t="s">
        <v>431</v>
      </c>
      <c r="C1764">
        <v>11</v>
      </c>
    </row>
    <row r="1765" spans="1:3" ht="15.75" customHeight="1" x14ac:dyDescent="0.2">
      <c r="A1765" t="s">
        <v>285</v>
      </c>
      <c r="B1765" t="s">
        <v>431</v>
      </c>
      <c r="C1765">
        <v>11</v>
      </c>
    </row>
    <row r="1766" spans="1:3" ht="15.75" customHeight="1" x14ac:dyDescent="0.2">
      <c r="A1766" t="s">
        <v>285</v>
      </c>
      <c r="B1766" t="s">
        <v>431</v>
      </c>
      <c r="C1766">
        <v>11</v>
      </c>
    </row>
    <row r="1767" spans="1:3" ht="15.75" customHeight="1" x14ac:dyDescent="0.2">
      <c r="A1767" t="s">
        <v>285</v>
      </c>
      <c r="B1767" t="s">
        <v>431</v>
      </c>
      <c r="C1767">
        <v>11</v>
      </c>
    </row>
    <row r="1768" spans="1:3" ht="15.75" customHeight="1" x14ac:dyDescent="0.2">
      <c r="A1768" t="s">
        <v>285</v>
      </c>
      <c r="B1768" t="s">
        <v>431</v>
      </c>
      <c r="C1768">
        <v>11</v>
      </c>
    </row>
    <row r="1769" spans="1:3" ht="15.75" customHeight="1" x14ac:dyDescent="0.2">
      <c r="A1769" t="s">
        <v>285</v>
      </c>
      <c r="B1769" t="s">
        <v>431</v>
      </c>
      <c r="C1769">
        <v>11</v>
      </c>
    </row>
    <row r="1770" spans="1:3" ht="15.75" customHeight="1" x14ac:dyDescent="0.2">
      <c r="A1770" t="s">
        <v>285</v>
      </c>
      <c r="B1770" t="s">
        <v>431</v>
      </c>
      <c r="C1770">
        <v>11</v>
      </c>
    </row>
    <row r="1771" spans="1:3" ht="15.75" customHeight="1" x14ac:dyDescent="0.2">
      <c r="A1771" t="s">
        <v>285</v>
      </c>
      <c r="B1771" t="s">
        <v>431</v>
      </c>
      <c r="C1771">
        <v>11</v>
      </c>
    </row>
    <row r="1772" spans="1:3" ht="15.75" customHeight="1" x14ac:dyDescent="0.2">
      <c r="A1772" t="s">
        <v>285</v>
      </c>
      <c r="B1772" t="s">
        <v>431</v>
      </c>
      <c r="C1772">
        <v>11</v>
      </c>
    </row>
    <row r="1773" spans="1:3" ht="15.75" customHeight="1" x14ac:dyDescent="0.2">
      <c r="A1773" t="s">
        <v>285</v>
      </c>
      <c r="B1773" t="s">
        <v>431</v>
      </c>
      <c r="C1773">
        <v>11</v>
      </c>
    </row>
    <row r="1774" spans="1:3" ht="15.75" customHeight="1" x14ac:dyDescent="0.2">
      <c r="A1774" t="s">
        <v>285</v>
      </c>
      <c r="B1774" t="s">
        <v>431</v>
      </c>
      <c r="C1774">
        <v>11</v>
      </c>
    </row>
    <row r="1775" spans="1:3" ht="15.75" customHeight="1" x14ac:dyDescent="0.2">
      <c r="A1775" t="s">
        <v>285</v>
      </c>
      <c r="B1775" t="s">
        <v>431</v>
      </c>
      <c r="C1775">
        <v>11</v>
      </c>
    </row>
    <row r="1776" spans="1:3" ht="15.75" customHeight="1" x14ac:dyDescent="0.2">
      <c r="A1776" t="s">
        <v>285</v>
      </c>
      <c r="B1776" t="s">
        <v>431</v>
      </c>
      <c r="C1776">
        <v>11</v>
      </c>
    </row>
    <row r="1777" spans="1:3" ht="15.75" customHeight="1" x14ac:dyDescent="0.2">
      <c r="A1777" t="s">
        <v>285</v>
      </c>
      <c r="B1777" t="s">
        <v>431</v>
      </c>
      <c r="C1777">
        <v>11</v>
      </c>
    </row>
    <row r="1778" spans="1:3" ht="15.75" customHeight="1" x14ac:dyDescent="0.2">
      <c r="A1778" t="s">
        <v>285</v>
      </c>
      <c r="B1778" t="s">
        <v>431</v>
      </c>
      <c r="C1778">
        <v>11</v>
      </c>
    </row>
    <row r="1779" spans="1:3" ht="15.75" customHeight="1" x14ac:dyDescent="0.2">
      <c r="A1779" t="s">
        <v>285</v>
      </c>
      <c r="B1779" t="s">
        <v>431</v>
      </c>
      <c r="C1779">
        <v>11</v>
      </c>
    </row>
    <row r="1780" spans="1:3" ht="15.75" customHeight="1" x14ac:dyDescent="0.2">
      <c r="A1780" t="s">
        <v>285</v>
      </c>
      <c r="B1780" t="s">
        <v>431</v>
      </c>
      <c r="C1780">
        <v>11</v>
      </c>
    </row>
    <row r="1781" spans="1:3" ht="15.75" customHeight="1" x14ac:dyDescent="0.2">
      <c r="A1781" t="s">
        <v>285</v>
      </c>
      <c r="B1781" t="s">
        <v>431</v>
      </c>
      <c r="C1781">
        <v>11</v>
      </c>
    </row>
    <row r="1782" spans="1:3" ht="15.75" customHeight="1" x14ac:dyDescent="0.2">
      <c r="A1782" t="s">
        <v>285</v>
      </c>
      <c r="B1782" t="s">
        <v>431</v>
      </c>
      <c r="C1782">
        <v>11</v>
      </c>
    </row>
    <row r="1783" spans="1:3" ht="15.75" customHeight="1" x14ac:dyDescent="0.2">
      <c r="A1783" t="s">
        <v>285</v>
      </c>
      <c r="B1783" t="s">
        <v>431</v>
      </c>
      <c r="C1783">
        <v>11</v>
      </c>
    </row>
    <row r="1784" spans="1:3" ht="15.75" customHeight="1" x14ac:dyDescent="0.2">
      <c r="A1784" t="s">
        <v>285</v>
      </c>
      <c r="B1784" t="s">
        <v>431</v>
      </c>
      <c r="C1784">
        <v>11</v>
      </c>
    </row>
    <row r="1785" spans="1:3" ht="15.75" customHeight="1" x14ac:dyDescent="0.2">
      <c r="A1785" t="s">
        <v>285</v>
      </c>
      <c r="B1785" t="s">
        <v>431</v>
      </c>
      <c r="C1785">
        <v>11</v>
      </c>
    </row>
    <row r="1786" spans="1:3" ht="15.75" customHeight="1" x14ac:dyDescent="0.2">
      <c r="A1786" t="s">
        <v>285</v>
      </c>
      <c r="B1786" t="s">
        <v>431</v>
      </c>
      <c r="C1786">
        <v>11</v>
      </c>
    </row>
    <row r="1787" spans="1:3" ht="15.75" customHeight="1" x14ac:dyDescent="0.2">
      <c r="A1787" t="s">
        <v>285</v>
      </c>
      <c r="B1787" t="s">
        <v>431</v>
      </c>
      <c r="C1787">
        <v>11</v>
      </c>
    </row>
    <row r="1788" spans="1:3" ht="15.75" customHeight="1" x14ac:dyDescent="0.2">
      <c r="A1788" t="s">
        <v>285</v>
      </c>
      <c r="B1788" t="s">
        <v>431</v>
      </c>
      <c r="C1788">
        <v>11</v>
      </c>
    </row>
    <row r="1789" spans="1:3" ht="15.75" customHeight="1" x14ac:dyDescent="0.2">
      <c r="A1789" t="s">
        <v>285</v>
      </c>
      <c r="B1789" t="s">
        <v>431</v>
      </c>
      <c r="C1789">
        <v>11</v>
      </c>
    </row>
    <row r="1790" spans="1:3" ht="15.75" customHeight="1" x14ac:dyDescent="0.2">
      <c r="A1790" t="s">
        <v>285</v>
      </c>
      <c r="B1790" t="s">
        <v>431</v>
      </c>
      <c r="C1790">
        <v>11</v>
      </c>
    </row>
    <row r="1791" spans="1:3" ht="15.75" customHeight="1" x14ac:dyDescent="0.2">
      <c r="A1791" t="s">
        <v>285</v>
      </c>
      <c r="B1791" t="s">
        <v>431</v>
      </c>
      <c r="C1791">
        <v>11</v>
      </c>
    </row>
    <row r="1792" spans="1:3" ht="15.75" customHeight="1" x14ac:dyDescent="0.2">
      <c r="A1792" t="s">
        <v>285</v>
      </c>
      <c r="B1792" t="s">
        <v>431</v>
      </c>
      <c r="C1792">
        <v>11</v>
      </c>
    </row>
    <row r="1793" spans="1:3" ht="15.75" customHeight="1" x14ac:dyDescent="0.2">
      <c r="A1793" t="s">
        <v>285</v>
      </c>
      <c r="B1793" t="s">
        <v>431</v>
      </c>
      <c r="C1793">
        <v>11</v>
      </c>
    </row>
    <row r="1794" spans="1:3" ht="15.75" customHeight="1" x14ac:dyDescent="0.2">
      <c r="A1794" t="s">
        <v>285</v>
      </c>
      <c r="B1794" t="s">
        <v>431</v>
      </c>
      <c r="C1794">
        <v>11</v>
      </c>
    </row>
    <row r="1795" spans="1:3" ht="15.75" customHeight="1" x14ac:dyDescent="0.2">
      <c r="A1795" t="s">
        <v>285</v>
      </c>
      <c r="B1795" t="s">
        <v>431</v>
      </c>
      <c r="C1795">
        <v>11</v>
      </c>
    </row>
    <row r="1796" spans="1:3" ht="15.75" customHeight="1" x14ac:dyDescent="0.2">
      <c r="A1796" t="s">
        <v>285</v>
      </c>
      <c r="B1796" t="s">
        <v>431</v>
      </c>
      <c r="C1796">
        <v>11</v>
      </c>
    </row>
    <row r="1797" spans="1:3" ht="15.75" customHeight="1" x14ac:dyDescent="0.2">
      <c r="A1797" t="s">
        <v>285</v>
      </c>
      <c r="B1797" t="s">
        <v>431</v>
      </c>
      <c r="C1797">
        <v>11</v>
      </c>
    </row>
    <row r="1798" spans="1:3" ht="15.75" customHeight="1" x14ac:dyDescent="0.2">
      <c r="A1798" t="s">
        <v>285</v>
      </c>
      <c r="B1798" t="s">
        <v>431</v>
      </c>
      <c r="C1798">
        <v>11</v>
      </c>
    </row>
    <row r="1799" spans="1:3" ht="15.75" customHeight="1" x14ac:dyDescent="0.2">
      <c r="A1799" t="s">
        <v>285</v>
      </c>
      <c r="B1799" t="s">
        <v>431</v>
      </c>
      <c r="C1799">
        <v>11</v>
      </c>
    </row>
    <row r="1800" spans="1:3" ht="15.75" customHeight="1" x14ac:dyDescent="0.2">
      <c r="A1800" t="s">
        <v>285</v>
      </c>
      <c r="B1800" t="s">
        <v>431</v>
      </c>
      <c r="C1800">
        <v>11</v>
      </c>
    </row>
    <row r="1801" spans="1:3" ht="15.75" customHeight="1" x14ac:dyDescent="0.2">
      <c r="A1801" t="s">
        <v>285</v>
      </c>
      <c r="B1801" t="s">
        <v>431</v>
      </c>
      <c r="C1801">
        <v>11</v>
      </c>
    </row>
    <row r="1802" spans="1:3" ht="15.75" customHeight="1" x14ac:dyDescent="0.2">
      <c r="A1802" t="s">
        <v>285</v>
      </c>
      <c r="B1802" t="s">
        <v>431</v>
      </c>
      <c r="C1802">
        <v>11</v>
      </c>
    </row>
    <row r="1803" spans="1:3" ht="15.75" customHeight="1" x14ac:dyDescent="0.2">
      <c r="A1803" t="s">
        <v>285</v>
      </c>
      <c r="B1803" t="s">
        <v>431</v>
      </c>
      <c r="C1803">
        <v>11</v>
      </c>
    </row>
    <row r="1804" spans="1:3" ht="15.75" customHeight="1" x14ac:dyDescent="0.2">
      <c r="A1804" t="s">
        <v>285</v>
      </c>
      <c r="B1804" t="s">
        <v>431</v>
      </c>
      <c r="C1804">
        <v>11</v>
      </c>
    </row>
    <row r="1805" spans="1:3" ht="15.75" customHeight="1" x14ac:dyDescent="0.2">
      <c r="A1805" t="s">
        <v>285</v>
      </c>
      <c r="B1805" t="s">
        <v>431</v>
      </c>
      <c r="C1805">
        <v>11</v>
      </c>
    </row>
    <row r="1806" spans="1:3" ht="15.75" customHeight="1" x14ac:dyDescent="0.2">
      <c r="A1806" t="s">
        <v>285</v>
      </c>
      <c r="B1806" t="s">
        <v>431</v>
      </c>
      <c r="C1806">
        <v>11</v>
      </c>
    </row>
    <row r="1807" spans="1:3" ht="15.75" customHeight="1" x14ac:dyDescent="0.2">
      <c r="A1807" t="s">
        <v>285</v>
      </c>
      <c r="B1807" t="s">
        <v>431</v>
      </c>
      <c r="C1807">
        <v>11</v>
      </c>
    </row>
    <row r="1808" spans="1:3" ht="15.75" customHeight="1" x14ac:dyDescent="0.2">
      <c r="A1808" t="s">
        <v>285</v>
      </c>
      <c r="B1808" t="s">
        <v>431</v>
      </c>
      <c r="C1808">
        <v>11</v>
      </c>
    </row>
    <row r="1809" spans="1:3" ht="15.75" customHeight="1" x14ac:dyDescent="0.2">
      <c r="A1809" t="s">
        <v>285</v>
      </c>
      <c r="B1809" t="s">
        <v>431</v>
      </c>
      <c r="C1809">
        <v>11</v>
      </c>
    </row>
    <row r="1810" spans="1:3" ht="15.75" customHeight="1" x14ac:dyDescent="0.2">
      <c r="A1810" t="s">
        <v>285</v>
      </c>
      <c r="B1810" t="s">
        <v>431</v>
      </c>
      <c r="C1810">
        <v>11</v>
      </c>
    </row>
    <row r="1811" spans="1:3" ht="15.75" customHeight="1" x14ac:dyDescent="0.2">
      <c r="A1811" t="s">
        <v>285</v>
      </c>
      <c r="B1811" t="s">
        <v>431</v>
      </c>
      <c r="C1811">
        <v>11</v>
      </c>
    </row>
    <row r="1812" spans="1:3" ht="15.75" customHeight="1" x14ac:dyDescent="0.2">
      <c r="A1812" t="s">
        <v>285</v>
      </c>
      <c r="B1812" t="s">
        <v>431</v>
      </c>
      <c r="C1812">
        <v>11</v>
      </c>
    </row>
    <row r="1813" spans="1:3" ht="15.75" customHeight="1" x14ac:dyDescent="0.2">
      <c r="A1813" t="s">
        <v>285</v>
      </c>
      <c r="B1813" t="s">
        <v>431</v>
      </c>
      <c r="C1813">
        <v>11</v>
      </c>
    </row>
    <row r="1814" spans="1:3" ht="15.75" customHeight="1" x14ac:dyDescent="0.2">
      <c r="A1814" t="s">
        <v>285</v>
      </c>
      <c r="B1814" t="s">
        <v>431</v>
      </c>
      <c r="C1814">
        <v>11</v>
      </c>
    </row>
    <row r="1815" spans="1:3" ht="15.75" customHeight="1" x14ac:dyDescent="0.2">
      <c r="A1815" t="s">
        <v>285</v>
      </c>
      <c r="B1815" t="s">
        <v>431</v>
      </c>
      <c r="C1815">
        <v>11</v>
      </c>
    </row>
    <row r="1816" spans="1:3" ht="15.75" customHeight="1" x14ac:dyDescent="0.2">
      <c r="A1816" t="s">
        <v>285</v>
      </c>
      <c r="B1816" t="s">
        <v>431</v>
      </c>
      <c r="C1816">
        <v>11</v>
      </c>
    </row>
    <row r="1817" spans="1:3" ht="15.75" customHeight="1" x14ac:dyDescent="0.2">
      <c r="A1817" t="s">
        <v>285</v>
      </c>
      <c r="B1817" t="s">
        <v>431</v>
      </c>
      <c r="C1817">
        <v>11</v>
      </c>
    </row>
    <row r="1818" spans="1:3" ht="15.75" customHeight="1" x14ac:dyDescent="0.2">
      <c r="A1818" t="s">
        <v>285</v>
      </c>
      <c r="B1818" t="s">
        <v>431</v>
      </c>
      <c r="C1818">
        <v>11</v>
      </c>
    </row>
    <row r="1819" spans="1:3" ht="15.75" customHeight="1" x14ac:dyDescent="0.2">
      <c r="A1819" t="s">
        <v>285</v>
      </c>
      <c r="B1819" t="s">
        <v>431</v>
      </c>
      <c r="C1819">
        <v>11</v>
      </c>
    </row>
    <row r="1820" spans="1:3" ht="15.75" customHeight="1" x14ac:dyDescent="0.2">
      <c r="A1820" t="s">
        <v>285</v>
      </c>
      <c r="B1820" t="s">
        <v>431</v>
      </c>
      <c r="C1820">
        <v>11</v>
      </c>
    </row>
    <row r="1821" spans="1:3" ht="15.75" customHeight="1" x14ac:dyDescent="0.2">
      <c r="A1821" t="s">
        <v>285</v>
      </c>
      <c r="B1821" t="s">
        <v>431</v>
      </c>
      <c r="C1821">
        <v>11</v>
      </c>
    </row>
    <row r="1822" spans="1:3" ht="15.75" customHeight="1" x14ac:dyDescent="0.2">
      <c r="A1822" t="s">
        <v>285</v>
      </c>
      <c r="B1822" t="s">
        <v>431</v>
      </c>
      <c r="C1822">
        <v>11</v>
      </c>
    </row>
    <row r="1823" spans="1:3" ht="15.75" customHeight="1" x14ac:dyDescent="0.2">
      <c r="A1823" t="s">
        <v>285</v>
      </c>
      <c r="B1823" t="s">
        <v>431</v>
      </c>
      <c r="C1823">
        <v>11</v>
      </c>
    </row>
    <row r="1824" spans="1:3" ht="15.75" customHeight="1" x14ac:dyDescent="0.2">
      <c r="A1824" t="s">
        <v>285</v>
      </c>
      <c r="B1824" t="s">
        <v>431</v>
      </c>
      <c r="C1824">
        <v>11</v>
      </c>
    </row>
    <row r="1825" spans="1:3" ht="15.75" customHeight="1" x14ac:dyDescent="0.2">
      <c r="A1825" t="s">
        <v>285</v>
      </c>
      <c r="B1825" t="s">
        <v>431</v>
      </c>
      <c r="C1825">
        <v>11</v>
      </c>
    </row>
    <row r="1826" spans="1:3" ht="15.75" customHeight="1" x14ac:dyDescent="0.2">
      <c r="A1826" t="s">
        <v>285</v>
      </c>
      <c r="B1826" t="s">
        <v>431</v>
      </c>
      <c r="C1826">
        <v>11</v>
      </c>
    </row>
    <row r="1827" spans="1:3" ht="15.75" customHeight="1" x14ac:dyDescent="0.2">
      <c r="A1827" t="s">
        <v>285</v>
      </c>
      <c r="B1827" t="s">
        <v>431</v>
      </c>
      <c r="C1827">
        <v>11</v>
      </c>
    </row>
    <row r="1828" spans="1:3" ht="15.75" customHeight="1" x14ac:dyDescent="0.2">
      <c r="A1828" t="s">
        <v>285</v>
      </c>
      <c r="B1828" t="s">
        <v>431</v>
      </c>
      <c r="C1828">
        <v>11</v>
      </c>
    </row>
    <row r="1829" spans="1:3" ht="15.75" customHeight="1" x14ac:dyDescent="0.2">
      <c r="A1829" t="s">
        <v>285</v>
      </c>
      <c r="B1829" t="s">
        <v>431</v>
      </c>
      <c r="C1829">
        <v>11</v>
      </c>
    </row>
    <row r="1830" spans="1:3" ht="15.75" customHeight="1" x14ac:dyDescent="0.2">
      <c r="A1830" t="s">
        <v>285</v>
      </c>
      <c r="B1830" t="s">
        <v>431</v>
      </c>
      <c r="C1830">
        <v>11</v>
      </c>
    </row>
    <row r="1831" spans="1:3" ht="15.75" customHeight="1" x14ac:dyDescent="0.2">
      <c r="A1831" t="s">
        <v>285</v>
      </c>
      <c r="B1831" t="s">
        <v>431</v>
      </c>
      <c r="C1831">
        <v>11</v>
      </c>
    </row>
    <row r="1832" spans="1:3" ht="15.75" customHeight="1" x14ac:dyDescent="0.2">
      <c r="A1832" t="s">
        <v>285</v>
      </c>
      <c r="B1832" t="s">
        <v>431</v>
      </c>
      <c r="C1832">
        <v>11</v>
      </c>
    </row>
    <row r="1833" spans="1:3" ht="15.75" customHeight="1" x14ac:dyDescent="0.2">
      <c r="A1833" t="s">
        <v>285</v>
      </c>
      <c r="B1833" t="s">
        <v>431</v>
      </c>
      <c r="C1833">
        <v>11</v>
      </c>
    </row>
    <row r="1834" spans="1:3" ht="15.75" customHeight="1" x14ac:dyDescent="0.2">
      <c r="A1834" t="s">
        <v>285</v>
      </c>
      <c r="B1834" t="s">
        <v>431</v>
      </c>
      <c r="C1834">
        <v>11</v>
      </c>
    </row>
    <row r="1835" spans="1:3" ht="15.75" customHeight="1" x14ac:dyDescent="0.2">
      <c r="A1835" t="s">
        <v>285</v>
      </c>
      <c r="B1835" t="s">
        <v>431</v>
      </c>
      <c r="C1835">
        <v>11</v>
      </c>
    </row>
    <row r="1836" spans="1:3" ht="15.75" customHeight="1" x14ac:dyDescent="0.2">
      <c r="A1836" t="s">
        <v>285</v>
      </c>
      <c r="B1836" t="s">
        <v>431</v>
      </c>
      <c r="C1836">
        <v>11</v>
      </c>
    </row>
    <row r="1837" spans="1:3" ht="15.75" customHeight="1" x14ac:dyDescent="0.2">
      <c r="A1837" t="s">
        <v>285</v>
      </c>
      <c r="B1837" t="s">
        <v>431</v>
      </c>
      <c r="C1837">
        <v>11</v>
      </c>
    </row>
    <row r="1838" spans="1:3" ht="15.75" customHeight="1" x14ac:dyDescent="0.2">
      <c r="A1838" t="s">
        <v>285</v>
      </c>
      <c r="B1838" t="s">
        <v>431</v>
      </c>
      <c r="C1838">
        <v>11</v>
      </c>
    </row>
    <row r="1839" spans="1:3" ht="15.75" customHeight="1" x14ac:dyDescent="0.2">
      <c r="A1839" t="s">
        <v>285</v>
      </c>
      <c r="B1839" t="s">
        <v>431</v>
      </c>
      <c r="C1839">
        <v>11</v>
      </c>
    </row>
    <row r="1840" spans="1:3" ht="15.75" customHeight="1" x14ac:dyDescent="0.2">
      <c r="A1840" t="s">
        <v>285</v>
      </c>
      <c r="B1840" t="s">
        <v>431</v>
      </c>
      <c r="C1840">
        <v>11</v>
      </c>
    </row>
    <row r="1841" spans="1:3" ht="15.75" customHeight="1" x14ac:dyDescent="0.2">
      <c r="A1841" t="s">
        <v>285</v>
      </c>
      <c r="B1841" t="s">
        <v>431</v>
      </c>
      <c r="C1841">
        <v>11</v>
      </c>
    </row>
    <row r="1842" spans="1:3" ht="15.75" customHeight="1" x14ac:dyDescent="0.2">
      <c r="A1842" t="s">
        <v>285</v>
      </c>
      <c r="B1842" t="s">
        <v>431</v>
      </c>
      <c r="C1842">
        <v>11</v>
      </c>
    </row>
    <row r="1843" spans="1:3" ht="15.75" customHeight="1" x14ac:dyDescent="0.2">
      <c r="A1843" t="s">
        <v>285</v>
      </c>
      <c r="B1843" t="s">
        <v>431</v>
      </c>
      <c r="C1843">
        <v>11</v>
      </c>
    </row>
    <row r="1844" spans="1:3" ht="15.75" customHeight="1" x14ac:dyDescent="0.2">
      <c r="A1844" t="s">
        <v>285</v>
      </c>
      <c r="B1844" t="s">
        <v>431</v>
      </c>
      <c r="C1844">
        <v>11</v>
      </c>
    </row>
    <row r="1845" spans="1:3" ht="15.75" customHeight="1" x14ac:dyDescent="0.2">
      <c r="A1845" t="s">
        <v>285</v>
      </c>
      <c r="B1845" t="s">
        <v>431</v>
      </c>
      <c r="C1845">
        <v>11</v>
      </c>
    </row>
    <row r="1846" spans="1:3" ht="15.75" customHeight="1" x14ac:dyDescent="0.2">
      <c r="A1846" t="s">
        <v>285</v>
      </c>
      <c r="B1846" t="s">
        <v>431</v>
      </c>
      <c r="C1846">
        <v>11</v>
      </c>
    </row>
    <row r="1847" spans="1:3" ht="15.75" customHeight="1" x14ac:dyDescent="0.2">
      <c r="A1847" t="s">
        <v>285</v>
      </c>
      <c r="B1847" t="s">
        <v>431</v>
      </c>
      <c r="C1847">
        <v>11</v>
      </c>
    </row>
    <row r="1848" spans="1:3" ht="15.75" customHeight="1" x14ac:dyDescent="0.2">
      <c r="A1848" t="s">
        <v>285</v>
      </c>
      <c r="B1848" t="s">
        <v>431</v>
      </c>
      <c r="C1848">
        <v>11</v>
      </c>
    </row>
    <row r="1849" spans="1:3" ht="15.75" customHeight="1" x14ac:dyDescent="0.2">
      <c r="A1849" t="s">
        <v>285</v>
      </c>
      <c r="B1849" t="s">
        <v>431</v>
      </c>
      <c r="C1849">
        <v>11</v>
      </c>
    </row>
    <row r="1850" spans="1:3" ht="15.75" customHeight="1" x14ac:dyDescent="0.2">
      <c r="A1850" t="s">
        <v>285</v>
      </c>
      <c r="B1850" t="s">
        <v>431</v>
      </c>
      <c r="C1850">
        <v>11</v>
      </c>
    </row>
    <row r="1851" spans="1:3" ht="15.75" customHeight="1" x14ac:dyDescent="0.2">
      <c r="A1851" t="s">
        <v>285</v>
      </c>
      <c r="B1851" t="s">
        <v>431</v>
      </c>
      <c r="C1851">
        <v>11</v>
      </c>
    </row>
    <row r="1852" spans="1:3" ht="15.75" customHeight="1" x14ac:dyDescent="0.2">
      <c r="A1852" t="s">
        <v>285</v>
      </c>
      <c r="B1852" t="s">
        <v>431</v>
      </c>
      <c r="C1852">
        <v>11</v>
      </c>
    </row>
    <row r="1853" spans="1:3" ht="15.75" customHeight="1" x14ac:dyDescent="0.2">
      <c r="A1853" t="s">
        <v>285</v>
      </c>
      <c r="B1853" t="s">
        <v>431</v>
      </c>
      <c r="C1853">
        <v>11</v>
      </c>
    </row>
    <row r="1854" spans="1:3" ht="15.75" customHeight="1" x14ac:dyDescent="0.2">
      <c r="A1854" t="s">
        <v>285</v>
      </c>
      <c r="B1854" t="s">
        <v>431</v>
      </c>
      <c r="C1854">
        <v>11</v>
      </c>
    </row>
    <row r="1855" spans="1:3" ht="15.75" customHeight="1" x14ac:dyDescent="0.2">
      <c r="A1855" t="s">
        <v>285</v>
      </c>
      <c r="B1855" t="s">
        <v>431</v>
      </c>
      <c r="C1855">
        <v>11</v>
      </c>
    </row>
    <row r="1856" spans="1:3" ht="15.75" customHeight="1" x14ac:dyDescent="0.2">
      <c r="A1856" t="s">
        <v>285</v>
      </c>
      <c r="B1856" t="s">
        <v>431</v>
      </c>
      <c r="C1856">
        <v>11</v>
      </c>
    </row>
    <row r="1857" spans="1:3" ht="15.75" customHeight="1" x14ac:dyDescent="0.2">
      <c r="A1857" t="s">
        <v>285</v>
      </c>
      <c r="B1857" t="s">
        <v>431</v>
      </c>
      <c r="C1857">
        <v>11</v>
      </c>
    </row>
    <row r="1858" spans="1:3" ht="15.75" customHeight="1" x14ac:dyDescent="0.2">
      <c r="A1858" t="s">
        <v>285</v>
      </c>
      <c r="B1858" t="s">
        <v>431</v>
      </c>
      <c r="C1858">
        <v>11</v>
      </c>
    </row>
    <row r="1859" spans="1:3" ht="15.75" customHeight="1" x14ac:dyDescent="0.2">
      <c r="A1859" t="s">
        <v>285</v>
      </c>
      <c r="B1859" t="s">
        <v>431</v>
      </c>
      <c r="C1859">
        <v>11</v>
      </c>
    </row>
    <row r="1860" spans="1:3" ht="15.75" customHeight="1" x14ac:dyDescent="0.2">
      <c r="A1860" t="s">
        <v>285</v>
      </c>
      <c r="B1860" t="s">
        <v>431</v>
      </c>
      <c r="C1860">
        <v>11</v>
      </c>
    </row>
    <row r="1861" spans="1:3" ht="15.75" customHeight="1" x14ac:dyDescent="0.2">
      <c r="A1861" t="s">
        <v>285</v>
      </c>
      <c r="B1861" t="s">
        <v>431</v>
      </c>
      <c r="C1861">
        <v>11</v>
      </c>
    </row>
    <row r="1862" spans="1:3" ht="15.75" customHeight="1" x14ac:dyDescent="0.2">
      <c r="A1862" t="s">
        <v>285</v>
      </c>
      <c r="B1862" t="s">
        <v>431</v>
      </c>
      <c r="C1862">
        <v>11</v>
      </c>
    </row>
    <row r="1863" spans="1:3" ht="15.75" customHeight="1" x14ac:dyDescent="0.2">
      <c r="A1863" t="s">
        <v>285</v>
      </c>
      <c r="B1863" t="s">
        <v>431</v>
      </c>
      <c r="C1863">
        <v>11</v>
      </c>
    </row>
    <row r="1864" spans="1:3" ht="15.75" customHeight="1" x14ac:dyDescent="0.2">
      <c r="A1864" t="s">
        <v>285</v>
      </c>
      <c r="B1864" t="s">
        <v>431</v>
      </c>
      <c r="C1864">
        <v>11</v>
      </c>
    </row>
    <row r="1865" spans="1:3" ht="15.75" customHeight="1" x14ac:dyDescent="0.2">
      <c r="A1865" t="s">
        <v>285</v>
      </c>
      <c r="B1865" t="s">
        <v>431</v>
      </c>
      <c r="C1865">
        <v>11</v>
      </c>
    </row>
    <row r="1866" spans="1:3" ht="15.75" customHeight="1" x14ac:dyDescent="0.2">
      <c r="A1866" t="s">
        <v>285</v>
      </c>
      <c r="B1866" t="s">
        <v>431</v>
      </c>
      <c r="C1866">
        <v>11</v>
      </c>
    </row>
    <row r="1867" spans="1:3" ht="15.75" customHeight="1" x14ac:dyDescent="0.2">
      <c r="A1867" t="s">
        <v>285</v>
      </c>
      <c r="B1867" t="s">
        <v>431</v>
      </c>
      <c r="C1867">
        <v>11</v>
      </c>
    </row>
    <row r="1868" spans="1:3" ht="15.75" customHeight="1" x14ac:dyDescent="0.2">
      <c r="A1868" t="s">
        <v>285</v>
      </c>
      <c r="B1868" t="s">
        <v>431</v>
      </c>
      <c r="C1868">
        <v>11</v>
      </c>
    </row>
    <row r="1869" spans="1:3" ht="15.75" customHeight="1" x14ac:dyDescent="0.2">
      <c r="A1869" t="s">
        <v>285</v>
      </c>
      <c r="B1869" t="s">
        <v>431</v>
      </c>
      <c r="C1869">
        <v>11</v>
      </c>
    </row>
    <row r="1870" spans="1:3" ht="15.75" customHeight="1" x14ac:dyDescent="0.2">
      <c r="A1870" t="s">
        <v>285</v>
      </c>
      <c r="B1870" t="s">
        <v>431</v>
      </c>
      <c r="C1870">
        <v>11</v>
      </c>
    </row>
    <row r="1871" spans="1:3" ht="15.75" customHeight="1" x14ac:dyDescent="0.2">
      <c r="A1871" t="s">
        <v>285</v>
      </c>
      <c r="B1871" t="s">
        <v>431</v>
      </c>
      <c r="C1871">
        <v>11</v>
      </c>
    </row>
    <row r="1872" spans="1:3" ht="15.75" customHeight="1" x14ac:dyDescent="0.2">
      <c r="A1872" t="s">
        <v>285</v>
      </c>
      <c r="B1872" t="s">
        <v>431</v>
      </c>
      <c r="C1872">
        <v>11</v>
      </c>
    </row>
    <row r="1873" spans="1:3" ht="15.75" customHeight="1" x14ac:dyDescent="0.2">
      <c r="A1873" t="s">
        <v>285</v>
      </c>
      <c r="B1873" t="s">
        <v>431</v>
      </c>
      <c r="C1873">
        <v>11</v>
      </c>
    </row>
    <row r="1874" spans="1:3" ht="15.75" customHeight="1" x14ac:dyDescent="0.2">
      <c r="A1874" t="s">
        <v>285</v>
      </c>
      <c r="B1874" t="s">
        <v>431</v>
      </c>
      <c r="C1874">
        <v>11</v>
      </c>
    </row>
    <row r="1875" spans="1:3" ht="15.75" customHeight="1" x14ac:dyDescent="0.2">
      <c r="A1875" t="s">
        <v>285</v>
      </c>
      <c r="B1875" t="s">
        <v>431</v>
      </c>
      <c r="C1875">
        <v>11</v>
      </c>
    </row>
    <row r="1876" spans="1:3" ht="15.75" customHeight="1" x14ac:dyDescent="0.2">
      <c r="A1876" t="s">
        <v>285</v>
      </c>
      <c r="B1876" t="s">
        <v>431</v>
      </c>
      <c r="C1876">
        <v>11</v>
      </c>
    </row>
    <row r="1877" spans="1:3" ht="15.75" customHeight="1" x14ac:dyDescent="0.2">
      <c r="A1877" t="s">
        <v>285</v>
      </c>
      <c r="B1877" t="s">
        <v>431</v>
      </c>
      <c r="C1877">
        <v>11</v>
      </c>
    </row>
    <row r="1878" spans="1:3" ht="15.75" customHeight="1" x14ac:dyDescent="0.2">
      <c r="A1878" t="s">
        <v>285</v>
      </c>
      <c r="B1878" t="s">
        <v>431</v>
      </c>
      <c r="C1878">
        <v>11</v>
      </c>
    </row>
    <row r="1879" spans="1:3" ht="15.75" customHeight="1" x14ac:dyDescent="0.2">
      <c r="A1879" t="s">
        <v>285</v>
      </c>
      <c r="B1879" t="s">
        <v>431</v>
      </c>
      <c r="C1879">
        <v>11</v>
      </c>
    </row>
    <row r="1880" spans="1:3" ht="15.75" customHeight="1" x14ac:dyDescent="0.2">
      <c r="A1880" t="s">
        <v>285</v>
      </c>
      <c r="B1880" t="s">
        <v>431</v>
      </c>
      <c r="C1880">
        <v>11</v>
      </c>
    </row>
    <row r="1881" spans="1:3" ht="15.75" customHeight="1" x14ac:dyDescent="0.2">
      <c r="A1881" t="s">
        <v>285</v>
      </c>
      <c r="B1881" t="s">
        <v>431</v>
      </c>
      <c r="C1881">
        <v>11</v>
      </c>
    </row>
    <row r="1882" spans="1:3" ht="15.75" customHeight="1" x14ac:dyDescent="0.2">
      <c r="A1882" t="s">
        <v>285</v>
      </c>
      <c r="B1882" t="s">
        <v>431</v>
      </c>
      <c r="C1882">
        <v>11</v>
      </c>
    </row>
    <row r="1883" spans="1:3" ht="15.75" customHeight="1" x14ac:dyDescent="0.2">
      <c r="A1883" t="s">
        <v>285</v>
      </c>
      <c r="B1883" t="s">
        <v>431</v>
      </c>
      <c r="C1883">
        <v>11</v>
      </c>
    </row>
    <row r="1884" spans="1:3" ht="15.75" customHeight="1" x14ac:dyDescent="0.2">
      <c r="A1884" t="s">
        <v>285</v>
      </c>
      <c r="B1884" t="s">
        <v>431</v>
      </c>
      <c r="C1884">
        <v>11</v>
      </c>
    </row>
    <row r="1885" spans="1:3" ht="15.75" customHeight="1" x14ac:dyDescent="0.2">
      <c r="A1885" t="s">
        <v>285</v>
      </c>
      <c r="B1885" t="s">
        <v>431</v>
      </c>
      <c r="C1885">
        <v>11</v>
      </c>
    </row>
    <row r="1886" spans="1:3" ht="15.75" customHeight="1" x14ac:dyDescent="0.2">
      <c r="A1886" t="s">
        <v>285</v>
      </c>
      <c r="B1886" t="s">
        <v>431</v>
      </c>
      <c r="C1886">
        <v>11</v>
      </c>
    </row>
    <row r="1887" spans="1:3" ht="15.75" customHeight="1" x14ac:dyDescent="0.2">
      <c r="A1887" t="s">
        <v>285</v>
      </c>
      <c r="B1887" t="s">
        <v>431</v>
      </c>
      <c r="C1887">
        <v>11</v>
      </c>
    </row>
    <row r="1888" spans="1:3" ht="15.75" customHeight="1" x14ac:dyDescent="0.2">
      <c r="A1888" t="s">
        <v>285</v>
      </c>
      <c r="B1888" t="s">
        <v>431</v>
      </c>
      <c r="C1888">
        <v>11</v>
      </c>
    </row>
    <row r="1889" spans="1:3" ht="15.75" customHeight="1" x14ac:dyDescent="0.2">
      <c r="A1889" t="s">
        <v>285</v>
      </c>
      <c r="B1889" t="s">
        <v>431</v>
      </c>
      <c r="C1889">
        <v>11</v>
      </c>
    </row>
    <row r="1890" spans="1:3" ht="15.75" customHeight="1" x14ac:dyDescent="0.2">
      <c r="A1890" t="s">
        <v>285</v>
      </c>
      <c r="B1890" t="s">
        <v>431</v>
      </c>
      <c r="C1890">
        <v>11</v>
      </c>
    </row>
    <row r="1891" spans="1:3" ht="15.75" customHeight="1" x14ac:dyDescent="0.2">
      <c r="A1891" t="s">
        <v>285</v>
      </c>
      <c r="B1891" t="s">
        <v>431</v>
      </c>
      <c r="C1891">
        <v>11</v>
      </c>
    </row>
    <row r="1892" spans="1:3" ht="15.75" customHeight="1" x14ac:dyDescent="0.2">
      <c r="A1892" t="s">
        <v>285</v>
      </c>
      <c r="B1892" t="s">
        <v>431</v>
      </c>
      <c r="C1892">
        <v>11</v>
      </c>
    </row>
    <row r="1893" spans="1:3" ht="15.75" customHeight="1" x14ac:dyDescent="0.2">
      <c r="A1893" t="s">
        <v>285</v>
      </c>
      <c r="B1893" t="s">
        <v>431</v>
      </c>
      <c r="C1893">
        <v>11</v>
      </c>
    </row>
    <row r="1894" spans="1:3" ht="15.75" customHeight="1" x14ac:dyDescent="0.2">
      <c r="A1894" t="s">
        <v>285</v>
      </c>
      <c r="B1894" t="s">
        <v>431</v>
      </c>
      <c r="C1894">
        <v>11</v>
      </c>
    </row>
    <row r="1895" spans="1:3" ht="15.75" customHeight="1" x14ac:dyDescent="0.2">
      <c r="A1895" t="s">
        <v>285</v>
      </c>
      <c r="B1895" t="s">
        <v>431</v>
      </c>
      <c r="C1895">
        <v>11</v>
      </c>
    </row>
    <row r="1896" spans="1:3" ht="15.75" customHeight="1" x14ac:dyDescent="0.2">
      <c r="A1896" t="s">
        <v>285</v>
      </c>
      <c r="B1896" t="s">
        <v>431</v>
      </c>
      <c r="C1896">
        <v>11</v>
      </c>
    </row>
    <row r="1897" spans="1:3" ht="15.75" customHeight="1" x14ac:dyDescent="0.2">
      <c r="A1897" t="s">
        <v>285</v>
      </c>
      <c r="B1897" t="s">
        <v>431</v>
      </c>
      <c r="C1897">
        <v>11</v>
      </c>
    </row>
    <row r="1898" spans="1:3" ht="15.75" customHeight="1" x14ac:dyDescent="0.2">
      <c r="A1898" t="s">
        <v>285</v>
      </c>
      <c r="B1898" t="s">
        <v>431</v>
      </c>
      <c r="C1898">
        <v>11</v>
      </c>
    </row>
    <row r="1899" spans="1:3" ht="15.75" customHeight="1" x14ac:dyDescent="0.2">
      <c r="A1899" t="s">
        <v>285</v>
      </c>
      <c r="B1899" t="s">
        <v>431</v>
      </c>
      <c r="C1899">
        <v>11</v>
      </c>
    </row>
    <row r="1900" spans="1:3" ht="15.75" customHeight="1" x14ac:dyDescent="0.2">
      <c r="A1900" t="s">
        <v>285</v>
      </c>
      <c r="B1900" t="s">
        <v>431</v>
      </c>
      <c r="C1900">
        <v>11</v>
      </c>
    </row>
    <row r="1901" spans="1:3" ht="15.75" customHeight="1" x14ac:dyDescent="0.2">
      <c r="A1901" t="s">
        <v>285</v>
      </c>
      <c r="B1901" t="s">
        <v>431</v>
      </c>
      <c r="C1901">
        <v>11</v>
      </c>
    </row>
    <row r="1902" spans="1:3" ht="15.75" customHeight="1" x14ac:dyDescent="0.2">
      <c r="A1902" t="s">
        <v>285</v>
      </c>
      <c r="B1902" t="s">
        <v>431</v>
      </c>
      <c r="C1902">
        <v>11</v>
      </c>
    </row>
    <row r="1903" spans="1:3" ht="15.75" customHeight="1" x14ac:dyDescent="0.2">
      <c r="A1903" t="s">
        <v>285</v>
      </c>
      <c r="B1903" t="s">
        <v>431</v>
      </c>
      <c r="C1903">
        <v>11</v>
      </c>
    </row>
    <row r="1904" spans="1:3" ht="15.75" customHeight="1" x14ac:dyDescent="0.2">
      <c r="A1904" t="s">
        <v>285</v>
      </c>
      <c r="B1904" t="s">
        <v>431</v>
      </c>
      <c r="C1904">
        <v>11</v>
      </c>
    </row>
    <row r="1905" spans="1:3" ht="15.75" customHeight="1" x14ac:dyDescent="0.2">
      <c r="A1905" t="s">
        <v>285</v>
      </c>
      <c r="B1905" t="s">
        <v>431</v>
      </c>
      <c r="C1905">
        <v>11</v>
      </c>
    </row>
    <row r="1906" spans="1:3" ht="15.75" customHeight="1" x14ac:dyDescent="0.2">
      <c r="A1906" t="s">
        <v>285</v>
      </c>
      <c r="B1906" t="s">
        <v>431</v>
      </c>
      <c r="C1906">
        <v>11</v>
      </c>
    </row>
    <row r="1907" spans="1:3" ht="15.75" customHeight="1" x14ac:dyDescent="0.2">
      <c r="A1907" t="s">
        <v>285</v>
      </c>
      <c r="B1907" t="s">
        <v>431</v>
      </c>
      <c r="C1907">
        <v>11</v>
      </c>
    </row>
    <row r="1908" spans="1:3" ht="15.75" customHeight="1" x14ac:dyDescent="0.2">
      <c r="A1908" t="s">
        <v>285</v>
      </c>
      <c r="B1908" t="s">
        <v>431</v>
      </c>
      <c r="C1908">
        <v>11</v>
      </c>
    </row>
    <row r="1909" spans="1:3" ht="15.75" customHeight="1" x14ac:dyDescent="0.2">
      <c r="A1909" t="s">
        <v>285</v>
      </c>
      <c r="B1909" t="s">
        <v>431</v>
      </c>
      <c r="C1909">
        <v>11</v>
      </c>
    </row>
    <row r="1910" spans="1:3" ht="15.75" customHeight="1" x14ac:dyDescent="0.2">
      <c r="A1910" t="s">
        <v>285</v>
      </c>
      <c r="B1910" t="s">
        <v>431</v>
      </c>
      <c r="C1910">
        <v>11</v>
      </c>
    </row>
    <row r="1911" spans="1:3" ht="15.75" customHeight="1" x14ac:dyDescent="0.2">
      <c r="A1911" t="s">
        <v>285</v>
      </c>
      <c r="B1911" t="s">
        <v>431</v>
      </c>
      <c r="C1911">
        <v>11</v>
      </c>
    </row>
    <row r="1912" spans="1:3" ht="15.75" customHeight="1" x14ac:dyDescent="0.2">
      <c r="A1912" t="s">
        <v>285</v>
      </c>
      <c r="B1912" t="s">
        <v>431</v>
      </c>
      <c r="C1912">
        <v>11</v>
      </c>
    </row>
    <row r="1913" spans="1:3" ht="15.75" customHeight="1" x14ac:dyDescent="0.2">
      <c r="A1913" t="s">
        <v>285</v>
      </c>
      <c r="B1913" t="s">
        <v>431</v>
      </c>
      <c r="C1913">
        <v>11</v>
      </c>
    </row>
    <row r="1914" spans="1:3" ht="15.75" customHeight="1" x14ac:dyDescent="0.2">
      <c r="A1914" t="s">
        <v>285</v>
      </c>
      <c r="B1914" t="s">
        <v>431</v>
      </c>
      <c r="C1914">
        <v>11</v>
      </c>
    </row>
    <row r="1915" spans="1:3" ht="15.75" customHeight="1" x14ac:dyDescent="0.2">
      <c r="A1915" t="s">
        <v>285</v>
      </c>
      <c r="B1915" t="s">
        <v>431</v>
      </c>
      <c r="C1915">
        <v>11</v>
      </c>
    </row>
    <row r="1916" spans="1:3" ht="15.75" customHeight="1" x14ac:dyDescent="0.2">
      <c r="A1916" t="s">
        <v>285</v>
      </c>
      <c r="B1916" t="s">
        <v>431</v>
      </c>
      <c r="C1916">
        <v>11</v>
      </c>
    </row>
    <row r="1917" spans="1:3" ht="15.75" customHeight="1" x14ac:dyDescent="0.2">
      <c r="A1917" t="s">
        <v>285</v>
      </c>
      <c r="B1917" t="s">
        <v>431</v>
      </c>
      <c r="C1917">
        <v>11</v>
      </c>
    </row>
    <row r="1918" spans="1:3" ht="15.75" customHeight="1" x14ac:dyDescent="0.2">
      <c r="A1918" t="s">
        <v>285</v>
      </c>
      <c r="B1918" t="s">
        <v>431</v>
      </c>
      <c r="C1918">
        <v>11</v>
      </c>
    </row>
    <row r="1919" spans="1:3" ht="15.75" customHeight="1" x14ac:dyDescent="0.2">
      <c r="A1919" t="s">
        <v>285</v>
      </c>
      <c r="B1919" t="s">
        <v>431</v>
      </c>
      <c r="C1919">
        <v>11</v>
      </c>
    </row>
    <row r="1920" spans="1:3" ht="15.75" customHeight="1" x14ac:dyDescent="0.2">
      <c r="A1920" t="s">
        <v>285</v>
      </c>
      <c r="B1920" t="s">
        <v>431</v>
      </c>
      <c r="C1920">
        <v>11</v>
      </c>
    </row>
    <row r="1921" spans="1:4" ht="15.75" customHeight="1" x14ac:dyDescent="0.2">
      <c r="A1921" t="s">
        <v>285</v>
      </c>
      <c r="B1921" t="s">
        <v>431</v>
      </c>
      <c r="C1921">
        <v>11</v>
      </c>
    </row>
    <row r="1922" spans="1:4" ht="15.75" customHeight="1" x14ac:dyDescent="0.2">
      <c r="A1922" t="s">
        <v>285</v>
      </c>
      <c r="B1922" t="s">
        <v>431</v>
      </c>
      <c r="C1922">
        <v>11</v>
      </c>
    </row>
    <row r="1923" spans="1:4" ht="15.75" customHeight="1" x14ac:dyDescent="0.2">
      <c r="A1923" t="s">
        <v>285</v>
      </c>
      <c r="B1923" t="s">
        <v>431</v>
      </c>
      <c r="C1923">
        <v>11</v>
      </c>
    </row>
    <row r="1924" spans="1:4" ht="15.75" customHeight="1" x14ac:dyDescent="0.2">
      <c r="A1924" t="s">
        <v>285</v>
      </c>
      <c r="B1924" t="s">
        <v>431</v>
      </c>
      <c r="C1924">
        <v>11</v>
      </c>
    </row>
    <row r="1925" spans="1:4" ht="15.75" customHeight="1" x14ac:dyDescent="0.2">
      <c r="A1925" t="s">
        <v>285</v>
      </c>
      <c r="B1925" t="s">
        <v>431</v>
      </c>
      <c r="C1925">
        <v>11</v>
      </c>
    </row>
    <row r="1926" spans="1:4" ht="15.75" customHeight="1" x14ac:dyDescent="0.2">
      <c r="A1926" t="s">
        <v>285</v>
      </c>
      <c r="B1926" t="s">
        <v>431</v>
      </c>
      <c r="C1926">
        <v>11</v>
      </c>
    </row>
    <row r="1927" spans="1:4" ht="15.75" customHeight="1" x14ac:dyDescent="0.2">
      <c r="A1927" t="s">
        <v>285</v>
      </c>
      <c r="B1927" t="s">
        <v>431</v>
      </c>
      <c r="C1927">
        <v>11</v>
      </c>
    </row>
    <row r="1928" spans="1:4" ht="15.75" customHeight="1" x14ac:dyDescent="0.2">
      <c r="A1928" t="s">
        <v>285</v>
      </c>
      <c r="B1928" t="s">
        <v>431</v>
      </c>
      <c r="C1928">
        <v>11</v>
      </c>
    </row>
    <row r="1929" spans="1:4" ht="15.75" customHeight="1" x14ac:dyDescent="0.2">
      <c r="A1929" t="s">
        <v>285</v>
      </c>
      <c r="B1929" t="s">
        <v>431</v>
      </c>
      <c r="C1929">
        <v>11</v>
      </c>
    </row>
    <row r="1930" spans="1:4" ht="15.75" customHeight="1" x14ac:dyDescent="0.2">
      <c r="A1930" t="s">
        <v>285</v>
      </c>
      <c r="B1930" t="s">
        <v>432</v>
      </c>
      <c r="C1930">
        <v>12</v>
      </c>
      <c r="D1930" t="s">
        <v>433</v>
      </c>
    </row>
    <row r="1931" spans="1:4" ht="15.75" customHeight="1" x14ac:dyDescent="0.2">
      <c r="A1931" t="s">
        <v>285</v>
      </c>
      <c r="B1931" t="s">
        <v>432</v>
      </c>
      <c r="C1931">
        <v>12</v>
      </c>
      <c r="D1931" t="s">
        <v>433</v>
      </c>
    </row>
    <row r="1932" spans="1:4" ht="15.75" customHeight="1" x14ac:dyDescent="0.2">
      <c r="A1932" t="s">
        <v>285</v>
      </c>
      <c r="B1932" t="s">
        <v>432</v>
      </c>
      <c r="C1932">
        <v>12</v>
      </c>
      <c r="D1932" t="s">
        <v>433</v>
      </c>
    </row>
    <row r="1933" spans="1:4" ht="15.75" customHeight="1" x14ac:dyDescent="0.2">
      <c r="A1933" t="s">
        <v>285</v>
      </c>
      <c r="B1933" t="s">
        <v>432</v>
      </c>
      <c r="C1933">
        <v>12</v>
      </c>
      <c r="D1933" t="s">
        <v>433</v>
      </c>
    </row>
    <row r="1934" spans="1:4" ht="15.75" customHeight="1" x14ac:dyDescent="0.2">
      <c r="A1934" t="s">
        <v>285</v>
      </c>
      <c r="B1934" t="s">
        <v>432</v>
      </c>
      <c r="C1934">
        <v>12</v>
      </c>
      <c r="D1934" t="s">
        <v>433</v>
      </c>
    </row>
    <row r="1935" spans="1:4" ht="15.75" customHeight="1" x14ac:dyDescent="0.2">
      <c r="A1935" t="s">
        <v>285</v>
      </c>
      <c r="B1935" t="s">
        <v>432</v>
      </c>
      <c r="C1935">
        <v>12</v>
      </c>
      <c r="D1935" t="s">
        <v>433</v>
      </c>
    </row>
    <row r="1936" spans="1:4" ht="15.75" customHeight="1" x14ac:dyDescent="0.2">
      <c r="A1936" t="s">
        <v>285</v>
      </c>
      <c r="B1936" t="s">
        <v>432</v>
      </c>
      <c r="C1936">
        <v>12</v>
      </c>
      <c r="D1936" t="s">
        <v>433</v>
      </c>
    </row>
    <row r="1937" spans="1:4" ht="15.75" customHeight="1" x14ac:dyDescent="0.2">
      <c r="A1937" t="s">
        <v>285</v>
      </c>
      <c r="B1937" t="s">
        <v>432</v>
      </c>
      <c r="C1937">
        <v>12</v>
      </c>
      <c r="D1937" t="s">
        <v>433</v>
      </c>
    </row>
    <row r="1938" spans="1:4" ht="15.75" customHeight="1" x14ac:dyDescent="0.2">
      <c r="A1938" t="s">
        <v>285</v>
      </c>
      <c r="B1938" t="s">
        <v>432</v>
      </c>
      <c r="C1938">
        <v>12</v>
      </c>
      <c r="D1938" t="s">
        <v>433</v>
      </c>
    </row>
    <row r="1939" spans="1:4" ht="15.75" customHeight="1" x14ac:dyDescent="0.2">
      <c r="A1939" t="s">
        <v>285</v>
      </c>
      <c r="B1939" t="s">
        <v>432</v>
      </c>
      <c r="C1939">
        <v>12</v>
      </c>
      <c r="D1939" t="s">
        <v>433</v>
      </c>
    </row>
    <row r="1940" spans="1:4" ht="15.75" customHeight="1" x14ac:dyDescent="0.2">
      <c r="A1940" t="s">
        <v>285</v>
      </c>
      <c r="B1940" t="s">
        <v>432</v>
      </c>
      <c r="C1940">
        <v>12</v>
      </c>
      <c r="D1940" t="s">
        <v>433</v>
      </c>
    </row>
    <row r="1941" spans="1:4" ht="15.75" customHeight="1" x14ac:dyDescent="0.2">
      <c r="A1941" t="s">
        <v>285</v>
      </c>
      <c r="B1941" t="s">
        <v>432</v>
      </c>
      <c r="C1941">
        <v>12</v>
      </c>
      <c r="D1941" t="s">
        <v>433</v>
      </c>
    </row>
    <row r="1942" spans="1:4" ht="15.75" customHeight="1" x14ac:dyDescent="0.2">
      <c r="A1942" t="s">
        <v>285</v>
      </c>
      <c r="B1942" t="s">
        <v>432</v>
      </c>
      <c r="C1942">
        <v>12</v>
      </c>
      <c r="D1942" t="s">
        <v>433</v>
      </c>
    </row>
    <row r="1943" spans="1:4" ht="15.75" customHeight="1" x14ac:dyDescent="0.2">
      <c r="A1943" t="s">
        <v>285</v>
      </c>
      <c r="B1943" t="s">
        <v>432</v>
      </c>
      <c r="C1943">
        <v>12</v>
      </c>
      <c r="D1943" t="s">
        <v>433</v>
      </c>
    </row>
    <row r="1944" spans="1:4" ht="15.75" customHeight="1" x14ac:dyDescent="0.2">
      <c r="A1944" t="s">
        <v>285</v>
      </c>
      <c r="B1944" t="s">
        <v>432</v>
      </c>
      <c r="C1944">
        <v>12</v>
      </c>
      <c r="D1944" t="s">
        <v>433</v>
      </c>
    </row>
    <row r="1945" spans="1:4" ht="15.75" customHeight="1" x14ac:dyDescent="0.2">
      <c r="A1945" t="s">
        <v>285</v>
      </c>
      <c r="B1945" t="s">
        <v>432</v>
      </c>
      <c r="C1945">
        <v>12</v>
      </c>
      <c r="D1945" t="s">
        <v>433</v>
      </c>
    </row>
    <row r="1946" spans="1:4" ht="15.75" customHeight="1" x14ac:dyDescent="0.2">
      <c r="A1946" t="s">
        <v>285</v>
      </c>
      <c r="B1946" t="s">
        <v>432</v>
      </c>
      <c r="C1946">
        <v>12</v>
      </c>
      <c r="D1946" t="s">
        <v>433</v>
      </c>
    </row>
    <row r="1947" spans="1:4" ht="15.75" customHeight="1" x14ac:dyDescent="0.2">
      <c r="A1947" t="s">
        <v>285</v>
      </c>
      <c r="B1947" t="s">
        <v>432</v>
      </c>
      <c r="C1947">
        <v>12</v>
      </c>
      <c r="D1947" t="s">
        <v>433</v>
      </c>
    </row>
    <row r="1948" spans="1:4" ht="15.75" customHeight="1" x14ac:dyDescent="0.2">
      <c r="A1948" t="s">
        <v>285</v>
      </c>
      <c r="B1948" t="s">
        <v>432</v>
      </c>
      <c r="C1948">
        <v>12</v>
      </c>
      <c r="D1948" t="s">
        <v>433</v>
      </c>
    </row>
    <row r="1949" spans="1:4" ht="15.75" customHeight="1" x14ac:dyDescent="0.2">
      <c r="A1949" t="s">
        <v>285</v>
      </c>
      <c r="B1949" t="s">
        <v>432</v>
      </c>
      <c r="C1949">
        <v>12</v>
      </c>
      <c r="D1949" t="s">
        <v>433</v>
      </c>
    </row>
    <row r="1950" spans="1:4" ht="15.75" customHeight="1" x14ac:dyDescent="0.2">
      <c r="A1950" t="s">
        <v>285</v>
      </c>
      <c r="B1950" t="s">
        <v>432</v>
      </c>
      <c r="C1950">
        <v>12</v>
      </c>
      <c r="D1950" t="s">
        <v>433</v>
      </c>
    </row>
    <row r="1951" spans="1:4" ht="15.75" customHeight="1" x14ac:dyDescent="0.2">
      <c r="A1951" t="s">
        <v>285</v>
      </c>
      <c r="B1951" t="s">
        <v>432</v>
      </c>
      <c r="C1951">
        <v>12</v>
      </c>
      <c r="D1951" t="s">
        <v>433</v>
      </c>
    </row>
    <row r="1952" spans="1:4" ht="15.75" customHeight="1" x14ac:dyDescent="0.2">
      <c r="A1952" t="s">
        <v>285</v>
      </c>
      <c r="B1952" t="s">
        <v>432</v>
      </c>
      <c r="C1952">
        <v>12</v>
      </c>
      <c r="D1952" t="s">
        <v>433</v>
      </c>
    </row>
    <row r="1953" spans="1:4" ht="15.75" customHeight="1" x14ac:dyDescent="0.2">
      <c r="A1953" t="s">
        <v>285</v>
      </c>
      <c r="B1953" t="s">
        <v>432</v>
      </c>
      <c r="C1953">
        <v>12</v>
      </c>
      <c r="D1953" t="s">
        <v>433</v>
      </c>
    </row>
    <row r="1954" spans="1:4" ht="15.75" customHeight="1" x14ac:dyDescent="0.2">
      <c r="A1954" t="s">
        <v>285</v>
      </c>
      <c r="B1954" t="s">
        <v>432</v>
      </c>
      <c r="C1954">
        <v>12</v>
      </c>
      <c r="D1954" t="s">
        <v>433</v>
      </c>
    </row>
    <row r="1955" spans="1:4" ht="15.75" customHeight="1" x14ac:dyDescent="0.2">
      <c r="A1955" t="s">
        <v>285</v>
      </c>
      <c r="B1955" t="s">
        <v>432</v>
      </c>
      <c r="C1955">
        <v>12</v>
      </c>
      <c r="D1955" t="s">
        <v>433</v>
      </c>
    </row>
    <row r="1956" spans="1:4" ht="15.75" customHeight="1" x14ac:dyDescent="0.2">
      <c r="A1956" t="s">
        <v>285</v>
      </c>
      <c r="B1956" t="s">
        <v>432</v>
      </c>
      <c r="C1956">
        <v>12</v>
      </c>
      <c r="D1956" t="s">
        <v>433</v>
      </c>
    </row>
    <row r="1957" spans="1:4" ht="15.75" customHeight="1" x14ac:dyDescent="0.2">
      <c r="A1957" t="s">
        <v>285</v>
      </c>
      <c r="B1957" t="s">
        <v>432</v>
      </c>
      <c r="C1957">
        <v>12</v>
      </c>
      <c r="D1957" t="s">
        <v>433</v>
      </c>
    </row>
    <row r="1958" spans="1:4" ht="15.75" customHeight="1" x14ac:dyDescent="0.2">
      <c r="A1958" t="s">
        <v>285</v>
      </c>
      <c r="B1958" t="s">
        <v>432</v>
      </c>
      <c r="C1958">
        <v>12</v>
      </c>
      <c r="D1958" t="s">
        <v>433</v>
      </c>
    </row>
    <row r="1959" spans="1:4" ht="15.75" customHeight="1" x14ac:dyDescent="0.2">
      <c r="A1959" t="s">
        <v>285</v>
      </c>
      <c r="B1959" t="s">
        <v>432</v>
      </c>
      <c r="C1959">
        <v>12</v>
      </c>
      <c r="D1959" t="s">
        <v>433</v>
      </c>
    </row>
    <row r="1960" spans="1:4" ht="15.75" customHeight="1" x14ac:dyDescent="0.2">
      <c r="A1960" t="s">
        <v>285</v>
      </c>
      <c r="B1960" t="s">
        <v>432</v>
      </c>
      <c r="C1960">
        <v>12</v>
      </c>
      <c r="D1960" t="s">
        <v>433</v>
      </c>
    </row>
    <row r="1961" spans="1:4" ht="15.75" customHeight="1" x14ac:dyDescent="0.2">
      <c r="A1961" t="s">
        <v>285</v>
      </c>
      <c r="B1961" t="s">
        <v>432</v>
      </c>
      <c r="C1961">
        <v>12</v>
      </c>
      <c r="D1961" t="s">
        <v>433</v>
      </c>
    </row>
    <row r="1962" spans="1:4" ht="15.75" customHeight="1" x14ac:dyDescent="0.2">
      <c r="A1962" t="s">
        <v>285</v>
      </c>
      <c r="B1962" t="s">
        <v>432</v>
      </c>
      <c r="C1962">
        <v>12</v>
      </c>
      <c r="D1962" t="s">
        <v>433</v>
      </c>
    </row>
    <row r="1963" spans="1:4" ht="15.75" customHeight="1" x14ac:dyDescent="0.2">
      <c r="A1963" t="s">
        <v>285</v>
      </c>
      <c r="B1963" t="s">
        <v>432</v>
      </c>
      <c r="C1963">
        <v>12</v>
      </c>
      <c r="D1963" t="s">
        <v>433</v>
      </c>
    </row>
    <row r="1964" spans="1:4" ht="15.75" customHeight="1" x14ac:dyDescent="0.2">
      <c r="A1964" t="s">
        <v>285</v>
      </c>
      <c r="B1964" t="s">
        <v>432</v>
      </c>
      <c r="C1964">
        <v>12</v>
      </c>
      <c r="D1964" t="s">
        <v>433</v>
      </c>
    </row>
    <row r="1965" spans="1:4" ht="15.75" customHeight="1" x14ac:dyDescent="0.2">
      <c r="A1965" t="s">
        <v>285</v>
      </c>
      <c r="B1965" t="s">
        <v>432</v>
      </c>
      <c r="C1965">
        <v>12</v>
      </c>
      <c r="D1965" t="s">
        <v>433</v>
      </c>
    </row>
    <row r="1966" spans="1:4" ht="15.75" customHeight="1" x14ac:dyDescent="0.2">
      <c r="A1966" t="s">
        <v>285</v>
      </c>
      <c r="B1966" t="s">
        <v>432</v>
      </c>
      <c r="C1966">
        <v>12</v>
      </c>
      <c r="D1966" t="s">
        <v>433</v>
      </c>
    </row>
    <row r="1967" spans="1:4" ht="15.75" customHeight="1" x14ac:dyDescent="0.2">
      <c r="A1967" t="s">
        <v>285</v>
      </c>
      <c r="B1967" t="s">
        <v>432</v>
      </c>
      <c r="C1967">
        <v>12</v>
      </c>
      <c r="D1967" t="s">
        <v>433</v>
      </c>
    </row>
    <row r="1968" spans="1:4" ht="15.75" customHeight="1" x14ac:dyDescent="0.2">
      <c r="A1968" t="s">
        <v>285</v>
      </c>
      <c r="B1968" t="s">
        <v>432</v>
      </c>
      <c r="C1968">
        <v>12</v>
      </c>
      <c r="D1968" t="s">
        <v>433</v>
      </c>
    </row>
    <row r="1969" spans="1:4" ht="15.75" customHeight="1" x14ac:dyDescent="0.2">
      <c r="A1969" t="s">
        <v>285</v>
      </c>
      <c r="B1969" t="s">
        <v>432</v>
      </c>
      <c r="C1969">
        <v>12</v>
      </c>
      <c r="D1969" t="s">
        <v>433</v>
      </c>
    </row>
    <row r="1970" spans="1:4" ht="15.75" customHeight="1" x14ac:dyDescent="0.2">
      <c r="A1970" t="s">
        <v>285</v>
      </c>
      <c r="B1970" t="s">
        <v>432</v>
      </c>
      <c r="C1970">
        <v>12</v>
      </c>
      <c r="D1970" t="s">
        <v>433</v>
      </c>
    </row>
    <row r="1971" spans="1:4" ht="15.75" customHeight="1" x14ac:dyDescent="0.2">
      <c r="A1971" t="s">
        <v>285</v>
      </c>
      <c r="B1971" t="s">
        <v>432</v>
      </c>
      <c r="C1971">
        <v>12</v>
      </c>
      <c r="D1971" t="s">
        <v>433</v>
      </c>
    </row>
    <row r="1972" spans="1:4" ht="15.75" customHeight="1" x14ac:dyDescent="0.2">
      <c r="A1972" t="s">
        <v>285</v>
      </c>
      <c r="B1972" t="s">
        <v>432</v>
      </c>
      <c r="C1972">
        <v>12</v>
      </c>
      <c r="D1972" t="s">
        <v>433</v>
      </c>
    </row>
    <row r="1973" spans="1:4" ht="15.75" customHeight="1" x14ac:dyDescent="0.2">
      <c r="A1973" t="s">
        <v>285</v>
      </c>
      <c r="B1973" t="s">
        <v>432</v>
      </c>
      <c r="C1973">
        <v>12</v>
      </c>
      <c r="D1973" t="s">
        <v>433</v>
      </c>
    </row>
    <row r="1974" spans="1:4" ht="15.75" customHeight="1" x14ac:dyDescent="0.2">
      <c r="A1974" t="s">
        <v>285</v>
      </c>
      <c r="B1974" t="s">
        <v>432</v>
      </c>
      <c r="C1974">
        <v>12</v>
      </c>
      <c r="D1974" t="s">
        <v>433</v>
      </c>
    </row>
    <row r="1975" spans="1:4" ht="15.75" customHeight="1" x14ac:dyDescent="0.2">
      <c r="A1975" t="s">
        <v>285</v>
      </c>
      <c r="B1975" t="s">
        <v>432</v>
      </c>
      <c r="C1975">
        <v>12</v>
      </c>
      <c r="D1975" t="s">
        <v>433</v>
      </c>
    </row>
    <row r="1976" spans="1:4" ht="15.75" customHeight="1" x14ac:dyDescent="0.2">
      <c r="A1976" t="s">
        <v>285</v>
      </c>
      <c r="B1976" t="s">
        <v>432</v>
      </c>
      <c r="C1976">
        <v>12</v>
      </c>
      <c r="D1976" t="s">
        <v>433</v>
      </c>
    </row>
    <row r="1977" spans="1:4" ht="15.75" customHeight="1" x14ac:dyDescent="0.2">
      <c r="A1977" t="s">
        <v>285</v>
      </c>
      <c r="B1977" t="s">
        <v>432</v>
      </c>
      <c r="C1977">
        <v>12</v>
      </c>
      <c r="D1977" t="s">
        <v>433</v>
      </c>
    </row>
    <row r="1978" spans="1:4" ht="15.75" customHeight="1" x14ac:dyDescent="0.2">
      <c r="A1978" t="s">
        <v>285</v>
      </c>
      <c r="B1978" t="s">
        <v>432</v>
      </c>
      <c r="C1978">
        <v>12</v>
      </c>
      <c r="D1978" t="s">
        <v>433</v>
      </c>
    </row>
    <row r="1979" spans="1:4" ht="15.75" customHeight="1" x14ac:dyDescent="0.2">
      <c r="A1979" t="s">
        <v>285</v>
      </c>
      <c r="B1979" t="s">
        <v>432</v>
      </c>
      <c r="C1979">
        <v>12</v>
      </c>
      <c r="D1979" t="s">
        <v>433</v>
      </c>
    </row>
    <row r="1980" spans="1:4" ht="15.75" customHeight="1" x14ac:dyDescent="0.2">
      <c r="A1980" t="s">
        <v>285</v>
      </c>
      <c r="B1980" t="s">
        <v>432</v>
      </c>
      <c r="C1980">
        <v>12</v>
      </c>
      <c r="D1980" t="s">
        <v>433</v>
      </c>
    </row>
    <row r="1981" spans="1:4" ht="15.75" customHeight="1" x14ac:dyDescent="0.2">
      <c r="A1981" t="s">
        <v>285</v>
      </c>
      <c r="B1981" t="s">
        <v>432</v>
      </c>
      <c r="C1981">
        <v>12</v>
      </c>
      <c r="D1981" t="s">
        <v>433</v>
      </c>
    </row>
    <row r="1982" spans="1:4" ht="15.75" customHeight="1" x14ac:dyDescent="0.2">
      <c r="A1982" t="s">
        <v>285</v>
      </c>
      <c r="B1982" t="s">
        <v>432</v>
      </c>
      <c r="C1982">
        <v>12</v>
      </c>
      <c r="D1982" t="s">
        <v>433</v>
      </c>
    </row>
    <row r="1983" spans="1:4" ht="15.75" customHeight="1" x14ac:dyDescent="0.2">
      <c r="A1983" t="s">
        <v>285</v>
      </c>
      <c r="B1983" t="s">
        <v>432</v>
      </c>
      <c r="C1983">
        <v>12</v>
      </c>
      <c r="D1983" t="s">
        <v>433</v>
      </c>
    </row>
    <row r="1984" spans="1:4" ht="15.75" customHeight="1" x14ac:dyDescent="0.2">
      <c r="A1984" t="s">
        <v>285</v>
      </c>
      <c r="B1984" t="s">
        <v>432</v>
      </c>
      <c r="C1984">
        <v>12</v>
      </c>
      <c r="D1984" t="s">
        <v>433</v>
      </c>
    </row>
    <row r="1985" spans="1:4" ht="15.75" customHeight="1" x14ac:dyDescent="0.2">
      <c r="A1985" t="s">
        <v>285</v>
      </c>
      <c r="B1985" t="s">
        <v>432</v>
      </c>
      <c r="C1985">
        <v>12</v>
      </c>
      <c r="D1985" t="s">
        <v>433</v>
      </c>
    </row>
    <row r="1986" spans="1:4" ht="15.75" customHeight="1" x14ac:dyDescent="0.2">
      <c r="A1986" t="s">
        <v>285</v>
      </c>
      <c r="B1986" t="s">
        <v>432</v>
      </c>
      <c r="C1986">
        <v>12</v>
      </c>
      <c r="D1986" t="s">
        <v>433</v>
      </c>
    </row>
    <row r="1987" spans="1:4" ht="15.75" customHeight="1" x14ac:dyDescent="0.2">
      <c r="A1987" t="s">
        <v>285</v>
      </c>
      <c r="B1987" t="s">
        <v>432</v>
      </c>
      <c r="C1987">
        <v>12</v>
      </c>
      <c r="D1987" t="s">
        <v>433</v>
      </c>
    </row>
    <row r="1988" spans="1:4" ht="15.75" customHeight="1" x14ac:dyDescent="0.2">
      <c r="A1988" t="s">
        <v>285</v>
      </c>
      <c r="B1988" t="s">
        <v>432</v>
      </c>
      <c r="C1988">
        <v>12</v>
      </c>
      <c r="D1988" t="s">
        <v>433</v>
      </c>
    </row>
    <row r="1989" spans="1:4" ht="15.75" customHeight="1" x14ac:dyDescent="0.2">
      <c r="A1989" t="s">
        <v>285</v>
      </c>
      <c r="B1989" t="s">
        <v>432</v>
      </c>
      <c r="C1989">
        <v>12</v>
      </c>
      <c r="D1989" t="s">
        <v>433</v>
      </c>
    </row>
    <row r="1990" spans="1:4" ht="15.75" customHeight="1" x14ac:dyDescent="0.2">
      <c r="A1990" t="s">
        <v>285</v>
      </c>
      <c r="B1990" t="s">
        <v>432</v>
      </c>
      <c r="C1990">
        <v>12</v>
      </c>
      <c r="D1990" t="s">
        <v>433</v>
      </c>
    </row>
    <row r="1991" spans="1:4" ht="15.75" customHeight="1" x14ac:dyDescent="0.2">
      <c r="A1991" t="s">
        <v>285</v>
      </c>
      <c r="B1991" t="s">
        <v>432</v>
      </c>
      <c r="C1991">
        <v>12</v>
      </c>
      <c r="D1991" t="s">
        <v>433</v>
      </c>
    </row>
    <row r="1992" spans="1:4" ht="15.75" customHeight="1" x14ac:dyDescent="0.2">
      <c r="A1992" t="s">
        <v>285</v>
      </c>
      <c r="B1992" t="s">
        <v>432</v>
      </c>
      <c r="C1992">
        <v>12</v>
      </c>
      <c r="D1992" t="s">
        <v>433</v>
      </c>
    </row>
    <row r="1993" spans="1:4" ht="15.75" customHeight="1" x14ac:dyDescent="0.2">
      <c r="A1993" t="s">
        <v>285</v>
      </c>
      <c r="B1993" t="s">
        <v>432</v>
      </c>
      <c r="C1993">
        <v>12</v>
      </c>
      <c r="D1993" t="s">
        <v>433</v>
      </c>
    </row>
    <row r="1994" spans="1:4" ht="15.75" customHeight="1" x14ac:dyDescent="0.2">
      <c r="A1994" t="s">
        <v>285</v>
      </c>
      <c r="B1994" t="s">
        <v>432</v>
      </c>
      <c r="C1994">
        <v>12</v>
      </c>
      <c r="D1994" t="s">
        <v>433</v>
      </c>
    </row>
    <row r="1995" spans="1:4" ht="15.75" customHeight="1" x14ac:dyDescent="0.2">
      <c r="A1995" t="s">
        <v>285</v>
      </c>
      <c r="B1995" t="s">
        <v>432</v>
      </c>
      <c r="C1995">
        <v>12</v>
      </c>
      <c r="D1995" t="s">
        <v>433</v>
      </c>
    </row>
    <row r="1996" spans="1:4" ht="15.75" customHeight="1" x14ac:dyDescent="0.2">
      <c r="A1996" t="s">
        <v>285</v>
      </c>
      <c r="B1996" t="s">
        <v>432</v>
      </c>
      <c r="C1996">
        <v>12</v>
      </c>
      <c r="D1996" t="s">
        <v>433</v>
      </c>
    </row>
    <row r="1997" spans="1:4" ht="15.75" customHeight="1" x14ac:dyDescent="0.2">
      <c r="A1997" t="s">
        <v>285</v>
      </c>
      <c r="B1997" t="s">
        <v>432</v>
      </c>
      <c r="C1997">
        <v>12</v>
      </c>
      <c r="D1997" t="s">
        <v>433</v>
      </c>
    </row>
    <row r="1998" spans="1:4" ht="15.75" customHeight="1" x14ac:dyDescent="0.2">
      <c r="A1998" t="s">
        <v>285</v>
      </c>
      <c r="B1998" t="s">
        <v>432</v>
      </c>
      <c r="C1998">
        <v>12</v>
      </c>
      <c r="D1998" t="s">
        <v>433</v>
      </c>
    </row>
    <row r="1999" spans="1:4" ht="15.75" customHeight="1" x14ac:dyDescent="0.2">
      <c r="A1999" t="s">
        <v>285</v>
      </c>
      <c r="B1999" t="s">
        <v>432</v>
      </c>
      <c r="C1999">
        <v>12</v>
      </c>
      <c r="D1999" t="s">
        <v>433</v>
      </c>
    </row>
    <row r="2000" spans="1:4" ht="15.75" customHeight="1" x14ac:dyDescent="0.2">
      <c r="A2000" t="s">
        <v>285</v>
      </c>
      <c r="B2000" t="s">
        <v>432</v>
      </c>
      <c r="C2000">
        <v>12</v>
      </c>
      <c r="D2000" t="s">
        <v>433</v>
      </c>
    </row>
    <row r="2001" spans="1:4" ht="15.75" customHeight="1" x14ac:dyDescent="0.2">
      <c r="A2001" t="s">
        <v>285</v>
      </c>
      <c r="B2001" t="s">
        <v>432</v>
      </c>
      <c r="C2001">
        <v>12</v>
      </c>
      <c r="D2001" t="s">
        <v>433</v>
      </c>
    </row>
    <row r="2002" spans="1:4" ht="15.75" customHeight="1" x14ac:dyDescent="0.2">
      <c r="A2002" t="s">
        <v>285</v>
      </c>
      <c r="B2002" t="s">
        <v>432</v>
      </c>
      <c r="C2002">
        <v>12</v>
      </c>
      <c r="D2002" t="s">
        <v>433</v>
      </c>
    </row>
    <row r="2003" spans="1:4" ht="15.75" customHeight="1" x14ac:dyDescent="0.2">
      <c r="A2003" t="s">
        <v>285</v>
      </c>
      <c r="B2003" t="s">
        <v>432</v>
      </c>
      <c r="C2003">
        <v>12</v>
      </c>
      <c r="D2003" t="s">
        <v>433</v>
      </c>
    </row>
    <row r="2004" spans="1:4" ht="15.75" customHeight="1" x14ac:dyDescent="0.2">
      <c r="A2004" t="s">
        <v>285</v>
      </c>
      <c r="B2004" t="s">
        <v>432</v>
      </c>
      <c r="C2004">
        <v>12</v>
      </c>
      <c r="D2004" t="s">
        <v>433</v>
      </c>
    </row>
    <row r="2005" spans="1:4" ht="15.75" customHeight="1" x14ac:dyDescent="0.2">
      <c r="A2005" t="s">
        <v>285</v>
      </c>
      <c r="B2005" t="s">
        <v>432</v>
      </c>
      <c r="C2005">
        <v>12</v>
      </c>
      <c r="D2005" t="s">
        <v>433</v>
      </c>
    </row>
    <row r="2006" spans="1:4" ht="15.75" customHeight="1" x14ac:dyDescent="0.2">
      <c r="A2006" t="s">
        <v>285</v>
      </c>
      <c r="B2006" t="s">
        <v>432</v>
      </c>
      <c r="C2006">
        <v>12</v>
      </c>
      <c r="D2006" t="s">
        <v>433</v>
      </c>
    </row>
    <row r="2007" spans="1:4" ht="15.75" customHeight="1" x14ac:dyDescent="0.2">
      <c r="A2007" t="s">
        <v>285</v>
      </c>
      <c r="B2007" t="s">
        <v>432</v>
      </c>
      <c r="C2007">
        <v>12</v>
      </c>
      <c r="D2007" t="s">
        <v>433</v>
      </c>
    </row>
    <row r="2008" spans="1:4" ht="15.75" customHeight="1" x14ac:dyDescent="0.2">
      <c r="A2008" t="s">
        <v>285</v>
      </c>
      <c r="B2008" t="s">
        <v>432</v>
      </c>
      <c r="C2008">
        <v>12</v>
      </c>
      <c r="D2008" t="s">
        <v>433</v>
      </c>
    </row>
    <row r="2009" spans="1:4" ht="15.75" customHeight="1" x14ac:dyDescent="0.2">
      <c r="A2009" t="s">
        <v>285</v>
      </c>
      <c r="B2009" t="s">
        <v>432</v>
      </c>
      <c r="C2009">
        <v>12</v>
      </c>
      <c r="D2009" t="s">
        <v>433</v>
      </c>
    </row>
    <row r="2010" spans="1:4" ht="15.75" customHeight="1" x14ac:dyDescent="0.2">
      <c r="A2010" t="s">
        <v>285</v>
      </c>
      <c r="B2010" t="s">
        <v>432</v>
      </c>
      <c r="C2010">
        <v>12</v>
      </c>
      <c r="D2010" t="s">
        <v>433</v>
      </c>
    </row>
    <row r="2011" spans="1:4" ht="15.75" customHeight="1" x14ac:dyDescent="0.2">
      <c r="A2011" t="s">
        <v>285</v>
      </c>
      <c r="B2011" t="s">
        <v>432</v>
      </c>
      <c r="C2011">
        <v>12</v>
      </c>
      <c r="D2011" t="s">
        <v>433</v>
      </c>
    </row>
    <row r="2012" spans="1:4" ht="15.75" customHeight="1" x14ac:dyDescent="0.2">
      <c r="A2012" t="s">
        <v>285</v>
      </c>
      <c r="B2012" t="s">
        <v>432</v>
      </c>
      <c r="C2012">
        <v>12</v>
      </c>
      <c r="D2012" t="s">
        <v>433</v>
      </c>
    </row>
    <row r="2013" spans="1:4" ht="15.75" customHeight="1" x14ac:dyDescent="0.2">
      <c r="A2013" t="s">
        <v>285</v>
      </c>
      <c r="B2013" t="s">
        <v>432</v>
      </c>
      <c r="C2013">
        <v>12</v>
      </c>
      <c r="D2013" t="s">
        <v>433</v>
      </c>
    </row>
    <row r="2014" spans="1:4" ht="15.75" customHeight="1" x14ac:dyDescent="0.2">
      <c r="A2014" t="s">
        <v>285</v>
      </c>
      <c r="B2014" t="s">
        <v>432</v>
      </c>
      <c r="C2014">
        <v>12</v>
      </c>
      <c r="D2014" t="s">
        <v>433</v>
      </c>
    </row>
    <row r="2015" spans="1:4" ht="15.75" customHeight="1" x14ac:dyDescent="0.2">
      <c r="A2015" t="s">
        <v>285</v>
      </c>
      <c r="B2015" t="s">
        <v>432</v>
      </c>
      <c r="C2015">
        <v>12</v>
      </c>
      <c r="D2015" t="s">
        <v>433</v>
      </c>
    </row>
    <row r="2016" spans="1:4" ht="15.75" customHeight="1" x14ac:dyDescent="0.2">
      <c r="A2016" t="s">
        <v>285</v>
      </c>
      <c r="B2016" t="s">
        <v>432</v>
      </c>
      <c r="C2016">
        <v>12</v>
      </c>
      <c r="D2016" t="s">
        <v>433</v>
      </c>
    </row>
    <row r="2017" spans="1:4" ht="15.75" customHeight="1" x14ac:dyDescent="0.2">
      <c r="A2017" t="s">
        <v>285</v>
      </c>
      <c r="B2017" t="s">
        <v>432</v>
      </c>
      <c r="C2017">
        <v>12</v>
      </c>
      <c r="D2017" t="s">
        <v>433</v>
      </c>
    </row>
    <row r="2018" spans="1:4" ht="15.75" customHeight="1" x14ac:dyDescent="0.2">
      <c r="A2018" t="s">
        <v>285</v>
      </c>
      <c r="B2018" t="s">
        <v>432</v>
      </c>
      <c r="C2018">
        <v>12</v>
      </c>
      <c r="D2018" t="s">
        <v>433</v>
      </c>
    </row>
    <row r="2019" spans="1:4" ht="15.75" customHeight="1" x14ac:dyDescent="0.2">
      <c r="A2019" t="s">
        <v>285</v>
      </c>
      <c r="B2019" t="s">
        <v>432</v>
      </c>
      <c r="C2019">
        <v>12</v>
      </c>
      <c r="D2019" t="s">
        <v>433</v>
      </c>
    </row>
    <row r="2020" spans="1:4" ht="15.75" customHeight="1" x14ac:dyDescent="0.2">
      <c r="A2020" t="s">
        <v>285</v>
      </c>
      <c r="B2020" t="s">
        <v>432</v>
      </c>
      <c r="C2020">
        <v>12</v>
      </c>
      <c r="D2020" t="s">
        <v>433</v>
      </c>
    </row>
    <row r="2021" spans="1:4" ht="15.75" customHeight="1" x14ac:dyDescent="0.2">
      <c r="A2021" t="s">
        <v>285</v>
      </c>
      <c r="B2021" t="s">
        <v>432</v>
      </c>
      <c r="C2021">
        <v>12</v>
      </c>
      <c r="D2021" t="s">
        <v>433</v>
      </c>
    </row>
    <row r="2022" spans="1:4" ht="15.75" customHeight="1" x14ac:dyDescent="0.2">
      <c r="A2022" t="s">
        <v>285</v>
      </c>
      <c r="B2022" t="s">
        <v>432</v>
      </c>
      <c r="C2022">
        <v>12</v>
      </c>
      <c r="D2022" t="s">
        <v>433</v>
      </c>
    </row>
    <row r="2023" spans="1:4" ht="15.75" customHeight="1" x14ac:dyDescent="0.2">
      <c r="A2023" t="s">
        <v>285</v>
      </c>
      <c r="B2023" t="s">
        <v>432</v>
      </c>
      <c r="C2023">
        <v>12</v>
      </c>
      <c r="D2023" t="s">
        <v>433</v>
      </c>
    </row>
    <row r="2024" spans="1:4" ht="15.75" customHeight="1" x14ac:dyDescent="0.2">
      <c r="A2024" t="s">
        <v>285</v>
      </c>
      <c r="B2024" t="s">
        <v>432</v>
      </c>
      <c r="C2024">
        <v>12</v>
      </c>
      <c r="D2024" t="s">
        <v>433</v>
      </c>
    </row>
    <row r="2025" spans="1:4" ht="15.75" customHeight="1" x14ac:dyDescent="0.2">
      <c r="A2025" t="s">
        <v>285</v>
      </c>
      <c r="B2025" t="s">
        <v>432</v>
      </c>
      <c r="C2025">
        <v>12</v>
      </c>
      <c r="D2025" t="s">
        <v>433</v>
      </c>
    </row>
    <row r="2026" spans="1:4" ht="15.75" customHeight="1" x14ac:dyDescent="0.2">
      <c r="A2026" t="s">
        <v>285</v>
      </c>
      <c r="B2026" t="s">
        <v>432</v>
      </c>
      <c r="C2026">
        <v>12</v>
      </c>
      <c r="D2026" t="s">
        <v>433</v>
      </c>
    </row>
    <row r="2027" spans="1:4" ht="15.75" customHeight="1" x14ac:dyDescent="0.2">
      <c r="A2027" t="s">
        <v>285</v>
      </c>
      <c r="B2027" t="s">
        <v>432</v>
      </c>
      <c r="C2027">
        <v>12</v>
      </c>
      <c r="D2027" t="s">
        <v>433</v>
      </c>
    </row>
    <row r="2028" spans="1:4" ht="15.75" customHeight="1" x14ac:dyDescent="0.2">
      <c r="A2028" t="s">
        <v>285</v>
      </c>
      <c r="B2028" t="s">
        <v>432</v>
      </c>
      <c r="C2028">
        <v>12</v>
      </c>
      <c r="D2028" t="s">
        <v>433</v>
      </c>
    </row>
    <row r="2029" spans="1:4" ht="15.75" customHeight="1" x14ac:dyDescent="0.2">
      <c r="A2029" t="s">
        <v>285</v>
      </c>
      <c r="B2029" t="s">
        <v>432</v>
      </c>
      <c r="C2029">
        <v>12</v>
      </c>
      <c r="D2029" t="s">
        <v>433</v>
      </c>
    </row>
    <row r="2030" spans="1:4" ht="15.75" customHeight="1" x14ac:dyDescent="0.2">
      <c r="A2030" t="s">
        <v>285</v>
      </c>
      <c r="B2030" t="s">
        <v>432</v>
      </c>
      <c r="C2030">
        <v>12</v>
      </c>
      <c r="D2030" t="s">
        <v>433</v>
      </c>
    </row>
    <row r="2031" spans="1:4" ht="15.75" customHeight="1" x14ac:dyDescent="0.2">
      <c r="A2031" t="s">
        <v>285</v>
      </c>
      <c r="B2031" t="s">
        <v>432</v>
      </c>
      <c r="C2031">
        <v>12</v>
      </c>
      <c r="D2031" t="s">
        <v>433</v>
      </c>
    </row>
    <row r="2032" spans="1:4" ht="15.75" customHeight="1" x14ac:dyDescent="0.2">
      <c r="A2032" t="s">
        <v>285</v>
      </c>
      <c r="B2032" t="s">
        <v>432</v>
      </c>
      <c r="C2032">
        <v>12</v>
      </c>
      <c r="D2032" t="s">
        <v>433</v>
      </c>
    </row>
    <row r="2033" spans="1:4" ht="15.75" customHeight="1" x14ac:dyDescent="0.2">
      <c r="A2033" t="s">
        <v>285</v>
      </c>
      <c r="B2033" t="s">
        <v>432</v>
      </c>
      <c r="C2033">
        <v>12</v>
      </c>
      <c r="D2033" t="s">
        <v>433</v>
      </c>
    </row>
    <row r="2034" spans="1:4" ht="15.75" customHeight="1" x14ac:dyDescent="0.2">
      <c r="A2034" t="s">
        <v>285</v>
      </c>
      <c r="B2034" t="s">
        <v>432</v>
      </c>
      <c r="C2034">
        <v>12</v>
      </c>
      <c r="D2034" t="s">
        <v>433</v>
      </c>
    </row>
    <row r="2035" spans="1:4" ht="15.75" customHeight="1" x14ac:dyDescent="0.2">
      <c r="A2035" t="s">
        <v>285</v>
      </c>
      <c r="B2035" t="s">
        <v>432</v>
      </c>
      <c r="C2035">
        <v>12</v>
      </c>
      <c r="D2035" t="s">
        <v>433</v>
      </c>
    </row>
    <row r="2036" spans="1:4" ht="15.75" customHeight="1" x14ac:dyDescent="0.2">
      <c r="A2036" t="s">
        <v>285</v>
      </c>
      <c r="B2036" t="s">
        <v>432</v>
      </c>
      <c r="C2036">
        <v>12</v>
      </c>
      <c r="D2036" t="s">
        <v>433</v>
      </c>
    </row>
    <row r="2037" spans="1:4" ht="15.75" customHeight="1" x14ac:dyDescent="0.2">
      <c r="A2037" t="s">
        <v>285</v>
      </c>
      <c r="B2037" t="s">
        <v>432</v>
      </c>
      <c r="C2037">
        <v>12</v>
      </c>
      <c r="D2037" t="s">
        <v>433</v>
      </c>
    </row>
    <row r="2038" spans="1:4" ht="15.75" customHeight="1" x14ac:dyDescent="0.2">
      <c r="A2038" t="s">
        <v>285</v>
      </c>
      <c r="B2038" t="s">
        <v>432</v>
      </c>
      <c r="C2038">
        <v>12</v>
      </c>
      <c r="D2038" t="s">
        <v>433</v>
      </c>
    </row>
    <row r="2039" spans="1:4" ht="15.75" customHeight="1" x14ac:dyDescent="0.2">
      <c r="A2039" t="s">
        <v>285</v>
      </c>
      <c r="B2039" t="s">
        <v>432</v>
      </c>
      <c r="C2039">
        <v>12</v>
      </c>
      <c r="D2039" t="s">
        <v>433</v>
      </c>
    </row>
    <row r="2040" spans="1:4" ht="15.75" customHeight="1" x14ac:dyDescent="0.2">
      <c r="A2040" t="s">
        <v>285</v>
      </c>
      <c r="B2040" t="s">
        <v>432</v>
      </c>
      <c r="C2040">
        <v>12</v>
      </c>
      <c r="D2040" t="s">
        <v>433</v>
      </c>
    </row>
    <row r="2041" spans="1:4" ht="15.75" customHeight="1" x14ac:dyDescent="0.2">
      <c r="A2041" t="s">
        <v>285</v>
      </c>
      <c r="B2041" t="s">
        <v>432</v>
      </c>
      <c r="C2041">
        <v>12</v>
      </c>
      <c r="D2041" t="s">
        <v>433</v>
      </c>
    </row>
    <row r="2042" spans="1:4" ht="15.75" customHeight="1" x14ac:dyDescent="0.2">
      <c r="A2042" t="s">
        <v>285</v>
      </c>
      <c r="B2042" t="s">
        <v>432</v>
      </c>
      <c r="C2042">
        <v>12</v>
      </c>
      <c r="D2042" t="s">
        <v>433</v>
      </c>
    </row>
    <row r="2043" spans="1:4" ht="15.75" customHeight="1" x14ac:dyDescent="0.2">
      <c r="A2043" t="s">
        <v>285</v>
      </c>
      <c r="B2043" t="s">
        <v>432</v>
      </c>
      <c r="C2043">
        <v>12</v>
      </c>
      <c r="D2043" t="s">
        <v>433</v>
      </c>
    </row>
    <row r="2044" spans="1:4" ht="15.75" customHeight="1" x14ac:dyDescent="0.2">
      <c r="A2044" t="s">
        <v>285</v>
      </c>
      <c r="B2044" t="s">
        <v>432</v>
      </c>
      <c r="C2044">
        <v>12</v>
      </c>
      <c r="D2044" t="s">
        <v>433</v>
      </c>
    </row>
    <row r="2045" spans="1:4" ht="15.75" customHeight="1" x14ac:dyDescent="0.2">
      <c r="A2045" t="s">
        <v>285</v>
      </c>
      <c r="B2045" t="s">
        <v>432</v>
      </c>
      <c r="C2045">
        <v>12</v>
      </c>
      <c r="D2045" t="s">
        <v>433</v>
      </c>
    </row>
    <row r="2046" spans="1:4" ht="15.75" customHeight="1" x14ac:dyDescent="0.2">
      <c r="A2046" t="s">
        <v>285</v>
      </c>
      <c r="B2046" t="s">
        <v>432</v>
      </c>
      <c r="C2046">
        <v>12</v>
      </c>
      <c r="D2046" t="s">
        <v>433</v>
      </c>
    </row>
    <row r="2047" spans="1:4" ht="15.75" customHeight="1" x14ac:dyDescent="0.2">
      <c r="A2047" t="s">
        <v>285</v>
      </c>
      <c r="B2047" t="s">
        <v>432</v>
      </c>
      <c r="C2047">
        <v>12</v>
      </c>
      <c r="D2047" t="s">
        <v>433</v>
      </c>
    </row>
    <row r="2048" spans="1:4" ht="15.75" customHeight="1" x14ac:dyDescent="0.2">
      <c r="A2048" t="s">
        <v>285</v>
      </c>
      <c r="B2048" t="s">
        <v>432</v>
      </c>
      <c r="C2048">
        <v>12</v>
      </c>
      <c r="D2048" t="s">
        <v>433</v>
      </c>
    </row>
    <row r="2049" spans="1:4" ht="15.75" customHeight="1" x14ac:dyDescent="0.2">
      <c r="A2049" t="s">
        <v>285</v>
      </c>
      <c r="B2049" t="s">
        <v>432</v>
      </c>
      <c r="C2049">
        <v>12</v>
      </c>
      <c r="D2049" t="s">
        <v>433</v>
      </c>
    </row>
    <row r="2050" spans="1:4" ht="15.75" customHeight="1" x14ac:dyDescent="0.2">
      <c r="A2050" t="s">
        <v>285</v>
      </c>
      <c r="B2050" t="s">
        <v>432</v>
      </c>
      <c r="C2050">
        <v>12</v>
      </c>
      <c r="D2050" t="s">
        <v>433</v>
      </c>
    </row>
    <row r="2051" spans="1:4" ht="15.75" customHeight="1" x14ac:dyDescent="0.2">
      <c r="A2051" t="s">
        <v>285</v>
      </c>
      <c r="B2051" t="s">
        <v>432</v>
      </c>
      <c r="C2051">
        <v>12</v>
      </c>
      <c r="D2051" t="s">
        <v>433</v>
      </c>
    </row>
    <row r="2052" spans="1:4" ht="15.75" customHeight="1" x14ac:dyDescent="0.2">
      <c r="A2052" t="s">
        <v>285</v>
      </c>
      <c r="B2052" t="s">
        <v>432</v>
      </c>
      <c r="C2052">
        <v>12</v>
      </c>
      <c r="D2052" t="s">
        <v>433</v>
      </c>
    </row>
    <row r="2053" spans="1:4" ht="15.75" customHeight="1" x14ac:dyDescent="0.2">
      <c r="A2053" t="s">
        <v>285</v>
      </c>
      <c r="B2053" t="s">
        <v>432</v>
      </c>
      <c r="C2053">
        <v>12</v>
      </c>
      <c r="D2053" t="s">
        <v>433</v>
      </c>
    </row>
    <row r="2054" spans="1:4" ht="15.75" customHeight="1" x14ac:dyDescent="0.2">
      <c r="A2054" t="s">
        <v>285</v>
      </c>
      <c r="B2054" t="s">
        <v>432</v>
      </c>
      <c r="C2054">
        <v>12</v>
      </c>
      <c r="D2054" t="s">
        <v>433</v>
      </c>
    </row>
    <row r="2055" spans="1:4" ht="15.75" customHeight="1" x14ac:dyDescent="0.2">
      <c r="A2055" t="s">
        <v>285</v>
      </c>
      <c r="B2055" t="s">
        <v>432</v>
      </c>
      <c r="C2055">
        <v>12</v>
      </c>
      <c r="D2055" t="s">
        <v>433</v>
      </c>
    </row>
    <row r="2056" spans="1:4" ht="15.75" customHeight="1" x14ac:dyDescent="0.2">
      <c r="A2056" t="s">
        <v>285</v>
      </c>
      <c r="B2056" t="s">
        <v>432</v>
      </c>
      <c r="C2056">
        <v>12</v>
      </c>
      <c r="D2056" t="s">
        <v>433</v>
      </c>
    </row>
    <row r="2057" spans="1:4" ht="15.75" customHeight="1" x14ac:dyDescent="0.2">
      <c r="A2057" t="s">
        <v>285</v>
      </c>
      <c r="B2057" t="s">
        <v>432</v>
      </c>
      <c r="C2057">
        <v>12</v>
      </c>
      <c r="D2057" t="s">
        <v>433</v>
      </c>
    </row>
    <row r="2058" spans="1:4" ht="15.75" customHeight="1" x14ac:dyDescent="0.2">
      <c r="A2058" t="s">
        <v>285</v>
      </c>
      <c r="B2058" t="s">
        <v>432</v>
      </c>
      <c r="C2058">
        <v>12</v>
      </c>
      <c r="D2058" t="s">
        <v>433</v>
      </c>
    </row>
    <row r="2059" spans="1:4" ht="15.75" customHeight="1" x14ac:dyDescent="0.2">
      <c r="A2059" t="s">
        <v>285</v>
      </c>
      <c r="B2059" t="s">
        <v>432</v>
      </c>
      <c r="C2059">
        <v>12</v>
      </c>
    </row>
    <row r="2060" spans="1:4" ht="15.75" customHeight="1" x14ac:dyDescent="0.2">
      <c r="A2060" t="s">
        <v>285</v>
      </c>
      <c r="B2060" t="s">
        <v>432</v>
      </c>
      <c r="C2060">
        <v>12</v>
      </c>
    </row>
    <row r="2061" spans="1:4" ht="15.75" customHeight="1" x14ac:dyDescent="0.2">
      <c r="A2061" t="s">
        <v>285</v>
      </c>
      <c r="B2061" t="s">
        <v>432</v>
      </c>
      <c r="C2061">
        <v>12</v>
      </c>
    </row>
    <row r="2062" spans="1:4" ht="15.75" customHeight="1" x14ac:dyDescent="0.2">
      <c r="A2062" t="s">
        <v>285</v>
      </c>
      <c r="B2062" t="s">
        <v>432</v>
      </c>
      <c r="C2062">
        <v>12</v>
      </c>
    </row>
    <row r="2063" spans="1:4" ht="15.75" customHeight="1" x14ac:dyDescent="0.2">
      <c r="A2063" t="s">
        <v>285</v>
      </c>
      <c r="B2063" t="s">
        <v>432</v>
      </c>
      <c r="C2063">
        <v>12</v>
      </c>
    </row>
    <row r="2064" spans="1:4" ht="15.75" customHeight="1" x14ac:dyDescent="0.2">
      <c r="A2064" t="s">
        <v>285</v>
      </c>
      <c r="B2064" t="s">
        <v>432</v>
      </c>
      <c r="C2064">
        <v>12</v>
      </c>
    </row>
    <row r="2065" spans="1:3" ht="15.75" customHeight="1" x14ac:dyDescent="0.2">
      <c r="A2065" t="s">
        <v>285</v>
      </c>
      <c r="B2065" t="s">
        <v>432</v>
      </c>
      <c r="C2065">
        <v>12</v>
      </c>
    </row>
    <row r="2066" spans="1:3" ht="15.75" customHeight="1" x14ac:dyDescent="0.2">
      <c r="A2066" t="s">
        <v>285</v>
      </c>
      <c r="B2066" t="s">
        <v>432</v>
      </c>
      <c r="C2066">
        <v>12</v>
      </c>
    </row>
    <row r="2067" spans="1:3" ht="15.75" customHeight="1" x14ac:dyDescent="0.2">
      <c r="A2067" t="s">
        <v>285</v>
      </c>
      <c r="B2067" t="s">
        <v>432</v>
      </c>
      <c r="C2067">
        <v>12</v>
      </c>
    </row>
    <row r="2068" spans="1:3" ht="15.75" customHeight="1" x14ac:dyDescent="0.2">
      <c r="A2068" t="s">
        <v>285</v>
      </c>
      <c r="B2068" t="s">
        <v>432</v>
      </c>
      <c r="C2068">
        <v>12</v>
      </c>
    </row>
    <row r="2069" spans="1:3" ht="15.75" customHeight="1" x14ac:dyDescent="0.2">
      <c r="A2069" t="s">
        <v>285</v>
      </c>
      <c r="B2069" t="s">
        <v>432</v>
      </c>
      <c r="C2069">
        <v>12</v>
      </c>
    </row>
    <row r="2070" spans="1:3" ht="15.75" customHeight="1" x14ac:dyDescent="0.2">
      <c r="A2070" t="s">
        <v>285</v>
      </c>
      <c r="B2070" t="s">
        <v>432</v>
      </c>
      <c r="C2070">
        <v>12</v>
      </c>
    </row>
    <row r="2071" spans="1:3" ht="15.75" customHeight="1" x14ac:dyDescent="0.2">
      <c r="A2071" t="s">
        <v>285</v>
      </c>
      <c r="B2071" t="s">
        <v>432</v>
      </c>
      <c r="C2071">
        <v>12</v>
      </c>
    </row>
    <row r="2072" spans="1:3" ht="15.75" customHeight="1" x14ac:dyDescent="0.2">
      <c r="A2072" t="s">
        <v>285</v>
      </c>
      <c r="B2072" t="s">
        <v>432</v>
      </c>
      <c r="C2072">
        <v>12</v>
      </c>
    </row>
    <row r="2073" spans="1:3" ht="15.75" customHeight="1" x14ac:dyDescent="0.2">
      <c r="A2073" t="s">
        <v>285</v>
      </c>
      <c r="B2073" t="s">
        <v>432</v>
      </c>
      <c r="C2073">
        <v>12</v>
      </c>
    </row>
    <row r="2074" spans="1:3" ht="15.75" customHeight="1" x14ac:dyDescent="0.2">
      <c r="A2074" t="s">
        <v>285</v>
      </c>
      <c r="B2074" t="s">
        <v>432</v>
      </c>
      <c r="C2074">
        <v>12</v>
      </c>
    </row>
    <row r="2075" spans="1:3" ht="15.75" customHeight="1" x14ac:dyDescent="0.2">
      <c r="A2075" t="s">
        <v>285</v>
      </c>
      <c r="B2075" t="s">
        <v>432</v>
      </c>
      <c r="C2075">
        <v>12</v>
      </c>
    </row>
    <row r="2076" spans="1:3" ht="15.75" customHeight="1" x14ac:dyDescent="0.2">
      <c r="A2076" t="s">
        <v>285</v>
      </c>
      <c r="B2076" t="s">
        <v>432</v>
      </c>
      <c r="C2076">
        <v>12</v>
      </c>
    </row>
    <row r="2077" spans="1:3" ht="15.75" customHeight="1" x14ac:dyDescent="0.2">
      <c r="A2077" t="s">
        <v>285</v>
      </c>
      <c r="B2077" t="s">
        <v>432</v>
      </c>
      <c r="C2077">
        <v>12</v>
      </c>
    </row>
    <row r="2078" spans="1:3" ht="15.75" customHeight="1" x14ac:dyDescent="0.2">
      <c r="A2078" t="s">
        <v>285</v>
      </c>
      <c r="B2078" t="s">
        <v>432</v>
      </c>
      <c r="C2078">
        <v>12</v>
      </c>
    </row>
    <row r="2079" spans="1:3" ht="15.75" customHeight="1" x14ac:dyDescent="0.2">
      <c r="A2079" t="s">
        <v>285</v>
      </c>
      <c r="B2079" t="s">
        <v>432</v>
      </c>
      <c r="C2079">
        <v>12</v>
      </c>
    </row>
    <row r="2080" spans="1:3" ht="15.75" customHeight="1" x14ac:dyDescent="0.2">
      <c r="A2080" t="s">
        <v>285</v>
      </c>
      <c r="B2080" t="s">
        <v>432</v>
      </c>
      <c r="C2080">
        <v>12</v>
      </c>
    </row>
    <row r="2081" spans="1:3" ht="15.75" customHeight="1" x14ac:dyDescent="0.2">
      <c r="A2081" t="s">
        <v>285</v>
      </c>
      <c r="B2081" t="s">
        <v>432</v>
      </c>
      <c r="C2081">
        <v>12</v>
      </c>
    </row>
    <row r="2082" spans="1:3" ht="15.75" customHeight="1" x14ac:dyDescent="0.2">
      <c r="A2082" t="s">
        <v>285</v>
      </c>
      <c r="B2082" t="s">
        <v>432</v>
      </c>
      <c r="C2082">
        <v>12</v>
      </c>
    </row>
    <row r="2083" spans="1:3" ht="15.75" customHeight="1" x14ac:dyDescent="0.2">
      <c r="A2083" t="s">
        <v>285</v>
      </c>
      <c r="B2083" t="s">
        <v>432</v>
      </c>
      <c r="C2083">
        <v>12</v>
      </c>
    </row>
    <row r="2084" spans="1:3" ht="15.75" customHeight="1" x14ac:dyDescent="0.2">
      <c r="A2084" t="s">
        <v>285</v>
      </c>
      <c r="B2084" t="s">
        <v>432</v>
      </c>
      <c r="C2084">
        <v>12</v>
      </c>
    </row>
    <row r="2085" spans="1:3" ht="15.75" customHeight="1" x14ac:dyDescent="0.2">
      <c r="A2085" t="s">
        <v>285</v>
      </c>
      <c r="B2085" t="s">
        <v>432</v>
      </c>
      <c r="C2085">
        <v>12</v>
      </c>
    </row>
    <row r="2086" spans="1:3" ht="15.75" customHeight="1" x14ac:dyDescent="0.2">
      <c r="A2086" t="s">
        <v>285</v>
      </c>
      <c r="B2086" t="s">
        <v>432</v>
      </c>
      <c r="C2086">
        <v>12</v>
      </c>
    </row>
    <row r="2087" spans="1:3" ht="15.75" customHeight="1" x14ac:dyDescent="0.2">
      <c r="A2087" t="s">
        <v>285</v>
      </c>
      <c r="B2087" t="s">
        <v>432</v>
      </c>
      <c r="C2087">
        <v>12</v>
      </c>
    </row>
    <row r="2088" spans="1:3" ht="15.75" customHeight="1" x14ac:dyDescent="0.2">
      <c r="A2088" t="s">
        <v>285</v>
      </c>
      <c r="B2088" t="s">
        <v>432</v>
      </c>
      <c r="C2088">
        <v>12</v>
      </c>
    </row>
    <row r="2089" spans="1:3" ht="15.75" customHeight="1" x14ac:dyDescent="0.2">
      <c r="A2089" t="s">
        <v>285</v>
      </c>
      <c r="B2089" t="s">
        <v>432</v>
      </c>
      <c r="C2089">
        <v>12</v>
      </c>
    </row>
    <row r="2090" spans="1:3" ht="15.75" customHeight="1" x14ac:dyDescent="0.2">
      <c r="A2090" t="s">
        <v>285</v>
      </c>
      <c r="B2090" t="s">
        <v>432</v>
      </c>
      <c r="C2090">
        <v>12</v>
      </c>
    </row>
    <row r="2091" spans="1:3" ht="15.75" customHeight="1" x14ac:dyDescent="0.2">
      <c r="A2091" t="s">
        <v>285</v>
      </c>
      <c r="B2091" t="s">
        <v>432</v>
      </c>
      <c r="C2091">
        <v>12</v>
      </c>
    </row>
    <row r="2092" spans="1:3" ht="15.75" customHeight="1" x14ac:dyDescent="0.2">
      <c r="A2092" t="s">
        <v>285</v>
      </c>
      <c r="B2092" t="s">
        <v>432</v>
      </c>
      <c r="C2092">
        <v>12</v>
      </c>
    </row>
    <row r="2093" spans="1:3" ht="15.75" customHeight="1" x14ac:dyDescent="0.2">
      <c r="A2093" t="s">
        <v>285</v>
      </c>
      <c r="B2093" t="s">
        <v>432</v>
      </c>
      <c r="C2093">
        <v>12</v>
      </c>
    </row>
    <row r="2094" spans="1:3" ht="15.75" customHeight="1" x14ac:dyDescent="0.2">
      <c r="A2094" t="s">
        <v>285</v>
      </c>
      <c r="B2094" t="s">
        <v>432</v>
      </c>
      <c r="C2094">
        <v>12</v>
      </c>
    </row>
    <row r="2095" spans="1:3" ht="15.75" customHeight="1" x14ac:dyDescent="0.2">
      <c r="A2095" t="s">
        <v>285</v>
      </c>
      <c r="B2095" t="s">
        <v>432</v>
      </c>
      <c r="C2095">
        <v>12</v>
      </c>
    </row>
    <row r="2096" spans="1:3" ht="15.75" customHeight="1" x14ac:dyDescent="0.2">
      <c r="A2096" t="s">
        <v>285</v>
      </c>
      <c r="B2096" t="s">
        <v>432</v>
      </c>
      <c r="C2096">
        <v>12</v>
      </c>
    </row>
    <row r="2097" spans="1:3" ht="15.75" customHeight="1" x14ac:dyDescent="0.2">
      <c r="A2097" t="s">
        <v>285</v>
      </c>
      <c r="B2097" t="s">
        <v>432</v>
      </c>
      <c r="C2097">
        <v>12</v>
      </c>
    </row>
    <row r="2098" spans="1:3" ht="15.75" customHeight="1" x14ac:dyDescent="0.2">
      <c r="A2098" t="s">
        <v>285</v>
      </c>
      <c r="B2098" t="s">
        <v>432</v>
      </c>
      <c r="C2098">
        <v>12</v>
      </c>
    </row>
    <row r="2099" spans="1:3" ht="15.75" customHeight="1" x14ac:dyDescent="0.2">
      <c r="A2099" t="s">
        <v>285</v>
      </c>
      <c r="B2099" t="s">
        <v>432</v>
      </c>
      <c r="C2099">
        <v>12</v>
      </c>
    </row>
    <row r="2100" spans="1:3" ht="15.75" customHeight="1" x14ac:dyDescent="0.2">
      <c r="A2100" t="s">
        <v>285</v>
      </c>
      <c r="B2100" t="s">
        <v>432</v>
      </c>
      <c r="C2100">
        <v>12</v>
      </c>
    </row>
    <row r="2101" spans="1:3" ht="15.75" customHeight="1" x14ac:dyDescent="0.2">
      <c r="A2101" t="s">
        <v>285</v>
      </c>
      <c r="B2101" t="s">
        <v>432</v>
      </c>
      <c r="C2101">
        <v>12</v>
      </c>
    </row>
    <row r="2102" spans="1:3" ht="15.75" customHeight="1" x14ac:dyDescent="0.2">
      <c r="A2102" t="s">
        <v>285</v>
      </c>
      <c r="B2102" t="s">
        <v>432</v>
      </c>
      <c r="C2102">
        <v>12</v>
      </c>
    </row>
    <row r="2103" spans="1:3" ht="15.75" customHeight="1" x14ac:dyDescent="0.2">
      <c r="A2103" t="s">
        <v>285</v>
      </c>
      <c r="B2103" t="s">
        <v>432</v>
      </c>
      <c r="C2103">
        <v>12</v>
      </c>
    </row>
    <row r="2104" spans="1:3" ht="15.75" customHeight="1" x14ac:dyDescent="0.2">
      <c r="A2104" t="s">
        <v>285</v>
      </c>
      <c r="B2104" t="s">
        <v>432</v>
      </c>
      <c r="C2104">
        <v>12</v>
      </c>
    </row>
    <row r="2105" spans="1:3" ht="15.75" customHeight="1" x14ac:dyDescent="0.2">
      <c r="A2105" t="s">
        <v>285</v>
      </c>
      <c r="B2105" t="s">
        <v>432</v>
      </c>
      <c r="C2105">
        <v>12</v>
      </c>
    </row>
    <row r="2106" spans="1:3" ht="15.75" customHeight="1" x14ac:dyDescent="0.2">
      <c r="A2106" t="s">
        <v>285</v>
      </c>
      <c r="B2106" t="s">
        <v>432</v>
      </c>
      <c r="C2106">
        <v>12</v>
      </c>
    </row>
    <row r="2107" spans="1:3" ht="15.75" customHeight="1" x14ac:dyDescent="0.2">
      <c r="A2107" t="s">
        <v>285</v>
      </c>
      <c r="B2107" t="s">
        <v>432</v>
      </c>
      <c r="C2107">
        <v>12</v>
      </c>
    </row>
    <row r="2108" spans="1:3" ht="15.75" customHeight="1" x14ac:dyDescent="0.2">
      <c r="A2108" t="s">
        <v>285</v>
      </c>
      <c r="B2108" t="s">
        <v>432</v>
      </c>
      <c r="C2108">
        <v>12</v>
      </c>
    </row>
    <row r="2109" spans="1:3" ht="15.75" customHeight="1" x14ac:dyDescent="0.2">
      <c r="A2109" t="s">
        <v>285</v>
      </c>
      <c r="B2109" t="s">
        <v>432</v>
      </c>
      <c r="C2109">
        <v>12</v>
      </c>
    </row>
    <row r="2110" spans="1:3" ht="15.75" customHeight="1" x14ac:dyDescent="0.2">
      <c r="A2110" t="s">
        <v>285</v>
      </c>
      <c r="B2110" t="s">
        <v>432</v>
      </c>
      <c r="C2110">
        <v>12</v>
      </c>
    </row>
    <row r="2111" spans="1:3" ht="15.75" customHeight="1" x14ac:dyDescent="0.2">
      <c r="A2111" t="s">
        <v>285</v>
      </c>
      <c r="B2111" t="s">
        <v>432</v>
      </c>
      <c r="C2111">
        <v>12</v>
      </c>
    </row>
    <row r="2112" spans="1:3" ht="15.75" customHeight="1" x14ac:dyDescent="0.2">
      <c r="A2112" t="s">
        <v>285</v>
      </c>
      <c r="B2112" t="s">
        <v>432</v>
      </c>
      <c r="C2112">
        <v>12</v>
      </c>
    </row>
    <row r="2113" spans="1:3" ht="15.75" customHeight="1" x14ac:dyDescent="0.2">
      <c r="A2113" t="s">
        <v>285</v>
      </c>
      <c r="B2113" t="s">
        <v>432</v>
      </c>
      <c r="C2113">
        <v>12</v>
      </c>
    </row>
    <row r="2114" spans="1:3" ht="15.75" customHeight="1" x14ac:dyDescent="0.2">
      <c r="A2114" t="s">
        <v>285</v>
      </c>
      <c r="B2114" t="s">
        <v>432</v>
      </c>
      <c r="C2114">
        <v>12</v>
      </c>
    </row>
    <row r="2115" spans="1:3" ht="15.75" customHeight="1" x14ac:dyDescent="0.2">
      <c r="A2115" t="s">
        <v>285</v>
      </c>
      <c r="B2115" t="s">
        <v>432</v>
      </c>
      <c r="C2115">
        <v>12</v>
      </c>
    </row>
    <row r="2116" spans="1:3" ht="15.75" customHeight="1" x14ac:dyDescent="0.2">
      <c r="A2116" t="s">
        <v>285</v>
      </c>
      <c r="B2116" t="s">
        <v>432</v>
      </c>
      <c r="C2116">
        <v>12</v>
      </c>
    </row>
    <row r="2117" spans="1:3" ht="15.75" customHeight="1" x14ac:dyDescent="0.2">
      <c r="A2117" t="s">
        <v>285</v>
      </c>
      <c r="B2117" t="s">
        <v>432</v>
      </c>
      <c r="C2117">
        <v>12</v>
      </c>
    </row>
    <row r="2118" spans="1:3" ht="15.75" customHeight="1" x14ac:dyDescent="0.2">
      <c r="A2118" t="s">
        <v>285</v>
      </c>
      <c r="B2118" t="s">
        <v>432</v>
      </c>
      <c r="C2118">
        <v>12</v>
      </c>
    </row>
    <row r="2119" spans="1:3" ht="15.75" customHeight="1" x14ac:dyDescent="0.2">
      <c r="A2119" t="s">
        <v>285</v>
      </c>
      <c r="B2119" t="s">
        <v>432</v>
      </c>
      <c r="C2119">
        <v>12</v>
      </c>
    </row>
    <row r="2120" spans="1:3" ht="15.75" customHeight="1" x14ac:dyDescent="0.2">
      <c r="A2120" t="s">
        <v>285</v>
      </c>
      <c r="B2120" t="s">
        <v>432</v>
      </c>
      <c r="C2120">
        <v>12</v>
      </c>
    </row>
    <row r="2121" spans="1:3" ht="15.75" customHeight="1" x14ac:dyDescent="0.2">
      <c r="A2121" t="s">
        <v>285</v>
      </c>
      <c r="B2121" t="s">
        <v>432</v>
      </c>
      <c r="C2121">
        <v>12</v>
      </c>
    </row>
    <row r="2122" spans="1:3" ht="15.75" customHeight="1" x14ac:dyDescent="0.2">
      <c r="A2122" t="s">
        <v>285</v>
      </c>
      <c r="B2122" t="s">
        <v>432</v>
      </c>
      <c r="C2122">
        <v>12</v>
      </c>
    </row>
    <row r="2123" spans="1:3" ht="15.75" customHeight="1" x14ac:dyDescent="0.2">
      <c r="A2123" t="s">
        <v>285</v>
      </c>
      <c r="B2123" t="s">
        <v>432</v>
      </c>
      <c r="C2123">
        <v>12</v>
      </c>
    </row>
    <row r="2124" spans="1:3" ht="15.75" customHeight="1" x14ac:dyDescent="0.2">
      <c r="A2124" t="s">
        <v>285</v>
      </c>
      <c r="B2124" t="s">
        <v>432</v>
      </c>
      <c r="C2124">
        <v>12</v>
      </c>
    </row>
    <row r="2125" spans="1:3" ht="15.75" customHeight="1" x14ac:dyDescent="0.2">
      <c r="A2125" t="s">
        <v>285</v>
      </c>
      <c r="B2125" t="s">
        <v>432</v>
      </c>
      <c r="C2125">
        <v>12</v>
      </c>
    </row>
    <row r="2126" spans="1:3" ht="15.75" customHeight="1" x14ac:dyDescent="0.2">
      <c r="A2126" t="s">
        <v>285</v>
      </c>
      <c r="B2126" t="s">
        <v>432</v>
      </c>
      <c r="C2126">
        <v>12</v>
      </c>
    </row>
    <row r="2127" spans="1:3" ht="15.75" customHeight="1" x14ac:dyDescent="0.2">
      <c r="A2127" t="s">
        <v>285</v>
      </c>
      <c r="B2127" t="s">
        <v>432</v>
      </c>
      <c r="C2127">
        <v>12</v>
      </c>
    </row>
    <row r="2128" spans="1:3" ht="15.75" customHeight="1" x14ac:dyDescent="0.2">
      <c r="A2128" t="s">
        <v>285</v>
      </c>
      <c r="B2128" t="s">
        <v>432</v>
      </c>
      <c r="C2128">
        <v>12</v>
      </c>
    </row>
    <row r="2129" spans="1:3" ht="15.75" customHeight="1" x14ac:dyDescent="0.2">
      <c r="A2129" t="s">
        <v>285</v>
      </c>
      <c r="B2129" t="s">
        <v>432</v>
      </c>
      <c r="C2129">
        <v>12</v>
      </c>
    </row>
    <row r="2130" spans="1:3" ht="15.75" customHeight="1" x14ac:dyDescent="0.2">
      <c r="A2130" t="s">
        <v>285</v>
      </c>
      <c r="B2130" t="s">
        <v>432</v>
      </c>
      <c r="C2130">
        <v>12</v>
      </c>
    </row>
    <row r="2131" spans="1:3" ht="15.75" customHeight="1" x14ac:dyDescent="0.2">
      <c r="A2131" t="s">
        <v>285</v>
      </c>
      <c r="B2131" t="s">
        <v>432</v>
      </c>
      <c r="C2131">
        <v>12</v>
      </c>
    </row>
    <row r="2132" spans="1:3" ht="15.75" customHeight="1" x14ac:dyDescent="0.2">
      <c r="A2132" t="s">
        <v>285</v>
      </c>
      <c r="B2132" t="s">
        <v>432</v>
      </c>
      <c r="C2132">
        <v>12</v>
      </c>
    </row>
    <row r="2133" spans="1:3" ht="15.75" customHeight="1" x14ac:dyDescent="0.2">
      <c r="A2133" t="s">
        <v>285</v>
      </c>
      <c r="B2133" t="s">
        <v>432</v>
      </c>
      <c r="C2133">
        <v>12</v>
      </c>
    </row>
    <row r="2134" spans="1:3" ht="15.75" customHeight="1" x14ac:dyDescent="0.2">
      <c r="A2134" t="s">
        <v>285</v>
      </c>
      <c r="B2134" t="s">
        <v>432</v>
      </c>
      <c r="C2134">
        <v>12</v>
      </c>
    </row>
    <row r="2135" spans="1:3" ht="15.75" customHeight="1" x14ac:dyDescent="0.2">
      <c r="A2135" t="s">
        <v>285</v>
      </c>
      <c r="B2135" t="s">
        <v>432</v>
      </c>
      <c r="C2135">
        <v>12</v>
      </c>
    </row>
    <row r="2136" spans="1:3" ht="15.75" customHeight="1" x14ac:dyDescent="0.2">
      <c r="A2136" t="s">
        <v>285</v>
      </c>
      <c r="B2136" t="s">
        <v>432</v>
      </c>
      <c r="C2136">
        <v>12</v>
      </c>
    </row>
    <row r="2137" spans="1:3" ht="15.75" customHeight="1" x14ac:dyDescent="0.2">
      <c r="A2137" t="s">
        <v>285</v>
      </c>
      <c r="B2137" t="s">
        <v>432</v>
      </c>
      <c r="C2137">
        <v>12</v>
      </c>
    </row>
    <row r="2138" spans="1:3" ht="15.75" customHeight="1" x14ac:dyDescent="0.2">
      <c r="A2138" t="s">
        <v>285</v>
      </c>
      <c r="B2138" t="s">
        <v>432</v>
      </c>
      <c r="C2138">
        <v>12</v>
      </c>
    </row>
    <row r="2139" spans="1:3" ht="15.75" customHeight="1" x14ac:dyDescent="0.2">
      <c r="A2139" t="s">
        <v>285</v>
      </c>
      <c r="B2139" t="s">
        <v>432</v>
      </c>
      <c r="C2139">
        <v>12</v>
      </c>
    </row>
    <row r="2140" spans="1:3" ht="15.75" customHeight="1" x14ac:dyDescent="0.2">
      <c r="A2140" t="s">
        <v>285</v>
      </c>
      <c r="B2140" t="s">
        <v>432</v>
      </c>
      <c r="C2140">
        <v>12</v>
      </c>
    </row>
    <row r="2141" spans="1:3" ht="15.75" customHeight="1" x14ac:dyDescent="0.2">
      <c r="A2141" t="s">
        <v>285</v>
      </c>
      <c r="B2141" t="s">
        <v>432</v>
      </c>
      <c r="C2141">
        <v>12</v>
      </c>
    </row>
    <row r="2142" spans="1:3" ht="15.75" customHeight="1" x14ac:dyDescent="0.2">
      <c r="A2142" t="s">
        <v>285</v>
      </c>
      <c r="B2142" t="s">
        <v>432</v>
      </c>
      <c r="C2142">
        <v>12</v>
      </c>
    </row>
    <row r="2143" spans="1:3" ht="15.75" customHeight="1" x14ac:dyDescent="0.2">
      <c r="A2143" t="s">
        <v>285</v>
      </c>
      <c r="B2143" t="s">
        <v>432</v>
      </c>
      <c r="C2143">
        <v>12</v>
      </c>
    </row>
    <row r="2144" spans="1:3" ht="15.75" customHeight="1" x14ac:dyDescent="0.2">
      <c r="A2144" t="s">
        <v>285</v>
      </c>
      <c r="B2144" t="s">
        <v>432</v>
      </c>
      <c r="C2144">
        <v>12</v>
      </c>
    </row>
    <row r="2145" spans="1:3" ht="15.75" customHeight="1" x14ac:dyDescent="0.2">
      <c r="A2145" t="s">
        <v>285</v>
      </c>
      <c r="B2145" t="s">
        <v>432</v>
      </c>
      <c r="C2145">
        <v>12</v>
      </c>
    </row>
    <row r="2146" spans="1:3" ht="15.75" customHeight="1" x14ac:dyDescent="0.2">
      <c r="A2146" t="s">
        <v>285</v>
      </c>
      <c r="B2146" t="s">
        <v>432</v>
      </c>
      <c r="C2146">
        <v>12</v>
      </c>
    </row>
    <row r="2147" spans="1:3" ht="15.75" customHeight="1" x14ac:dyDescent="0.2">
      <c r="A2147" t="s">
        <v>285</v>
      </c>
      <c r="B2147" t="s">
        <v>432</v>
      </c>
      <c r="C2147">
        <v>12</v>
      </c>
    </row>
    <row r="2148" spans="1:3" ht="15.75" customHeight="1" x14ac:dyDescent="0.2">
      <c r="A2148" t="s">
        <v>285</v>
      </c>
      <c r="B2148" t="s">
        <v>432</v>
      </c>
      <c r="C2148">
        <v>12</v>
      </c>
    </row>
    <row r="2149" spans="1:3" ht="15.75" customHeight="1" x14ac:dyDescent="0.2">
      <c r="A2149" t="s">
        <v>285</v>
      </c>
      <c r="B2149" t="s">
        <v>432</v>
      </c>
      <c r="C2149">
        <v>12</v>
      </c>
    </row>
    <row r="2150" spans="1:3" ht="15.75" customHeight="1" x14ac:dyDescent="0.2">
      <c r="A2150" t="s">
        <v>285</v>
      </c>
      <c r="B2150" t="s">
        <v>432</v>
      </c>
      <c r="C2150">
        <v>12</v>
      </c>
    </row>
    <row r="2151" spans="1:3" ht="15.75" customHeight="1" x14ac:dyDescent="0.2">
      <c r="A2151" t="s">
        <v>285</v>
      </c>
      <c r="B2151" t="s">
        <v>432</v>
      </c>
      <c r="C2151">
        <v>12</v>
      </c>
    </row>
    <row r="2152" spans="1:3" ht="15.75" customHeight="1" x14ac:dyDescent="0.2">
      <c r="A2152" t="s">
        <v>285</v>
      </c>
      <c r="B2152" t="s">
        <v>432</v>
      </c>
      <c r="C2152">
        <v>12</v>
      </c>
    </row>
    <row r="2153" spans="1:3" ht="15.75" customHeight="1" x14ac:dyDescent="0.2">
      <c r="A2153" t="s">
        <v>285</v>
      </c>
      <c r="B2153" t="s">
        <v>432</v>
      </c>
      <c r="C2153">
        <v>12</v>
      </c>
    </row>
    <row r="2154" spans="1:3" ht="15.75" customHeight="1" x14ac:dyDescent="0.2">
      <c r="A2154" t="s">
        <v>285</v>
      </c>
      <c r="B2154" t="s">
        <v>432</v>
      </c>
      <c r="C2154">
        <v>12</v>
      </c>
    </row>
    <row r="2155" spans="1:3" ht="15.75" customHeight="1" x14ac:dyDescent="0.2">
      <c r="A2155" t="s">
        <v>285</v>
      </c>
      <c r="B2155" t="s">
        <v>432</v>
      </c>
      <c r="C2155">
        <v>12</v>
      </c>
    </row>
    <row r="2156" spans="1:3" ht="15.75" customHeight="1" x14ac:dyDescent="0.2">
      <c r="A2156" t="s">
        <v>285</v>
      </c>
      <c r="B2156" t="s">
        <v>432</v>
      </c>
      <c r="C2156">
        <v>12</v>
      </c>
    </row>
    <row r="2157" spans="1:3" ht="15.75" customHeight="1" x14ac:dyDescent="0.2">
      <c r="A2157" t="s">
        <v>285</v>
      </c>
      <c r="B2157" t="s">
        <v>432</v>
      </c>
      <c r="C2157">
        <v>12</v>
      </c>
    </row>
    <row r="2158" spans="1:3" ht="15.75" customHeight="1" x14ac:dyDescent="0.2">
      <c r="A2158" t="s">
        <v>285</v>
      </c>
      <c r="B2158" t="s">
        <v>432</v>
      </c>
      <c r="C2158">
        <v>12</v>
      </c>
    </row>
    <row r="2159" spans="1:3" ht="15.75" customHeight="1" x14ac:dyDescent="0.2">
      <c r="A2159" t="s">
        <v>285</v>
      </c>
      <c r="B2159" t="s">
        <v>432</v>
      </c>
      <c r="C2159">
        <v>12</v>
      </c>
    </row>
    <row r="2160" spans="1:3" ht="15.75" customHeight="1" x14ac:dyDescent="0.2">
      <c r="A2160" t="s">
        <v>285</v>
      </c>
      <c r="B2160" t="s">
        <v>432</v>
      </c>
      <c r="C2160">
        <v>12</v>
      </c>
    </row>
    <row r="2161" spans="1:3" ht="15.75" customHeight="1" x14ac:dyDescent="0.2">
      <c r="A2161" t="s">
        <v>285</v>
      </c>
      <c r="B2161" t="s">
        <v>432</v>
      </c>
      <c r="C2161">
        <v>12</v>
      </c>
    </row>
    <row r="2162" spans="1:3" ht="15.75" customHeight="1" x14ac:dyDescent="0.2">
      <c r="A2162" t="s">
        <v>285</v>
      </c>
      <c r="B2162" t="s">
        <v>432</v>
      </c>
      <c r="C2162">
        <v>12</v>
      </c>
    </row>
    <row r="2163" spans="1:3" ht="15.75" customHeight="1" x14ac:dyDescent="0.2">
      <c r="A2163" t="s">
        <v>285</v>
      </c>
      <c r="B2163" t="s">
        <v>432</v>
      </c>
      <c r="C2163">
        <v>12</v>
      </c>
    </row>
    <row r="2164" spans="1:3" ht="15.75" customHeight="1" x14ac:dyDescent="0.2">
      <c r="A2164" t="s">
        <v>285</v>
      </c>
      <c r="B2164" t="s">
        <v>432</v>
      </c>
      <c r="C2164">
        <v>12</v>
      </c>
    </row>
    <row r="2165" spans="1:3" ht="15.75" customHeight="1" x14ac:dyDescent="0.2">
      <c r="A2165" t="s">
        <v>285</v>
      </c>
      <c r="B2165" t="s">
        <v>432</v>
      </c>
      <c r="C2165">
        <v>12</v>
      </c>
    </row>
    <row r="2166" spans="1:3" ht="15.75" customHeight="1" x14ac:dyDescent="0.2">
      <c r="A2166" t="s">
        <v>285</v>
      </c>
      <c r="B2166" t="s">
        <v>432</v>
      </c>
      <c r="C2166">
        <v>12</v>
      </c>
    </row>
    <row r="2167" spans="1:3" ht="15.75" customHeight="1" x14ac:dyDescent="0.2">
      <c r="A2167" t="s">
        <v>285</v>
      </c>
      <c r="B2167" t="s">
        <v>432</v>
      </c>
      <c r="C2167">
        <v>12</v>
      </c>
    </row>
    <row r="2168" spans="1:3" ht="15.75" customHeight="1" x14ac:dyDescent="0.2">
      <c r="A2168" t="s">
        <v>285</v>
      </c>
      <c r="B2168" t="s">
        <v>432</v>
      </c>
      <c r="C2168">
        <v>12</v>
      </c>
    </row>
    <row r="2169" spans="1:3" ht="15.75" customHeight="1" x14ac:dyDescent="0.2">
      <c r="A2169" t="s">
        <v>285</v>
      </c>
      <c r="B2169" t="s">
        <v>432</v>
      </c>
      <c r="C2169">
        <v>12</v>
      </c>
    </row>
    <row r="2170" spans="1:3" ht="15.75" customHeight="1" x14ac:dyDescent="0.2">
      <c r="A2170" t="s">
        <v>285</v>
      </c>
      <c r="B2170" t="s">
        <v>432</v>
      </c>
      <c r="C2170">
        <v>12</v>
      </c>
    </row>
    <row r="2171" spans="1:3" ht="15.75" customHeight="1" x14ac:dyDescent="0.2">
      <c r="A2171" t="s">
        <v>285</v>
      </c>
      <c r="B2171" t="s">
        <v>432</v>
      </c>
      <c r="C2171">
        <v>12</v>
      </c>
    </row>
    <row r="2172" spans="1:3" ht="15.75" customHeight="1" x14ac:dyDescent="0.2">
      <c r="A2172" t="s">
        <v>285</v>
      </c>
      <c r="B2172" t="s">
        <v>432</v>
      </c>
      <c r="C2172">
        <v>12</v>
      </c>
    </row>
    <row r="2173" spans="1:3" ht="15.75" customHeight="1" x14ac:dyDescent="0.2">
      <c r="A2173" t="s">
        <v>285</v>
      </c>
      <c r="B2173" t="s">
        <v>432</v>
      </c>
      <c r="C2173">
        <v>12</v>
      </c>
    </row>
    <row r="2174" spans="1:3" ht="15.75" customHeight="1" x14ac:dyDescent="0.2">
      <c r="A2174" t="s">
        <v>285</v>
      </c>
      <c r="B2174" t="s">
        <v>432</v>
      </c>
      <c r="C2174">
        <v>12</v>
      </c>
    </row>
    <row r="2175" spans="1:3" ht="15.75" customHeight="1" x14ac:dyDescent="0.2">
      <c r="A2175" t="s">
        <v>285</v>
      </c>
      <c r="B2175" t="s">
        <v>432</v>
      </c>
      <c r="C2175">
        <v>12</v>
      </c>
    </row>
    <row r="2176" spans="1:3" ht="15.75" customHeight="1" x14ac:dyDescent="0.2">
      <c r="A2176" t="s">
        <v>285</v>
      </c>
      <c r="B2176" t="s">
        <v>432</v>
      </c>
      <c r="C2176">
        <v>12</v>
      </c>
    </row>
    <row r="2177" spans="1:3" ht="15.75" customHeight="1" x14ac:dyDescent="0.2">
      <c r="A2177" t="s">
        <v>285</v>
      </c>
      <c r="B2177" t="s">
        <v>432</v>
      </c>
      <c r="C2177">
        <v>12</v>
      </c>
    </row>
    <row r="2178" spans="1:3" ht="15.75" customHeight="1" x14ac:dyDescent="0.2">
      <c r="A2178" t="s">
        <v>285</v>
      </c>
      <c r="B2178" t="s">
        <v>432</v>
      </c>
      <c r="C2178">
        <v>12</v>
      </c>
    </row>
    <row r="2179" spans="1:3" ht="15.75" customHeight="1" x14ac:dyDescent="0.2">
      <c r="A2179" t="s">
        <v>285</v>
      </c>
      <c r="B2179" t="s">
        <v>432</v>
      </c>
      <c r="C2179">
        <v>12</v>
      </c>
    </row>
    <row r="2180" spans="1:3" ht="15.75" customHeight="1" x14ac:dyDescent="0.2">
      <c r="A2180" t="s">
        <v>285</v>
      </c>
      <c r="B2180" t="s">
        <v>432</v>
      </c>
      <c r="C2180">
        <v>12</v>
      </c>
    </row>
    <row r="2181" spans="1:3" ht="15.75" customHeight="1" x14ac:dyDescent="0.2">
      <c r="A2181" t="s">
        <v>285</v>
      </c>
      <c r="B2181" t="s">
        <v>432</v>
      </c>
      <c r="C2181">
        <v>12</v>
      </c>
    </row>
    <row r="2182" spans="1:3" ht="15.75" customHeight="1" x14ac:dyDescent="0.2">
      <c r="A2182" t="s">
        <v>285</v>
      </c>
      <c r="B2182" t="s">
        <v>432</v>
      </c>
      <c r="C2182">
        <v>12</v>
      </c>
    </row>
    <row r="2183" spans="1:3" ht="15.75" customHeight="1" x14ac:dyDescent="0.2">
      <c r="A2183" t="s">
        <v>285</v>
      </c>
      <c r="B2183" t="s">
        <v>432</v>
      </c>
      <c r="C2183">
        <v>12</v>
      </c>
    </row>
    <row r="2184" spans="1:3" ht="15.75" customHeight="1" x14ac:dyDescent="0.2">
      <c r="A2184" t="s">
        <v>285</v>
      </c>
      <c r="B2184" t="s">
        <v>432</v>
      </c>
      <c r="C2184">
        <v>12</v>
      </c>
    </row>
    <row r="2185" spans="1:3" ht="15.75" customHeight="1" x14ac:dyDescent="0.2">
      <c r="A2185" t="s">
        <v>285</v>
      </c>
      <c r="B2185" t="s">
        <v>432</v>
      </c>
      <c r="C2185">
        <v>12</v>
      </c>
    </row>
    <row r="2186" spans="1:3" ht="15.75" customHeight="1" x14ac:dyDescent="0.2">
      <c r="A2186" t="s">
        <v>285</v>
      </c>
      <c r="B2186" t="s">
        <v>432</v>
      </c>
      <c r="C2186">
        <v>12</v>
      </c>
    </row>
    <row r="2187" spans="1:3" ht="15.75" customHeight="1" x14ac:dyDescent="0.2">
      <c r="A2187" t="s">
        <v>285</v>
      </c>
      <c r="B2187" t="s">
        <v>432</v>
      </c>
      <c r="C2187">
        <v>12</v>
      </c>
    </row>
    <row r="2188" spans="1:3" ht="15.75" customHeight="1" x14ac:dyDescent="0.2">
      <c r="A2188" t="s">
        <v>285</v>
      </c>
      <c r="B2188" t="s">
        <v>432</v>
      </c>
      <c r="C2188">
        <v>12</v>
      </c>
    </row>
    <row r="2189" spans="1:3" ht="15.75" customHeight="1" x14ac:dyDescent="0.2">
      <c r="A2189" t="s">
        <v>285</v>
      </c>
      <c r="B2189" t="s">
        <v>432</v>
      </c>
      <c r="C2189">
        <v>12</v>
      </c>
    </row>
    <row r="2190" spans="1:3" ht="15.75" customHeight="1" x14ac:dyDescent="0.2">
      <c r="A2190" t="s">
        <v>285</v>
      </c>
      <c r="B2190" t="s">
        <v>432</v>
      </c>
      <c r="C2190">
        <v>12</v>
      </c>
    </row>
    <row r="2191" spans="1:3" ht="15.75" customHeight="1" x14ac:dyDescent="0.2">
      <c r="A2191" t="s">
        <v>285</v>
      </c>
      <c r="B2191" t="s">
        <v>432</v>
      </c>
      <c r="C2191">
        <v>12</v>
      </c>
    </row>
    <row r="2192" spans="1:3" ht="15.75" customHeight="1" x14ac:dyDescent="0.2">
      <c r="A2192" t="s">
        <v>285</v>
      </c>
      <c r="B2192" t="s">
        <v>432</v>
      </c>
      <c r="C2192">
        <v>12</v>
      </c>
    </row>
    <row r="2193" spans="1:3" ht="15.75" customHeight="1" x14ac:dyDescent="0.2">
      <c r="A2193" t="s">
        <v>285</v>
      </c>
      <c r="B2193" t="s">
        <v>432</v>
      </c>
      <c r="C2193">
        <v>12</v>
      </c>
    </row>
    <row r="2194" spans="1:3" ht="15.75" customHeight="1" x14ac:dyDescent="0.2">
      <c r="A2194" t="s">
        <v>285</v>
      </c>
      <c r="B2194" t="s">
        <v>432</v>
      </c>
      <c r="C2194">
        <v>12</v>
      </c>
    </row>
    <row r="2195" spans="1:3" ht="15.75" customHeight="1" x14ac:dyDescent="0.2">
      <c r="A2195" t="s">
        <v>285</v>
      </c>
      <c r="B2195" t="s">
        <v>432</v>
      </c>
      <c r="C2195">
        <v>12</v>
      </c>
    </row>
    <row r="2196" spans="1:3" ht="15.75" customHeight="1" x14ac:dyDescent="0.2">
      <c r="A2196" t="s">
        <v>285</v>
      </c>
      <c r="B2196" t="s">
        <v>432</v>
      </c>
      <c r="C2196">
        <v>12</v>
      </c>
    </row>
    <row r="2197" spans="1:3" ht="15.75" customHeight="1" x14ac:dyDescent="0.2">
      <c r="A2197" t="s">
        <v>285</v>
      </c>
      <c r="B2197" t="s">
        <v>432</v>
      </c>
      <c r="C2197">
        <v>12</v>
      </c>
    </row>
    <row r="2198" spans="1:3" ht="15.75" customHeight="1" x14ac:dyDescent="0.2">
      <c r="A2198" t="s">
        <v>285</v>
      </c>
      <c r="B2198" t="s">
        <v>432</v>
      </c>
      <c r="C2198">
        <v>12</v>
      </c>
    </row>
    <row r="2199" spans="1:3" ht="15.75" customHeight="1" x14ac:dyDescent="0.2">
      <c r="A2199" t="s">
        <v>285</v>
      </c>
      <c r="B2199" t="s">
        <v>432</v>
      </c>
      <c r="C2199">
        <v>12</v>
      </c>
    </row>
    <row r="2200" spans="1:3" ht="15.75" customHeight="1" x14ac:dyDescent="0.2">
      <c r="A2200" t="s">
        <v>285</v>
      </c>
      <c r="B2200" t="s">
        <v>432</v>
      </c>
      <c r="C2200">
        <v>12</v>
      </c>
    </row>
    <row r="2201" spans="1:3" ht="15.75" customHeight="1" x14ac:dyDescent="0.2">
      <c r="A2201" t="s">
        <v>285</v>
      </c>
      <c r="B2201" t="s">
        <v>432</v>
      </c>
      <c r="C2201">
        <v>12</v>
      </c>
    </row>
    <row r="2202" spans="1:3" ht="15.75" customHeight="1" x14ac:dyDescent="0.2">
      <c r="A2202" t="s">
        <v>285</v>
      </c>
      <c r="B2202" t="s">
        <v>432</v>
      </c>
      <c r="C2202">
        <v>12</v>
      </c>
    </row>
    <row r="2203" spans="1:3" ht="15.75" customHeight="1" x14ac:dyDescent="0.2">
      <c r="A2203" t="s">
        <v>285</v>
      </c>
      <c r="B2203" t="s">
        <v>432</v>
      </c>
      <c r="C2203">
        <v>12</v>
      </c>
    </row>
    <row r="2204" spans="1:3" ht="15.75" customHeight="1" x14ac:dyDescent="0.2">
      <c r="A2204" t="s">
        <v>285</v>
      </c>
      <c r="B2204" t="s">
        <v>432</v>
      </c>
      <c r="C2204">
        <v>12</v>
      </c>
    </row>
    <row r="2205" spans="1:3" ht="15.75" customHeight="1" x14ac:dyDescent="0.2">
      <c r="A2205" t="s">
        <v>285</v>
      </c>
      <c r="B2205" t="s">
        <v>432</v>
      </c>
      <c r="C2205">
        <v>12</v>
      </c>
    </row>
    <row r="2206" spans="1:3" ht="15.75" customHeight="1" x14ac:dyDescent="0.2">
      <c r="A2206" t="s">
        <v>285</v>
      </c>
      <c r="B2206" t="s">
        <v>432</v>
      </c>
      <c r="C2206">
        <v>12</v>
      </c>
    </row>
    <row r="2207" spans="1:3" ht="15.75" customHeight="1" x14ac:dyDescent="0.2">
      <c r="A2207" t="s">
        <v>285</v>
      </c>
      <c r="B2207" t="s">
        <v>432</v>
      </c>
      <c r="C2207">
        <v>12</v>
      </c>
    </row>
    <row r="2208" spans="1:3" ht="15.75" customHeight="1" x14ac:dyDescent="0.2">
      <c r="A2208" t="s">
        <v>285</v>
      </c>
      <c r="B2208" t="s">
        <v>432</v>
      </c>
      <c r="C2208">
        <v>12</v>
      </c>
    </row>
    <row r="2209" spans="1:3" ht="15.75" customHeight="1" x14ac:dyDescent="0.2">
      <c r="A2209" t="s">
        <v>285</v>
      </c>
      <c r="B2209" t="s">
        <v>432</v>
      </c>
      <c r="C2209">
        <v>12</v>
      </c>
    </row>
    <row r="2210" spans="1:3" ht="15.75" customHeight="1" x14ac:dyDescent="0.2">
      <c r="A2210" t="s">
        <v>285</v>
      </c>
      <c r="B2210" t="s">
        <v>432</v>
      </c>
      <c r="C2210">
        <v>12</v>
      </c>
    </row>
    <row r="2211" spans="1:3" ht="15.75" customHeight="1" x14ac:dyDescent="0.2">
      <c r="A2211" t="s">
        <v>285</v>
      </c>
      <c r="B2211" t="s">
        <v>432</v>
      </c>
      <c r="C2211">
        <v>12</v>
      </c>
    </row>
    <row r="2212" spans="1:3" ht="15.75" customHeight="1" x14ac:dyDescent="0.2">
      <c r="A2212" t="s">
        <v>285</v>
      </c>
      <c r="B2212" t="s">
        <v>432</v>
      </c>
      <c r="C2212">
        <v>12</v>
      </c>
    </row>
    <row r="2213" spans="1:3" ht="15.75" customHeight="1" x14ac:dyDescent="0.2">
      <c r="A2213" t="s">
        <v>285</v>
      </c>
      <c r="B2213" t="s">
        <v>432</v>
      </c>
      <c r="C2213">
        <v>12</v>
      </c>
    </row>
    <row r="2214" spans="1:3" ht="15.75" customHeight="1" x14ac:dyDescent="0.2">
      <c r="A2214" t="s">
        <v>285</v>
      </c>
      <c r="B2214" t="s">
        <v>432</v>
      </c>
      <c r="C2214">
        <v>12</v>
      </c>
    </row>
    <row r="2215" spans="1:3" ht="15.75" customHeight="1" x14ac:dyDescent="0.2">
      <c r="A2215" t="s">
        <v>285</v>
      </c>
      <c r="B2215" t="s">
        <v>432</v>
      </c>
      <c r="C2215">
        <v>12</v>
      </c>
    </row>
    <row r="2216" spans="1:3" ht="15.75" customHeight="1" x14ac:dyDescent="0.2">
      <c r="A2216" t="s">
        <v>285</v>
      </c>
      <c r="B2216" t="s">
        <v>432</v>
      </c>
      <c r="C2216">
        <v>12</v>
      </c>
    </row>
    <row r="2217" spans="1:3" ht="15.75" customHeight="1" x14ac:dyDescent="0.2">
      <c r="A2217" t="s">
        <v>285</v>
      </c>
      <c r="B2217" t="s">
        <v>432</v>
      </c>
      <c r="C2217">
        <v>12</v>
      </c>
    </row>
    <row r="2218" spans="1:3" ht="15.75" customHeight="1" x14ac:dyDescent="0.2">
      <c r="A2218" t="s">
        <v>285</v>
      </c>
      <c r="B2218" t="s">
        <v>432</v>
      </c>
      <c r="C2218">
        <v>12</v>
      </c>
    </row>
    <row r="2219" spans="1:3" ht="15.75" customHeight="1" x14ac:dyDescent="0.2">
      <c r="A2219" t="s">
        <v>285</v>
      </c>
      <c r="B2219" t="s">
        <v>432</v>
      </c>
      <c r="C2219">
        <v>12</v>
      </c>
    </row>
    <row r="2220" spans="1:3" ht="15.75" customHeight="1" x14ac:dyDescent="0.2">
      <c r="A2220" t="s">
        <v>285</v>
      </c>
      <c r="B2220" t="s">
        <v>432</v>
      </c>
      <c r="C2220">
        <v>12</v>
      </c>
    </row>
    <row r="2221" spans="1:3" ht="15.75" customHeight="1" x14ac:dyDescent="0.2">
      <c r="A2221" t="s">
        <v>285</v>
      </c>
      <c r="B2221" t="s">
        <v>432</v>
      </c>
      <c r="C2221">
        <v>12</v>
      </c>
    </row>
    <row r="2222" spans="1:3" ht="15.75" customHeight="1" x14ac:dyDescent="0.2">
      <c r="A2222" t="s">
        <v>285</v>
      </c>
      <c r="B2222" t="s">
        <v>432</v>
      </c>
      <c r="C2222">
        <v>12</v>
      </c>
    </row>
    <row r="2223" spans="1:3" ht="15.75" customHeight="1" x14ac:dyDescent="0.2">
      <c r="A2223" t="s">
        <v>285</v>
      </c>
      <c r="B2223" t="s">
        <v>432</v>
      </c>
      <c r="C2223">
        <v>12</v>
      </c>
    </row>
    <row r="2224" spans="1:3" ht="15.75" customHeight="1" x14ac:dyDescent="0.2">
      <c r="A2224" t="s">
        <v>285</v>
      </c>
      <c r="B2224" t="s">
        <v>432</v>
      </c>
      <c r="C2224">
        <v>12</v>
      </c>
    </row>
    <row r="2225" spans="1:3" ht="15.75" customHeight="1" x14ac:dyDescent="0.2">
      <c r="A2225" t="s">
        <v>285</v>
      </c>
      <c r="B2225" t="s">
        <v>432</v>
      </c>
      <c r="C2225">
        <v>12</v>
      </c>
    </row>
    <row r="2226" spans="1:3" ht="15.75" customHeight="1" x14ac:dyDescent="0.2">
      <c r="A2226" t="s">
        <v>285</v>
      </c>
      <c r="B2226" t="s">
        <v>432</v>
      </c>
      <c r="C2226">
        <v>12</v>
      </c>
    </row>
    <row r="2227" spans="1:3" ht="15.75" customHeight="1" x14ac:dyDescent="0.2">
      <c r="A2227" t="s">
        <v>285</v>
      </c>
      <c r="B2227" t="s">
        <v>432</v>
      </c>
      <c r="C2227">
        <v>12</v>
      </c>
    </row>
    <row r="2228" spans="1:3" ht="15.75" customHeight="1" x14ac:dyDescent="0.2">
      <c r="A2228" t="s">
        <v>285</v>
      </c>
      <c r="B2228" t="s">
        <v>432</v>
      </c>
      <c r="C2228">
        <v>12</v>
      </c>
    </row>
    <row r="2229" spans="1:3" ht="15.75" customHeight="1" x14ac:dyDescent="0.2">
      <c r="A2229" t="s">
        <v>285</v>
      </c>
      <c r="B2229" t="s">
        <v>432</v>
      </c>
      <c r="C2229">
        <v>12</v>
      </c>
    </row>
    <row r="2230" spans="1:3" ht="15.75" customHeight="1" x14ac:dyDescent="0.2">
      <c r="A2230" t="s">
        <v>285</v>
      </c>
      <c r="B2230" t="s">
        <v>432</v>
      </c>
      <c r="C2230">
        <v>12</v>
      </c>
    </row>
    <row r="2231" spans="1:3" ht="15.75" customHeight="1" x14ac:dyDescent="0.2">
      <c r="A2231" t="s">
        <v>285</v>
      </c>
      <c r="B2231" t="s">
        <v>432</v>
      </c>
      <c r="C2231">
        <v>12</v>
      </c>
    </row>
    <row r="2232" spans="1:3" ht="15.75" customHeight="1" x14ac:dyDescent="0.2">
      <c r="A2232" t="s">
        <v>285</v>
      </c>
      <c r="B2232" t="s">
        <v>432</v>
      </c>
      <c r="C2232">
        <v>12</v>
      </c>
    </row>
    <row r="2233" spans="1:3" ht="15.75" customHeight="1" x14ac:dyDescent="0.2">
      <c r="A2233" t="s">
        <v>285</v>
      </c>
      <c r="B2233" t="s">
        <v>432</v>
      </c>
      <c r="C2233">
        <v>12</v>
      </c>
    </row>
    <row r="2234" spans="1:3" ht="15.75" customHeight="1" x14ac:dyDescent="0.2">
      <c r="A2234" t="s">
        <v>285</v>
      </c>
      <c r="B2234" t="s">
        <v>432</v>
      </c>
      <c r="C2234">
        <v>12</v>
      </c>
    </row>
    <row r="2235" spans="1:3" ht="15.75" customHeight="1" x14ac:dyDescent="0.2">
      <c r="A2235" t="s">
        <v>285</v>
      </c>
      <c r="B2235" t="s">
        <v>432</v>
      </c>
      <c r="C2235">
        <v>12</v>
      </c>
    </row>
    <row r="2236" spans="1:3" ht="15.75" customHeight="1" x14ac:dyDescent="0.2">
      <c r="A2236" t="s">
        <v>285</v>
      </c>
      <c r="B2236" t="s">
        <v>432</v>
      </c>
      <c r="C2236">
        <v>12</v>
      </c>
    </row>
    <row r="2237" spans="1:3" ht="15.75" customHeight="1" x14ac:dyDescent="0.2">
      <c r="A2237" t="s">
        <v>285</v>
      </c>
      <c r="B2237" t="s">
        <v>432</v>
      </c>
      <c r="C2237">
        <v>12</v>
      </c>
    </row>
    <row r="2238" spans="1:3" ht="15.75" customHeight="1" x14ac:dyDescent="0.2">
      <c r="A2238" t="s">
        <v>285</v>
      </c>
      <c r="B2238" t="s">
        <v>432</v>
      </c>
      <c r="C2238">
        <v>12</v>
      </c>
    </row>
    <row r="2239" spans="1:3" ht="15.75" customHeight="1" x14ac:dyDescent="0.2">
      <c r="A2239" t="s">
        <v>285</v>
      </c>
      <c r="B2239" t="s">
        <v>432</v>
      </c>
      <c r="C2239">
        <v>12</v>
      </c>
    </row>
    <row r="2240" spans="1:3" ht="15.75" customHeight="1" x14ac:dyDescent="0.2">
      <c r="A2240" t="s">
        <v>285</v>
      </c>
      <c r="B2240" t="s">
        <v>432</v>
      </c>
      <c r="C2240">
        <v>12</v>
      </c>
    </row>
    <row r="2241" spans="1:3" ht="15.75" customHeight="1" x14ac:dyDescent="0.2">
      <c r="A2241" t="s">
        <v>285</v>
      </c>
      <c r="B2241" t="s">
        <v>432</v>
      </c>
      <c r="C2241">
        <v>12</v>
      </c>
    </row>
    <row r="2242" spans="1:3" ht="15.75" customHeight="1" x14ac:dyDescent="0.2">
      <c r="A2242" t="s">
        <v>285</v>
      </c>
      <c r="B2242" t="s">
        <v>432</v>
      </c>
      <c r="C2242">
        <v>12</v>
      </c>
    </row>
    <row r="2243" spans="1:3" ht="15.75" customHeight="1" x14ac:dyDescent="0.2">
      <c r="A2243" t="s">
        <v>285</v>
      </c>
      <c r="B2243" t="s">
        <v>432</v>
      </c>
      <c r="C2243">
        <v>12</v>
      </c>
    </row>
    <row r="2244" spans="1:3" ht="15.75" customHeight="1" x14ac:dyDescent="0.2">
      <c r="A2244" t="s">
        <v>285</v>
      </c>
      <c r="B2244" t="s">
        <v>432</v>
      </c>
      <c r="C2244">
        <v>12</v>
      </c>
    </row>
    <row r="2245" spans="1:3" ht="15.75" customHeight="1" x14ac:dyDescent="0.2">
      <c r="A2245" t="s">
        <v>285</v>
      </c>
      <c r="B2245" t="s">
        <v>432</v>
      </c>
      <c r="C2245">
        <v>12</v>
      </c>
    </row>
    <row r="2246" spans="1:3" ht="15.75" customHeight="1" x14ac:dyDescent="0.2">
      <c r="A2246" t="s">
        <v>285</v>
      </c>
      <c r="B2246" t="s">
        <v>432</v>
      </c>
      <c r="C2246">
        <v>12</v>
      </c>
    </row>
    <row r="2247" spans="1:3" ht="15.75" customHeight="1" x14ac:dyDescent="0.2">
      <c r="A2247" t="s">
        <v>285</v>
      </c>
      <c r="B2247" t="s">
        <v>432</v>
      </c>
      <c r="C2247">
        <v>12</v>
      </c>
    </row>
    <row r="2248" spans="1:3" ht="15.75" customHeight="1" x14ac:dyDescent="0.2">
      <c r="A2248" t="s">
        <v>285</v>
      </c>
      <c r="B2248" t="s">
        <v>432</v>
      </c>
      <c r="C2248">
        <v>12</v>
      </c>
    </row>
    <row r="2249" spans="1:3" ht="15.75" customHeight="1" x14ac:dyDescent="0.2">
      <c r="A2249" t="s">
        <v>285</v>
      </c>
      <c r="B2249" t="s">
        <v>432</v>
      </c>
      <c r="C2249">
        <v>12</v>
      </c>
    </row>
    <row r="2250" spans="1:3" ht="15.75" customHeight="1" x14ac:dyDescent="0.2">
      <c r="A2250" t="s">
        <v>285</v>
      </c>
      <c r="B2250" t="s">
        <v>432</v>
      </c>
      <c r="C2250">
        <v>12</v>
      </c>
    </row>
    <row r="2251" spans="1:3" ht="15.75" customHeight="1" x14ac:dyDescent="0.2">
      <c r="A2251" t="s">
        <v>285</v>
      </c>
      <c r="B2251" t="s">
        <v>432</v>
      </c>
      <c r="C2251">
        <v>12</v>
      </c>
    </row>
    <row r="2252" spans="1:3" ht="15.75" customHeight="1" x14ac:dyDescent="0.2">
      <c r="A2252" t="s">
        <v>285</v>
      </c>
      <c r="B2252" t="s">
        <v>432</v>
      </c>
      <c r="C2252">
        <v>12</v>
      </c>
    </row>
    <row r="2253" spans="1:3" ht="15.75" customHeight="1" x14ac:dyDescent="0.2">
      <c r="A2253" t="s">
        <v>285</v>
      </c>
      <c r="B2253" t="s">
        <v>432</v>
      </c>
      <c r="C2253">
        <v>12</v>
      </c>
    </row>
    <row r="2254" spans="1:3" ht="15.75" customHeight="1" x14ac:dyDescent="0.2">
      <c r="A2254" t="s">
        <v>285</v>
      </c>
      <c r="B2254" t="s">
        <v>432</v>
      </c>
      <c r="C2254">
        <v>12</v>
      </c>
    </row>
    <row r="2255" spans="1:3" ht="15.75" customHeight="1" x14ac:dyDescent="0.2">
      <c r="A2255" t="s">
        <v>285</v>
      </c>
      <c r="B2255" t="s">
        <v>432</v>
      </c>
      <c r="C2255">
        <v>12</v>
      </c>
    </row>
    <row r="2256" spans="1:3" ht="15.75" customHeight="1" x14ac:dyDescent="0.2">
      <c r="A2256" t="s">
        <v>285</v>
      </c>
      <c r="B2256" t="s">
        <v>432</v>
      </c>
      <c r="C2256">
        <v>12</v>
      </c>
    </row>
    <row r="2257" spans="1:3" ht="15.75" customHeight="1" x14ac:dyDescent="0.2">
      <c r="A2257" t="s">
        <v>285</v>
      </c>
      <c r="B2257" t="s">
        <v>432</v>
      </c>
      <c r="C2257">
        <v>12</v>
      </c>
    </row>
    <row r="2258" spans="1:3" ht="15.75" customHeight="1" x14ac:dyDescent="0.2">
      <c r="A2258" t="s">
        <v>285</v>
      </c>
      <c r="B2258" t="s">
        <v>432</v>
      </c>
      <c r="C2258">
        <v>12</v>
      </c>
    </row>
    <row r="2259" spans="1:3" ht="15.75" customHeight="1" x14ac:dyDescent="0.2">
      <c r="A2259" t="s">
        <v>285</v>
      </c>
      <c r="B2259" t="s">
        <v>432</v>
      </c>
      <c r="C2259">
        <v>12</v>
      </c>
    </row>
    <row r="2260" spans="1:3" ht="15.75" customHeight="1" x14ac:dyDescent="0.2">
      <c r="A2260" t="s">
        <v>285</v>
      </c>
      <c r="B2260" t="s">
        <v>432</v>
      </c>
      <c r="C2260">
        <v>12</v>
      </c>
    </row>
    <row r="2261" spans="1:3" ht="15.75" customHeight="1" x14ac:dyDescent="0.2">
      <c r="A2261" t="s">
        <v>285</v>
      </c>
      <c r="B2261" t="s">
        <v>432</v>
      </c>
      <c r="C2261">
        <v>12</v>
      </c>
    </row>
    <row r="2262" spans="1:3" ht="15.75" customHeight="1" x14ac:dyDescent="0.2">
      <c r="A2262" t="s">
        <v>285</v>
      </c>
      <c r="B2262" t="s">
        <v>432</v>
      </c>
      <c r="C2262">
        <v>12</v>
      </c>
    </row>
    <row r="2263" spans="1:3" ht="15.75" customHeight="1" x14ac:dyDescent="0.2">
      <c r="A2263" t="s">
        <v>285</v>
      </c>
      <c r="B2263" t="s">
        <v>432</v>
      </c>
      <c r="C2263">
        <v>12</v>
      </c>
    </row>
    <row r="2264" spans="1:3" ht="15.75" customHeight="1" x14ac:dyDescent="0.2">
      <c r="A2264" t="s">
        <v>285</v>
      </c>
      <c r="B2264" t="s">
        <v>432</v>
      </c>
      <c r="C2264">
        <v>12</v>
      </c>
    </row>
    <row r="2265" spans="1:3" ht="15.75" customHeight="1" x14ac:dyDescent="0.2">
      <c r="A2265" t="s">
        <v>285</v>
      </c>
      <c r="B2265" t="s">
        <v>432</v>
      </c>
      <c r="C2265">
        <v>12</v>
      </c>
    </row>
    <row r="2266" spans="1:3" ht="15.75" customHeight="1" x14ac:dyDescent="0.2">
      <c r="A2266" t="s">
        <v>285</v>
      </c>
      <c r="B2266" t="s">
        <v>432</v>
      </c>
      <c r="C2266">
        <v>12</v>
      </c>
    </row>
    <row r="2267" spans="1:3" ht="15.75" customHeight="1" x14ac:dyDescent="0.2">
      <c r="A2267" t="s">
        <v>285</v>
      </c>
      <c r="B2267" t="s">
        <v>432</v>
      </c>
      <c r="C2267">
        <v>12</v>
      </c>
    </row>
    <row r="2268" spans="1:3" ht="15.75" customHeight="1" x14ac:dyDescent="0.2">
      <c r="A2268" t="s">
        <v>285</v>
      </c>
      <c r="B2268" t="s">
        <v>432</v>
      </c>
      <c r="C2268">
        <v>12</v>
      </c>
    </row>
    <row r="2269" spans="1:3" ht="15.75" customHeight="1" x14ac:dyDescent="0.2">
      <c r="A2269" t="s">
        <v>285</v>
      </c>
      <c r="B2269" t="s">
        <v>432</v>
      </c>
      <c r="C2269">
        <v>12</v>
      </c>
    </row>
    <row r="2270" spans="1:3" ht="15.75" customHeight="1" x14ac:dyDescent="0.2">
      <c r="A2270" t="s">
        <v>285</v>
      </c>
      <c r="B2270" t="s">
        <v>432</v>
      </c>
      <c r="C2270">
        <v>12</v>
      </c>
    </row>
    <row r="2271" spans="1:3" ht="15.75" customHeight="1" x14ac:dyDescent="0.2">
      <c r="A2271" t="s">
        <v>285</v>
      </c>
      <c r="B2271" t="s">
        <v>432</v>
      </c>
      <c r="C2271">
        <v>12</v>
      </c>
    </row>
    <row r="2272" spans="1:3" ht="15.75" customHeight="1" x14ac:dyDescent="0.2">
      <c r="A2272" t="s">
        <v>285</v>
      </c>
      <c r="B2272" t="s">
        <v>432</v>
      </c>
      <c r="C2272">
        <v>12</v>
      </c>
    </row>
    <row r="2273" spans="1:3" ht="15.75" customHeight="1" x14ac:dyDescent="0.2">
      <c r="A2273" t="s">
        <v>285</v>
      </c>
      <c r="B2273" t="s">
        <v>432</v>
      </c>
      <c r="C2273">
        <v>12</v>
      </c>
    </row>
    <row r="2274" spans="1:3" ht="15.75" customHeight="1" x14ac:dyDescent="0.2">
      <c r="A2274" t="s">
        <v>285</v>
      </c>
      <c r="B2274" t="s">
        <v>432</v>
      </c>
      <c r="C2274">
        <v>12</v>
      </c>
    </row>
    <row r="2275" spans="1:3" ht="15.75" customHeight="1" x14ac:dyDescent="0.2">
      <c r="A2275" t="s">
        <v>285</v>
      </c>
      <c r="B2275" t="s">
        <v>432</v>
      </c>
      <c r="C2275">
        <v>12</v>
      </c>
    </row>
    <row r="2276" spans="1:3" ht="15.75" customHeight="1" x14ac:dyDescent="0.2">
      <c r="A2276" t="s">
        <v>285</v>
      </c>
      <c r="B2276" t="s">
        <v>432</v>
      </c>
      <c r="C2276">
        <v>12</v>
      </c>
    </row>
    <row r="2277" spans="1:3" ht="15.75" customHeight="1" x14ac:dyDescent="0.2">
      <c r="A2277" t="s">
        <v>285</v>
      </c>
      <c r="B2277" t="s">
        <v>432</v>
      </c>
      <c r="C2277">
        <v>12</v>
      </c>
    </row>
    <row r="2278" spans="1:3" ht="15.75" customHeight="1" x14ac:dyDescent="0.2">
      <c r="A2278" t="s">
        <v>285</v>
      </c>
      <c r="B2278" t="s">
        <v>432</v>
      </c>
      <c r="C2278">
        <v>12</v>
      </c>
    </row>
    <row r="2279" spans="1:3" ht="15.75" customHeight="1" x14ac:dyDescent="0.2">
      <c r="A2279" t="s">
        <v>285</v>
      </c>
      <c r="B2279" t="s">
        <v>432</v>
      </c>
      <c r="C2279">
        <v>12</v>
      </c>
    </row>
    <row r="2280" spans="1:3" ht="15.75" customHeight="1" x14ac:dyDescent="0.2">
      <c r="A2280" t="s">
        <v>285</v>
      </c>
      <c r="B2280" t="s">
        <v>432</v>
      </c>
      <c r="C2280">
        <v>12</v>
      </c>
    </row>
    <row r="2281" spans="1:3" ht="15.75" customHeight="1" x14ac:dyDescent="0.2">
      <c r="A2281" t="s">
        <v>285</v>
      </c>
      <c r="B2281" t="s">
        <v>432</v>
      </c>
      <c r="C2281">
        <v>12</v>
      </c>
    </row>
    <row r="2282" spans="1:3" ht="15.75" customHeight="1" x14ac:dyDescent="0.2">
      <c r="A2282" t="s">
        <v>285</v>
      </c>
      <c r="B2282" t="s">
        <v>432</v>
      </c>
      <c r="C2282">
        <v>12</v>
      </c>
    </row>
    <row r="2283" spans="1:3" ht="15.75" customHeight="1" x14ac:dyDescent="0.2">
      <c r="A2283" t="s">
        <v>285</v>
      </c>
      <c r="B2283" t="s">
        <v>432</v>
      </c>
      <c r="C2283">
        <v>12</v>
      </c>
    </row>
    <row r="2284" spans="1:3" ht="15.75" customHeight="1" x14ac:dyDescent="0.2">
      <c r="A2284" t="s">
        <v>285</v>
      </c>
      <c r="B2284" t="s">
        <v>432</v>
      </c>
      <c r="C2284">
        <v>12</v>
      </c>
    </row>
    <row r="2285" spans="1:3" ht="15.75" customHeight="1" x14ac:dyDescent="0.2">
      <c r="A2285" t="s">
        <v>285</v>
      </c>
      <c r="B2285" t="s">
        <v>432</v>
      </c>
      <c r="C2285">
        <v>12</v>
      </c>
    </row>
    <row r="2286" spans="1:3" ht="15.75" customHeight="1" x14ac:dyDescent="0.2">
      <c r="A2286" t="s">
        <v>285</v>
      </c>
      <c r="B2286" t="s">
        <v>432</v>
      </c>
      <c r="C2286">
        <v>12</v>
      </c>
    </row>
    <row r="2287" spans="1:3" ht="15.75" customHeight="1" x14ac:dyDescent="0.2">
      <c r="A2287" t="s">
        <v>285</v>
      </c>
      <c r="B2287" t="s">
        <v>432</v>
      </c>
      <c r="C2287">
        <v>12</v>
      </c>
    </row>
    <row r="2288" spans="1:3" ht="15.75" customHeight="1" x14ac:dyDescent="0.2">
      <c r="A2288" t="s">
        <v>285</v>
      </c>
      <c r="B2288" t="s">
        <v>432</v>
      </c>
      <c r="C2288">
        <v>12</v>
      </c>
    </row>
    <row r="2289" spans="1:3" ht="15.75" customHeight="1" x14ac:dyDescent="0.2">
      <c r="A2289" t="s">
        <v>285</v>
      </c>
      <c r="B2289" t="s">
        <v>432</v>
      </c>
      <c r="C2289">
        <v>12</v>
      </c>
    </row>
    <row r="2290" spans="1:3" ht="15.75" customHeight="1" x14ac:dyDescent="0.2">
      <c r="A2290" t="s">
        <v>285</v>
      </c>
      <c r="B2290" t="s">
        <v>432</v>
      </c>
      <c r="C2290">
        <v>12</v>
      </c>
    </row>
    <row r="2291" spans="1:3" ht="15.75" customHeight="1" x14ac:dyDescent="0.2">
      <c r="A2291" t="s">
        <v>285</v>
      </c>
      <c r="B2291" t="s">
        <v>432</v>
      </c>
      <c r="C2291">
        <v>12</v>
      </c>
    </row>
    <row r="2292" spans="1:3" ht="15.75" customHeight="1" x14ac:dyDescent="0.2">
      <c r="A2292" t="s">
        <v>285</v>
      </c>
      <c r="B2292" t="s">
        <v>432</v>
      </c>
      <c r="C2292">
        <v>12</v>
      </c>
    </row>
    <row r="2293" spans="1:3" ht="15.75" customHeight="1" x14ac:dyDescent="0.2">
      <c r="A2293" t="s">
        <v>285</v>
      </c>
      <c r="B2293" t="s">
        <v>432</v>
      </c>
      <c r="C2293">
        <v>12</v>
      </c>
    </row>
    <row r="2294" spans="1:3" ht="15.75" customHeight="1" x14ac:dyDescent="0.2">
      <c r="A2294" t="s">
        <v>285</v>
      </c>
      <c r="B2294" t="s">
        <v>432</v>
      </c>
      <c r="C2294">
        <v>12</v>
      </c>
    </row>
    <row r="2295" spans="1:3" ht="15.75" customHeight="1" x14ac:dyDescent="0.2">
      <c r="A2295" t="s">
        <v>285</v>
      </c>
      <c r="B2295" t="s">
        <v>432</v>
      </c>
      <c r="C2295">
        <v>12</v>
      </c>
    </row>
    <row r="2296" spans="1:3" ht="15.75" customHeight="1" x14ac:dyDescent="0.2">
      <c r="A2296" t="s">
        <v>285</v>
      </c>
      <c r="B2296" t="s">
        <v>432</v>
      </c>
      <c r="C2296">
        <v>12</v>
      </c>
    </row>
    <row r="2297" spans="1:3" ht="15.75" customHeight="1" x14ac:dyDescent="0.2">
      <c r="A2297" t="s">
        <v>285</v>
      </c>
      <c r="B2297" t="s">
        <v>432</v>
      </c>
      <c r="C2297">
        <v>12</v>
      </c>
    </row>
    <row r="2298" spans="1:3" ht="15.75" customHeight="1" x14ac:dyDescent="0.2">
      <c r="A2298" t="s">
        <v>285</v>
      </c>
      <c r="B2298" t="s">
        <v>432</v>
      </c>
      <c r="C2298">
        <v>12</v>
      </c>
    </row>
    <row r="2299" spans="1:3" ht="15.75" customHeight="1" x14ac:dyDescent="0.2">
      <c r="A2299" t="s">
        <v>285</v>
      </c>
      <c r="B2299" t="s">
        <v>432</v>
      </c>
      <c r="C2299">
        <v>12</v>
      </c>
    </row>
    <row r="2300" spans="1:3" ht="15.75" customHeight="1" x14ac:dyDescent="0.2">
      <c r="A2300" t="s">
        <v>285</v>
      </c>
      <c r="B2300" t="s">
        <v>432</v>
      </c>
      <c r="C2300">
        <v>12</v>
      </c>
    </row>
    <row r="2301" spans="1:3" ht="15.75" customHeight="1" x14ac:dyDescent="0.2">
      <c r="A2301" t="s">
        <v>285</v>
      </c>
      <c r="B2301" t="s">
        <v>432</v>
      </c>
      <c r="C2301">
        <v>12</v>
      </c>
    </row>
    <row r="2302" spans="1:3" ht="15.75" customHeight="1" x14ac:dyDescent="0.2">
      <c r="A2302" t="s">
        <v>285</v>
      </c>
      <c r="B2302" t="s">
        <v>432</v>
      </c>
      <c r="C2302">
        <v>12</v>
      </c>
    </row>
    <row r="2303" spans="1:3" ht="15.75" customHeight="1" x14ac:dyDescent="0.2">
      <c r="A2303" t="s">
        <v>285</v>
      </c>
      <c r="B2303" t="s">
        <v>432</v>
      </c>
      <c r="C2303">
        <v>12</v>
      </c>
    </row>
    <row r="2304" spans="1:3" ht="15.75" customHeight="1" x14ac:dyDescent="0.2">
      <c r="A2304" t="s">
        <v>285</v>
      </c>
      <c r="B2304" t="s">
        <v>432</v>
      </c>
      <c r="C2304">
        <v>12</v>
      </c>
    </row>
    <row r="2305" spans="1:3" ht="15.75" customHeight="1" x14ac:dyDescent="0.2">
      <c r="A2305" t="s">
        <v>285</v>
      </c>
      <c r="B2305" t="s">
        <v>432</v>
      </c>
      <c r="C2305">
        <v>12</v>
      </c>
    </row>
    <row r="2306" spans="1:3" ht="15.75" customHeight="1" x14ac:dyDescent="0.2">
      <c r="A2306" t="s">
        <v>285</v>
      </c>
      <c r="B2306" t="s">
        <v>432</v>
      </c>
      <c r="C2306">
        <v>12</v>
      </c>
    </row>
    <row r="2307" spans="1:3" ht="15.75" customHeight="1" x14ac:dyDescent="0.2">
      <c r="A2307" t="s">
        <v>285</v>
      </c>
      <c r="B2307" t="s">
        <v>432</v>
      </c>
      <c r="C2307">
        <v>12</v>
      </c>
    </row>
    <row r="2308" spans="1:3" ht="15.75" customHeight="1" x14ac:dyDescent="0.2">
      <c r="A2308" t="s">
        <v>285</v>
      </c>
      <c r="B2308" t="s">
        <v>432</v>
      </c>
      <c r="C2308">
        <v>12</v>
      </c>
    </row>
    <row r="2309" spans="1:3" ht="15.75" customHeight="1" x14ac:dyDescent="0.2">
      <c r="A2309" t="s">
        <v>285</v>
      </c>
      <c r="B2309" t="s">
        <v>432</v>
      </c>
      <c r="C2309">
        <v>12</v>
      </c>
    </row>
    <row r="2310" spans="1:3" ht="15.75" customHeight="1" x14ac:dyDescent="0.2">
      <c r="A2310" t="s">
        <v>285</v>
      </c>
      <c r="B2310" t="s">
        <v>432</v>
      </c>
      <c r="C2310">
        <v>12</v>
      </c>
    </row>
    <row r="2311" spans="1:3" ht="15.75" customHeight="1" x14ac:dyDescent="0.2">
      <c r="A2311" t="s">
        <v>285</v>
      </c>
      <c r="B2311" t="s">
        <v>432</v>
      </c>
      <c r="C2311">
        <v>12</v>
      </c>
    </row>
    <row r="2312" spans="1:3" ht="15.75" customHeight="1" x14ac:dyDescent="0.2">
      <c r="A2312" t="s">
        <v>285</v>
      </c>
      <c r="B2312" t="s">
        <v>432</v>
      </c>
      <c r="C2312">
        <v>12</v>
      </c>
    </row>
    <row r="2313" spans="1:3" ht="15.75" customHeight="1" x14ac:dyDescent="0.2">
      <c r="A2313" t="s">
        <v>285</v>
      </c>
      <c r="B2313" t="s">
        <v>432</v>
      </c>
      <c r="C2313">
        <v>12</v>
      </c>
    </row>
    <row r="2314" spans="1:3" ht="15.75" customHeight="1" x14ac:dyDescent="0.2">
      <c r="A2314" t="s">
        <v>285</v>
      </c>
      <c r="B2314" t="s">
        <v>432</v>
      </c>
      <c r="C2314">
        <v>12</v>
      </c>
    </row>
    <row r="2315" spans="1:3" ht="15.75" customHeight="1" x14ac:dyDescent="0.2">
      <c r="A2315" t="s">
        <v>285</v>
      </c>
      <c r="B2315" t="s">
        <v>432</v>
      </c>
      <c r="C2315">
        <v>12</v>
      </c>
    </row>
    <row r="2316" spans="1:3" ht="15.75" customHeight="1" x14ac:dyDescent="0.2">
      <c r="A2316" t="s">
        <v>285</v>
      </c>
      <c r="B2316" t="s">
        <v>432</v>
      </c>
      <c r="C2316">
        <v>12</v>
      </c>
    </row>
    <row r="2317" spans="1:3" ht="15.75" customHeight="1" x14ac:dyDescent="0.2">
      <c r="A2317" t="s">
        <v>285</v>
      </c>
      <c r="B2317" t="s">
        <v>432</v>
      </c>
      <c r="C2317">
        <v>12</v>
      </c>
    </row>
    <row r="2318" spans="1:3" ht="15.75" customHeight="1" x14ac:dyDescent="0.2">
      <c r="A2318" t="s">
        <v>285</v>
      </c>
      <c r="B2318" t="s">
        <v>432</v>
      </c>
      <c r="C2318">
        <v>12</v>
      </c>
    </row>
    <row r="2319" spans="1:3" ht="15.75" customHeight="1" x14ac:dyDescent="0.2">
      <c r="A2319" t="s">
        <v>285</v>
      </c>
      <c r="B2319" t="s">
        <v>432</v>
      </c>
      <c r="C2319">
        <v>12</v>
      </c>
    </row>
    <row r="2320" spans="1:3" ht="15.75" customHeight="1" x14ac:dyDescent="0.2">
      <c r="A2320" t="s">
        <v>285</v>
      </c>
      <c r="B2320" t="s">
        <v>432</v>
      </c>
      <c r="C2320">
        <v>12</v>
      </c>
    </row>
    <row r="2321" spans="1:3" ht="15.75" customHeight="1" x14ac:dyDescent="0.2">
      <c r="A2321" t="s">
        <v>285</v>
      </c>
      <c r="B2321" t="s">
        <v>432</v>
      </c>
      <c r="C2321">
        <v>12</v>
      </c>
    </row>
    <row r="2322" spans="1:3" ht="15.75" customHeight="1" x14ac:dyDescent="0.2">
      <c r="A2322" t="s">
        <v>285</v>
      </c>
      <c r="B2322" t="s">
        <v>432</v>
      </c>
      <c r="C2322">
        <v>12</v>
      </c>
    </row>
    <row r="2323" spans="1:3" ht="15.75" customHeight="1" x14ac:dyDescent="0.2">
      <c r="A2323" t="s">
        <v>285</v>
      </c>
      <c r="B2323" t="s">
        <v>432</v>
      </c>
      <c r="C2323">
        <v>12</v>
      </c>
    </row>
    <row r="2324" spans="1:3" ht="15.75" customHeight="1" x14ac:dyDescent="0.2">
      <c r="A2324" t="s">
        <v>285</v>
      </c>
      <c r="B2324" t="s">
        <v>432</v>
      </c>
      <c r="C2324">
        <v>12</v>
      </c>
    </row>
    <row r="2325" spans="1:3" ht="15.75" customHeight="1" x14ac:dyDescent="0.2">
      <c r="A2325" t="s">
        <v>285</v>
      </c>
      <c r="B2325" t="s">
        <v>432</v>
      </c>
      <c r="C2325">
        <v>12</v>
      </c>
    </row>
    <row r="2326" spans="1:3" ht="15.75" customHeight="1" x14ac:dyDescent="0.2">
      <c r="A2326" t="s">
        <v>285</v>
      </c>
      <c r="B2326" t="s">
        <v>432</v>
      </c>
      <c r="C2326">
        <v>12</v>
      </c>
    </row>
    <row r="2327" spans="1:3" ht="15.75" customHeight="1" x14ac:dyDescent="0.2">
      <c r="A2327" t="s">
        <v>285</v>
      </c>
      <c r="B2327" t="s">
        <v>432</v>
      </c>
      <c r="C2327">
        <v>12</v>
      </c>
    </row>
    <row r="2328" spans="1:3" ht="15.75" customHeight="1" x14ac:dyDescent="0.2">
      <c r="A2328" t="s">
        <v>285</v>
      </c>
      <c r="B2328" t="s">
        <v>432</v>
      </c>
      <c r="C2328">
        <v>12</v>
      </c>
    </row>
    <row r="2329" spans="1:3" ht="15.75" customHeight="1" x14ac:dyDescent="0.2">
      <c r="A2329" t="s">
        <v>285</v>
      </c>
      <c r="B2329" t="s">
        <v>432</v>
      </c>
      <c r="C2329">
        <v>12</v>
      </c>
    </row>
    <row r="2330" spans="1:3" ht="15.75" customHeight="1" x14ac:dyDescent="0.2">
      <c r="A2330" t="s">
        <v>285</v>
      </c>
      <c r="B2330" t="s">
        <v>432</v>
      </c>
      <c r="C2330">
        <v>12</v>
      </c>
    </row>
    <row r="2331" spans="1:3" ht="15.75" customHeight="1" x14ac:dyDescent="0.2">
      <c r="A2331" t="s">
        <v>285</v>
      </c>
      <c r="B2331" t="s">
        <v>432</v>
      </c>
      <c r="C2331">
        <v>12</v>
      </c>
    </row>
    <row r="2332" spans="1:3" ht="15.75" customHeight="1" x14ac:dyDescent="0.2">
      <c r="A2332" t="s">
        <v>285</v>
      </c>
      <c r="B2332" t="s">
        <v>432</v>
      </c>
      <c r="C2332">
        <v>12</v>
      </c>
    </row>
    <row r="2333" spans="1:3" ht="15.75" customHeight="1" x14ac:dyDescent="0.2">
      <c r="A2333" t="s">
        <v>285</v>
      </c>
      <c r="B2333" t="s">
        <v>432</v>
      </c>
      <c r="C2333">
        <v>12</v>
      </c>
    </row>
    <row r="2334" spans="1:3" ht="15.75" customHeight="1" x14ac:dyDescent="0.2">
      <c r="A2334" t="s">
        <v>285</v>
      </c>
      <c r="B2334" t="s">
        <v>432</v>
      </c>
      <c r="C2334">
        <v>12</v>
      </c>
    </row>
    <row r="2335" spans="1:3" ht="15.75" customHeight="1" x14ac:dyDescent="0.2">
      <c r="A2335" t="s">
        <v>285</v>
      </c>
      <c r="B2335" t="s">
        <v>432</v>
      </c>
      <c r="C2335">
        <v>12</v>
      </c>
    </row>
    <row r="2336" spans="1:3" ht="15.75" customHeight="1" x14ac:dyDescent="0.2">
      <c r="A2336" t="s">
        <v>285</v>
      </c>
      <c r="B2336" t="s">
        <v>432</v>
      </c>
      <c r="C2336">
        <v>12</v>
      </c>
    </row>
    <row r="2337" spans="1:3" ht="15.75" customHeight="1" x14ac:dyDescent="0.2">
      <c r="A2337" t="s">
        <v>285</v>
      </c>
      <c r="B2337" t="s">
        <v>432</v>
      </c>
      <c r="C2337">
        <v>12</v>
      </c>
    </row>
    <row r="2338" spans="1:3" ht="15.75" customHeight="1" x14ac:dyDescent="0.2">
      <c r="A2338" t="s">
        <v>285</v>
      </c>
      <c r="B2338" t="s">
        <v>432</v>
      </c>
      <c r="C2338">
        <v>12</v>
      </c>
    </row>
    <row r="2339" spans="1:3" ht="15.75" customHeight="1" x14ac:dyDescent="0.2">
      <c r="A2339" t="s">
        <v>285</v>
      </c>
      <c r="B2339" t="s">
        <v>432</v>
      </c>
      <c r="C2339">
        <v>12</v>
      </c>
    </row>
    <row r="2340" spans="1:3" ht="15.75" customHeight="1" x14ac:dyDescent="0.2">
      <c r="A2340" t="s">
        <v>285</v>
      </c>
      <c r="B2340" t="s">
        <v>432</v>
      </c>
      <c r="C2340">
        <v>12</v>
      </c>
    </row>
    <row r="2341" spans="1:3" ht="15.75" customHeight="1" x14ac:dyDescent="0.2">
      <c r="A2341" t="s">
        <v>285</v>
      </c>
      <c r="B2341" t="s">
        <v>432</v>
      </c>
      <c r="C2341">
        <v>12</v>
      </c>
    </row>
    <row r="2342" spans="1:3" ht="15.75" customHeight="1" x14ac:dyDescent="0.2">
      <c r="A2342" t="s">
        <v>285</v>
      </c>
      <c r="B2342" t="s">
        <v>432</v>
      </c>
      <c r="C2342">
        <v>12</v>
      </c>
    </row>
    <row r="2343" spans="1:3" ht="15.75" customHeight="1" x14ac:dyDescent="0.2">
      <c r="A2343" t="s">
        <v>285</v>
      </c>
      <c r="B2343" t="s">
        <v>432</v>
      </c>
      <c r="C2343">
        <v>12</v>
      </c>
    </row>
    <row r="2344" spans="1:3" ht="15.75" customHeight="1" x14ac:dyDescent="0.2">
      <c r="A2344" t="s">
        <v>285</v>
      </c>
      <c r="B2344" t="s">
        <v>432</v>
      </c>
      <c r="C2344">
        <v>12</v>
      </c>
    </row>
    <row r="2345" spans="1:3" ht="15.75" customHeight="1" x14ac:dyDescent="0.2">
      <c r="A2345" t="s">
        <v>285</v>
      </c>
      <c r="B2345" t="s">
        <v>432</v>
      </c>
      <c r="C2345">
        <v>12</v>
      </c>
    </row>
    <row r="2346" spans="1:3" ht="15.75" customHeight="1" x14ac:dyDescent="0.2">
      <c r="A2346" t="s">
        <v>285</v>
      </c>
      <c r="B2346" t="s">
        <v>432</v>
      </c>
      <c r="C2346">
        <v>12</v>
      </c>
    </row>
    <row r="2347" spans="1:3" ht="15.75" customHeight="1" x14ac:dyDescent="0.2">
      <c r="A2347" t="s">
        <v>285</v>
      </c>
      <c r="B2347" t="s">
        <v>432</v>
      </c>
      <c r="C2347">
        <v>12</v>
      </c>
    </row>
    <row r="2348" spans="1:3" ht="15.75" customHeight="1" x14ac:dyDescent="0.2">
      <c r="A2348" t="s">
        <v>285</v>
      </c>
      <c r="B2348" t="s">
        <v>432</v>
      </c>
      <c r="C2348">
        <v>12</v>
      </c>
    </row>
    <row r="2349" spans="1:3" ht="15.75" customHeight="1" x14ac:dyDescent="0.2">
      <c r="A2349" t="s">
        <v>285</v>
      </c>
      <c r="B2349" t="s">
        <v>432</v>
      </c>
      <c r="C2349">
        <v>12</v>
      </c>
    </row>
    <row r="2350" spans="1:3" ht="15.75" customHeight="1" x14ac:dyDescent="0.2">
      <c r="A2350" t="s">
        <v>285</v>
      </c>
      <c r="B2350" t="s">
        <v>432</v>
      </c>
      <c r="C2350">
        <v>12</v>
      </c>
    </row>
    <row r="2351" spans="1:3" ht="15.75" customHeight="1" x14ac:dyDescent="0.2">
      <c r="A2351" t="s">
        <v>285</v>
      </c>
      <c r="B2351" t="s">
        <v>432</v>
      </c>
      <c r="C2351">
        <v>12</v>
      </c>
    </row>
    <row r="2352" spans="1:3" ht="15.75" customHeight="1" x14ac:dyDescent="0.2">
      <c r="A2352" t="s">
        <v>285</v>
      </c>
      <c r="B2352" t="s">
        <v>432</v>
      </c>
      <c r="C2352">
        <v>12</v>
      </c>
    </row>
    <row r="2353" spans="1:3" ht="15.75" customHeight="1" x14ac:dyDescent="0.2">
      <c r="A2353" t="s">
        <v>285</v>
      </c>
      <c r="B2353" t="s">
        <v>432</v>
      </c>
      <c r="C2353">
        <v>12</v>
      </c>
    </row>
    <row r="2354" spans="1:3" ht="15.75" customHeight="1" x14ac:dyDescent="0.2">
      <c r="A2354" t="s">
        <v>285</v>
      </c>
      <c r="B2354" t="s">
        <v>432</v>
      </c>
      <c r="C2354">
        <v>12</v>
      </c>
    </row>
    <row r="2355" spans="1:3" ht="15.75" customHeight="1" x14ac:dyDescent="0.2">
      <c r="A2355" t="s">
        <v>285</v>
      </c>
      <c r="B2355" t="s">
        <v>432</v>
      </c>
      <c r="C2355">
        <v>12</v>
      </c>
    </row>
    <row r="2356" spans="1:3" ht="15.75" customHeight="1" x14ac:dyDescent="0.2">
      <c r="A2356" t="s">
        <v>285</v>
      </c>
      <c r="B2356" t="s">
        <v>432</v>
      </c>
      <c r="C2356">
        <v>12</v>
      </c>
    </row>
    <row r="2357" spans="1:3" ht="15.75" customHeight="1" x14ac:dyDescent="0.2">
      <c r="A2357" t="s">
        <v>285</v>
      </c>
      <c r="B2357" t="s">
        <v>432</v>
      </c>
      <c r="C2357">
        <v>12</v>
      </c>
    </row>
    <row r="2358" spans="1:3" ht="15.75" customHeight="1" x14ac:dyDescent="0.2">
      <c r="A2358" t="s">
        <v>285</v>
      </c>
      <c r="B2358" t="s">
        <v>432</v>
      </c>
      <c r="C2358">
        <v>12</v>
      </c>
    </row>
    <row r="2359" spans="1:3" ht="15.75" customHeight="1" x14ac:dyDescent="0.2">
      <c r="A2359" t="s">
        <v>285</v>
      </c>
      <c r="B2359" t="s">
        <v>432</v>
      </c>
      <c r="C2359">
        <v>12</v>
      </c>
    </row>
    <row r="2360" spans="1:3" ht="15.75" customHeight="1" x14ac:dyDescent="0.2">
      <c r="A2360" t="s">
        <v>285</v>
      </c>
      <c r="B2360" t="s">
        <v>432</v>
      </c>
      <c r="C2360">
        <v>12</v>
      </c>
    </row>
    <row r="2361" spans="1:3" ht="15.75" customHeight="1" x14ac:dyDescent="0.2">
      <c r="A2361" t="s">
        <v>285</v>
      </c>
      <c r="B2361" t="s">
        <v>432</v>
      </c>
      <c r="C2361">
        <v>12</v>
      </c>
    </row>
    <row r="2362" spans="1:3" ht="15.75" customHeight="1" x14ac:dyDescent="0.2">
      <c r="A2362" t="s">
        <v>285</v>
      </c>
      <c r="B2362" t="s">
        <v>432</v>
      </c>
      <c r="C2362">
        <v>12</v>
      </c>
    </row>
    <row r="2363" spans="1:3" ht="15.75" customHeight="1" x14ac:dyDescent="0.2">
      <c r="A2363" t="s">
        <v>285</v>
      </c>
      <c r="B2363" t="s">
        <v>432</v>
      </c>
      <c r="C2363">
        <v>12</v>
      </c>
    </row>
    <row r="2364" spans="1:3" ht="15.75" customHeight="1" x14ac:dyDescent="0.2">
      <c r="A2364" t="s">
        <v>285</v>
      </c>
      <c r="B2364" t="s">
        <v>432</v>
      </c>
      <c r="C2364">
        <v>12</v>
      </c>
    </row>
    <row r="2365" spans="1:3" ht="15.75" customHeight="1" x14ac:dyDescent="0.2">
      <c r="A2365" t="s">
        <v>285</v>
      </c>
      <c r="B2365" t="s">
        <v>432</v>
      </c>
      <c r="C2365">
        <v>12</v>
      </c>
    </row>
    <row r="2366" spans="1:3" ht="15.75" customHeight="1" x14ac:dyDescent="0.2">
      <c r="A2366" t="s">
        <v>285</v>
      </c>
      <c r="B2366" t="s">
        <v>432</v>
      </c>
      <c r="C2366">
        <v>12</v>
      </c>
    </row>
    <row r="2367" spans="1:3" ht="15.75" customHeight="1" x14ac:dyDescent="0.2">
      <c r="A2367" t="s">
        <v>285</v>
      </c>
      <c r="B2367" t="s">
        <v>432</v>
      </c>
      <c r="C2367">
        <v>12</v>
      </c>
    </row>
    <row r="2368" spans="1:3" ht="15.75" customHeight="1" x14ac:dyDescent="0.2">
      <c r="A2368" t="s">
        <v>285</v>
      </c>
      <c r="B2368" t="s">
        <v>432</v>
      </c>
      <c r="C2368">
        <v>12</v>
      </c>
    </row>
    <row r="2369" spans="1:3" ht="15.75" customHeight="1" x14ac:dyDescent="0.2">
      <c r="A2369" t="s">
        <v>285</v>
      </c>
      <c r="B2369" t="s">
        <v>432</v>
      </c>
      <c r="C2369">
        <v>12</v>
      </c>
    </row>
    <row r="2370" spans="1:3" ht="15.75" customHeight="1" x14ac:dyDescent="0.2">
      <c r="A2370" t="s">
        <v>285</v>
      </c>
      <c r="B2370" t="s">
        <v>432</v>
      </c>
      <c r="C2370">
        <v>12</v>
      </c>
    </row>
    <row r="2371" spans="1:3" ht="15.75" customHeight="1" x14ac:dyDescent="0.2">
      <c r="A2371" t="s">
        <v>285</v>
      </c>
      <c r="B2371" t="s">
        <v>432</v>
      </c>
      <c r="C2371">
        <v>12</v>
      </c>
    </row>
    <row r="2372" spans="1:3" ht="15.75" customHeight="1" x14ac:dyDescent="0.2">
      <c r="A2372" t="s">
        <v>285</v>
      </c>
      <c r="B2372" t="s">
        <v>432</v>
      </c>
      <c r="C2372">
        <v>12</v>
      </c>
    </row>
    <row r="2373" spans="1:3" ht="15.75" customHeight="1" x14ac:dyDescent="0.2">
      <c r="A2373" t="s">
        <v>285</v>
      </c>
      <c r="B2373" t="s">
        <v>432</v>
      </c>
      <c r="C2373">
        <v>12</v>
      </c>
    </row>
    <row r="2374" spans="1:3" ht="15.75" customHeight="1" x14ac:dyDescent="0.2">
      <c r="A2374" t="s">
        <v>285</v>
      </c>
      <c r="B2374" t="s">
        <v>432</v>
      </c>
      <c r="C2374">
        <v>12</v>
      </c>
    </row>
    <row r="2375" spans="1:3" ht="15.75" customHeight="1" x14ac:dyDescent="0.2">
      <c r="A2375" t="s">
        <v>285</v>
      </c>
      <c r="B2375" t="s">
        <v>432</v>
      </c>
      <c r="C2375">
        <v>12</v>
      </c>
    </row>
    <row r="2376" spans="1:3" ht="15.75" customHeight="1" x14ac:dyDescent="0.2">
      <c r="A2376" t="s">
        <v>285</v>
      </c>
      <c r="B2376" t="s">
        <v>432</v>
      </c>
      <c r="C2376">
        <v>12</v>
      </c>
    </row>
    <row r="2377" spans="1:3" ht="15.75" customHeight="1" x14ac:dyDescent="0.2">
      <c r="A2377" t="s">
        <v>285</v>
      </c>
      <c r="B2377" t="s">
        <v>432</v>
      </c>
      <c r="C2377">
        <v>12</v>
      </c>
    </row>
    <row r="2378" spans="1:3" ht="15.75" customHeight="1" x14ac:dyDescent="0.2">
      <c r="A2378" t="s">
        <v>285</v>
      </c>
      <c r="B2378" t="s">
        <v>432</v>
      </c>
      <c r="C2378">
        <v>12</v>
      </c>
    </row>
    <row r="2379" spans="1:3" ht="15.75" customHeight="1" x14ac:dyDescent="0.2">
      <c r="A2379" t="s">
        <v>285</v>
      </c>
      <c r="B2379" t="s">
        <v>432</v>
      </c>
      <c r="C2379">
        <v>12</v>
      </c>
    </row>
    <row r="2380" spans="1:3" ht="15.75" customHeight="1" x14ac:dyDescent="0.2">
      <c r="A2380" t="s">
        <v>285</v>
      </c>
      <c r="B2380" t="s">
        <v>432</v>
      </c>
      <c r="C2380">
        <v>12</v>
      </c>
    </row>
    <row r="2381" spans="1:3" ht="15.75" customHeight="1" x14ac:dyDescent="0.2">
      <c r="A2381" t="s">
        <v>285</v>
      </c>
      <c r="B2381" t="s">
        <v>432</v>
      </c>
      <c r="C2381">
        <v>12</v>
      </c>
    </row>
    <row r="2382" spans="1:3" ht="15.75" customHeight="1" x14ac:dyDescent="0.2">
      <c r="A2382" t="s">
        <v>285</v>
      </c>
      <c r="B2382" t="s">
        <v>432</v>
      </c>
      <c r="C2382">
        <v>12</v>
      </c>
    </row>
    <row r="2383" spans="1:3" ht="15.75" customHeight="1" x14ac:dyDescent="0.2">
      <c r="A2383" t="s">
        <v>285</v>
      </c>
      <c r="B2383" t="s">
        <v>432</v>
      </c>
      <c r="C2383">
        <v>12</v>
      </c>
    </row>
    <row r="2384" spans="1:3" ht="15.75" customHeight="1" x14ac:dyDescent="0.2">
      <c r="A2384" t="s">
        <v>285</v>
      </c>
      <c r="B2384" t="s">
        <v>432</v>
      </c>
      <c r="C2384">
        <v>12</v>
      </c>
    </row>
    <row r="2385" spans="1:3" ht="15.75" customHeight="1" x14ac:dyDescent="0.2">
      <c r="A2385" t="s">
        <v>285</v>
      </c>
      <c r="B2385" t="s">
        <v>432</v>
      </c>
      <c r="C2385">
        <v>12</v>
      </c>
    </row>
    <row r="2386" spans="1:3" ht="15.75" customHeight="1" x14ac:dyDescent="0.2">
      <c r="A2386" t="s">
        <v>285</v>
      </c>
      <c r="B2386" t="s">
        <v>432</v>
      </c>
      <c r="C2386">
        <v>12</v>
      </c>
    </row>
    <row r="2387" spans="1:3" ht="15.75" customHeight="1" x14ac:dyDescent="0.2">
      <c r="A2387" t="s">
        <v>285</v>
      </c>
      <c r="B2387" t="s">
        <v>432</v>
      </c>
      <c r="C2387">
        <v>12</v>
      </c>
    </row>
    <row r="2388" spans="1:3" ht="15.75" customHeight="1" x14ac:dyDescent="0.2">
      <c r="A2388" t="s">
        <v>285</v>
      </c>
      <c r="B2388" t="s">
        <v>432</v>
      </c>
      <c r="C2388">
        <v>12</v>
      </c>
    </row>
    <row r="2389" spans="1:3" ht="15.75" customHeight="1" x14ac:dyDescent="0.2">
      <c r="A2389" t="s">
        <v>285</v>
      </c>
      <c r="B2389" t="s">
        <v>432</v>
      </c>
      <c r="C2389">
        <v>12</v>
      </c>
    </row>
    <row r="2390" spans="1:3" ht="15.75" customHeight="1" x14ac:dyDescent="0.2">
      <c r="A2390" t="s">
        <v>285</v>
      </c>
      <c r="B2390" t="s">
        <v>432</v>
      </c>
      <c r="C2390">
        <v>12</v>
      </c>
    </row>
    <row r="2391" spans="1:3" ht="15.75" customHeight="1" x14ac:dyDescent="0.2">
      <c r="A2391" t="s">
        <v>285</v>
      </c>
      <c r="B2391" t="s">
        <v>432</v>
      </c>
      <c r="C2391">
        <v>12</v>
      </c>
    </row>
    <row r="2392" spans="1:3" ht="15.75" customHeight="1" x14ac:dyDescent="0.2">
      <c r="A2392" t="s">
        <v>285</v>
      </c>
      <c r="B2392" t="s">
        <v>432</v>
      </c>
      <c r="C2392">
        <v>12</v>
      </c>
    </row>
    <row r="2393" spans="1:3" ht="15.75" customHeight="1" x14ac:dyDescent="0.2">
      <c r="A2393" t="s">
        <v>285</v>
      </c>
      <c r="B2393" t="s">
        <v>432</v>
      </c>
      <c r="C2393">
        <v>12</v>
      </c>
    </row>
    <row r="2394" spans="1:3" ht="15.75" customHeight="1" x14ac:dyDescent="0.2">
      <c r="A2394" t="s">
        <v>285</v>
      </c>
      <c r="B2394" t="s">
        <v>432</v>
      </c>
      <c r="C2394">
        <v>12</v>
      </c>
    </row>
    <row r="2395" spans="1:3" ht="15.75" customHeight="1" x14ac:dyDescent="0.2">
      <c r="A2395" t="s">
        <v>285</v>
      </c>
      <c r="B2395" t="s">
        <v>432</v>
      </c>
      <c r="C2395">
        <v>12</v>
      </c>
    </row>
    <row r="2396" spans="1:3" ht="15.75" customHeight="1" x14ac:dyDescent="0.2">
      <c r="A2396" t="s">
        <v>285</v>
      </c>
      <c r="B2396" t="s">
        <v>432</v>
      </c>
      <c r="C2396">
        <v>12</v>
      </c>
    </row>
    <row r="2397" spans="1:3" ht="15.75" customHeight="1" x14ac:dyDescent="0.2">
      <c r="A2397" t="s">
        <v>285</v>
      </c>
      <c r="B2397" t="s">
        <v>432</v>
      </c>
      <c r="C2397">
        <v>12</v>
      </c>
    </row>
    <row r="2398" spans="1:3" ht="15.75" customHeight="1" x14ac:dyDescent="0.2">
      <c r="A2398" t="s">
        <v>285</v>
      </c>
      <c r="B2398" t="s">
        <v>432</v>
      </c>
      <c r="C2398">
        <v>12</v>
      </c>
    </row>
    <row r="2399" spans="1:3" ht="15.75" customHeight="1" x14ac:dyDescent="0.2">
      <c r="A2399" t="s">
        <v>285</v>
      </c>
      <c r="B2399" t="s">
        <v>432</v>
      </c>
      <c r="C2399">
        <v>12</v>
      </c>
    </row>
    <row r="2400" spans="1:3" ht="15.75" customHeight="1" x14ac:dyDescent="0.2">
      <c r="A2400" t="s">
        <v>285</v>
      </c>
      <c r="B2400" t="s">
        <v>432</v>
      </c>
      <c r="C2400">
        <v>12</v>
      </c>
    </row>
    <row r="2401" spans="1:3" ht="15.75" customHeight="1" x14ac:dyDescent="0.2">
      <c r="A2401" t="s">
        <v>285</v>
      </c>
      <c r="B2401" t="s">
        <v>432</v>
      </c>
      <c r="C2401">
        <v>12</v>
      </c>
    </row>
    <row r="2402" spans="1:3" ht="15.75" customHeight="1" x14ac:dyDescent="0.2">
      <c r="A2402" t="s">
        <v>285</v>
      </c>
      <c r="B2402" t="s">
        <v>432</v>
      </c>
      <c r="C2402">
        <v>12</v>
      </c>
    </row>
    <row r="2403" spans="1:3" ht="15.75" customHeight="1" x14ac:dyDescent="0.2">
      <c r="A2403" t="s">
        <v>285</v>
      </c>
      <c r="B2403" t="s">
        <v>432</v>
      </c>
      <c r="C2403">
        <v>12</v>
      </c>
    </row>
    <row r="2404" spans="1:3" ht="15.75" customHeight="1" x14ac:dyDescent="0.2">
      <c r="A2404" t="s">
        <v>285</v>
      </c>
      <c r="B2404" t="s">
        <v>432</v>
      </c>
      <c r="C2404">
        <v>12</v>
      </c>
    </row>
    <row r="2405" spans="1:3" ht="15.75" customHeight="1" x14ac:dyDescent="0.2">
      <c r="A2405" t="s">
        <v>285</v>
      </c>
      <c r="B2405" t="s">
        <v>432</v>
      </c>
      <c r="C2405">
        <v>12</v>
      </c>
    </row>
    <row r="2406" spans="1:3" ht="15.75" customHeight="1" x14ac:dyDescent="0.2">
      <c r="A2406" t="s">
        <v>285</v>
      </c>
      <c r="B2406" t="s">
        <v>432</v>
      </c>
      <c r="C2406">
        <v>12</v>
      </c>
    </row>
    <row r="2407" spans="1:3" ht="15.75" customHeight="1" x14ac:dyDescent="0.2">
      <c r="A2407" t="s">
        <v>285</v>
      </c>
      <c r="B2407" t="s">
        <v>432</v>
      </c>
      <c r="C2407">
        <v>12</v>
      </c>
    </row>
    <row r="2408" spans="1:3" ht="15.75" customHeight="1" x14ac:dyDescent="0.2">
      <c r="A2408" t="s">
        <v>285</v>
      </c>
      <c r="B2408" t="s">
        <v>439</v>
      </c>
      <c r="C2408">
        <v>13</v>
      </c>
    </row>
    <row r="2409" spans="1:3" ht="15.75" customHeight="1" x14ac:dyDescent="0.2">
      <c r="A2409" t="s">
        <v>285</v>
      </c>
      <c r="B2409" t="s">
        <v>439</v>
      </c>
      <c r="C2409">
        <v>13</v>
      </c>
    </row>
    <row r="2410" spans="1:3" ht="15.75" customHeight="1" x14ac:dyDescent="0.2">
      <c r="A2410" t="s">
        <v>285</v>
      </c>
      <c r="B2410" t="s">
        <v>439</v>
      </c>
      <c r="C2410">
        <v>13</v>
      </c>
    </row>
    <row r="2411" spans="1:3" ht="15.75" customHeight="1" x14ac:dyDescent="0.2">
      <c r="A2411" t="s">
        <v>285</v>
      </c>
      <c r="B2411" t="s">
        <v>439</v>
      </c>
      <c r="C2411">
        <v>13</v>
      </c>
    </row>
    <row r="2412" spans="1:3" ht="15.75" customHeight="1" x14ac:dyDescent="0.2">
      <c r="A2412" t="s">
        <v>285</v>
      </c>
      <c r="B2412" t="s">
        <v>439</v>
      </c>
      <c r="C2412">
        <v>13</v>
      </c>
    </row>
    <row r="2413" spans="1:3" ht="15.75" customHeight="1" x14ac:dyDescent="0.2">
      <c r="A2413" t="s">
        <v>285</v>
      </c>
      <c r="B2413" t="s">
        <v>439</v>
      </c>
      <c r="C2413">
        <v>13</v>
      </c>
    </row>
    <row r="2414" spans="1:3" ht="15.75" customHeight="1" x14ac:dyDescent="0.2">
      <c r="A2414" t="s">
        <v>285</v>
      </c>
      <c r="B2414" t="s">
        <v>439</v>
      </c>
      <c r="C2414">
        <v>13</v>
      </c>
    </row>
    <row r="2415" spans="1:3" ht="15.75" customHeight="1" x14ac:dyDescent="0.2">
      <c r="A2415" t="s">
        <v>285</v>
      </c>
      <c r="B2415" t="s">
        <v>439</v>
      </c>
      <c r="C2415">
        <v>13</v>
      </c>
    </row>
    <row r="2416" spans="1:3" ht="15.75" customHeight="1" x14ac:dyDescent="0.2">
      <c r="A2416" t="s">
        <v>285</v>
      </c>
      <c r="B2416" t="s">
        <v>439</v>
      </c>
      <c r="C2416">
        <v>13</v>
      </c>
    </row>
    <row r="2417" spans="1:3" ht="15.75" customHeight="1" x14ac:dyDescent="0.2">
      <c r="A2417" t="s">
        <v>285</v>
      </c>
      <c r="B2417" t="s">
        <v>439</v>
      </c>
      <c r="C2417">
        <v>13</v>
      </c>
    </row>
    <row r="2418" spans="1:3" ht="15.75" customHeight="1" x14ac:dyDescent="0.2">
      <c r="A2418" t="s">
        <v>285</v>
      </c>
      <c r="B2418" t="s">
        <v>439</v>
      </c>
      <c r="C2418">
        <v>13</v>
      </c>
    </row>
    <row r="2419" spans="1:3" ht="15.75" customHeight="1" x14ac:dyDescent="0.2">
      <c r="A2419" t="s">
        <v>285</v>
      </c>
      <c r="B2419" t="s">
        <v>439</v>
      </c>
      <c r="C2419">
        <v>13</v>
      </c>
    </row>
    <row r="2420" spans="1:3" ht="15.75" customHeight="1" x14ac:dyDescent="0.2">
      <c r="A2420" t="s">
        <v>285</v>
      </c>
      <c r="B2420" t="s">
        <v>439</v>
      </c>
      <c r="C2420">
        <v>13</v>
      </c>
    </row>
    <row r="2421" spans="1:3" ht="15.75" customHeight="1" x14ac:dyDescent="0.2">
      <c r="A2421" t="s">
        <v>285</v>
      </c>
      <c r="B2421" t="s">
        <v>439</v>
      </c>
      <c r="C2421">
        <v>13</v>
      </c>
    </row>
    <row r="2422" spans="1:3" ht="15.75" customHeight="1" x14ac:dyDescent="0.2">
      <c r="A2422" t="s">
        <v>285</v>
      </c>
      <c r="B2422" t="s">
        <v>439</v>
      </c>
      <c r="C2422">
        <v>13</v>
      </c>
    </row>
    <row r="2423" spans="1:3" ht="15.75" customHeight="1" x14ac:dyDescent="0.2">
      <c r="A2423" t="s">
        <v>285</v>
      </c>
      <c r="B2423" t="s">
        <v>439</v>
      </c>
      <c r="C2423">
        <v>13</v>
      </c>
    </row>
    <row r="2424" spans="1:3" ht="15.75" customHeight="1" x14ac:dyDescent="0.2">
      <c r="A2424" t="s">
        <v>285</v>
      </c>
      <c r="B2424" t="s">
        <v>439</v>
      </c>
      <c r="C2424">
        <v>13</v>
      </c>
    </row>
    <row r="2425" spans="1:3" ht="15.75" customHeight="1" x14ac:dyDescent="0.2">
      <c r="A2425" t="s">
        <v>285</v>
      </c>
      <c r="B2425" t="s">
        <v>439</v>
      </c>
      <c r="C2425">
        <v>13</v>
      </c>
    </row>
    <row r="2426" spans="1:3" ht="15.75" customHeight="1" x14ac:dyDescent="0.2">
      <c r="A2426" t="s">
        <v>285</v>
      </c>
      <c r="B2426" t="s">
        <v>439</v>
      </c>
      <c r="C2426">
        <v>13</v>
      </c>
    </row>
    <row r="2427" spans="1:3" ht="15.75" customHeight="1" x14ac:dyDescent="0.2">
      <c r="A2427" t="s">
        <v>285</v>
      </c>
      <c r="B2427" t="s">
        <v>439</v>
      </c>
      <c r="C2427">
        <v>13</v>
      </c>
    </row>
    <row r="2428" spans="1:3" ht="15.75" customHeight="1" x14ac:dyDescent="0.2">
      <c r="A2428" t="s">
        <v>285</v>
      </c>
      <c r="B2428" t="s">
        <v>439</v>
      </c>
      <c r="C2428">
        <v>13</v>
      </c>
    </row>
    <row r="2429" spans="1:3" ht="15.75" customHeight="1" x14ac:dyDescent="0.2">
      <c r="A2429" t="s">
        <v>285</v>
      </c>
      <c r="B2429" t="s">
        <v>439</v>
      </c>
      <c r="C2429">
        <v>13</v>
      </c>
    </row>
    <row r="2430" spans="1:3" ht="15.75" customHeight="1" x14ac:dyDescent="0.2">
      <c r="A2430" t="s">
        <v>285</v>
      </c>
      <c r="B2430" t="s">
        <v>439</v>
      </c>
      <c r="C2430">
        <v>13</v>
      </c>
    </row>
    <row r="2431" spans="1:3" ht="15.75" customHeight="1" x14ac:dyDescent="0.2">
      <c r="A2431" t="s">
        <v>285</v>
      </c>
      <c r="B2431" t="s">
        <v>439</v>
      </c>
      <c r="C2431">
        <v>13</v>
      </c>
    </row>
    <row r="2432" spans="1:3" ht="15.75" customHeight="1" x14ac:dyDescent="0.2">
      <c r="A2432" t="s">
        <v>285</v>
      </c>
      <c r="B2432" t="s">
        <v>439</v>
      </c>
      <c r="C2432">
        <v>13</v>
      </c>
    </row>
    <row r="2433" spans="1:3" ht="15.75" customHeight="1" x14ac:dyDescent="0.2">
      <c r="A2433" t="s">
        <v>285</v>
      </c>
      <c r="B2433" t="s">
        <v>439</v>
      </c>
      <c r="C2433">
        <v>13</v>
      </c>
    </row>
    <row r="2434" spans="1:3" ht="15.75" customHeight="1" x14ac:dyDescent="0.2">
      <c r="A2434" t="s">
        <v>285</v>
      </c>
      <c r="B2434" t="s">
        <v>439</v>
      </c>
      <c r="C2434">
        <v>13</v>
      </c>
    </row>
    <row r="2435" spans="1:3" ht="15.75" customHeight="1" x14ac:dyDescent="0.2">
      <c r="A2435" t="s">
        <v>285</v>
      </c>
      <c r="B2435" t="s">
        <v>439</v>
      </c>
      <c r="C2435">
        <v>13</v>
      </c>
    </row>
    <row r="2436" spans="1:3" ht="15.75" customHeight="1" x14ac:dyDescent="0.2">
      <c r="A2436" t="s">
        <v>285</v>
      </c>
      <c r="B2436" t="s">
        <v>439</v>
      </c>
      <c r="C2436">
        <v>13</v>
      </c>
    </row>
    <row r="2437" spans="1:3" ht="15.75" customHeight="1" x14ac:dyDescent="0.2">
      <c r="A2437" t="s">
        <v>285</v>
      </c>
      <c r="B2437" t="s">
        <v>439</v>
      </c>
      <c r="C2437">
        <v>13</v>
      </c>
    </row>
    <row r="2438" spans="1:3" ht="15.75" customHeight="1" x14ac:dyDescent="0.2">
      <c r="A2438" t="s">
        <v>285</v>
      </c>
      <c r="B2438" t="s">
        <v>439</v>
      </c>
      <c r="C2438">
        <v>13</v>
      </c>
    </row>
    <row r="2439" spans="1:3" ht="15.75" customHeight="1" x14ac:dyDescent="0.2">
      <c r="A2439" t="s">
        <v>285</v>
      </c>
      <c r="B2439" t="s">
        <v>439</v>
      </c>
      <c r="C2439">
        <v>13</v>
      </c>
    </row>
    <row r="2440" spans="1:3" ht="15.75" customHeight="1" x14ac:dyDescent="0.2">
      <c r="A2440" t="s">
        <v>285</v>
      </c>
      <c r="B2440" t="s">
        <v>439</v>
      </c>
      <c r="C2440">
        <v>13</v>
      </c>
    </row>
    <row r="2441" spans="1:3" ht="15.75" customHeight="1" x14ac:dyDescent="0.2">
      <c r="A2441" t="s">
        <v>285</v>
      </c>
      <c r="B2441" t="s">
        <v>439</v>
      </c>
      <c r="C2441">
        <v>13</v>
      </c>
    </row>
    <row r="2442" spans="1:3" ht="15.75" customHeight="1" x14ac:dyDescent="0.2">
      <c r="A2442" t="s">
        <v>285</v>
      </c>
      <c r="B2442" t="s">
        <v>439</v>
      </c>
      <c r="C2442">
        <v>13</v>
      </c>
    </row>
    <row r="2443" spans="1:3" ht="15.75" customHeight="1" x14ac:dyDescent="0.2">
      <c r="A2443" t="s">
        <v>285</v>
      </c>
      <c r="B2443" t="s">
        <v>439</v>
      </c>
      <c r="C2443">
        <v>13</v>
      </c>
    </row>
    <row r="2444" spans="1:3" ht="15.75" customHeight="1" x14ac:dyDescent="0.2">
      <c r="A2444" t="s">
        <v>285</v>
      </c>
      <c r="B2444" t="s">
        <v>439</v>
      </c>
      <c r="C2444">
        <v>13</v>
      </c>
    </row>
    <row r="2445" spans="1:3" ht="15.75" customHeight="1" x14ac:dyDescent="0.2">
      <c r="A2445" t="s">
        <v>285</v>
      </c>
      <c r="B2445" t="s">
        <v>439</v>
      </c>
      <c r="C2445">
        <v>13</v>
      </c>
    </row>
    <row r="2446" spans="1:3" ht="15.75" customHeight="1" x14ac:dyDescent="0.2">
      <c r="A2446" t="s">
        <v>285</v>
      </c>
      <c r="B2446" t="s">
        <v>439</v>
      </c>
      <c r="C2446">
        <v>13</v>
      </c>
    </row>
    <row r="2447" spans="1:3" ht="15.75" customHeight="1" x14ac:dyDescent="0.2">
      <c r="A2447" t="s">
        <v>285</v>
      </c>
      <c r="B2447" t="s">
        <v>439</v>
      </c>
      <c r="C2447">
        <v>13</v>
      </c>
    </row>
    <row r="2448" spans="1:3" ht="15.75" customHeight="1" x14ac:dyDescent="0.2">
      <c r="A2448" t="s">
        <v>285</v>
      </c>
      <c r="B2448" t="s">
        <v>439</v>
      </c>
      <c r="C2448">
        <v>13</v>
      </c>
    </row>
    <row r="2449" spans="1:3" ht="15.75" customHeight="1" x14ac:dyDescent="0.2">
      <c r="A2449" t="s">
        <v>285</v>
      </c>
      <c r="B2449" t="s">
        <v>439</v>
      </c>
      <c r="C2449">
        <v>13</v>
      </c>
    </row>
    <row r="2450" spans="1:3" ht="15.75" customHeight="1" x14ac:dyDescent="0.2">
      <c r="A2450" t="s">
        <v>285</v>
      </c>
      <c r="B2450" t="s">
        <v>439</v>
      </c>
      <c r="C2450">
        <v>13</v>
      </c>
    </row>
    <row r="2451" spans="1:3" ht="15.75" customHeight="1" x14ac:dyDescent="0.2">
      <c r="A2451" t="s">
        <v>285</v>
      </c>
      <c r="B2451" t="s">
        <v>439</v>
      </c>
      <c r="C2451">
        <v>13</v>
      </c>
    </row>
    <row r="2452" spans="1:3" ht="15.75" customHeight="1" x14ac:dyDescent="0.2">
      <c r="A2452" t="s">
        <v>285</v>
      </c>
      <c r="B2452" t="s">
        <v>439</v>
      </c>
      <c r="C2452">
        <v>13</v>
      </c>
    </row>
    <row r="2453" spans="1:3" ht="15.75" customHeight="1" x14ac:dyDescent="0.2">
      <c r="A2453" t="s">
        <v>285</v>
      </c>
      <c r="B2453" t="s">
        <v>439</v>
      </c>
      <c r="C2453">
        <v>13</v>
      </c>
    </row>
    <row r="2454" spans="1:3" ht="15.75" customHeight="1" x14ac:dyDescent="0.2">
      <c r="A2454" t="s">
        <v>285</v>
      </c>
      <c r="B2454" t="s">
        <v>439</v>
      </c>
      <c r="C2454">
        <v>13</v>
      </c>
    </row>
    <row r="2455" spans="1:3" ht="15.75" customHeight="1" x14ac:dyDescent="0.2">
      <c r="A2455" t="s">
        <v>285</v>
      </c>
      <c r="B2455" t="s">
        <v>439</v>
      </c>
      <c r="C2455">
        <v>13</v>
      </c>
    </row>
    <row r="2456" spans="1:3" ht="15.75" customHeight="1" x14ac:dyDescent="0.2">
      <c r="A2456" t="s">
        <v>285</v>
      </c>
      <c r="B2456" t="s">
        <v>439</v>
      </c>
      <c r="C2456">
        <v>13</v>
      </c>
    </row>
    <row r="2457" spans="1:3" ht="15.75" customHeight="1" x14ac:dyDescent="0.2">
      <c r="A2457" t="s">
        <v>285</v>
      </c>
      <c r="B2457" t="s">
        <v>439</v>
      </c>
      <c r="C2457">
        <v>13</v>
      </c>
    </row>
    <row r="2458" spans="1:3" ht="15.75" customHeight="1" x14ac:dyDescent="0.2">
      <c r="A2458" t="s">
        <v>285</v>
      </c>
      <c r="B2458" t="s">
        <v>439</v>
      </c>
      <c r="C2458">
        <v>13</v>
      </c>
    </row>
    <row r="2459" spans="1:3" ht="15.75" customHeight="1" x14ac:dyDescent="0.2">
      <c r="A2459" t="s">
        <v>285</v>
      </c>
      <c r="B2459" t="s">
        <v>439</v>
      </c>
      <c r="C2459">
        <v>13</v>
      </c>
    </row>
    <row r="2460" spans="1:3" ht="15.75" customHeight="1" x14ac:dyDescent="0.2">
      <c r="A2460" t="s">
        <v>285</v>
      </c>
      <c r="B2460" t="s">
        <v>439</v>
      </c>
      <c r="C2460">
        <v>13</v>
      </c>
    </row>
    <row r="2461" spans="1:3" ht="15.75" customHeight="1" x14ac:dyDescent="0.2">
      <c r="A2461" t="s">
        <v>285</v>
      </c>
      <c r="B2461" t="s">
        <v>439</v>
      </c>
      <c r="C2461">
        <v>13</v>
      </c>
    </row>
    <row r="2462" spans="1:3" ht="15.75" customHeight="1" x14ac:dyDescent="0.2">
      <c r="A2462" t="s">
        <v>285</v>
      </c>
      <c r="B2462" t="s">
        <v>439</v>
      </c>
      <c r="C2462">
        <v>13</v>
      </c>
    </row>
    <row r="2463" spans="1:3" ht="15.75" customHeight="1" x14ac:dyDescent="0.2">
      <c r="A2463" t="s">
        <v>285</v>
      </c>
      <c r="B2463" t="s">
        <v>439</v>
      </c>
      <c r="C2463">
        <v>13</v>
      </c>
    </row>
    <row r="2464" spans="1:3" ht="15.75" customHeight="1" x14ac:dyDescent="0.2">
      <c r="A2464" t="s">
        <v>285</v>
      </c>
      <c r="B2464" t="s">
        <v>439</v>
      </c>
      <c r="C2464">
        <v>13</v>
      </c>
    </row>
    <row r="2465" spans="1:3" ht="15.75" customHeight="1" x14ac:dyDescent="0.2">
      <c r="A2465" t="s">
        <v>285</v>
      </c>
      <c r="B2465" t="s">
        <v>439</v>
      </c>
      <c r="C2465">
        <v>13</v>
      </c>
    </row>
    <row r="2466" spans="1:3" ht="15.75" customHeight="1" x14ac:dyDescent="0.2">
      <c r="A2466" t="s">
        <v>285</v>
      </c>
      <c r="B2466" t="s">
        <v>439</v>
      </c>
      <c r="C2466">
        <v>13</v>
      </c>
    </row>
    <row r="2467" spans="1:3" ht="15.75" customHeight="1" x14ac:dyDescent="0.2">
      <c r="A2467" t="s">
        <v>285</v>
      </c>
      <c r="B2467" t="s">
        <v>439</v>
      </c>
      <c r="C2467">
        <v>13</v>
      </c>
    </row>
    <row r="2468" spans="1:3" ht="15.75" customHeight="1" x14ac:dyDescent="0.2">
      <c r="A2468" t="s">
        <v>285</v>
      </c>
      <c r="B2468" t="s">
        <v>439</v>
      </c>
      <c r="C2468">
        <v>13</v>
      </c>
    </row>
    <row r="2469" spans="1:3" ht="15.75" customHeight="1" x14ac:dyDescent="0.2">
      <c r="A2469" t="s">
        <v>285</v>
      </c>
      <c r="B2469" t="s">
        <v>439</v>
      </c>
      <c r="C2469">
        <v>13</v>
      </c>
    </row>
    <row r="2470" spans="1:3" ht="15.75" customHeight="1" x14ac:dyDescent="0.2">
      <c r="A2470" t="s">
        <v>285</v>
      </c>
      <c r="B2470" t="s">
        <v>439</v>
      </c>
      <c r="C2470">
        <v>13</v>
      </c>
    </row>
    <row r="2471" spans="1:3" ht="15.75" customHeight="1" x14ac:dyDescent="0.2">
      <c r="A2471" t="s">
        <v>285</v>
      </c>
      <c r="B2471" t="s">
        <v>439</v>
      </c>
      <c r="C2471">
        <v>13</v>
      </c>
    </row>
    <row r="2472" spans="1:3" ht="15.75" customHeight="1" x14ac:dyDescent="0.2">
      <c r="A2472" t="s">
        <v>285</v>
      </c>
      <c r="B2472" t="s">
        <v>439</v>
      </c>
      <c r="C2472">
        <v>13</v>
      </c>
    </row>
    <row r="2473" spans="1:3" ht="15.75" customHeight="1" x14ac:dyDescent="0.2">
      <c r="A2473" t="s">
        <v>285</v>
      </c>
      <c r="B2473" t="s">
        <v>439</v>
      </c>
      <c r="C2473">
        <v>13</v>
      </c>
    </row>
    <row r="2474" spans="1:3" ht="15.75" customHeight="1" x14ac:dyDescent="0.2">
      <c r="A2474" t="s">
        <v>285</v>
      </c>
      <c r="B2474" t="s">
        <v>439</v>
      </c>
      <c r="C2474">
        <v>13</v>
      </c>
    </row>
    <row r="2475" spans="1:3" ht="15.75" customHeight="1" x14ac:dyDescent="0.2">
      <c r="A2475" t="s">
        <v>285</v>
      </c>
      <c r="B2475" t="s">
        <v>439</v>
      </c>
      <c r="C2475">
        <v>13</v>
      </c>
    </row>
    <row r="2476" spans="1:3" ht="15.75" customHeight="1" x14ac:dyDescent="0.2">
      <c r="A2476" t="s">
        <v>285</v>
      </c>
      <c r="B2476" t="s">
        <v>439</v>
      </c>
      <c r="C2476">
        <v>13</v>
      </c>
    </row>
    <row r="2477" spans="1:3" ht="15.75" customHeight="1" x14ac:dyDescent="0.2">
      <c r="A2477" t="s">
        <v>285</v>
      </c>
      <c r="B2477" t="s">
        <v>439</v>
      </c>
      <c r="C2477">
        <v>13</v>
      </c>
    </row>
    <row r="2478" spans="1:3" ht="15.75" customHeight="1" x14ac:dyDescent="0.2">
      <c r="A2478" t="s">
        <v>285</v>
      </c>
      <c r="B2478" t="s">
        <v>439</v>
      </c>
      <c r="C2478">
        <v>13</v>
      </c>
    </row>
    <row r="2479" spans="1:3" ht="15.75" customHeight="1" x14ac:dyDescent="0.2">
      <c r="A2479" t="s">
        <v>285</v>
      </c>
      <c r="B2479" t="s">
        <v>439</v>
      </c>
      <c r="C2479">
        <v>13</v>
      </c>
    </row>
    <row r="2480" spans="1:3" ht="15.75" customHeight="1" x14ac:dyDescent="0.2">
      <c r="A2480" t="s">
        <v>285</v>
      </c>
      <c r="B2480" t="s">
        <v>439</v>
      </c>
      <c r="C2480">
        <v>13</v>
      </c>
    </row>
    <row r="2481" spans="1:3" ht="15.75" customHeight="1" x14ac:dyDescent="0.2">
      <c r="A2481" t="s">
        <v>285</v>
      </c>
      <c r="B2481" t="s">
        <v>439</v>
      </c>
      <c r="C2481">
        <v>13</v>
      </c>
    </row>
    <row r="2482" spans="1:3" ht="15.75" customHeight="1" x14ac:dyDescent="0.2">
      <c r="A2482" t="s">
        <v>285</v>
      </c>
      <c r="B2482" t="s">
        <v>439</v>
      </c>
      <c r="C2482">
        <v>13</v>
      </c>
    </row>
    <row r="2483" spans="1:3" ht="15.75" customHeight="1" x14ac:dyDescent="0.2">
      <c r="A2483" t="s">
        <v>285</v>
      </c>
      <c r="B2483" t="s">
        <v>439</v>
      </c>
      <c r="C2483">
        <v>13</v>
      </c>
    </row>
    <row r="2484" spans="1:3" ht="15.75" customHeight="1" x14ac:dyDescent="0.2">
      <c r="A2484" t="s">
        <v>285</v>
      </c>
      <c r="B2484" t="s">
        <v>439</v>
      </c>
      <c r="C2484">
        <v>13</v>
      </c>
    </row>
    <row r="2485" spans="1:3" ht="15.75" customHeight="1" x14ac:dyDescent="0.2">
      <c r="A2485" t="s">
        <v>285</v>
      </c>
      <c r="B2485" t="s">
        <v>439</v>
      </c>
      <c r="C2485">
        <v>13</v>
      </c>
    </row>
    <row r="2486" spans="1:3" ht="15.75" customHeight="1" x14ac:dyDescent="0.2">
      <c r="A2486" t="s">
        <v>285</v>
      </c>
      <c r="B2486" t="s">
        <v>439</v>
      </c>
      <c r="C2486">
        <v>13</v>
      </c>
    </row>
    <row r="2487" spans="1:3" ht="15.75" customHeight="1" x14ac:dyDescent="0.2">
      <c r="A2487" t="s">
        <v>285</v>
      </c>
      <c r="B2487" t="s">
        <v>439</v>
      </c>
      <c r="C2487">
        <v>13</v>
      </c>
    </row>
    <row r="2488" spans="1:3" ht="15.75" customHeight="1" x14ac:dyDescent="0.2">
      <c r="A2488" t="s">
        <v>285</v>
      </c>
      <c r="B2488" t="s">
        <v>439</v>
      </c>
      <c r="C2488">
        <v>13</v>
      </c>
    </row>
    <row r="2489" spans="1:3" ht="15.75" customHeight="1" x14ac:dyDescent="0.2">
      <c r="A2489" t="s">
        <v>285</v>
      </c>
      <c r="B2489" t="s">
        <v>439</v>
      </c>
      <c r="C2489">
        <v>13</v>
      </c>
    </row>
    <row r="2490" spans="1:3" ht="15.75" customHeight="1" x14ac:dyDescent="0.2">
      <c r="A2490" t="s">
        <v>285</v>
      </c>
      <c r="B2490" t="s">
        <v>439</v>
      </c>
      <c r="C2490">
        <v>13</v>
      </c>
    </row>
    <row r="2491" spans="1:3" ht="15.75" customHeight="1" x14ac:dyDescent="0.2">
      <c r="A2491" t="s">
        <v>285</v>
      </c>
      <c r="B2491" t="s">
        <v>439</v>
      </c>
      <c r="C2491">
        <v>13</v>
      </c>
    </row>
    <row r="2492" spans="1:3" ht="15.75" customHeight="1" x14ac:dyDescent="0.2">
      <c r="A2492" t="s">
        <v>285</v>
      </c>
      <c r="B2492" t="s">
        <v>439</v>
      </c>
      <c r="C2492">
        <v>13</v>
      </c>
    </row>
    <row r="2493" spans="1:3" ht="15.75" customHeight="1" x14ac:dyDescent="0.2">
      <c r="A2493" t="s">
        <v>285</v>
      </c>
      <c r="B2493" t="s">
        <v>439</v>
      </c>
      <c r="C2493">
        <v>13</v>
      </c>
    </row>
    <row r="2494" spans="1:3" ht="15.75" customHeight="1" x14ac:dyDescent="0.2">
      <c r="A2494" t="s">
        <v>285</v>
      </c>
      <c r="B2494" t="s">
        <v>439</v>
      </c>
      <c r="C2494">
        <v>13</v>
      </c>
    </row>
    <row r="2495" spans="1:3" ht="15.75" customHeight="1" x14ac:dyDescent="0.2">
      <c r="A2495" t="s">
        <v>285</v>
      </c>
      <c r="B2495" t="s">
        <v>439</v>
      </c>
      <c r="C2495">
        <v>13</v>
      </c>
    </row>
    <row r="2496" spans="1:3" ht="15.75" customHeight="1" x14ac:dyDescent="0.2">
      <c r="A2496" t="s">
        <v>285</v>
      </c>
      <c r="B2496" t="s">
        <v>439</v>
      </c>
      <c r="C2496">
        <v>13</v>
      </c>
    </row>
    <row r="2497" spans="1:3" ht="15.75" customHeight="1" x14ac:dyDescent="0.2">
      <c r="A2497" t="s">
        <v>285</v>
      </c>
      <c r="B2497" t="s">
        <v>439</v>
      </c>
      <c r="C2497">
        <v>13</v>
      </c>
    </row>
    <row r="2498" spans="1:3" ht="15.75" customHeight="1" x14ac:dyDescent="0.2">
      <c r="A2498" t="s">
        <v>285</v>
      </c>
      <c r="B2498" t="s">
        <v>439</v>
      </c>
      <c r="C2498">
        <v>13</v>
      </c>
    </row>
    <row r="2499" spans="1:3" ht="15.75" customHeight="1" x14ac:dyDescent="0.2">
      <c r="A2499" t="s">
        <v>285</v>
      </c>
      <c r="B2499" t="s">
        <v>439</v>
      </c>
      <c r="C2499">
        <v>13</v>
      </c>
    </row>
    <row r="2500" spans="1:3" ht="15.75" customHeight="1" x14ac:dyDescent="0.2">
      <c r="A2500" t="s">
        <v>285</v>
      </c>
      <c r="B2500" t="s">
        <v>439</v>
      </c>
      <c r="C2500">
        <v>13</v>
      </c>
    </row>
    <row r="2501" spans="1:3" ht="15.75" customHeight="1" x14ac:dyDescent="0.2">
      <c r="A2501" t="s">
        <v>285</v>
      </c>
      <c r="B2501" t="s">
        <v>439</v>
      </c>
      <c r="C2501">
        <v>13</v>
      </c>
    </row>
    <row r="2502" spans="1:3" ht="15.75" customHeight="1" x14ac:dyDescent="0.2">
      <c r="A2502" t="s">
        <v>285</v>
      </c>
      <c r="B2502" t="s">
        <v>439</v>
      </c>
      <c r="C2502">
        <v>13</v>
      </c>
    </row>
    <row r="2503" spans="1:3" ht="15.75" customHeight="1" x14ac:dyDescent="0.2">
      <c r="A2503" t="s">
        <v>285</v>
      </c>
      <c r="B2503" t="s">
        <v>439</v>
      </c>
      <c r="C2503">
        <v>13</v>
      </c>
    </row>
    <row r="2504" spans="1:3" ht="15.75" customHeight="1" x14ac:dyDescent="0.2">
      <c r="A2504" t="s">
        <v>285</v>
      </c>
      <c r="B2504" t="s">
        <v>439</v>
      </c>
      <c r="C2504">
        <v>13</v>
      </c>
    </row>
    <row r="2505" spans="1:3" ht="15.75" customHeight="1" x14ac:dyDescent="0.2">
      <c r="A2505" t="s">
        <v>285</v>
      </c>
      <c r="B2505" t="s">
        <v>439</v>
      </c>
      <c r="C2505">
        <v>13</v>
      </c>
    </row>
    <row r="2506" spans="1:3" ht="15.75" customHeight="1" x14ac:dyDescent="0.2">
      <c r="A2506" t="s">
        <v>285</v>
      </c>
      <c r="B2506" t="s">
        <v>439</v>
      </c>
      <c r="C2506">
        <v>13</v>
      </c>
    </row>
    <row r="2507" spans="1:3" ht="15.75" customHeight="1" x14ac:dyDescent="0.2">
      <c r="A2507" t="s">
        <v>285</v>
      </c>
      <c r="B2507" t="s">
        <v>439</v>
      </c>
      <c r="C2507">
        <v>13</v>
      </c>
    </row>
    <row r="2508" spans="1:3" ht="15.75" customHeight="1" x14ac:dyDescent="0.2">
      <c r="A2508" t="s">
        <v>285</v>
      </c>
      <c r="B2508" t="s">
        <v>439</v>
      </c>
      <c r="C2508">
        <v>13</v>
      </c>
    </row>
    <row r="2509" spans="1:3" ht="15.75" customHeight="1" x14ac:dyDescent="0.2">
      <c r="A2509" t="s">
        <v>285</v>
      </c>
      <c r="B2509" t="s">
        <v>439</v>
      </c>
      <c r="C2509">
        <v>13</v>
      </c>
    </row>
    <row r="2510" spans="1:3" ht="15.75" customHeight="1" x14ac:dyDescent="0.2">
      <c r="A2510" t="s">
        <v>285</v>
      </c>
      <c r="B2510" t="s">
        <v>439</v>
      </c>
      <c r="C2510">
        <v>13</v>
      </c>
    </row>
    <row r="2511" spans="1:3" ht="15.75" customHeight="1" x14ac:dyDescent="0.2">
      <c r="A2511" t="s">
        <v>285</v>
      </c>
      <c r="B2511" t="s">
        <v>439</v>
      </c>
      <c r="C2511">
        <v>13</v>
      </c>
    </row>
    <row r="2512" spans="1:3" ht="15.75" customHeight="1" x14ac:dyDescent="0.2">
      <c r="A2512" t="s">
        <v>285</v>
      </c>
      <c r="B2512" t="s">
        <v>439</v>
      </c>
      <c r="C2512">
        <v>13</v>
      </c>
    </row>
    <row r="2513" spans="1:3" ht="15.75" customHeight="1" x14ac:dyDescent="0.2">
      <c r="A2513" t="s">
        <v>285</v>
      </c>
      <c r="B2513" t="s">
        <v>439</v>
      </c>
      <c r="C2513">
        <v>13</v>
      </c>
    </row>
    <row r="2514" spans="1:3" ht="15.75" customHeight="1" x14ac:dyDescent="0.2">
      <c r="A2514" t="s">
        <v>285</v>
      </c>
      <c r="B2514" t="s">
        <v>439</v>
      </c>
      <c r="C2514">
        <v>13</v>
      </c>
    </row>
    <row r="2515" spans="1:3" ht="15.75" customHeight="1" x14ac:dyDescent="0.2">
      <c r="A2515" t="s">
        <v>285</v>
      </c>
      <c r="B2515" t="s">
        <v>439</v>
      </c>
      <c r="C2515">
        <v>13</v>
      </c>
    </row>
    <row r="2516" spans="1:3" ht="15.75" customHeight="1" x14ac:dyDescent="0.2">
      <c r="A2516" t="s">
        <v>285</v>
      </c>
      <c r="B2516" t="s">
        <v>439</v>
      </c>
      <c r="C2516">
        <v>13</v>
      </c>
    </row>
    <row r="2517" spans="1:3" ht="15.75" customHeight="1" x14ac:dyDescent="0.2">
      <c r="A2517" t="s">
        <v>285</v>
      </c>
      <c r="B2517" t="s">
        <v>439</v>
      </c>
      <c r="C2517">
        <v>13</v>
      </c>
    </row>
    <row r="2518" spans="1:3" ht="15.75" customHeight="1" x14ac:dyDescent="0.2">
      <c r="A2518" t="s">
        <v>285</v>
      </c>
      <c r="B2518" t="s">
        <v>439</v>
      </c>
      <c r="C2518">
        <v>13</v>
      </c>
    </row>
    <row r="2519" spans="1:3" ht="15.75" customHeight="1" x14ac:dyDescent="0.2">
      <c r="A2519" t="s">
        <v>285</v>
      </c>
      <c r="B2519" t="s">
        <v>439</v>
      </c>
      <c r="C2519">
        <v>13</v>
      </c>
    </row>
    <row r="2520" spans="1:3" ht="15.75" customHeight="1" x14ac:dyDescent="0.2">
      <c r="A2520" t="s">
        <v>285</v>
      </c>
      <c r="B2520" t="s">
        <v>439</v>
      </c>
      <c r="C2520">
        <v>13</v>
      </c>
    </row>
    <row r="2521" spans="1:3" ht="15.75" customHeight="1" x14ac:dyDescent="0.2">
      <c r="A2521" t="s">
        <v>285</v>
      </c>
      <c r="B2521" t="s">
        <v>439</v>
      </c>
      <c r="C2521">
        <v>13</v>
      </c>
    </row>
    <row r="2522" spans="1:3" ht="15.75" customHeight="1" x14ac:dyDescent="0.2">
      <c r="A2522" t="s">
        <v>285</v>
      </c>
      <c r="B2522" t="s">
        <v>439</v>
      </c>
      <c r="C2522">
        <v>13</v>
      </c>
    </row>
    <row r="2523" spans="1:3" ht="15.75" customHeight="1" x14ac:dyDescent="0.2">
      <c r="A2523" t="s">
        <v>285</v>
      </c>
      <c r="B2523" t="s">
        <v>439</v>
      </c>
      <c r="C2523">
        <v>13</v>
      </c>
    </row>
    <row r="2524" spans="1:3" ht="15.75" customHeight="1" x14ac:dyDescent="0.2">
      <c r="A2524" t="s">
        <v>285</v>
      </c>
      <c r="B2524" t="s">
        <v>439</v>
      </c>
      <c r="C2524">
        <v>13</v>
      </c>
    </row>
    <row r="2525" spans="1:3" ht="15.75" customHeight="1" x14ac:dyDescent="0.2">
      <c r="A2525" t="s">
        <v>285</v>
      </c>
      <c r="B2525" t="s">
        <v>439</v>
      </c>
      <c r="C2525">
        <v>13</v>
      </c>
    </row>
    <row r="2526" spans="1:3" ht="15.75" customHeight="1" x14ac:dyDescent="0.2">
      <c r="A2526" t="s">
        <v>285</v>
      </c>
      <c r="B2526" t="s">
        <v>439</v>
      </c>
      <c r="C2526">
        <v>13</v>
      </c>
    </row>
    <row r="2527" spans="1:3" ht="15.75" customHeight="1" x14ac:dyDescent="0.2">
      <c r="A2527" t="s">
        <v>285</v>
      </c>
      <c r="B2527" t="s">
        <v>439</v>
      </c>
      <c r="C2527">
        <v>13</v>
      </c>
    </row>
    <row r="2528" spans="1:3" ht="15.75" customHeight="1" x14ac:dyDescent="0.2">
      <c r="A2528" t="s">
        <v>285</v>
      </c>
      <c r="B2528" t="s">
        <v>439</v>
      </c>
      <c r="C2528">
        <v>13</v>
      </c>
    </row>
    <row r="2529" spans="1:3" ht="15.75" customHeight="1" x14ac:dyDescent="0.2">
      <c r="A2529" t="s">
        <v>285</v>
      </c>
      <c r="B2529" t="s">
        <v>439</v>
      </c>
      <c r="C2529">
        <v>13</v>
      </c>
    </row>
    <row r="2530" spans="1:3" ht="15.75" customHeight="1" x14ac:dyDescent="0.2">
      <c r="A2530" t="s">
        <v>285</v>
      </c>
      <c r="B2530" t="s">
        <v>439</v>
      </c>
      <c r="C2530">
        <v>13</v>
      </c>
    </row>
    <row r="2531" spans="1:3" ht="15.75" customHeight="1" x14ac:dyDescent="0.2">
      <c r="A2531" t="s">
        <v>285</v>
      </c>
      <c r="B2531" t="s">
        <v>439</v>
      </c>
      <c r="C2531">
        <v>13</v>
      </c>
    </row>
    <row r="2532" spans="1:3" ht="15.75" customHeight="1" x14ac:dyDescent="0.2">
      <c r="A2532" t="s">
        <v>285</v>
      </c>
      <c r="B2532" t="s">
        <v>439</v>
      </c>
      <c r="C2532">
        <v>13</v>
      </c>
    </row>
    <row r="2533" spans="1:3" ht="15.75" customHeight="1" x14ac:dyDescent="0.2">
      <c r="A2533" t="s">
        <v>285</v>
      </c>
      <c r="B2533" t="s">
        <v>439</v>
      </c>
      <c r="C2533">
        <v>13</v>
      </c>
    </row>
    <row r="2534" spans="1:3" ht="15.75" customHeight="1" x14ac:dyDescent="0.2">
      <c r="A2534" t="s">
        <v>285</v>
      </c>
      <c r="B2534" t="s">
        <v>439</v>
      </c>
      <c r="C2534">
        <v>13</v>
      </c>
    </row>
    <row r="2535" spans="1:3" ht="15.75" customHeight="1" x14ac:dyDescent="0.2">
      <c r="A2535" t="s">
        <v>285</v>
      </c>
      <c r="B2535" t="s">
        <v>439</v>
      </c>
      <c r="C2535">
        <v>13</v>
      </c>
    </row>
    <row r="2536" spans="1:3" ht="15.75" customHeight="1" x14ac:dyDescent="0.2">
      <c r="A2536" t="s">
        <v>285</v>
      </c>
      <c r="B2536" t="s">
        <v>439</v>
      </c>
      <c r="C2536">
        <v>13</v>
      </c>
    </row>
    <row r="2537" spans="1:3" ht="15.75" customHeight="1" x14ac:dyDescent="0.2">
      <c r="A2537" t="s">
        <v>285</v>
      </c>
      <c r="B2537" t="s">
        <v>439</v>
      </c>
      <c r="C2537">
        <v>13</v>
      </c>
    </row>
    <row r="2538" spans="1:3" ht="15.75" customHeight="1" x14ac:dyDescent="0.2">
      <c r="A2538" t="s">
        <v>285</v>
      </c>
      <c r="B2538" t="s">
        <v>439</v>
      </c>
      <c r="C2538">
        <v>13</v>
      </c>
    </row>
    <row r="2539" spans="1:3" ht="15.75" customHeight="1" x14ac:dyDescent="0.2">
      <c r="A2539" t="s">
        <v>285</v>
      </c>
      <c r="B2539" t="s">
        <v>439</v>
      </c>
      <c r="C2539">
        <v>13</v>
      </c>
    </row>
    <row r="2540" spans="1:3" ht="15.75" customHeight="1" x14ac:dyDescent="0.2">
      <c r="A2540" t="s">
        <v>285</v>
      </c>
      <c r="B2540" t="s">
        <v>439</v>
      </c>
      <c r="C2540">
        <v>13</v>
      </c>
    </row>
    <row r="2541" spans="1:3" ht="15.75" customHeight="1" x14ac:dyDescent="0.2">
      <c r="A2541" t="s">
        <v>285</v>
      </c>
      <c r="B2541" t="s">
        <v>439</v>
      </c>
      <c r="C2541">
        <v>13</v>
      </c>
    </row>
    <row r="2542" spans="1:3" ht="15.75" customHeight="1" x14ac:dyDescent="0.2">
      <c r="A2542" t="s">
        <v>285</v>
      </c>
      <c r="B2542" t="s">
        <v>439</v>
      </c>
      <c r="C2542">
        <v>13</v>
      </c>
    </row>
    <row r="2543" spans="1:3" ht="15.75" customHeight="1" x14ac:dyDescent="0.2">
      <c r="A2543" t="s">
        <v>285</v>
      </c>
      <c r="B2543" t="s">
        <v>439</v>
      </c>
      <c r="C2543">
        <v>13</v>
      </c>
    </row>
    <row r="2544" spans="1:3" ht="15.75" customHeight="1" x14ac:dyDescent="0.2">
      <c r="A2544" t="s">
        <v>285</v>
      </c>
      <c r="B2544" t="s">
        <v>439</v>
      </c>
      <c r="C2544">
        <v>13</v>
      </c>
    </row>
    <row r="2545" spans="1:3" ht="15.75" customHeight="1" x14ac:dyDescent="0.2">
      <c r="A2545" t="s">
        <v>285</v>
      </c>
      <c r="B2545" t="s">
        <v>439</v>
      </c>
      <c r="C2545">
        <v>13</v>
      </c>
    </row>
    <row r="2546" spans="1:3" ht="15.75" customHeight="1" x14ac:dyDescent="0.2">
      <c r="A2546" t="s">
        <v>285</v>
      </c>
      <c r="B2546" t="s">
        <v>439</v>
      </c>
      <c r="C2546">
        <v>13</v>
      </c>
    </row>
    <row r="2547" spans="1:3" ht="15.75" customHeight="1" x14ac:dyDescent="0.2">
      <c r="A2547" t="s">
        <v>285</v>
      </c>
      <c r="B2547" t="s">
        <v>439</v>
      </c>
      <c r="C2547">
        <v>13</v>
      </c>
    </row>
    <row r="2548" spans="1:3" ht="15.75" customHeight="1" x14ac:dyDescent="0.2">
      <c r="A2548" t="s">
        <v>285</v>
      </c>
      <c r="B2548" t="s">
        <v>439</v>
      </c>
      <c r="C2548">
        <v>13</v>
      </c>
    </row>
    <row r="2549" spans="1:3" ht="15.75" customHeight="1" x14ac:dyDescent="0.2">
      <c r="A2549" t="s">
        <v>285</v>
      </c>
      <c r="B2549" t="s">
        <v>439</v>
      </c>
      <c r="C2549">
        <v>13</v>
      </c>
    </row>
    <row r="2550" spans="1:3" ht="15.75" customHeight="1" x14ac:dyDescent="0.2">
      <c r="A2550" t="s">
        <v>285</v>
      </c>
      <c r="B2550" t="s">
        <v>439</v>
      </c>
      <c r="C2550">
        <v>13</v>
      </c>
    </row>
    <row r="2551" spans="1:3" ht="15.75" customHeight="1" x14ac:dyDescent="0.2">
      <c r="A2551" t="s">
        <v>285</v>
      </c>
      <c r="B2551" t="s">
        <v>439</v>
      </c>
      <c r="C2551">
        <v>13</v>
      </c>
    </row>
    <row r="2552" spans="1:3" ht="15.75" customHeight="1" x14ac:dyDescent="0.2">
      <c r="A2552" t="s">
        <v>285</v>
      </c>
      <c r="B2552" t="s">
        <v>439</v>
      </c>
      <c r="C2552">
        <v>13</v>
      </c>
    </row>
    <row r="2553" spans="1:3" ht="15.75" customHeight="1" x14ac:dyDescent="0.2">
      <c r="A2553" t="s">
        <v>285</v>
      </c>
      <c r="B2553" t="s">
        <v>439</v>
      </c>
      <c r="C2553">
        <v>13</v>
      </c>
    </row>
    <row r="2554" spans="1:3" ht="15.75" customHeight="1" x14ac:dyDescent="0.2">
      <c r="A2554" t="s">
        <v>285</v>
      </c>
      <c r="B2554" t="s">
        <v>439</v>
      </c>
      <c r="C2554">
        <v>13</v>
      </c>
    </row>
    <row r="2555" spans="1:3" ht="15.75" customHeight="1" x14ac:dyDescent="0.2">
      <c r="A2555" t="s">
        <v>285</v>
      </c>
      <c r="B2555" t="s">
        <v>439</v>
      </c>
      <c r="C2555">
        <v>13</v>
      </c>
    </row>
    <row r="2556" spans="1:3" ht="15.75" customHeight="1" x14ac:dyDescent="0.2">
      <c r="A2556" t="s">
        <v>285</v>
      </c>
      <c r="B2556" t="s">
        <v>439</v>
      </c>
      <c r="C2556">
        <v>13</v>
      </c>
    </row>
    <row r="2557" spans="1:3" ht="15.75" customHeight="1" x14ac:dyDescent="0.2">
      <c r="A2557" t="s">
        <v>285</v>
      </c>
      <c r="B2557" t="s">
        <v>445</v>
      </c>
      <c r="C2557">
        <v>14</v>
      </c>
    </row>
    <row r="2558" spans="1:3" ht="15.75" customHeight="1" x14ac:dyDescent="0.2">
      <c r="A2558" t="s">
        <v>285</v>
      </c>
      <c r="B2558" t="s">
        <v>445</v>
      </c>
      <c r="C2558">
        <v>14</v>
      </c>
    </row>
    <row r="2559" spans="1:3" ht="15.75" customHeight="1" x14ac:dyDescent="0.2">
      <c r="A2559" t="s">
        <v>285</v>
      </c>
      <c r="B2559" t="s">
        <v>445</v>
      </c>
      <c r="C2559">
        <v>14</v>
      </c>
    </row>
    <row r="2560" spans="1:3" ht="15.75" customHeight="1" x14ac:dyDescent="0.2">
      <c r="A2560" t="s">
        <v>285</v>
      </c>
      <c r="B2560" t="s">
        <v>445</v>
      </c>
      <c r="C2560">
        <v>14</v>
      </c>
    </row>
    <row r="2561" spans="1:3" ht="15.75" customHeight="1" x14ac:dyDescent="0.2">
      <c r="A2561" t="s">
        <v>285</v>
      </c>
      <c r="B2561" t="s">
        <v>445</v>
      </c>
      <c r="C2561">
        <v>14</v>
      </c>
    </row>
    <row r="2562" spans="1:3" ht="15.75" customHeight="1" x14ac:dyDescent="0.2">
      <c r="A2562" t="s">
        <v>285</v>
      </c>
      <c r="B2562" t="s">
        <v>445</v>
      </c>
      <c r="C2562">
        <v>14</v>
      </c>
    </row>
    <row r="2563" spans="1:3" ht="15.75" customHeight="1" x14ac:dyDescent="0.2">
      <c r="A2563" t="s">
        <v>285</v>
      </c>
      <c r="B2563" t="s">
        <v>445</v>
      </c>
      <c r="C2563">
        <v>14</v>
      </c>
    </row>
    <row r="2564" spans="1:3" ht="15.75" customHeight="1" x14ac:dyDescent="0.2">
      <c r="A2564" t="s">
        <v>285</v>
      </c>
      <c r="B2564" t="s">
        <v>445</v>
      </c>
      <c r="C2564">
        <v>14</v>
      </c>
    </row>
    <row r="2565" spans="1:3" ht="15.75" customHeight="1" x14ac:dyDescent="0.2">
      <c r="A2565" t="s">
        <v>285</v>
      </c>
      <c r="B2565" t="s">
        <v>445</v>
      </c>
      <c r="C2565">
        <v>14</v>
      </c>
    </row>
    <row r="2566" spans="1:3" ht="15.75" customHeight="1" x14ac:dyDescent="0.2">
      <c r="A2566" t="s">
        <v>285</v>
      </c>
      <c r="B2566" t="s">
        <v>445</v>
      </c>
      <c r="C2566">
        <v>14</v>
      </c>
    </row>
    <row r="2567" spans="1:3" ht="15.75" customHeight="1" x14ac:dyDescent="0.2">
      <c r="A2567" t="s">
        <v>285</v>
      </c>
      <c r="B2567" t="s">
        <v>445</v>
      </c>
      <c r="C2567">
        <v>14</v>
      </c>
    </row>
    <row r="2568" spans="1:3" ht="15.75" customHeight="1" x14ac:dyDescent="0.2">
      <c r="A2568" t="s">
        <v>285</v>
      </c>
      <c r="B2568" t="s">
        <v>445</v>
      </c>
      <c r="C2568">
        <v>14</v>
      </c>
    </row>
    <row r="2569" spans="1:3" ht="15.75" customHeight="1" x14ac:dyDescent="0.2">
      <c r="A2569" t="s">
        <v>285</v>
      </c>
      <c r="B2569" t="s">
        <v>445</v>
      </c>
      <c r="C2569">
        <v>14</v>
      </c>
    </row>
    <row r="2570" spans="1:3" ht="15.75" customHeight="1" x14ac:dyDescent="0.2">
      <c r="A2570" t="s">
        <v>285</v>
      </c>
      <c r="B2570" t="s">
        <v>445</v>
      </c>
      <c r="C2570">
        <v>14</v>
      </c>
    </row>
    <row r="2571" spans="1:3" ht="15.75" customHeight="1" x14ac:dyDescent="0.2">
      <c r="A2571" t="s">
        <v>285</v>
      </c>
      <c r="B2571" t="s">
        <v>445</v>
      </c>
      <c r="C2571">
        <v>14</v>
      </c>
    </row>
    <row r="2572" spans="1:3" ht="15.75" customHeight="1" x14ac:dyDescent="0.2">
      <c r="A2572" t="s">
        <v>285</v>
      </c>
      <c r="B2572" t="s">
        <v>445</v>
      </c>
      <c r="C2572">
        <v>14</v>
      </c>
    </row>
    <row r="2573" spans="1:3" ht="15.75" customHeight="1" x14ac:dyDescent="0.2">
      <c r="A2573" t="s">
        <v>285</v>
      </c>
      <c r="B2573" t="s">
        <v>445</v>
      </c>
      <c r="C2573">
        <v>14</v>
      </c>
    </row>
    <row r="2574" spans="1:3" ht="15.75" customHeight="1" x14ac:dyDescent="0.2">
      <c r="A2574" t="s">
        <v>285</v>
      </c>
      <c r="B2574" t="s">
        <v>445</v>
      </c>
      <c r="C2574">
        <v>14</v>
      </c>
    </row>
    <row r="2575" spans="1:3" ht="15.75" customHeight="1" x14ac:dyDescent="0.2">
      <c r="A2575" t="s">
        <v>285</v>
      </c>
      <c r="B2575" t="s">
        <v>445</v>
      </c>
      <c r="C2575">
        <v>14</v>
      </c>
    </row>
    <row r="2576" spans="1:3" ht="15.75" customHeight="1" x14ac:dyDescent="0.2">
      <c r="A2576" t="s">
        <v>285</v>
      </c>
      <c r="B2576" t="s">
        <v>445</v>
      </c>
      <c r="C2576">
        <v>14</v>
      </c>
    </row>
    <row r="2577" spans="1:3" ht="15.75" customHeight="1" x14ac:dyDescent="0.2">
      <c r="A2577" t="s">
        <v>285</v>
      </c>
      <c r="B2577" t="s">
        <v>445</v>
      </c>
      <c r="C2577">
        <v>14</v>
      </c>
    </row>
    <row r="2578" spans="1:3" ht="15.75" customHeight="1" x14ac:dyDescent="0.2">
      <c r="A2578" t="s">
        <v>285</v>
      </c>
      <c r="B2578" t="s">
        <v>445</v>
      </c>
      <c r="C2578">
        <v>14</v>
      </c>
    </row>
    <row r="2579" spans="1:3" ht="15.75" customHeight="1" x14ac:dyDescent="0.2">
      <c r="A2579" t="s">
        <v>285</v>
      </c>
      <c r="B2579" t="s">
        <v>445</v>
      </c>
      <c r="C2579">
        <v>14</v>
      </c>
    </row>
    <row r="2580" spans="1:3" ht="15.75" customHeight="1" x14ac:dyDescent="0.2">
      <c r="A2580" t="s">
        <v>285</v>
      </c>
      <c r="B2580" t="s">
        <v>445</v>
      </c>
      <c r="C2580">
        <v>14</v>
      </c>
    </row>
    <row r="2581" spans="1:3" ht="15.75" customHeight="1" x14ac:dyDescent="0.2">
      <c r="A2581" t="s">
        <v>285</v>
      </c>
      <c r="B2581" t="s">
        <v>445</v>
      </c>
      <c r="C2581">
        <v>14</v>
      </c>
    </row>
    <row r="2582" spans="1:3" ht="15.75" customHeight="1" x14ac:dyDescent="0.2">
      <c r="A2582" t="s">
        <v>285</v>
      </c>
      <c r="B2582" t="s">
        <v>445</v>
      </c>
      <c r="C2582">
        <v>14</v>
      </c>
    </row>
    <row r="2583" spans="1:3" ht="15.75" customHeight="1" x14ac:dyDescent="0.2">
      <c r="A2583" t="s">
        <v>285</v>
      </c>
      <c r="B2583" t="s">
        <v>445</v>
      </c>
      <c r="C2583">
        <v>14</v>
      </c>
    </row>
    <row r="2584" spans="1:3" ht="15.75" customHeight="1" x14ac:dyDescent="0.2">
      <c r="A2584" t="s">
        <v>285</v>
      </c>
      <c r="B2584" t="s">
        <v>445</v>
      </c>
      <c r="C2584">
        <v>14</v>
      </c>
    </row>
    <row r="2585" spans="1:3" ht="15.75" customHeight="1" x14ac:dyDescent="0.2">
      <c r="A2585" t="s">
        <v>285</v>
      </c>
      <c r="B2585" t="s">
        <v>445</v>
      </c>
      <c r="C2585">
        <v>14</v>
      </c>
    </row>
    <row r="2586" spans="1:3" ht="15.75" customHeight="1" x14ac:dyDescent="0.2">
      <c r="A2586" t="s">
        <v>285</v>
      </c>
      <c r="B2586" t="s">
        <v>445</v>
      </c>
      <c r="C2586">
        <v>14</v>
      </c>
    </row>
    <row r="2587" spans="1:3" ht="15.75" customHeight="1" x14ac:dyDescent="0.2">
      <c r="A2587" t="s">
        <v>285</v>
      </c>
      <c r="B2587" t="s">
        <v>445</v>
      </c>
      <c r="C2587">
        <v>14</v>
      </c>
    </row>
    <row r="2588" spans="1:3" ht="15.75" customHeight="1" x14ac:dyDescent="0.2">
      <c r="A2588" t="s">
        <v>285</v>
      </c>
      <c r="B2588" t="s">
        <v>445</v>
      </c>
      <c r="C2588">
        <v>14</v>
      </c>
    </row>
    <row r="2589" spans="1:3" ht="15.75" customHeight="1" x14ac:dyDescent="0.2">
      <c r="A2589" t="s">
        <v>285</v>
      </c>
      <c r="B2589" t="s">
        <v>445</v>
      </c>
      <c r="C2589">
        <v>14</v>
      </c>
    </row>
    <row r="2590" spans="1:3" ht="15.75" customHeight="1" x14ac:dyDescent="0.2">
      <c r="A2590" t="s">
        <v>285</v>
      </c>
      <c r="B2590" t="s">
        <v>445</v>
      </c>
      <c r="C2590">
        <v>14</v>
      </c>
    </row>
    <row r="2591" spans="1:3" ht="15.75" customHeight="1" x14ac:dyDescent="0.2">
      <c r="A2591" t="s">
        <v>285</v>
      </c>
      <c r="B2591" t="s">
        <v>445</v>
      </c>
      <c r="C2591">
        <v>14</v>
      </c>
    </row>
    <row r="2592" spans="1:3" ht="15.75" customHeight="1" x14ac:dyDescent="0.2">
      <c r="A2592" t="s">
        <v>285</v>
      </c>
      <c r="B2592" t="s">
        <v>445</v>
      </c>
      <c r="C2592">
        <v>14</v>
      </c>
    </row>
    <row r="2593" spans="1:3" ht="15.75" customHeight="1" x14ac:dyDescent="0.2">
      <c r="A2593" t="s">
        <v>285</v>
      </c>
      <c r="B2593" t="s">
        <v>445</v>
      </c>
      <c r="C2593">
        <v>14</v>
      </c>
    </row>
    <row r="2594" spans="1:3" ht="15.75" customHeight="1" x14ac:dyDescent="0.2">
      <c r="A2594" t="s">
        <v>285</v>
      </c>
      <c r="B2594" t="s">
        <v>445</v>
      </c>
      <c r="C2594">
        <v>14</v>
      </c>
    </row>
    <row r="2595" spans="1:3" ht="15.75" customHeight="1" x14ac:dyDescent="0.2">
      <c r="A2595" t="s">
        <v>285</v>
      </c>
      <c r="B2595" t="s">
        <v>445</v>
      </c>
      <c r="C2595">
        <v>14</v>
      </c>
    </row>
    <row r="2596" spans="1:3" ht="15.75" customHeight="1" x14ac:dyDescent="0.2">
      <c r="A2596" t="s">
        <v>285</v>
      </c>
      <c r="B2596" t="s">
        <v>445</v>
      </c>
      <c r="C2596">
        <v>14</v>
      </c>
    </row>
    <row r="2597" spans="1:3" ht="15.75" customHeight="1" x14ac:dyDescent="0.2">
      <c r="A2597" t="s">
        <v>285</v>
      </c>
      <c r="B2597" t="s">
        <v>445</v>
      </c>
      <c r="C2597">
        <v>14</v>
      </c>
    </row>
    <row r="2598" spans="1:3" ht="15.75" customHeight="1" x14ac:dyDescent="0.2">
      <c r="A2598" t="s">
        <v>285</v>
      </c>
      <c r="B2598" t="s">
        <v>445</v>
      </c>
      <c r="C2598">
        <v>14</v>
      </c>
    </row>
    <row r="2599" spans="1:3" ht="15.75" customHeight="1" x14ac:dyDescent="0.2">
      <c r="A2599" t="s">
        <v>285</v>
      </c>
      <c r="B2599" t="s">
        <v>445</v>
      </c>
      <c r="C2599">
        <v>14</v>
      </c>
    </row>
    <row r="2600" spans="1:3" ht="15.75" customHeight="1" x14ac:dyDescent="0.2">
      <c r="A2600" t="s">
        <v>285</v>
      </c>
      <c r="B2600" t="s">
        <v>445</v>
      </c>
      <c r="C2600">
        <v>14</v>
      </c>
    </row>
    <row r="2601" spans="1:3" ht="15.75" customHeight="1" x14ac:dyDescent="0.2">
      <c r="A2601" t="s">
        <v>285</v>
      </c>
      <c r="B2601" t="s">
        <v>445</v>
      </c>
      <c r="C2601">
        <v>14</v>
      </c>
    </row>
    <row r="2602" spans="1:3" ht="15.75" customHeight="1" x14ac:dyDescent="0.2">
      <c r="A2602" t="s">
        <v>285</v>
      </c>
      <c r="B2602" t="s">
        <v>445</v>
      </c>
      <c r="C2602">
        <v>14</v>
      </c>
    </row>
    <row r="2603" spans="1:3" ht="15.75" customHeight="1" x14ac:dyDescent="0.2">
      <c r="A2603" t="s">
        <v>285</v>
      </c>
      <c r="B2603" t="s">
        <v>445</v>
      </c>
      <c r="C2603">
        <v>14</v>
      </c>
    </row>
    <row r="2604" spans="1:3" ht="15.75" customHeight="1" x14ac:dyDescent="0.2">
      <c r="A2604" t="s">
        <v>285</v>
      </c>
      <c r="B2604" t="s">
        <v>445</v>
      </c>
      <c r="C2604">
        <v>14</v>
      </c>
    </row>
    <row r="2605" spans="1:3" ht="15.75" customHeight="1" x14ac:dyDescent="0.2">
      <c r="A2605" t="s">
        <v>285</v>
      </c>
      <c r="B2605" t="s">
        <v>445</v>
      </c>
      <c r="C2605">
        <v>14</v>
      </c>
    </row>
    <row r="2606" spans="1:3" ht="15.75" customHeight="1" x14ac:dyDescent="0.2">
      <c r="A2606" t="s">
        <v>285</v>
      </c>
      <c r="B2606" t="s">
        <v>445</v>
      </c>
      <c r="C2606">
        <v>14</v>
      </c>
    </row>
    <row r="2607" spans="1:3" ht="15.75" customHeight="1" x14ac:dyDescent="0.2">
      <c r="A2607" t="s">
        <v>285</v>
      </c>
      <c r="B2607" t="s">
        <v>445</v>
      </c>
      <c r="C2607">
        <v>14</v>
      </c>
    </row>
    <row r="2608" spans="1:3" ht="15.75" customHeight="1" x14ac:dyDescent="0.2">
      <c r="A2608" t="s">
        <v>285</v>
      </c>
      <c r="B2608" t="s">
        <v>445</v>
      </c>
      <c r="C2608">
        <v>14</v>
      </c>
    </row>
    <row r="2609" spans="1:3" ht="15.75" customHeight="1" x14ac:dyDescent="0.2">
      <c r="A2609" t="s">
        <v>285</v>
      </c>
      <c r="B2609" t="s">
        <v>445</v>
      </c>
      <c r="C2609">
        <v>14</v>
      </c>
    </row>
    <row r="2610" spans="1:3" ht="15.75" customHeight="1" x14ac:dyDescent="0.2">
      <c r="A2610" t="s">
        <v>285</v>
      </c>
      <c r="B2610" t="s">
        <v>445</v>
      </c>
      <c r="C2610">
        <v>14</v>
      </c>
    </row>
    <row r="2611" spans="1:3" ht="15.75" customHeight="1" x14ac:dyDescent="0.2">
      <c r="A2611" t="s">
        <v>285</v>
      </c>
      <c r="B2611" t="s">
        <v>445</v>
      </c>
      <c r="C2611">
        <v>14</v>
      </c>
    </row>
    <row r="2612" spans="1:3" ht="15.75" customHeight="1" x14ac:dyDescent="0.2">
      <c r="A2612" t="s">
        <v>285</v>
      </c>
      <c r="B2612" t="s">
        <v>445</v>
      </c>
      <c r="C2612">
        <v>14</v>
      </c>
    </row>
    <row r="2613" spans="1:3" ht="15.75" customHeight="1" x14ac:dyDescent="0.2">
      <c r="A2613" t="s">
        <v>285</v>
      </c>
      <c r="B2613" t="s">
        <v>445</v>
      </c>
      <c r="C2613">
        <v>14</v>
      </c>
    </row>
    <row r="2614" spans="1:3" ht="15.75" customHeight="1" x14ac:dyDescent="0.2">
      <c r="A2614" t="s">
        <v>285</v>
      </c>
      <c r="B2614" t="s">
        <v>445</v>
      </c>
      <c r="C2614">
        <v>14</v>
      </c>
    </row>
    <row r="2615" spans="1:3" ht="15.75" customHeight="1" x14ac:dyDescent="0.2">
      <c r="A2615" t="s">
        <v>285</v>
      </c>
      <c r="B2615" t="s">
        <v>445</v>
      </c>
      <c r="C2615">
        <v>14</v>
      </c>
    </row>
    <row r="2616" spans="1:3" ht="15.75" customHeight="1" x14ac:dyDescent="0.2">
      <c r="A2616" t="s">
        <v>285</v>
      </c>
      <c r="B2616" t="s">
        <v>445</v>
      </c>
      <c r="C2616">
        <v>14</v>
      </c>
    </row>
    <row r="2617" spans="1:3" ht="15.75" customHeight="1" x14ac:dyDescent="0.2">
      <c r="A2617" t="s">
        <v>285</v>
      </c>
      <c r="B2617" t="s">
        <v>445</v>
      </c>
      <c r="C2617">
        <v>14</v>
      </c>
    </row>
    <row r="2618" spans="1:3" ht="15.75" customHeight="1" x14ac:dyDescent="0.2">
      <c r="A2618" t="s">
        <v>285</v>
      </c>
      <c r="B2618" t="s">
        <v>445</v>
      </c>
      <c r="C2618">
        <v>14</v>
      </c>
    </row>
    <row r="2619" spans="1:3" ht="15.75" customHeight="1" x14ac:dyDescent="0.2">
      <c r="A2619" t="s">
        <v>285</v>
      </c>
      <c r="B2619" t="s">
        <v>445</v>
      </c>
      <c r="C2619">
        <v>14</v>
      </c>
    </row>
    <row r="2620" spans="1:3" ht="15.75" customHeight="1" x14ac:dyDescent="0.2">
      <c r="A2620" t="s">
        <v>285</v>
      </c>
      <c r="B2620" t="s">
        <v>445</v>
      </c>
      <c r="C2620">
        <v>14</v>
      </c>
    </row>
    <row r="2621" spans="1:3" ht="15.75" customHeight="1" x14ac:dyDescent="0.2">
      <c r="A2621" t="s">
        <v>285</v>
      </c>
      <c r="B2621" t="s">
        <v>445</v>
      </c>
      <c r="C2621">
        <v>14</v>
      </c>
    </row>
    <row r="2622" spans="1:3" ht="15.75" customHeight="1" x14ac:dyDescent="0.2">
      <c r="A2622" t="s">
        <v>285</v>
      </c>
      <c r="B2622" t="s">
        <v>445</v>
      </c>
      <c r="C2622">
        <v>14</v>
      </c>
    </row>
    <row r="2623" spans="1:3" ht="15.75" customHeight="1" x14ac:dyDescent="0.2">
      <c r="A2623" t="s">
        <v>285</v>
      </c>
      <c r="B2623" t="s">
        <v>445</v>
      </c>
      <c r="C2623">
        <v>14</v>
      </c>
    </row>
    <row r="2624" spans="1:3" ht="15.75" customHeight="1" x14ac:dyDescent="0.2">
      <c r="A2624" t="s">
        <v>285</v>
      </c>
      <c r="B2624" t="s">
        <v>445</v>
      </c>
      <c r="C2624">
        <v>14</v>
      </c>
    </row>
    <row r="2625" spans="1:3" ht="15.75" customHeight="1" x14ac:dyDescent="0.2">
      <c r="A2625" t="s">
        <v>285</v>
      </c>
      <c r="B2625" t="s">
        <v>445</v>
      </c>
      <c r="C2625">
        <v>14</v>
      </c>
    </row>
    <row r="2626" spans="1:3" ht="15.75" customHeight="1" x14ac:dyDescent="0.2">
      <c r="A2626" t="s">
        <v>285</v>
      </c>
      <c r="B2626" t="s">
        <v>445</v>
      </c>
      <c r="C2626">
        <v>14</v>
      </c>
    </row>
    <row r="2627" spans="1:3" ht="15.75" customHeight="1" x14ac:dyDescent="0.2">
      <c r="A2627" t="s">
        <v>285</v>
      </c>
      <c r="B2627" t="s">
        <v>445</v>
      </c>
      <c r="C2627">
        <v>14</v>
      </c>
    </row>
    <row r="2628" spans="1:3" ht="15.75" customHeight="1" x14ac:dyDescent="0.2">
      <c r="A2628" t="s">
        <v>285</v>
      </c>
      <c r="B2628" t="s">
        <v>445</v>
      </c>
      <c r="C2628">
        <v>14</v>
      </c>
    </row>
    <row r="2629" spans="1:3" ht="15.75" customHeight="1" x14ac:dyDescent="0.2">
      <c r="A2629" t="s">
        <v>285</v>
      </c>
      <c r="B2629" t="s">
        <v>445</v>
      </c>
      <c r="C2629">
        <v>14</v>
      </c>
    </row>
    <row r="2630" spans="1:3" ht="15.75" customHeight="1" x14ac:dyDescent="0.2">
      <c r="A2630" t="s">
        <v>285</v>
      </c>
      <c r="B2630" t="s">
        <v>445</v>
      </c>
      <c r="C2630">
        <v>14</v>
      </c>
    </row>
    <row r="2631" spans="1:3" ht="15.75" customHeight="1" x14ac:dyDescent="0.2">
      <c r="A2631" t="s">
        <v>285</v>
      </c>
      <c r="B2631" t="s">
        <v>445</v>
      </c>
      <c r="C2631">
        <v>14</v>
      </c>
    </row>
    <row r="2632" spans="1:3" ht="15.75" customHeight="1" x14ac:dyDescent="0.2">
      <c r="A2632" t="s">
        <v>285</v>
      </c>
      <c r="B2632" t="s">
        <v>445</v>
      </c>
      <c r="C2632">
        <v>14</v>
      </c>
    </row>
    <row r="2633" spans="1:3" ht="15.75" customHeight="1" x14ac:dyDescent="0.2">
      <c r="A2633" t="s">
        <v>285</v>
      </c>
      <c r="B2633" t="s">
        <v>445</v>
      </c>
      <c r="C2633">
        <v>14</v>
      </c>
    </row>
    <row r="2634" spans="1:3" ht="15.75" customHeight="1" x14ac:dyDescent="0.2">
      <c r="A2634" t="s">
        <v>285</v>
      </c>
      <c r="B2634" t="s">
        <v>445</v>
      </c>
      <c r="C2634">
        <v>14</v>
      </c>
    </row>
    <row r="2635" spans="1:3" ht="15.75" customHeight="1" x14ac:dyDescent="0.2">
      <c r="A2635" t="s">
        <v>285</v>
      </c>
      <c r="B2635" t="s">
        <v>445</v>
      </c>
      <c r="C2635">
        <v>14</v>
      </c>
    </row>
    <row r="2636" spans="1:3" ht="15.75" customHeight="1" x14ac:dyDescent="0.2">
      <c r="A2636" t="s">
        <v>285</v>
      </c>
      <c r="B2636" t="s">
        <v>445</v>
      </c>
      <c r="C2636">
        <v>14</v>
      </c>
    </row>
    <row r="2637" spans="1:3" ht="15.75" customHeight="1" x14ac:dyDescent="0.2">
      <c r="A2637" t="s">
        <v>285</v>
      </c>
      <c r="B2637" t="s">
        <v>445</v>
      </c>
      <c r="C2637">
        <v>14</v>
      </c>
    </row>
    <row r="2638" spans="1:3" ht="15.75" customHeight="1" x14ac:dyDescent="0.2">
      <c r="A2638" t="s">
        <v>285</v>
      </c>
      <c r="B2638" t="s">
        <v>445</v>
      </c>
      <c r="C2638">
        <v>14</v>
      </c>
    </row>
    <row r="2639" spans="1:3" ht="15.75" customHeight="1" x14ac:dyDescent="0.2">
      <c r="A2639" t="s">
        <v>285</v>
      </c>
      <c r="B2639" t="s">
        <v>445</v>
      </c>
      <c r="C2639">
        <v>14</v>
      </c>
    </row>
    <row r="2640" spans="1:3" ht="15.75" customHeight="1" x14ac:dyDescent="0.2">
      <c r="A2640" t="s">
        <v>285</v>
      </c>
      <c r="B2640" t="s">
        <v>445</v>
      </c>
      <c r="C2640">
        <v>14</v>
      </c>
    </row>
    <row r="2641" spans="1:3" ht="15.75" customHeight="1" x14ac:dyDescent="0.2">
      <c r="A2641" t="s">
        <v>285</v>
      </c>
      <c r="B2641" t="s">
        <v>445</v>
      </c>
      <c r="C2641">
        <v>14</v>
      </c>
    </row>
    <row r="2642" spans="1:3" ht="15.75" customHeight="1" x14ac:dyDescent="0.2">
      <c r="A2642" t="s">
        <v>285</v>
      </c>
      <c r="B2642" t="s">
        <v>445</v>
      </c>
      <c r="C2642">
        <v>14</v>
      </c>
    </row>
    <row r="2643" spans="1:3" ht="15.75" customHeight="1" x14ac:dyDescent="0.2">
      <c r="A2643" t="s">
        <v>285</v>
      </c>
      <c r="B2643" t="s">
        <v>445</v>
      </c>
      <c r="C2643">
        <v>14</v>
      </c>
    </row>
    <row r="2644" spans="1:3" ht="15.75" customHeight="1" x14ac:dyDescent="0.2">
      <c r="A2644" t="s">
        <v>285</v>
      </c>
      <c r="B2644" t="s">
        <v>445</v>
      </c>
      <c r="C2644">
        <v>14</v>
      </c>
    </row>
    <row r="2645" spans="1:3" ht="15.75" customHeight="1" x14ac:dyDescent="0.2">
      <c r="A2645" t="s">
        <v>285</v>
      </c>
      <c r="B2645" t="s">
        <v>445</v>
      </c>
      <c r="C2645">
        <v>14</v>
      </c>
    </row>
    <row r="2646" spans="1:3" ht="15.75" customHeight="1" x14ac:dyDescent="0.2">
      <c r="A2646" t="s">
        <v>285</v>
      </c>
      <c r="B2646" t="s">
        <v>445</v>
      </c>
      <c r="C2646">
        <v>14</v>
      </c>
    </row>
    <row r="2647" spans="1:3" ht="15.75" customHeight="1" x14ac:dyDescent="0.2">
      <c r="A2647" t="s">
        <v>285</v>
      </c>
      <c r="B2647" t="s">
        <v>445</v>
      </c>
      <c r="C2647">
        <v>14</v>
      </c>
    </row>
    <row r="2648" spans="1:3" ht="15.75" customHeight="1" x14ac:dyDescent="0.2">
      <c r="A2648" t="s">
        <v>285</v>
      </c>
      <c r="B2648" t="s">
        <v>445</v>
      </c>
      <c r="C2648">
        <v>14</v>
      </c>
    </row>
    <row r="2649" spans="1:3" ht="15.75" customHeight="1" x14ac:dyDescent="0.2">
      <c r="A2649" t="s">
        <v>285</v>
      </c>
      <c r="B2649" t="s">
        <v>445</v>
      </c>
      <c r="C2649">
        <v>14</v>
      </c>
    </row>
    <row r="2650" spans="1:3" ht="15.75" customHeight="1" x14ac:dyDescent="0.2">
      <c r="A2650" t="s">
        <v>285</v>
      </c>
      <c r="B2650" t="s">
        <v>445</v>
      </c>
      <c r="C2650">
        <v>14</v>
      </c>
    </row>
    <row r="2651" spans="1:3" ht="15.75" customHeight="1" x14ac:dyDescent="0.2">
      <c r="A2651" t="s">
        <v>285</v>
      </c>
      <c r="B2651" t="s">
        <v>445</v>
      </c>
      <c r="C2651">
        <v>14</v>
      </c>
    </row>
    <row r="2652" spans="1:3" ht="15.75" customHeight="1" x14ac:dyDescent="0.2">
      <c r="A2652" t="s">
        <v>285</v>
      </c>
      <c r="B2652" t="s">
        <v>445</v>
      </c>
      <c r="C2652">
        <v>14</v>
      </c>
    </row>
    <row r="2653" spans="1:3" ht="15.75" customHeight="1" x14ac:dyDescent="0.2">
      <c r="A2653" t="s">
        <v>285</v>
      </c>
      <c r="B2653" t="s">
        <v>445</v>
      </c>
      <c r="C2653">
        <v>14</v>
      </c>
    </row>
    <row r="2654" spans="1:3" ht="15.75" customHeight="1" x14ac:dyDescent="0.2">
      <c r="A2654" t="s">
        <v>285</v>
      </c>
      <c r="B2654" t="s">
        <v>445</v>
      </c>
      <c r="C2654">
        <v>14</v>
      </c>
    </row>
    <row r="2655" spans="1:3" ht="15.75" customHeight="1" x14ac:dyDescent="0.2">
      <c r="A2655" t="s">
        <v>285</v>
      </c>
      <c r="B2655" t="s">
        <v>445</v>
      </c>
      <c r="C2655">
        <v>14</v>
      </c>
    </row>
    <row r="2656" spans="1:3" ht="15.75" customHeight="1" x14ac:dyDescent="0.2">
      <c r="A2656" t="s">
        <v>285</v>
      </c>
      <c r="B2656" t="s">
        <v>445</v>
      </c>
      <c r="C2656">
        <v>14</v>
      </c>
    </row>
    <row r="2657" spans="1:3" ht="15.75" customHeight="1" x14ac:dyDescent="0.2">
      <c r="A2657" t="s">
        <v>285</v>
      </c>
      <c r="B2657" t="s">
        <v>445</v>
      </c>
      <c r="C2657">
        <v>14</v>
      </c>
    </row>
    <row r="2658" spans="1:3" ht="15.75" customHeight="1" x14ac:dyDescent="0.2">
      <c r="A2658" t="s">
        <v>285</v>
      </c>
      <c r="B2658" t="s">
        <v>445</v>
      </c>
      <c r="C2658">
        <v>14</v>
      </c>
    </row>
    <row r="2659" spans="1:3" ht="15.75" customHeight="1" x14ac:dyDescent="0.2">
      <c r="A2659" t="s">
        <v>285</v>
      </c>
      <c r="B2659" t="s">
        <v>445</v>
      </c>
      <c r="C2659">
        <v>14</v>
      </c>
    </row>
    <row r="2660" spans="1:3" ht="15.75" customHeight="1" x14ac:dyDescent="0.2">
      <c r="A2660" t="s">
        <v>285</v>
      </c>
      <c r="B2660" t="s">
        <v>445</v>
      </c>
      <c r="C2660">
        <v>14</v>
      </c>
    </row>
    <row r="2661" spans="1:3" ht="15.75" customHeight="1" x14ac:dyDescent="0.2">
      <c r="A2661" t="s">
        <v>285</v>
      </c>
      <c r="B2661" t="s">
        <v>445</v>
      </c>
      <c r="C2661">
        <v>14</v>
      </c>
    </row>
    <row r="2662" spans="1:3" ht="15.75" customHeight="1" x14ac:dyDescent="0.2">
      <c r="A2662" t="s">
        <v>285</v>
      </c>
      <c r="B2662" t="s">
        <v>445</v>
      </c>
      <c r="C2662">
        <v>14</v>
      </c>
    </row>
    <row r="2663" spans="1:3" ht="15.75" customHeight="1" x14ac:dyDescent="0.2">
      <c r="A2663" t="s">
        <v>285</v>
      </c>
      <c r="B2663" t="s">
        <v>445</v>
      </c>
      <c r="C2663">
        <v>14</v>
      </c>
    </row>
    <row r="2664" spans="1:3" ht="15.75" customHeight="1" x14ac:dyDescent="0.2">
      <c r="A2664" t="s">
        <v>285</v>
      </c>
      <c r="B2664" t="s">
        <v>445</v>
      </c>
      <c r="C2664">
        <v>14</v>
      </c>
    </row>
    <row r="2665" spans="1:3" ht="15.75" customHeight="1" x14ac:dyDescent="0.2">
      <c r="A2665" t="s">
        <v>285</v>
      </c>
      <c r="B2665" t="s">
        <v>445</v>
      </c>
      <c r="C2665">
        <v>14</v>
      </c>
    </row>
    <row r="2666" spans="1:3" ht="15.75" customHeight="1" x14ac:dyDescent="0.2">
      <c r="A2666" t="s">
        <v>285</v>
      </c>
      <c r="B2666" t="s">
        <v>445</v>
      </c>
      <c r="C2666">
        <v>14</v>
      </c>
    </row>
    <row r="2667" spans="1:3" ht="15.75" customHeight="1" x14ac:dyDescent="0.2">
      <c r="A2667" t="s">
        <v>285</v>
      </c>
      <c r="B2667" t="s">
        <v>445</v>
      </c>
      <c r="C2667">
        <v>14</v>
      </c>
    </row>
    <row r="2668" spans="1:3" ht="15.75" customHeight="1" x14ac:dyDescent="0.2">
      <c r="A2668" t="s">
        <v>285</v>
      </c>
      <c r="B2668" t="s">
        <v>445</v>
      </c>
      <c r="C2668">
        <v>14</v>
      </c>
    </row>
    <row r="2669" spans="1:3" ht="15.75" customHeight="1" x14ac:dyDescent="0.2">
      <c r="A2669" t="s">
        <v>285</v>
      </c>
      <c r="B2669" t="s">
        <v>445</v>
      </c>
      <c r="C2669">
        <v>14</v>
      </c>
    </row>
    <row r="2670" spans="1:3" ht="15.75" customHeight="1" x14ac:dyDescent="0.2">
      <c r="A2670" t="s">
        <v>285</v>
      </c>
      <c r="B2670" t="s">
        <v>445</v>
      </c>
      <c r="C2670">
        <v>14</v>
      </c>
    </row>
    <row r="2671" spans="1:3" ht="15.75" customHeight="1" x14ac:dyDescent="0.2">
      <c r="A2671" t="s">
        <v>285</v>
      </c>
      <c r="B2671" t="s">
        <v>445</v>
      </c>
      <c r="C2671">
        <v>14</v>
      </c>
    </row>
    <row r="2672" spans="1:3" ht="15.75" customHeight="1" x14ac:dyDescent="0.2">
      <c r="A2672" t="s">
        <v>285</v>
      </c>
      <c r="B2672" t="s">
        <v>445</v>
      </c>
      <c r="C2672">
        <v>14</v>
      </c>
    </row>
    <row r="2673" spans="1:3" ht="15.75" customHeight="1" x14ac:dyDescent="0.2">
      <c r="A2673" t="s">
        <v>285</v>
      </c>
      <c r="B2673" t="s">
        <v>445</v>
      </c>
      <c r="C2673">
        <v>14</v>
      </c>
    </row>
    <row r="2674" spans="1:3" ht="15.75" customHeight="1" x14ac:dyDescent="0.2">
      <c r="A2674" t="s">
        <v>285</v>
      </c>
      <c r="B2674" t="s">
        <v>445</v>
      </c>
      <c r="C2674">
        <v>14</v>
      </c>
    </row>
    <row r="2675" spans="1:3" ht="15.75" customHeight="1" x14ac:dyDescent="0.2">
      <c r="A2675" t="s">
        <v>285</v>
      </c>
      <c r="B2675" t="s">
        <v>445</v>
      </c>
      <c r="C2675">
        <v>14</v>
      </c>
    </row>
    <row r="2676" spans="1:3" ht="15.75" customHeight="1" x14ac:dyDescent="0.2">
      <c r="A2676" t="s">
        <v>285</v>
      </c>
      <c r="B2676" t="s">
        <v>445</v>
      </c>
      <c r="C2676">
        <v>14</v>
      </c>
    </row>
    <row r="2677" spans="1:3" ht="15.75" customHeight="1" x14ac:dyDescent="0.2">
      <c r="A2677" t="s">
        <v>285</v>
      </c>
      <c r="B2677" t="s">
        <v>445</v>
      </c>
      <c r="C2677">
        <v>14</v>
      </c>
    </row>
    <row r="2678" spans="1:3" ht="15.75" customHeight="1" x14ac:dyDescent="0.2">
      <c r="A2678" t="s">
        <v>285</v>
      </c>
      <c r="B2678" t="s">
        <v>445</v>
      </c>
      <c r="C2678">
        <v>14</v>
      </c>
    </row>
    <row r="2679" spans="1:3" ht="15.75" customHeight="1" x14ac:dyDescent="0.2">
      <c r="A2679" t="s">
        <v>285</v>
      </c>
      <c r="B2679" t="s">
        <v>445</v>
      </c>
      <c r="C2679">
        <v>14</v>
      </c>
    </row>
    <row r="2680" spans="1:3" ht="15.75" customHeight="1" x14ac:dyDescent="0.2">
      <c r="A2680" t="s">
        <v>285</v>
      </c>
      <c r="B2680" t="s">
        <v>445</v>
      </c>
      <c r="C2680">
        <v>14</v>
      </c>
    </row>
    <row r="2681" spans="1:3" ht="15.75" customHeight="1" x14ac:dyDescent="0.2">
      <c r="A2681" t="s">
        <v>285</v>
      </c>
      <c r="B2681" t="s">
        <v>445</v>
      </c>
      <c r="C2681">
        <v>14</v>
      </c>
    </row>
    <row r="2682" spans="1:3" ht="15.75" customHeight="1" x14ac:dyDescent="0.2">
      <c r="A2682" t="s">
        <v>285</v>
      </c>
      <c r="B2682" t="s">
        <v>445</v>
      </c>
      <c r="C2682">
        <v>14</v>
      </c>
    </row>
    <row r="2683" spans="1:3" ht="15.75" customHeight="1" x14ac:dyDescent="0.2">
      <c r="A2683" t="s">
        <v>285</v>
      </c>
      <c r="B2683" t="s">
        <v>445</v>
      </c>
      <c r="C2683">
        <v>14</v>
      </c>
    </row>
    <row r="2684" spans="1:3" ht="15.75" customHeight="1" x14ac:dyDescent="0.2">
      <c r="A2684" t="s">
        <v>285</v>
      </c>
      <c r="B2684" t="s">
        <v>445</v>
      </c>
      <c r="C2684">
        <v>14</v>
      </c>
    </row>
    <row r="2685" spans="1:3" ht="15.75" customHeight="1" x14ac:dyDescent="0.2">
      <c r="A2685" t="s">
        <v>285</v>
      </c>
      <c r="B2685" t="s">
        <v>445</v>
      </c>
      <c r="C2685">
        <v>14</v>
      </c>
    </row>
    <row r="2686" spans="1:3" ht="15.75" customHeight="1" x14ac:dyDescent="0.2">
      <c r="A2686" t="s">
        <v>285</v>
      </c>
      <c r="B2686" t="s">
        <v>445</v>
      </c>
      <c r="C2686">
        <v>14</v>
      </c>
    </row>
    <row r="2687" spans="1:3" ht="15.75" customHeight="1" x14ac:dyDescent="0.2">
      <c r="A2687" t="s">
        <v>285</v>
      </c>
      <c r="B2687" t="s">
        <v>445</v>
      </c>
      <c r="C2687">
        <v>14</v>
      </c>
    </row>
    <row r="2688" spans="1:3" ht="15.75" customHeight="1" x14ac:dyDescent="0.2">
      <c r="A2688" t="s">
        <v>285</v>
      </c>
      <c r="B2688" t="s">
        <v>445</v>
      </c>
      <c r="C2688">
        <v>14</v>
      </c>
    </row>
    <row r="2689" spans="1:3" ht="15.75" customHeight="1" x14ac:dyDescent="0.2">
      <c r="A2689" t="s">
        <v>285</v>
      </c>
      <c r="B2689" t="s">
        <v>445</v>
      </c>
      <c r="C2689">
        <v>14</v>
      </c>
    </row>
    <row r="2690" spans="1:3" ht="15.75" customHeight="1" x14ac:dyDescent="0.2">
      <c r="A2690" t="s">
        <v>285</v>
      </c>
      <c r="B2690" t="s">
        <v>445</v>
      </c>
      <c r="C2690">
        <v>14</v>
      </c>
    </row>
    <row r="2691" spans="1:3" ht="15.75" customHeight="1" x14ac:dyDescent="0.2">
      <c r="A2691" t="s">
        <v>285</v>
      </c>
      <c r="B2691" t="s">
        <v>445</v>
      </c>
      <c r="C2691">
        <v>14</v>
      </c>
    </row>
    <row r="2692" spans="1:3" ht="15.75" customHeight="1" x14ac:dyDescent="0.2">
      <c r="A2692" t="s">
        <v>285</v>
      </c>
      <c r="B2692" t="s">
        <v>445</v>
      </c>
      <c r="C2692">
        <v>14</v>
      </c>
    </row>
    <row r="2693" spans="1:3" ht="15.75" customHeight="1" x14ac:dyDescent="0.2">
      <c r="A2693" t="s">
        <v>285</v>
      </c>
      <c r="B2693" t="s">
        <v>445</v>
      </c>
      <c r="C2693">
        <v>14</v>
      </c>
    </row>
    <row r="2694" spans="1:3" ht="15.75" customHeight="1" x14ac:dyDescent="0.2">
      <c r="A2694" t="s">
        <v>285</v>
      </c>
      <c r="B2694" t="s">
        <v>445</v>
      </c>
      <c r="C2694">
        <v>14</v>
      </c>
    </row>
    <row r="2695" spans="1:3" ht="15.75" customHeight="1" x14ac:dyDescent="0.2">
      <c r="A2695" t="s">
        <v>285</v>
      </c>
      <c r="B2695" t="s">
        <v>445</v>
      </c>
      <c r="C2695">
        <v>14</v>
      </c>
    </row>
    <row r="2696" spans="1:3" ht="15.75" customHeight="1" x14ac:dyDescent="0.2">
      <c r="A2696" t="s">
        <v>285</v>
      </c>
      <c r="B2696" t="s">
        <v>445</v>
      </c>
      <c r="C2696">
        <v>14</v>
      </c>
    </row>
    <row r="2697" spans="1:3" ht="15.75" customHeight="1" x14ac:dyDescent="0.2">
      <c r="A2697" t="s">
        <v>285</v>
      </c>
      <c r="B2697" t="s">
        <v>445</v>
      </c>
      <c r="C2697">
        <v>14</v>
      </c>
    </row>
    <row r="2698" spans="1:3" ht="15.75" customHeight="1" x14ac:dyDescent="0.2">
      <c r="A2698" t="s">
        <v>285</v>
      </c>
      <c r="B2698" t="s">
        <v>445</v>
      </c>
      <c r="C2698">
        <v>14</v>
      </c>
    </row>
    <row r="2699" spans="1:3" ht="15.75" customHeight="1" x14ac:dyDescent="0.2">
      <c r="A2699" t="s">
        <v>285</v>
      </c>
      <c r="B2699" t="s">
        <v>445</v>
      </c>
      <c r="C2699">
        <v>14</v>
      </c>
    </row>
    <row r="2700" spans="1:3" ht="15.75" customHeight="1" x14ac:dyDescent="0.2">
      <c r="A2700" t="s">
        <v>285</v>
      </c>
      <c r="B2700" t="s">
        <v>445</v>
      </c>
      <c r="C2700">
        <v>14</v>
      </c>
    </row>
    <row r="2701" spans="1:3" ht="15.75" customHeight="1" x14ac:dyDescent="0.2">
      <c r="A2701" t="s">
        <v>285</v>
      </c>
      <c r="B2701" t="s">
        <v>445</v>
      </c>
      <c r="C2701">
        <v>14</v>
      </c>
    </row>
    <row r="2702" spans="1:3" ht="15.75" customHeight="1" x14ac:dyDescent="0.2">
      <c r="A2702" t="s">
        <v>285</v>
      </c>
      <c r="B2702" t="s">
        <v>445</v>
      </c>
      <c r="C2702">
        <v>14</v>
      </c>
    </row>
    <row r="2703" spans="1:3" ht="15.75" customHeight="1" x14ac:dyDescent="0.2">
      <c r="A2703" t="s">
        <v>285</v>
      </c>
      <c r="B2703" t="s">
        <v>445</v>
      </c>
      <c r="C2703">
        <v>14</v>
      </c>
    </row>
    <row r="2704" spans="1:3" ht="15.75" customHeight="1" x14ac:dyDescent="0.2">
      <c r="A2704" t="s">
        <v>285</v>
      </c>
      <c r="B2704" t="s">
        <v>445</v>
      </c>
      <c r="C2704">
        <v>14</v>
      </c>
    </row>
    <row r="2705" spans="1:3" ht="15.75" customHeight="1" x14ac:dyDescent="0.2">
      <c r="A2705" t="s">
        <v>285</v>
      </c>
      <c r="B2705" t="s">
        <v>445</v>
      </c>
      <c r="C2705">
        <v>14</v>
      </c>
    </row>
    <row r="2706" spans="1:3" ht="15.75" customHeight="1" x14ac:dyDescent="0.2">
      <c r="A2706" t="s">
        <v>285</v>
      </c>
      <c r="B2706" t="s">
        <v>445</v>
      </c>
      <c r="C2706">
        <v>14</v>
      </c>
    </row>
    <row r="2707" spans="1:3" ht="15.75" customHeight="1" x14ac:dyDescent="0.2">
      <c r="A2707" t="s">
        <v>285</v>
      </c>
      <c r="B2707" t="s">
        <v>445</v>
      </c>
      <c r="C2707">
        <v>14</v>
      </c>
    </row>
    <row r="2708" spans="1:3" ht="15.75" customHeight="1" x14ac:dyDescent="0.2">
      <c r="A2708" t="s">
        <v>285</v>
      </c>
      <c r="B2708" t="s">
        <v>445</v>
      </c>
      <c r="C2708">
        <v>14</v>
      </c>
    </row>
    <row r="2709" spans="1:3" ht="15.75" customHeight="1" x14ac:dyDescent="0.2">
      <c r="A2709" t="s">
        <v>285</v>
      </c>
      <c r="B2709" t="s">
        <v>445</v>
      </c>
      <c r="C2709">
        <v>14</v>
      </c>
    </row>
    <row r="2710" spans="1:3" ht="15.75" customHeight="1" x14ac:dyDescent="0.2">
      <c r="A2710" t="s">
        <v>285</v>
      </c>
      <c r="B2710" t="s">
        <v>445</v>
      </c>
      <c r="C2710">
        <v>14</v>
      </c>
    </row>
    <row r="2711" spans="1:3" ht="15.75" customHeight="1" x14ac:dyDescent="0.2">
      <c r="A2711" t="s">
        <v>285</v>
      </c>
      <c r="B2711" t="s">
        <v>445</v>
      </c>
      <c r="C2711">
        <v>14</v>
      </c>
    </row>
    <row r="2712" spans="1:3" ht="15.75" customHeight="1" x14ac:dyDescent="0.2">
      <c r="A2712" t="s">
        <v>285</v>
      </c>
      <c r="B2712" t="s">
        <v>445</v>
      </c>
      <c r="C2712">
        <v>14</v>
      </c>
    </row>
    <row r="2713" spans="1:3" ht="15.75" customHeight="1" x14ac:dyDescent="0.2">
      <c r="A2713" t="s">
        <v>285</v>
      </c>
      <c r="B2713" t="s">
        <v>445</v>
      </c>
      <c r="C2713">
        <v>14</v>
      </c>
    </row>
    <row r="2714" spans="1:3" ht="15.75" customHeight="1" x14ac:dyDescent="0.2">
      <c r="A2714" t="s">
        <v>285</v>
      </c>
      <c r="B2714" t="s">
        <v>445</v>
      </c>
      <c r="C2714">
        <v>14</v>
      </c>
    </row>
    <row r="2715" spans="1:3" ht="15.75" customHeight="1" x14ac:dyDescent="0.2">
      <c r="A2715" t="s">
        <v>285</v>
      </c>
      <c r="B2715" t="s">
        <v>445</v>
      </c>
      <c r="C2715">
        <v>14</v>
      </c>
    </row>
    <row r="2716" spans="1:3" ht="15.75" customHeight="1" x14ac:dyDescent="0.2">
      <c r="A2716" t="s">
        <v>285</v>
      </c>
      <c r="B2716" t="s">
        <v>445</v>
      </c>
      <c r="C2716">
        <v>14</v>
      </c>
    </row>
    <row r="2717" spans="1:3" ht="15.75" customHeight="1" x14ac:dyDescent="0.2">
      <c r="A2717" t="s">
        <v>285</v>
      </c>
      <c r="B2717" t="s">
        <v>445</v>
      </c>
      <c r="C2717">
        <v>14</v>
      </c>
    </row>
    <row r="2718" spans="1:3" ht="15.75" customHeight="1" x14ac:dyDescent="0.2">
      <c r="A2718" t="s">
        <v>285</v>
      </c>
      <c r="B2718" t="s">
        <v>445</v>
      </c>
      <c r="C2718">
        <v>14</v>
      </c>
    </row>
    <row r="2719" spans="1:3" ht="15.75" customHeight="1" x14ac:dyDescent="0.2">
      <c r="A2719" t="s">
        <v>285</v>
      </c>
      <c r="B2719" t="s">
        <v>445</v>
      </c>
      <c r="C2719">
        <v>14</v>
      </c>
    </row>
    <row r="2720" spans="1:3" ht="15.75" customHeight="1" x14ac:dyDescent="0.2">
      <c r="A2720" t="s">
        <v>285</v>
      </c>
      <c r="B2720" t="s">
        <v>445</v>
      </c>
      <c r="C2720">
        <v>14</v>
      </c>
    </row>
    <row r="2721" spans="1:3" ht="15.75" customHeight="1" x14ac:dyDescent="0.2">
      <c r="A2721" t="s">
        <v>285</v>
      </c>
      <c r="B2721" t="s">
        <v>445</v>
      </c>
      <c r="C2721">
        <v>14</v>
      </c>
    </row>
    <row r="2722" spans="1:3" ht="15.75" customHeight="1" x14ac:dyDescent="0.2">
      <c r="A2722" t="s">
        <v>285</v>
      </c>
      <c r="B2722" t="s">
        <v>445</v>
      </c>
      <c r="C2722">
        <v>14</v>
      </c>
    </row>
    <row r="2723" spans="1:3" ht="15.75" customHeight="1" x14ac:dyDescent="0.2">
      <c r="A2723" t="s">
        <v>285</v>
      </c>
      <c r="B2723" t="s">
        <v>445</v>
      </c>
      <c r="C2723">
        <v>14</v>
      </c>
    </row>
    <row r="2724" spans="1:3" ht="15.75" customHeight="1" x14ac:dyDescent="0.2">
      <c r="A2724" t="s">
        <v>285</v>
      </c>
      <c r="B2724" t="s">
        <v>445</v>
      </c>
      <c r="C2724">
        <v>14</v>
      </c>
    </row>
    <row r="2725" spans="1:3" ht="15.75" customHeight="1" x14ac:dyDescent="0.2">
      <c r="A2725" t="s">
        <v>285</v>
      </c>
      <c r="B2725" t="s">
        <v>445</v>
      </c>
      <c r="C2725">
        <v>14</v>
      </c>
    </row>
    <row r="2726" spans="1:3" ht="15.75" customHeight="1" x14ac:dyDescent="0.2">
      <c r="A2726" t="s">
        <v>285</v>
      </c>
      <c r="B2726" t="s">
        <v>445</v>
      </c>
      <c r="C2726">
        <v>14</v>
      </c>
    </row>
    <row r="2727" spans="1:3" ht="15.75" customHeight="1" x14ac:dyDescent="0.2">
      <c r="A2727" t="s">
        <v>285</v>
      </c>
      <c r="B2727" t="s">
        <v>445</v>
      </c>
      <c r="C2727">
        <v>14</v>
      </c>
    </row>
    <row r="2728" spans="1:3" ht="15.75" customHeight="1" x14ac:dyDescent="0.2">
      <c r="A2728" t="s">
        <v>285</v>
      </c>
      <c r="B2728" t="s">
        <v>445</v>
      </c>
      <c r="C2728">
        <v>14</v>
      </c>
    </row>
    <row r="2729" spans="1:3" ht="15.75" customHeight="1" x14ac:dyDescent="0.2">
      <c r="A2729" t="s">
        <v>285</v>
      </c>
      <c r="B2729" t="s">
        <v>445</v>
      </c>
      <c r="C2729">
        <v>14</v>
      </c>
    </row>
    <row r="2730" spans="1:3" ht="15.75" customHeight="1" x14ac:dyDescent="0.2">
      <c r="A2730" t="s">
        <v>285</v>
      </c>
      <c r="B2730" t="s">
        <v>445</v>
      </c>
      <c r="C2730">
        <v>14</v>
      </c>
    </row>
    <row r="2731" spans="1:3" ht="15.75" customHeight="1" x14ac:dyDescent="0.2">
      <c r="A2731" t="s">
        <v>285</v>
      </c>
      <c r="B2731" t="s">
        <v>445</v>
      </c>
      <c r="C2731">
        <v>14</v>
      </c>
    </row>
    <row r="2732" spans="1:3" ht="15.75" customHeight="1" x14ac:dyDescent="0.2">
      <c r="A2732" t="s">
        <v>285</v>
      </c>
      <c r="B2732" t="s">
        <v>445</v>
      </c>
      <c r="C2732">
        <v>14</v>
      </c>
    </row>
    <row r="2733" spans="1:3" ht="15.75" customHeight="1" x14ac:dyDescent="0.2">
      <c r="A2733" t="s">
        <v>285</v>
      </c>
      <c r="B2733" t="s">
        <v>445</v>
      </c>
      <c r="C2733">
        <v>14</v>
      </c>
    </row>
    <row r="2734" spans="1:3" ht="15.75" customHeight="1" x14ac:dyDescent="0.2">
      <c r="A2734" t="s">
        <v>285</v>
      </c>
      <c r="B2734" t="s">
        <v>445</v>
      </c>
      <c r="C2734">
        <v>14</v>
      </c>
    </row>
    <row r="2735" spans="1:3" ht="15.75" customHeight="1" x14ac:dyDescent="0.2">
      <c r="A2735" t="s">
        <v>285</v>
      </c>
      <c r="B2735" t="s">
        <v>445</v>
      </c>
      <c r="C2735">
        <v>14</v>
      </c>
    </row>
    <row r="2736" spans="1:3" ht="15.75" customHeight="1" x14ac:dyDescent="0.2">
      <c r="A2736" t="s">
        <v>285</v>
      </c>
      <c r="B2736" t="s">
        <v>445</v>
      </c>
      <c r="C2736">
        <v>14</v>
      </c>
    </row>
    <row r="2737" spans="1:3" ht="15.75" customHeight="1" x14ac:dyDescent="0.2">
      <c r="A2737" t="s">
        <v>285</v>
      </c>
      <c r="B2737" t="s">
        <v>445</v>
      </c>
      <c r="C2737">
        <v>14</v>
      </c>
    </row>
    <row r="2738" spans="1:3" ht="15.75" customHeight="1" x14ac:dyDescent="0.2">
      <c r="A2738" t="s">
        <v>285</v>
      </c>
      <c r="B2738" t="s">
        <v>445</v>
      </c>
      <c r="C2738">
        <v>14</v>
      </c>
    </row>
    <row r="2739" spans="1:3" ht="15.75" customHeight="1" x14ac:dyDescent="0.2">
      <c r="A2739" t="s">
        <v>285</v>
      </c>
      <c r="B2739" t="s">
        <v>445</v>
      </c>
      <c r="C2739">
        <v>14</v>
      </c>
    </row>
    <row r="2740" spans="1:3" ht="15.75" customHeight="1" x14ac:dyDescent="0.2">
      <c r="A2740" t="s">
        <v>285</v>
      </c>
      <c r="B2740" t="s">
        <v>445</v>
      </c>
      <c r="C2740">
        <v>14</v>
      </c>
    </row>
    <row r="2741" spans="1:3" ht="15.75" customHeight="1" x14ac:dyDescent="0.2">
      <c r="A2741" t="s">
        <v>285</v>
      </c>
      <c r="B2741" t="s">
        <v>445</v>
      </c>
      <c r="C2741">
        <v>14</v>
      </c>
    </row>
    <row r="2742" spans="1:3" ht="15.75" customHeight="1" x14ac:dyDescent="0.2">
      <c r="A2742" t="s">
        <v>285</v>
      </c>
      <c r="B2742" t="s">
        <v>445</v>
      </c>
      <c r="C2742">
        <v>14</v>
      </c>
    </row>
    <row r="2743" spans="1:3" ht="15.75" customHeight="1" x14ac:dyDescent="0.2">
      <c r="A2743" t="s">
        <v>285</v>
      </c>
      <c r="B2743" t="s">
        <v>445</v>
      </c>
      <c r="C2743">
        <v>14</v>
      </c>
    </row>
    <row r="2744" spans="1:3" ht="15.75" customHeight="1" x14ac:dyDescent="0.2">
      <c r="A2744" t="s">
        <v>285</v>
      </c>
      <c r="B2744" t="s">
        <v>445</v>
      </c>
      <c r="C2744">
        <v>14</v>
      </c>
    </row>
    <row r="2745" spans="1:3" ht="15.75" customHeight="1" x14ac:dyDescent="0.2">
      <c r="A2745" t="s">
        <v>285</v>
      </c>
      <c r="B2745" t="s">
        <v>445</v>
      </c>
      <c r="C2745">
        <v>14</v>
      </c>
    </row>
    <row r="2746" spans="1:3" ht="15.75" customHeight="1" x14ac:dyDescent="0.2">
      <c r="A2746" t="s">
        <v>285</v>
      </c>
      <c r="B2746" t="s">
        <v>445</v>
      </c>
      <c r="C2746">
        <v>14</v>
      </c>
    </row>
    <row r="2747" spans="1:3" ht="15.75" customHeight="1" x14ac:dyDescent="0.2">
      <c r="A2747" t="s">
        <v>285</v>
      </c>
      <c r="B2747" t="s">
        <v>445</v>
      </c>
      <c r="C2747">
        <v>14</v>
      </c>
    </row>
    <row r="2748" spans="1:3" ht="15.75" customHeight="1" x14ac:dyDescent="0.2">
      <c r="A2748" t="s">
        <v>285</v>
      </c>
      <c r="B2748" t="s">
        <v>445</v>
      </c>
      <c r="C2748">
        <v>14</v>
      </c>
    </row>
    <row r="2749" spans="1:3" ht="15.75" customHeight="1" x14ac:dyDescent="0.2">
      <c r="A2749" t="s">
        <v>285</v>
      </c>
      <c r="B2749" t="s">
        <v>445</v>
      </c>
      <c r="C2749">
        <v>14</v>
      </c>
    </row>
    <row r="2750" spans="1:3" ht="15.75" customHeight="1" x14ac:dyDescent="0.2">
      <c r="A2750" t="s">
        <v>285</v>
      </c>
      <c r="B2750" t="s">
        <v>445</v>
      </c>
      <c r="C2750">
        <v>14</v>
      </c>
    </row>
    <row r="2751" spans="1:3" ht="15.75" customHeight="1" x14ac:dyDescent="0.2">
      <c r="A2751" t="s">
        <v>285</v>
      </c>
      <c r="B2751" t="s">
        <v>445</v>
      </c>
      <c r="C2751">
        <v>14</v>
      </c>
    </row>
    <row r="2752" spans="1:3" ht="15.75" customHeight="1" x14ac:dyDescent="0.2">
      <c r="A2752" t="s">
        <v>285</v>
      </c>
      <c r="B2752" t="s">
        <v>445</v>
      </c>
      <c r="C2752">
        <v>14</v>
      </c>
    </row>
    <row r="2753" spans="1:3" ht="15.75" customHeight="1" x14ac:dyDescent="0.2">
      <c r="A2753" t="s">
        <v>285</v>
      </c>
      <c r="B2753" t="s">
        <v>445</v>
      </c>
      <c r="C2753">
        <v>14</v>
      </c>
    </row>
    <row r="2754" spans="1:3" ht="15.75" customHeight="1" x14ac:dyDescent="0.2">
      <c r="A2754" t="s">
        <v>285</v>
      </c>
      <c r="B2754" t="s">
        <v>445</v>
      </c>
      <c r="C2754">
        <v>14</v>
      </c>
    </row>
    <row r="2755" spans="1:3" ht="15.75" customHeight="1" x14ac:dyDescent="0.2">
      <c r="A2755" t="s">
        <v>285</v>
      </c>
      <c r="B2755" t="s">
        <v>445</v>
      </c>
      <c r="C2755">
        <v>14</v>
      </c>
    </row>
    <row r="2756" spans="1:3" ht="15.75" customHeight="1" x14ac:dyDescent="0.2">
      <c r="A2756" t="s">
        <v>285</v>
      </c>
      <c r="B2756" t="s">
        <v>445</v>
      </c>
      <c r="C2756">
        <v>14</v>
      </c>
    </row>
    <row r="2757" spans="1:3" ht="15.75" customHeight="1" x14ac:dyDescent="0.2">
      <c r="A2757" t="s">
        <v>285</v>
      </c>
      <c r="B2757" t="s">
        <v>445</v>
      </c>
      <c r="C2757">
        <v>14</v>
      </c>
    </row>
    <row r="2758" spans="1:3" ht="15.75" customHeight="1" x14ac:dyDescent="0.2">
      <c r="A2758" t="s">
        <v>285</v>
      </c>
      <c r="B2758" t="s">
        <v>445</v>
      </c>
      <c r="C2758">
        <v>14</v>
      </c>
    </row>
    <row r="2759" spans="1:3" ht="15.75" customHeight="1" x14ac:dyDescent="0.2">
      <c r="A2759" t="s">
        <v>285</v>
      </c>
      <c r="B2759" t="s">
        <v>445</v>
      </c>
      <c r="C2759">
        <v>14</v>
      </c>
    </row>
    <row r="2760" spans="1:3" ht="15.75" customHeight="1" x14ac:dyDescent="0.2">
      <c r="A2760" t="s">
        <v>285</v>
      </c>
      <c r="B2760" t="s">
        <v>445</v>
      </c>
      <c r="C2760">
        <v>14</v>
      </c>
    </row>
    <row r="2761" spans="1:3" ht="15.75" customHeight="1" x14ac:dyDescent="0.2">
      <c r="A2761" t="s">
        <v>285</v>
      </c>
      <c r="B2761" t="s">
        <v>445</v>
      </c>
      <c r="C2761">
        <v>14</v>
      </c>
    </row>
    <row r="2762" spans="1:3" ht="15.75" customHeight="1" x14ac:dyDescent="0.2">
      <c r="A2762" t="s">
        <v>285</v>
      </c>
      <c r="B2762" t="s">
        <v>445</v>
      </c>
      <c r="C2762">
        <v>14</v>
      </c>
    </row>
    <row r="2763" spans="1:3" ht="15.75" customHeight="1" x14ac:dyDescent="0.2">
      <c r="A2763" t="s">
        <v>285</v>
      </c>
      <c r="B2763" t="s">
        <v>445</v>
      </c>
      <c r="C2763">
        <v>14</v>
      </c>
    </row>
    <row r="2764" spans="1:3" ht="15.75" customHeight="1" x14ac:dyDescent="0.2">
      <c r="A2764" t="s">
        <v>285</v>
      </c>
      <c r="B2764" t="s">
        <v>445</v>
      </c>
      <c r="C2764">
        <v>14</v>
      </c>
    </row>
    <row r="2765" spans="1:3" ht="15.75" customHeight="1" x14ac:dyDescent="0.2">
      <c r="A2765" t="s">
        <v>285</v>
      </c>
      <c r="B2765" t="s">
        <v>445</v>
      </c>
      <c r="C2765">
        <v>14</v>
      </c>
    </row>
    <row r="2766" spans="1:3" ht="15.75" customHeight="1" x14ac:dyDescent="0.2">
      <c r="A2766" t="s">
        <v>285</v>
      </c>
      <c r="B2766" t="s">
        <v>445</v>
      </c>
      <c r="C2766">
        <v>14</v>
      </c>
    </row>
    <row r="2767" spans="1:3" ht="15.75" customHeight="1" x14ac:dyDescent="0.2">
      <c r="A2767" t="s">
        <v>285</v>
      </c>
      <c r="B2767" t="s">
        <v>445</v>
      </c>
      <c r="C2767">
        <v>14</v>
      </c>
    </row>
    <row r="2768" spans="1:3" ht="15.75" customHeight="1" x14ac:dyDescent="0.2">
      <c r="A2768" t="s">
        <v>285</v>
      </c>
      <c r="B2768" t="s">
        <v>445</v>
      </c>
      <c r="C2768">
        <v>14</v>
      </c>
    </row>
    <row r="2769" spans="1:3" ht="15.75" customHeight="1" x14ac:dyDescent="0.2">
      <c r="A2769" t="s">
        <v>285</v>
      </c>
      <c r="B2769" t="s">
        <v>445</v>
      </c>
      <c r="C2769">
        <v>14</v>
      </c>
    </row>
    <row r="2770" spans="1:3" ht="15.75" customHeight="1" x14ac:dyDescent="0.2">
      <c r="A2770" t="s">
        <v>285</v>
      </c>
      <c r="B2770" t="s">
        <v>445</v>
      </c>
      <c r="C2770">
        <v>14</v>
      </c>
    </row>
    <row r="2771" spans="1:3" ht="15.75" customHeight="1" x14ac:dyDescent="0.2">
      <c r="A2771" t="s">
        <v>285</v>
      </c>
      <c r="B2771" t="s">
        <v>445</v>
      </c>
      <c r="C2771">
        <v>14</v>
      </c>
    </row>
    <row r="2772" spans="1:3" ht="15.75" customHeight="1" x14ac:dyDescent="0.2">
      <c r="A2772" t="s">
        <v>285</v>
      </c>
      <c r="B2772" t="s">
        <v>445</v>
      </c>
      <c r="C2772">
        <v>14</v>
      </c>
    </row>
    <row r="2773" spans="1:3" ht="15.75" customHeight="1" x14ac:dyDescent="0.2">
      <c r="A2773" t="s">
        <v>285</v>
      </c>
      <c r="B2773" t="s">
        <v>445</v>
      </c>
      <c r="C2773">
        <v>14</v>
      </c>
    </row>
    <row r="2774" spans="1:3" ht="15.75" customHeight="1" x14ac:dyDescent="0.2">
      <c r="A2774" t="s">
        <v>285</v>
      </c>
      <c r="B2774" t="s">
        <v>445</v>
      </c>
      <c r="C2774">
        <v>14</v>
      </c>
    </row>
    <row r="2775" spans="1:3" ht="15.75" customHeight="1" x14ac:dyDescent="0.2">
      <c r="A2775" t="s">
        <v>285</v>
      </c>
      <c r="B2775" t="s">
        <v>445</v>
      </c>
      <c r="C2775">
        <v>14</v>
      </c>
    </row>
    <row r="2776" spans="1:3" ht="15.75" customHeight="1" x14ac:dyDescent="0.2">
      <c r="A2776" t="s">
        <v>285</v>
      </c>
      <c r="B2776" t="s">
        <v>445</v>
      </c>
      <c r="C2776">
        <v>14</v>
      </c>
    </row>
    <row r="2777" spans="1:3" ht="15.75" customHeight="1" x14ac:dyDescent="0.2">
      <c r="A2777" t="s">
        <v>285</v>
      </c>
      <c r="B2777" t="s">
        <v>445</v>
      </c>
      <c r="C2777">
        <v>14</v>
      </c>
    </row>
    <row r="2778" spans="1:3" ht="15.75" customHeight="1" x14ac:dyDescent="0.2">
      <c r="A2778" t="s">
        <v>285</v>
      </c>
      <c r="B2778" t="s">
        <v>445</v>
      </c>
      <c r="C2778">
        <v>14</v>
      </c>
    </row>
    <row r="2779" spans="1:3" ht="15.75" customHeight="1" x14ac:dyDescent="0.2">
      <c r="A2779" t="s">
        <v>285</v>
      </c>
      <c r="B2779" t="s">
        <v>445</v>
      </c>
      <c r="C2779">
        <v>14</v>
      </c>
    </row>
    <row r="2780" spans="1:3" ht="15.75" customHeight="1" x14ac:dyDescent="0.2">
      <c r="A2780" t="s">
        <v>285</v>
      </c>
      <c r="B2780" t="s">
        <v>445</v>
      </c>
      <c r="C2780">
        <v>14</v>
      </c>
    </row>
    <row r="2781" spans="1:3" ht="15.75" customHeight="1" x14ac:dyDescent="0.2">
      <c r="A2781" t="s">
        <v>285</v>
      </c>
      <c r="B2781" t="s">
        <v>445</v>
      </c>
      <c r="C2781">
        <v>14</v>
      </c>
    </row>
    <row r="2782" spans="1:3" ht="15.75" customHeight="1" x14ac:dyDescent="0.2">
      <c r="A2782" t="s">
        <v>285</v>
      </c>
      <c r="B2782" t="s">
        <v>445</v>
      </c>
      <c r="C2782">
        <v>14</v>
      </c>
    </row>
    <row r="2783" spans="1:3" ht="15.75" customHeight="1" x14ac:dyDescent="0.2">
      <c r="A2783" t="s">
        <v>285</v>
      </c>
      <c r="B2783" t="s">
        <v>445</v>
      </c>
      <c r="C2783">
        <v>14</v>
      </c>
    </row>
    <row r="2784" spans="1:3" ht="15.75" customHeight="1" x14ac:dyDescent="0.2">
      <c r="A2784" t="s">
        <v>285</v>
      </c>
      <c r="B2784" t="s">
        <v>445</v>
      </c>
      <c r="C2784">
        <v>14</v>
      </c>
    </row>
    <row r="2785" spans="1:3" ht="15.75" customHeight="1" x14ac:dyDescent="0.2">
      <c r="A2785" t="s">
        <v>285</v>
      </c>
      <c r="B2785" t="s">
        <v>445</v>
      </c>
      <c r="C2785">
        <v>14</v>
      </c>
    </row>
    <row r="2786" spans="1:3" ht="15.75" customHeight="1" x14ac:dyDescent="0.2">
      <c r="A2786" t="s">
        <v>285</v>
      </c>
      <c r="B2786" t="s">
        <v>445</v>
      </c>
      <c r="C2786">
        <v>14</v>
      </c>
    </row>
    <row r="2787" spans="1:3" ht="15.75" customHeight="1" x14ac:dyDescent="0.2">
      <c r="A2787" t="s">
        <v>285</v>
      </c>
      <c r="B2787" t="s">
        <v>445</v>
      </c>
      <c r="C2787">
        <v>14</v>
      </c>
    </row>
    <row r="2788" spans="1:3" ht="15.75" customHeight="1" x14ac:dyDescent="0.2">
      <c r="A2788" t="s">
        <v>285</v>
      </c>
      <c r="B2788" t="s">
        <v>445</v>
      </c>
      <c r="C2788">
        <v>14</v>
      </c>
    </row>
    <row r="2789" spans="1:3" ht="15.75" customHeight="1" x14ac:dyDescent="0.2">
      <c r="A2789" t="s">
        <v>285</v>
      </c>
      <c r="B2789" t="s">
        <v>445</v>
      </c>
      <c r="C2789">
        <v>14</v>
      </c>
    </row>
    <row r="2790" spans="1:3" ht="15.75" customHeight="1" x14ac:dyDescent="0.2">
      <c r="A2790" t="s">
        <v>285</v>
      </c>
      <c r="B2790" t="s">
        <v>445</v>
      </c>
      <c r="C2790">
        <v>14</v>
      </c>
    </row>
    <row r="2791" spans="1:3" ht="15.75" customHeight="1" x14ac:dyDescent="0.2">
      <c r="A2791" t="s">
        <v>285</v>
      </c>
      <c r="B2791" t="s">
        <v>445</v>
      </c>
      <c r="C2791">
        <v>14</v>
      </c>
    </row>
    <row r="2792" spans="1:3" ht="15.75" customHeight="1" x14ac:dyDescent="0.2">
      <c r="A2792" t="s">
        <v>285</v>
      </c>
      <c r="B2792" t="s">
        <v>445</v>
      </c>
      <c r="C2792">
        <v>14</v>
      </c>
    </row>
    <row r="2793" spans="1:3" ht="15.75" customHeight="1" x14ac:dyDescent="0.2">
      <c r="A2793" t="s">
        <v>285</v>
      </c>
      <c r="B2793" t="s">
        <v>445</v>
      </c>
      <c r="C2793">
        <v>14</v>
      </c>
    </row>
    <row r="2794" spans="1:3" ht="15.75" customHeight="1" x14ac:dyDescent="0.2">
      <c r="A2794" t="s">
        <v>285</v>
      </c>
      <c r="B2794" t="s">
        <v>445</v>
      </c>
      <c r="C2794">
        <v>14</v>
      </c>
    </row>
    <row r="2795" spans="1:3" ht="15.75" customHeight="1" x14ac:dyDescent="0.2">
      <c r="A2795" t="s">
        <v>285</v>
      </c>
      <c r="B2795" t="s">
        <v>445</v>
      </c>
      <c r="C2795">
        <v>14</v>
      </c>
    </row>
    <row r="2796" spans="1:3" ht="15.75" customHeight="1" x14ac:dyDescent="0.2">
      <c r="A2796" t="s">
        <v>285</v>
      </c>
      <c r="B2796" t="s">
        <v>445</v>
      </c>
      <c r="C2796">
        <v>14</v>
      </c>
    </row>
    <row r="2797" spans="1:3" ht="15.75" customHeight="1" x14ac:dyDescent="0.2">
      <c r="A2797" t="s">
        <v>285</v>
      </c>
      <c r="B2797" t="s">
        <v>445</v>
      </c>
      <c r="C2797">
        <v>14</v>
      </c>
    </row>
    <row r="2798" spans="1:3" ht="15.75" customHeight="1" x14ac:dyDescent="0.2">
      <c r="A2798" t="s">
        <v>285</v>
      </c>
      <c r="B2798" t="s">
        <v>445</v>
      </c>
      <c r="C2798">
        <v>14</v>
      </c>
    </row>
    <row r="2799" spans="1:3" ht="15.75" customHeight="1" x14ac:dyDescent="0.2">
      <c r="A2799" t="s">
        <v>285</v>
      </c>
      <c r="B2799" t="s">
        <v>445</v>
      </c>
      <c r="C2799">
        <v>14</v>
      </c>
    </row>
    <row r="2800" spans="1:3" ht="15.75" customHeight="1" x14ac:dyDescent="0.2">
      <c r="A2800" t="s">
        <v>285</v>
      </c>
      <c r="B2800" t="s">
        <v>445</v>
      </c>
      <c r="C2800">
        <v>14</v>
      </c>
    </row>
    <row r="2801" spans="1:3" ht="15.75" customHeight="1" x14ac:dyDescent="0.2">
      <c r="A2801" t="s">
        <v>285</v>
      </c>
      <c r="B2801" t="s">
        <v>445</v>
      </c>
      <c r="C2801">
        <v>14</v>
      </c>
    </row>
    <row r="2802" spans="1:3" ht="15.75" customHeight="1" x14ac:dyDescent="0.2">
      <c r="A2802" t="s">
        <v>285</v>
      </c>
      <c r="B2802" t="s">
        <v>445</v>
      </c>
      <c r="C2802">
        <v>14</v>
      </c>
    </row>
    <row r="2803" spans="1:3" ht="15.75" customHeight="1" x14ac:dyDescent="0.2">
      <c r="A2803" t="s">
        <v>285</v>
      </c>
      <c r="B2803" t="s">
        <v>445</v>
      </c>
      <c r="C2803">
        <v>14</v>
      </c>
    </row>
    <row r="2804" spans="1:3" ht="15.75" customHeight="1" x14ac:dyDescent="0.2">
      <c r="A2804" t="s">
        <v>285</v>
      </c>
      <c r="B2804" t="s">
        <v>445</v>
      </c>
      <c r="C2804">
        <v>14</v>
      </c>
    </row>
    <row r="2805" spans="1:3" ht="15.75" customHeight="1" x14ac:dyDescent="0.2">
      <c r="A2805" t="s">
        <v>285</v>
      </c>
      <c r="B2805" t="s">
        <v>445</v>
      </c>
      <c r="C2805">
        <v>14</v>
      </c>
    </row>
    <row r="2806" spans="1:3" ht="15.75" customHeight="1" x14ac:dyDescent="0.2">
      <c r="A2806" t="s">
        <v>285</v>
      </c>
      <c r="B2806" t="s">
        <v>445</v>
      </c>
      <c r="C2806">
        <v>14</v>
      </c>
    </row>
    <row r="2807" spans="1:3" ht="15.75" customHeight="1" x14ac:dyDescent="0.2">
      <c r="A2807" t="s">
        <v>285</v>
      </c>
      <c r="B2807" t="s">
        <v>445</v>
      </c>
      <c r="C2807">
        <v>14</v>
      </c>
    </row>
    <row r="2808" spans="1:3" ht="15.75" customHeight="1" x14ac:dyDescent="0.2">
      <c r="A2808" t="s">
        <v>285</v>
      </c>
      <c r="B2808" t="s">
        <v>445</v>
      </c>
      <c r="C2808">
        <v>14</v>
      </c>
    </row>
    <row r="2809" spans="1:3" ht="15.75" customHeight="1" x14ac:dyDescent="0.2">
      <c r="A2809" t="s">
        <v>285</v>
      </c>
      <c r="B2809" t="s">
        <v>445</v>
      </c>
      <c r="C2809">
        <v>14</v>
      </c>
    </row>
    <row r="2810" spans="1:3" ht="15.75" customHeight="1" x14ac:dyDescent="0.2">
      <c r="A2810" t="s">
        <v>285</v>
      </c>
      <c r="B2810" t="s">
        <v>445</v>
      </c>
      <c r="C2810">
        <v>14</v>
      </c>
    </row>
    <row r="2811" spans="1:3" ht="15.75" customHeight="1" x14ac:dyDescent="0.2">
      <c r="A2811" t="s">
        <v>285</v>
      </c>
      <c r="B2811" t="s">
        <v>445</v>
      </c>
      <c r="C2811">
        <v>14</v>
      </c>
    </row>
    <row r="2812" spans="1:3" ht="15.75" customHeight="1" x14ac:dyDescent="0.2">
      <c r="A2812" t="s">
        <v>285</v>
      </c>
      <c r="B2812" t="s">
        <v>445</v>
      </c>
      <c r="C2812">
        <v>14</v>
      </c>
    </row>
    <row r="2813" spans="1:3" ht="15.75" customHeight="1" x14ac:dyDescent="0.2">
      <c r="A2813" t="s">
        <v>285</v>
      </c>
      <c r="B2813" t="s">
        <v>445</v>
      </c>
      <c r="C2813">
        <v>14</v>
      </c>
    </row>
    <row r="2814" spans="1:3" ht="15.75" customHeight="1" x14ac:dyDescent="0.2">
      <c r="A2814" t="s">
        <v>285</v>
      </c>
      <c r="B2814" t="s">
        <v>445</v>
      </c>
      <c r="C2814">
        <v>14</v>
      </c>
    </row>
    <row r="2815" spans="1:3" ht="15.75" customHeight="1" x14ac:dyDescent="0.2">
      <c r="A2815" t="s">
        <v>285</v>
      </c>
      <c r="B2815" t="s">
        <v>445</v>
      </c>
      <c r="C2815">
        <v>14</v>
      </c>
    </row>
    <row r="2816" spans="1:3" ht="15.75" customHeight="1" x14ac:dyDescent="0.2">
      <c r="A2816" t="s">
        <v>285</v>
      </c>
      <c r="B2816" t="s">
        <v>445</v>
      </c>
      <c r="C2816">
        <v>14</v>
      </c>
    </row>
    <row r="2817" spans="1:3" ht="15.75" customHeight="1" x14ac:dyDescent="0.2">
      <c r="A2817" t="s">
        <v>285</v>
      </c>
      <c r="B2817" t="s">
        <v>445</v>
      </c>
      <c r="C2817">
        <v>14</v>
      </c>
    </row>
    <row r="2818" spans="1:3" ht="15.75" customHeight="1" x14ac:dyDescent="0.2">
      <c r="A2818" t="s">
        <v>285</v>
      </c>
      <c r="B2818" t="s">
        <v>445</v>
      </c>
      <c r="C2818">
        <v>14</v>
      </c>
    </row>
    <row r="2819" spans="1:3" ht="15.75" customHeight="1" x14ac:dyDescent="0.2">
      <c r="A2819" t="s">
        <v>285</v>
      </c>
      <c r="B2819" t="s">
        <v>445</v>
      </c>
      <c r="C2819">
        <v>14</v>
      </c>
    </row>
    <row r="2820" spans="1:3" ht="15.75" customHeight="1" x14ac:dyDescent="0.2">
      <c r="A2820" t="s">
        <v>285</v>
      </c>
      <c r="B2820" t="s">
        <v>445</v>
      </c>
      <c r="C2820">
        <v>14</v>
      </c>
    </row>
    <row r="2821" spans="1:3" ht="15.75" customHeight="1" x14ac:dyDescent="0.2">
      <c r="A2821" t="s">
        <v>285</v>
      </c>
      <c r="B2821" t="s">
        <v>445</v>
      </c>
      <c r="C2821">
        <v>14</v>
      </c>
    </row>
    <row r="2822" spans="1:3" ht="15.75" customHeight="1" x14ac:dyDescent="0.2">
      <c r="A2822" t="s">
        <v>285</v>
      </c>
      <c r="B2822" t="s">
        <v>445</v>
      </c>
      <c r="C2822">
        <v>14</v>
      </c>
    </row>
    <row r="2823" spans="1:3" ht="15.75" customHeight="1" x14ac:dyDescent="0.2">
      <c r="A2823" t="s">
        <v>285</v>
      </c>
      <c r="B2823" t="s">
        <v>445</v>
      </c>
      <c r="C2823">
        <v>14</v>
      </c>
    </row>
    <row r="2824" spans="1:3" ht="15.75" customHeight="1" x14ac:dyDescent="0.2">
      <c r="A2824" t="s">
        <v>285</v>
      </c>
      <c r="B2824" t="s">
        <v>445</v>
      </c>
      <c r="C2824">
        <v>14</v>
      </c>
    </row>
    <row r="2825" spans="1:3" ht="15.75" customHeight="1" x14ac:dyDescent="0.2">
      <c r="A2825" t="s">
        <v>285</v>
      </c>
      <c r="B2825" t="s">
        <v>445</v>
      </c>
      <c r="C2825">
        <v>14</v>
      </c>
    </row>
    <row r="2826" spans="1:3" ht="15.75" customHeight="1" x14ac:dyDescent="0.2">
      <c r="A2826" t="s">
        <v>285</v>
      </c>
      <c r="B2826" t="s">
        <v>458</v>
      </c>
      <c r="C2826">
        <v>15</v>
      </c>
    </row>
    <row r="2827" spans="1:3" ht="15.75" customHeight="1" x14ac:dyDescent="0.2">
      <c r="A2827" t="s">
        <v>285</v>
      </c>
      <c r="B2827" t="s">
        <v>458</v>
      </c>
      <c r="C2827">
        <v>15</v>
      </c>
    </row>
    <row r="2828" spans="1:3" ht="15.75" customHeight="1" x14ac:dyDescent="0.2">
      <c r="A2828" t="s">
        <v>285</v>
      </c>
      <c r="B2828" t="s">
        <v>458</v>
      </c>
      <c r="C2828">
        <v>15</v>
      </c>
    </row>
    <row r="2829" spans="1:3" ht="15.75" customHeight="1" x14ac:dyDescent="0.2">
      <c r="A2829" t="s">
        <v>285</v>
      </c>
      <c r="B2829" t="s">
        <v>458</v>
      </c>
      <c r="C2829">
        <v>15</v>
      </c>
    </row>
    <row r="2830" spans="1:3" ht="15.75" customHeight="1" x14ac:dyDescent="0.2">
      <c r="A2830" t="s">
        <v>285</v>
      </c>
      <c r="B2830" t="s">
        <v>458</v>
      </c>
      <c r="C2830">
        <v>15</v>
      </c>
    </row>
    <row r="2831" spans="1:3" ht="15.75" customHeight="1" x14ac:dyDescent="0.2">
      <c r="A2831" t="s">
        <v>285</v>
      </c>
      <c r="B2831" t="s">
        <v>458</v>
      </c>
      <c r="C2831">
        <v>15</v>
      </c>
    </row>
    <row r="2832" spans="1:3" ht="15.75" customHeight="1" x14ac:dyDescent="0.2">
      <c r="A2832" t="s">
        <v>285</v>
      </c>
      <c r="B2832" t="s">
        <v>458</v>
      </c>
      <c r="C2832">
        <v>15</v>
      </c>
    </row>
    <row r="2833" spans="1:3" ht="15.75" customHeight="1" x14ac:dyDescent="0.2">
      <c r="A2833" t="s">
        <v>285</v>
      </c>
      <c r="B2833" t="s">
        <v>458</v>
      </c>
      <c r="C2833">
        <v>15</v>
      </c>
    </row>
    <row r="2834" spans="1:3" ht="15.75" customHeight="1" x14ac:dyDescent="0.2">
      <c r="A2834" t="s">
        <v>285</v>
      </c>
      <c r="B2834" t="s">
        <v>458</v>
      </c>
      <c r="C2834">
        <v>15</v>
      </c>
    </row>
    <row r="2835" spans="1:3" ht="15.75" customHeight="1" x14ac:dyDescent="0.2">
      <c r="A2835" t="s">
        <v>285</v>
      </c>
      <c r="B2835" t="s">
        <v>458</v>
      </c>
      <c r="C2835">
        <v>15</v>
      </c>
    </row>
    <row r="2836" spans="1:3" ht="15.75" customHeight="1" x14ac:dyDescent="0.2">
      <c r="A2836" t="s">
        <v>285</v>
      </c>
      <c r="B2836" t="s">
        <v>458</v>
      </c>
      <c r="C2836">
        <v>15</v>
      </c>
    </row>
    <row r="2837" spans="1:3" ht="15.75" customHeight="1" x14ac:dyDescent="0.2">
      <c r="A2837" t="s">
        <v>285</v>
      </c>
      <c r="B2837" t="s">
        <v>458</v>
      </c>
      <c r="C2837">
        <v>15</v>
      </c>
    </row>
    <row r="2838" spans="1:3" ht="15.75" customHeight="1" x14ac:dyDescent="0.2">
      <c r="A2838" t="s">
        <v>285</v>
      </c>
      <c r="B2838" t="s">
        <v>458</v>
      </c>
      <c r="C2838">
        <v>15</v>
      </c>
    </row>
    <row r="2839" spans="1:3" ht="15.75" customHeight="1" x14ac:dyDescent="0.2">
      <c r="A2839" t="s">
        <v>285</v>
      </c>
      <c r="B2839" t="s">
        <v>458</v>
      </c>
      <c r="C2839">
        <v>15</v>
      </c>
    </row>
    <row r="2840" spans="1:3" ht="15.75" customHeight="1" x14ac:dyDescent="0.2">
      <c r="A2840" t="s">
        <v>285</v>
      </c>
      <c r="B2840" t="s">
        <v>458</v>
      </c>
      <c r="C2840">
        <v>15</v>
      </c>
    </row>
    <row r="2841" spans="1:3" ht="15.75" customHeight="1" x14ac:dyDescent="0.2">
      <c r="A2841" t="s">
        <v>285</v>
      </c>
      <c r="B2841" t="s">
        <v>458</v>
      </c>
      <c r="C2841">
        <v>15</v>
      </c>
    </row>
    <row r="2842" spans="1:3" ht="15.75" customHeight="1" x14ac:dyDescent="0.2">
      <c r="A2842" t="s">
        <v>285</v>
      </c>
      <c r="B2842" t="s">
        <v>458</v>
      </c>
      <c r="C2842">
        <v>15</v>
      </c>
    </row>
    <row r="2843" spans="1:3" ht="15.75" customHeight="1" x14ac:dyDescent="0.2">
      <c r="A2843" t="s">
        <v>285</v>
      </c>
      <c r="B2843" t="s">
        <v>458</v>
      </c>
      <c r="C2843">
        <v>15</v>
      </c>
    </row>
    <row r="2844" spans="1:3" ht="15.75" customHeight="1" x14ac:dyDescent="0.2">
      <c r="A2844" t="s">
        <v>285</v>
      </c>
      <c r="B2844" t="s">
        <v>458</v>
      </c>
      <c r="C2844">
        <v>15</v>
      </c>
    </row>
    <row r="2845" spans="1:3" ht="15.75" customHeight="1" x14ac:dyDescent="0.2">
      <c r="A2845" t="s">
        <v>285</v>
      </c>
      <c r="B2845" t="s">
        <v>458</v>
      </c>
      <c r="C2845">
        <v>15</v>
      </c>
    </row>
    <row r="2846" spans="1:3" ht="15.75" customHeight="1" x14ac:dyDescent="0.2">
      <c r="A2846" t="s">
        <v>285</v>
      </c>
      <c r="B2846" t="s">
        <v>458</v>
      </c>
      <c r="C2846">
        <v>15</v>
      </c>
    </row>
    <row r="2847" spans="1:3" ht="15.75" customHeight="1" x14ac:dyDescent="0.2">
      <c r="A2847" t="s">
        <v>285</v>
      </c>
      <c r="B2847" t="s">
        <v>458</v>
      </c>
      <c r="C2847">
        <v>15</v>
      </c>
    </row>
    <row r="2848" spans="1:3" ht="15.75" customHeight="1" x14ac:dyDescent="0.2">
      <c r="A2848" t="s">
        <v>285</v>
      </c>
      <c r="B2848" t="s">
        <v>458</v>
      </c>
      <c r="C2848">
        <v>15</v>
      </c>
    </row>
    <row r="2849" spans="1:3" ht="15.75" customHeight="1" x14ac:dyDescent="0.2">
      <c r="A2849" t="s">
        <v>285</v>
      </c>
      <c r="B2849" t="s">
        <v>458</v>
      </c>
      <c r="C2849">
        <v>15</v>
      </c>
    </row>
    <row r="2850" spans="1:3" ht="15.75" customHeight="1" x14ac:dyDescent="0.2">
      <c r="A2850" t="s">
        <v>285</v>
      </c>
      <c r="B2850" t="s">
        <v>458</v>
      </c>
      <c r="C2850">
        <v>15</v>
      </c>
    </row>
    <row r="2851" spans="1:3" ht="15.75" customHeight="1" x14ac:dyDescent="0.2">
      <c r="A2851" t="s">
        <v>285</v>
      </c>
      <c r="B2851" t="s">
        <v>458</v>
      </c>
      <c r="C2851">
        <v>15</v>
      </c>
    </row>
    <row r="2852" spans="1:3" ht="15.75" customHeight="1" x14ac:dyDescent="0.2">
      <c r="A2852" t="s">
        <v>285</v>
      </c>
      <c r="B2852" t="s">
        <v>458</v>
      </c>
      <c r="C2852">
        <v>15</v>
      </c>
    </row>
    <row r="2853" spans="1:3" ht="15.75" customHeight="1" x14ac:dyDescent="0.2">
      <c r="A2853" t="s">
        <v>285</v>
      </c>
      <c r="B2853" t="s">
        <v>458</v>
      </c>
      <c r="C2853">
        <v>15</v>
      </c>
    </row>
    <row r="2854" spans="1:3" ht="15.75" customHeight="1" x14ac:dyDescent="0.2">
      <c r="A2854" t="s">
        <v>285</v>
      </c>
      <c r="B2854" t="s">
        <v>458</v>
      </c>
      <c r="C2854">
        <v>15</v>
      </c>
    </row>
    <row r="2855" spans="1:3" ht="15.75" customHeight="1" x14ac:dyDescent="0.2">
      <c r="A2855" t="s">
        <v>285</v>
      </c>
      <c r="B2855" t="s">
        <v>458</v>
      </c>
      <c r="C2855">
        <v>15</v>
      </c>
    </row>
    <row r="2856" spans="1:3" ht="15.75" customHeight="1" x14ac:dyDescent="0.2">
      <c r="A2856" t="s">
        <v>285</v>
      </c>
      <c r="B2856" t="s">
        <v>458</v>
      </c>
      <c r="C2856">
        <v>15</v>
      </c>
    </row>
    <row r="2857" spans="1:3" ht="15.75" customHeight="1" x14ac:dyDescent="0.2">
      <c r="A2857" t="s">
        <v>285</v>
      </c>
      <c r="B2857" t="s">
        <v>458</v>
      </c>
      <c r="C2857">
        <v>15</v>
      </c>
    </row>
    <row r="2858" spans="1:3" ht="15.75" customHeight="1" x14ac:dyDescent="0.2">
      <c r="A2858" t="s">
        <v>285</v>
      </c>
      <c r="B2858" t="s">
        <v>458</v>
      </c>
      <c r="C2858">
        <v>15</v>
      </c>
    </row>
    <row r="2859" spans="1:3" ht="15.75" customHeight="1" x14ac:dyDescent="0.2">
      <c r="A2859" t="s">
        <v>285</v>
      </c>
      <c r="B2859" t="s">
        <v>458</v>
      </c>
      <c r="C2859">
        <v>15</v>
      </c>
    </row>
    <row r="2860" spans="1:3" ht="15.75" customHeight="1" x14ac:dyDescent="0.2">
      <c r="A2860" t="s">
        <v>285</v>
      </c>
      <c r="B2860" t="s">
        <v>458</v>
      </c>
      <c r="C2860">
        <v>15</v>
      </c>
    </row>
    <row r="2861" spans="1:3" ht="15.75" customHeight="1" x14ac:dyDescent="0.2">
      <c r="A2861" t="s">
        <v>285</v>
      </c>
      <c r="B2861" t="s">
        <v>458</v>
      </c>
      <c r="C2861">
        <v>15</v>
      </c>
    </row>
    <row r="2862" spans="1:3" ht="15.75" customHeight="1" x14ac:dyDescent="0.2">
      <c r="A2862" t="s">
        <v>285</v>
      </c>
      <c r="B2862" t="s">
        <v>458</v>
      </c>
      <c r="C2862">
        <v>15</v>
      </c>
    </row>
    <row r="2863" spans="1:3" ht="15.75" customHeight="1" x14ac:dyDescent="0.2">
      <c r="A2863" t="s">
        <v>285</v>
      </c>
      <c r="B2863" t="s">
        <v>458</v>
      </c>
      <c r="C2863">
        <v>15</v>
      </c>
    </row>
    <row r="2864" spans="1:3" ht="15.75" customHeight="1" x14ac:dyDescent="0.2">
      <c r="A2864" t="s">
        <v>285</v>
      </c>
      <c r="B2864" t="s">
        <v>458</v>
      </c>
      <c r="C2864">
        <v>15</v>
      </c>
    </row>
    <row r="2865" spans="1:3" ht="15.75" customHeight="1" x14ac:dyDescent="0.2">
      <c r="A2865" t="s">
        <v>285</v>
      </c>
      <c r="B2865" t="s">
        <v>458</v>
      </c>
      <c r="C2865">
        <v>15</v>
      </c>
    </row>
    <row r="2866" spans="1:3" ht="15.75" customHeight="1" x14ac:dyDescent="0.2">
      <c r="A2866" t="s">
        <v>285</v>
      </c>
      <c r="B2866" t="s">
        <v>458</v>
      </c>
      <c r="C2866">
        <v>15</v>
      </c>
    </row>
    <row r="2867" spans="1:3" ht="15.75" customHeight="1" x14ac:dyDescent="0.2">
      <c r="A2867" t="s">
        <v>285</v>
      </c>
      <c r="B2867" t="s">
        <v>458</v>
      </c>
      <c r="C2867">
        <v>15</v>
      </c>
    </row>
    <row r="2868" spans="1:3" ht="15.75" customHeight="1" x14ac:dyDescent="0.2">
      <c r="A2868" t="s">
        <v>285</v>
      </c>
      <c r="B2868" t="s">
        <v>458</v>
      </c>
      <c r="C2868">
        <v>15</v>
      </c>
    </row>
    <row r="2869" spans="1:3" ht="15.75" customHeight="1" x14ac:dyDescent="0.2">
      <c r="A2869" t="s">
        <v>285</v>
      </c>
      <c r="B2869" t="s">
        <v>458</v>
      </c>
      <c r="C2869">
        <v>15</v>
      </c>
    </row>
    <row r="2870" spans="1:3" ht="15.75" customHeight="1" x14ac:dyDescent="0.2">
      <c r="A2870" t="s">
        <v>285</v>
      </c>
      <c r="B2870" t="s">
        <v>458</v>
      </c>
      <c r="C2870">
        <v>15</v>
      </c>
    </row>
    <row r="2871" spans="1:3" ht="15.75" customHeight="1" x14ac:dyDescent="0.2">
      <c r="A2871" t="s">
        <v>285</v>
      </c>
      <c r="B2871" t="s">
        <v>458</v>
      </c>
      <c r="C2871">
        <v>15</v>
      </c>
    </row>
    <row r="2872" spans="1:3" ht="15.75" customHeight="1" x14ac:dyDescent="0.2">
      <c r="A2872" t="s">
        <v>285</v>
      </c>
      <c r="B2872" t="s">
        <v>458</v>
      </c>
      <c r="C2872">
        <v>15</v>
      </c>
    </row>
    <row r="2873" spans="1:3" ht="15.75" customHeight="1" x14ac:dyDescent="0.2">
      <c r="A2873" t="s">
        <v>285</v>
      </c>
      <c r="B2873" t="s">
        <v>458</v>
      </c>
      <c r="C2873">
        <v>15</v>
      </c>
    </row>
    <row r="2874" spans="1:3" ht="15.75" customHeight="1" x14ac:dyDescent="0.2">
      <c r="A2874" t="s">
        <v>285</v>
      </c>
      <c r="B2874" t="s">
        <v>458</v>
      </c>
      <c r="C2874">
        <v>15</v>
      </c>
    </row>
    <row r="2875" spans="1:3" ht="15.75" customHeight="1" x14ac:dyDescent="0.2">
      <c r="A2875" t="s">
        <v>285</v>
      </c>
      <c r="B2875" t="s">
        <v>458</v>
      </c>
      <c r="C2875">
        <v>15</v>
      </c>
    </row>
    <row r="2876" spans="1:3" ht="15.75" customHeight="1" x14ac:dyDescent="0.2">
      <c r="A2876" t="s">
        <v>285</v>
      </c>
      <c r="B2876" t="s">
        <v>458</v>
      </c>
      <c r="C2876">
        <v>15</v>
      </c>
    </row>
    <row r="2877" spans="1:3" ht="15.75" customHeight="1" x14ac:dyDescent="0.2">
      <c r="A2877" t="s">
        <v>285</v>
      </c>
      <c r="B2877" t="s">
        <v>458</v>
      </c>
      <c r="C2877">
        <v>15</v>
      </c>
    </row>
    <row r="2878" spans="1:3" ht="15.75" customHeight="1" x14ac:dyDescent="0.2">
      <c r="A2878" t="s">
        <v>285</v>
      </c>
      <c r="B2878" t="s">
        <v>458</v>
      </c>
      <c r="C2878">
        <v>15</v>
      </c>
    </row>
    <row r="2879" spans="1:3" ht="15.75" customHeight="1" x14ac:dyDescent="0.2">
      <c r="A2879" t="s">
        <v>285</v>
      </c>
      <c r="B2879" t="s">
        <v>458</v>
      </c>
      <c r="C2879">
        <v>15</v>
      </c>
    </row>
    <row r="2880" spans="1:3" ht="15.75" customHeight="1" x14ac:dyDescent="0.2">
      <c r="A2880" t="s">
        <v>285</v>
      </c>
      <c r="B2880" t="s">
        <v>458</v>
      </c>
      <c r="C2880">
        <v>15</v>
      </c>
    </row>
    <row r="2881" spans="1:3" ht="15.75" customHeight="1" x14ac:dyDescent="0.2">
      <c r="A2881" t="s">
        <v>285</v>
      </c>
      <c r="B2881" t="s">
        <v>458</v>
      </c>
      <c r="C2881">
        <v>15</v>
      </c>
    </row>
    <row r="2882" spans="1:3" ht="15.75" customHeight="1" x14ac:dyDescent="0.2">
      <c r="A2882" t="s">
        <v>285</v>
      </c>
      <c r="B2882" t="s">
        <v>458</v>
      </c>
      <c r="C2882">
        <v>15</v>
      </c>
    </row>
    <row r="2883" spans="1:3" ht="15.75" customHeight="1" x14ac:dyDescent="0.2">
      <c r="A2883" t="s">
        <v>285</v>
      </c>
      <c r="B2883" t="s">
        <v>458</v>
      </c>
      <c r="C2883">
        <v>15</v>
      </c>
    </row>
    <row r="2884" spans="1:3" ht="15.75" customHeight="1" x14ac:dyDescent="0.2">
      <c r="A2884" t="s">
        <v>285</v>
      </c>
      <c r="B2884" t="s">
        <v>458</v>
      </c>
      <c r="C2884">
        <v>15</v>
      </c>
    </row>
    <row r="2885" spans="1:3" ht="15.75" customHeight="1" x14ac:dyDescent="0.2">
      <c r="A2885" t="s">
        <v>285</v>
      </c>
      <c r="B2885" t="s">
        <v>458</v>
      </c>
      <c r="C2885">
        <v>15</v>
      </c>
    </row>
    <row r="2886" spans="1:3" ht="15.75" customHeight="1" x14ac:dyDescent="0.2">
      <c r="A2886" t="s">
        <v>285</v>
      </c>
      <c r="B2886" t="s">
        <v>458</v>
      </c>
      <c r="C2886">
        <v>15</v>
      </c>
    </row>
    <row r="2887" spans="1:3" ht="15.75" customHeight="1" x14ac:dyDescent="0.2">
      <c r="A2887" t="s">
        <v>285</v>
      </c>
      <c r="B2887" t="s">
        <v>458</v>
      </c>
      <c r="C2887">
        <v>15</v>
      </c>
    </row>
    <row r="2888" spans="1:3" ht="15.75" customHeight="1" x14ac:dyDescent="0.2">
      <c r="A2888" t="s">
        <v>285</v>
      </c>
      <c r="B2888" t="s">
        <v>458</v>
      </c>
      <c r="C2888">
        <v>15</v>
      </c>
    </row>
    <row r="2889" spans="1:3" ht="15.75" customHeight="1" x14ac:dyDescent="0.2">
      <c r="A2889" t="s">
        <v>285</v>
      </c>
      <c r="B2889" t="s">
        <v>458</v>
      </c>
      <c r="C2889">
        <v>15</v>
      </c>
    </row>
    <row r="2890" spans="1:3" ht="15.75" customHeight="1" x14ac:dyDescent="0.2">
      <c r="A2890" t="s">
        <v>285</v>
      </c>
      <c r="B2890" t="s">
        <v>458</v>
      </c>
      <c r="C2890">
        <v>15</v>
      </c>
    </row>
    <row r="2891" spans="1:3" ht="15.75" customHeight="1" x14ac:dyDescent="0.2">
      <c r="A2891" t="s">
        <v>285</v>
      </c>
      <c r="B2891" t="s">
        <v>458</v>
      </c>
      <c r="C2891">
        <v>15</v>
      </c>
    </row>
    <row r="2892" spans="1:3" ht="15.75" customHeight="1" x14ac:dyDescent="0.2">
      <c r="A2892" t="s">
        <v>285</v>
      </c>
      <c r="B2892" t="s">
        <v>458</v>
      </c>
      <c r="C2892">
        <v>15</v>
      </c>
    </row>
    <row r="2893" spans="1:3" ht="15.75" customHeight="1" x14ac:dyDescent="0.2">
      <c r="A2893" t="s">
        <v>285</v>
      </c>
      <c r="B2893" t="s">
        <v>458</v>
      </c>
      <c r="C2893">
        <v>15</v>
      </c>
    </row>
    <row r="2894" spans="1:3" ht="15.75" customHeight="1" x14ac:dyDescent="0.2">
      <c r="A2894" t="s">
        <v>285</v>
      </c>
      <c r="B2894" t="s">
        <v>458</v>
      </c>
      <c r="C2894">
        <v>15</v>
      </c>
    </row>
    <row r="2895" spans="1:3" ht="15.75" customHeight="1" x14ac:dyDescent="0.2">
      <c r="A2895" t="s">
        <v>285</v>
      </c>
      <c r="B2895" t="s">
        <v>458</v>
      </c>
      <c r="C2895">
        <v>15</v>
      </c>
    </row>
    <row r="2896" spans="1:3" ht="15.75" customHeight="1" x14ac:dyDescent="0.2">
      <c r="A2896" t="s">
        <v>285</v>
      </c>
      <c r="B2896" t="s">
        <v>458</v>
      </c>
      <c r="C2896">
        <v>15</v>
      </c>
    </row>
    <row r="2897" spans="1:3" ht="15.75" customHeight="1" x14ac:dyDescent="0.2">
      <c r="A2897" t="s">
        <v>285</v>
      </c>
      <c r="B2897" t="s">
        <v>458</v>
      </c>
      <c r="C2897">
        <v>15</v>
      </c>
    </row>
    <row r="2898" spans="1:3" ht="15.75" customHeight="1" x14ac:dyDescent="0.2">
      <c r="A2898" t="s">
        <v>285</v>
      </c>
      <c r="B2898" t="s">
        <v>458</v>
      </c>
      <c r="C2898">
        <v>15</v>
      </c>
    </row>
    <row r="2899" spans="1:3" ht="15.75" customHeight="1" x14ac:dyDescent="0.2">
      <c r="A2899" t="s">
        <v>285</v>
      </c>
      <c r="B2899" t="s">
        <v>458</v>
      </c>
      <c r="C2899">
        <v>15</v>
      </c>
    </row>
    <row r="2900" spans="1:3" ht="15.75" customHeight="1" x14ac:dyDescent="0.2">
      <c r="A2900" t="s">
        <v>285</v>
      </c>
      <c r="B2900" t="s">
        <v>458</v>
      </c>
      <c r="C2900">
        <v>15</v>
      </c>
    </row>
    <row r="2901" spans="1:3" ht="15.75" customHeight="1" x14ac:dyDescent="0.2">
      <c r="A2901" t="s">
        <v>285</v>
      </c>
      <c r="B2901" t="s">
        <v>458</v>
      </c>
      <c r="C2901">
        <v>15</v>
      </c>
    </row>
    <row r="2902" spans="1:3" ht="15.75" customHeight="1" x14ac:dyDescent="0.2">
      <c r="A2902" t="s">
        <v>285</v>
      </c>
      <c r="B2902" t="s">
        <v>458</v>
      </c>
      <c r="C2902">
        <v>15</v>
      </c>
    </row>
    <row r="2903" spans="1:3" ht="15.75" customHeight="1" x14ac:dyDescent="0.2">
      <c r="A2903" t="s">
        <v>285</v>
      </c>
      <c r="B2903" t="s">
        <v>458</v>
      </c>
      <c r="C2903">
        <v>15</v>
      </c>
    </row>
    <row r="2904" spans="1:3" ht="15.75" customHeight="1" x14ac:dyDescent="0.2">
      <c r="A2904" t="s">
        <v>285</v>
      </c>
      <c r="B2904" t="s">
        <v>458</v>
      </c>
      <c r="C2904">
        <v>15</v>
      </c>
    </row>
    <row r="2905" spans="1:3" ht="15.75" customHeight="1" x14ac:dyDescent="0.2">
      <c r="A2905" t="s">
        <v>285</v>
      </c>
      <c r="B2905" t="s">
        <v>458</v>
      </c>
      <c r="C2905">
        <v>15</v>
      </c>
    </row>
    <row r="2906" spans="1:3" ht="15.75" customHeight="1" x14ac:dyDescent="0.2">
      <c r="A2906" t="s">
        <v>285</v>
      </c>
      <c r="B2906" t="s">
        <v>458</v>
      </c>
      <c r="C2906">
        <v>15</v>
      </c>
    </row>
    <row r="2907" spans="1:3" ht="15.75" customHeight="1" x14ac:dyDescent="0.2">
      <c r="A2907" t="s">
        <v>285</v>
      </c>
      <c r="B2907" t="s">
        <v>458</v>
      </c>
      <c r="C2907">
        <v>15</v>
      </c>
    </row>
    <row r="2908" spans="1:3" ht="15.75" customHeight="1" x14ac:dyDescent="0.2">
      <c r="A2908" t="s">
        <v>285</v>
      </c>
      <c r="B2908" t="s">
        <v>458</v>
      </c>
      <c r="C2908">
        <v>15</v>
      </c>
    </row>
    <row r="2909" spans="1:3" ht="15.75" customHeight="1" x14ac:dyDescent="0.2">
      <c r="A2909" t="s">
        <v>285</v>
      </c>
      <c r="B2909" t="s">
        <v>458</v>
      </c>
      <c r="C2909">
        <v>15</v>
      </c>
    </row>
    <row r="2910" spans="1:3" ht="15.75" customHeight="1" x14ac:dyDescent="0.2">
      <c r="A2910" t="s">
        <v>285</v>
      </c>
      <c r="B2910" t="s">
        <v>458</v>
      </c>
      <c r="C2910">
        <v>15</v>
      </c>
    </row>
    <row r="2911" spans="1:3" ht="15.75" customHeight="1" x14ac:dyDescent="0.2">
      <c r="A2911" t="s">
        <v>285</v>
      </c>
      <c r="B2911" t="s">
        <v>458</v>
      </c>
      <c r="C2911">
        <v>15</v>
      </c>
    </row>
    <row r="2912" spans="1:3" ht="15.75" customHeight="1" x14ac:dyDescent="0.2">
      <c r="A2912" t="s">
        <v>285</v>
      </c>
      <c r="B2912" t="s">
        <v>458</v>
      </c>
      <c r="C2912">
        <v>15</v>
      </c>
    </row>
    <row r="2913" spans="1:3" ht="15.75" customHeight="1" x14ac:dyDescent="0.2">
      <c r="A2913" t="s">
        <v>285</v>
      </c>
      <c r="B2913" t="s">
        <v>458</v>
      </c>
      <c r="C2913">
        <v>15</v>
      </c>
    </row>
    <row r="2914" spans="1:3" ht="15.75" customHeight="1" x14ac:dyDescent="0.2">
      <c r="A2914" t="s">
        <v>285</v>
      </c>
      <c r="B2914" t="s">
        <v>458</v>
      </c>
      <c r="C2914">
        <v>15</v>
      </c>
    </row>
    <row r="2915" spans="1:3" ht="15.75" customHeight="1" x14ac:dyDescent="0.2">
      <c r="A2915" t="s">
        <v>285</v>
      </c>
      <c r="B2915" t="s">
        <v>458</v>
      </c>
      <c r="C2915">
        <v>15</v>
      </c>
    </row>
    <row r="2916" spans="1:3" ht="15.75" customHeight="1" x14ac:dyDescent="0.2">
      <c r="A2916" t="s">
        <v>285</v>
      </c>
      <c r="B2916" t="s">
        <v>458</v>
      </c>
      <c r="C2916">
        <v>15</v>
      </c>
    </row>
    <row r="2917" spans="1:3" ht="15.75" customHeight="1" x14ac:dyDescent="0.2">
      <c r="A2917" t="s">
        <v>285</v>
      </c>
      <c r="B2917" t="s">
        <v>458</v>
      </c>
      <c r="C2917">
        <v>15</v>
      </c>
    </row>
    <row r="2918" spans="1:3" ht="15.75" customHeight="1" x14ac:dyDescent="0.2">
      <c r="A2918" t="s">
        <v>285</v>
      </c>
      <c r="B2918" t="s">
        <v>458</v>
      </c>
      <c r="C2918">
        <v>15</v>
      </c>
    </row>
    <row r="2919" spans="1:3" ht="15.75" customHeight="1" x14ac:dyDescent="0.2">
      <c r="A2919" t="s">
        <v>285</v>
      </c>
      <c r="B2919" t="s">
        <v>458</v>
      </c>
      <c r="C2919">
        <v>15</v>
      </c>
    </row>
    <row r="2920" spans="1:3" ht="15.75" customHeight="1" x14ac:dyDescent="0.2">
      <c r="A2920" t="s">
        <v>285</v>
      </c>
      <c r="B2920" t="s">
        <v>458</v>
      </c>
      <c r="C2920">
        <v>15</v>
      </c>
    </row>
    <row r="2921" spans="1:3" ht="15.75" customHeight="1" x14ac:dyDescent="0.2">
      <c r="A2921" t="s">
        <v>285</v>
      </c>
      <c r="B2921" t="s">
        <v>458</v>
      </c>
      <c r="C2921">
        <v>15</v>
      </c>
    </row>
    <row r="2922" spans="1:3" ht="15.75" customHeight="1" x14ac:dyDescent="0.2">
      <c r="A2922" t="s">
        <v>285</v>
      </c>
      <c r="B2922" t="s">
        <v>458</v>
      </c>
      <c r="C2922">
        <v>15</v>
      </c>
    </row>
    <row r="2923" spans="1:3" ht="15.75" customHeight="1" x14ac:dyDescent="0.2">
      <c r="A2923" t="s">
        <v>285</v>
      </c>
      <c r="B2923" t="s">
        <v>458</v>
      </c>
      <c r="C2923">
        <v>15</v>
      </c>
    </row>
    <row r="2924" spans="1:3" ht="15.75" customHeight="1" x14ac:dyDescent="0.2">
      <c r="A2924" t="s">
        <v>285</v>
      </c>
      <c r="B2924" t="s">
        <v>458</v>
      </c>
      <c r="C2924">
        <v>15</v>
      </c>
    </row>
    <row r="2925" spans="1:3" ht="15.75" customHeight="1" x14ac:dyDescent="0.2">
      <c r="A2925" t="s">
        <v>285</v>
      </c>
      <c r="B2925" t="s">
        <v>458</v>
      </c>
      <c r="C2925">
        <v>15</v>
      </c>
    </row>
    <row r="2926" spans="1:3" ht="15.75" customHeight="1" x14ac:dyDescent="0.2">
      <c r="A2926" t="s">
        <v>285</v>
      </c>
      <c r="B2926" t="s">
        <v>458</v>
      </c>
      <c r="C2926">
        <v>15</v>
      </c>
    </row>
    <row r="2927" spans="1:3" ht="15.75" customHeight="1" x14ac:dyDescent="0.2">
      <c r="A2927" t="s">
        <v>285</v>
      </c>
      <c r="B2927" t="s">
        <v>458</v>
      </c>
      <c r="C2927">
        <v>15</v>
      </c>
    </row>
    <row r="2928" spans="1:3" ht="15.75" customHeight="1" x14ac:dyDescent="0.2">
      <c r="A2928" t="s">
        <v>285</v>
      </c>
      <c r="B2928" t="s">
        <v>458</v>
      </c>
      <c r="C2928">
        <v>15</v>
      </c>
    </row>
    <row r="2929" spans="1:3" ht="15.75" customHeight="1" x14ac:dyDescent="0.2">
      <c r="A2929" t="s">
        <v>285</v>
      </c>
      <c r="B2929" t="s">
        <v>458</v>
      </c>
      <c r="C2929">
        <v>15</v>
      </c>
    </row>
    <row r="2930" spans="1:3" ht="15.75" customHeight="1" x14ac:dyDescent="0.2">
      <c r="A2930" t="s">
        <v>285</v>
      </c>
      <c r="B2930" t="s">
        <v>458</v>
      </c>
      <c r="C2930">
        <v>15</v>
      </c>
    </row>
    <row r="2931" spans="1:3" ht="15.75" customHeight="1" x14ac:dyDescent="0.2">
      <c r="A2931" t="s">
        <v>285</v>
      </c>
      <c r="B2931" t="s">
        <v>458</v>
      </c>
      <c r="C2931">
        <v>15</v>
      </c>
    </row>
    <row r="2932" spans="1:3" ht="15.75" customHeight="1" x14ac:dyDescent="0.2">
      <c r="A2932" t="s">
        <v>285</v>
      </c>
      <c r="B2932" t="s">
        <v>458</v>
      </c>
      <c r="C2932">
        <v>15</v>
      </c>
    </row>
    <row r="2933" spans="1:3" ht="15.75" customHeight="1" x14ac:dyDescent="0.2">
      <c r="A2933" t="s">
        <v>285</v>
      </c>
      <c r="B2933" t="s">
        <v>458</v>
      </c>
      <c r="C2933">
        <v>15</v>
      </c>
    </row>
    <row r="2934" spans="1:3" ht="15.75" customHeight="1" x14ac:dyDescent="0.2">
      <c r="A2934" t="s">
        <v>285</v>
      </c>
      <c r="B2934" t="s">
        <v>458</v>
      </c>
      <c r="C2934">
        <v>15</v>
      </c>
    </row>
    <row r="2935" spans="1:3" ht="15.75" customHeight="1" x14ac:dyDescent="0.2">
      <c r="A2935" t="s">
        <v>285</v>
      </c>
      <c r="B2935" t="s">
        <v>458</v>
      </c>
      <c r="C2935">
        <v>15</v>
      </c>
    </row>
    <row r="2936" spans="1:3" ht="15.75" customHeight="1" x14ac:dyDescent="0.2">
      <c r="A2936" t="s">
        <v>285</v>
      </c>
      <c r="B2936" t="s">
        <v>458</v>
      </c>
      <c r="C2936">
        <v>15</v>
      </c>
    </row>
    <row r="2937" spans="1:3" ht="15.75" customHeight="1" x14ac:dyDescent="0.2">
      <c r="A2937" t="s">
        <v>285</v>
      </c>
      <c r="B2937" t="s">
        <v>458</v>
      </c>
      <c r="C2937">
        <v>15</v>
      </c>
    </row>
    <row r="2938" spans="1:3" ht="15.75" customHeight="1" x14ac:dyDescent="0.2">
      <c r="A2938" t="s">
        <v>285</v>
      </c>
      <c r="B2938" t="s">
        <v>458</v>
      </c>
      <c r="C2938">
        <v>15</v>
      </c>
    </row>
    <row r="2939" spans="1:3" ht="15.75" customHeight="1" x14ac:dyDescent="0.2">
      <c r="A2939" t="s">
        <v>285</v>
      </c>
      <c r="B2939" t="s">
        <v>458</v>
      </c>
      <c r="C2939">
        <v>15</v>
      </c>
    </row>
    <row r="2940" spans="1:3" ht="15.75" customHeight="1" x14ac:dyDescent="0.2">
      <c r="A2940" t="s">
        <v>285</v>
      </c>
      <c r="B2940" t="s">
        <v>458</v>
      </c>
      <c r="C2940">
        <v>15</v>
      </c>
    </row>
    <row r="2941" spans="1:3" ht="15.75" customHeight="1" x14ac:dyDescent="0.2">
      <c r="A2941" t="s">
        <v>285</v>
      </c>
      <c r="B2941" t="s">
        <v>458</v>
      </c>
      <c r="C2941">
        <v>15</v>
      </c>
    </row>
    <row r="2942" spans="1:3" ht="15.75" customHeight="1" x14ac:dyDescent="0.2">
      <c r="A2942" t="s">
        <v>285</v>
      </c>
      <c r="B2942" t="s">
        <v>458</v>
      </c>
      <c r="C2942">
        <v>15</v>
      </c>
    </row>
    <row r="2943" spans="1:3" ht="15.75" customHeight="1" x14ac:dyDescent="0.2">
      <c r="A2943" t="s">
        <v>285</v>
      </c>
      <c r="B2943" t="s">
        <v>458</v>
      </c>
      <c r="C2943">
        <v>15</v>
      </c>
    </row>
    <row r="2944" spans="1:3" ht="15.75" customHeight="1" x14ac:dyDescent="0.2">
      <c r="A2944" t="s">
        <v>285</v>
      </c>
      <c r="B2944" t="s">
        <v>458</v>
      </c>
      <c r="C2944">
        <v>15</v>
      </c>
    </row>
    <row r="2945" spans="1:3" ht="15.75" customHeight="1" x14ac:dyDescent="0.2">
      <c r="A2945" t="s">
        <v>285</v>
      </c>
      <c r="B2945" t="s">
        <v>458</v>
      </c>
      <c r="C2945">
        <v>15</v>
      </c>
    </row>
    <row r="2946" spans="1:3" ht="15.75" customHeight="1" x14ac:dyDescent="0.2">
      <c r="A2946" t="s">
        <v>285</v>
      </c>
      <c r="B2946" t="s">
        <v>458</v>
      </c>
      <c r="C2946">
        <v>15</v>
      </c>
    </row>
    <row r="2947" spans="1:3" ht="15.75" customHeight="1" x14ac:dyDescent="0.2">
      <c r="A2947" t="s">
        <v>285</v>
      </c>
      <c r="B2947" t="s">
        <v>458</v>
      </c>
      <c r="C2947">
        <v>15</v>
      </c>
    </row>
    <row r="2948" spans="1:3" ht="15.75" customHeight="1" x14ac:dyDescent="0.2">
      <c r="A2948" t="s">
        <v>285</v>
      </c>
      <c r="B2948" t="s">
        <v>458</v>
      </c>
      <c r="C2948">
        <v>15</v>
      </c>
    </row>
    <row r="2949" spans="1:3" ht="15.75" customHeight="1" x14ac:dyDescent="0.2">
      <c r="A2949" t="s">
        <v>285</v>
      </c>
      <c r="B2949" t="s">
        <v>458</v>
      </c>
      <c r="C2949">
        <v>15</v>
      </c>
    </row>
    <row r="2950" spans="1:3" ht="15.75" customHeight="1" x14ac:dyDescent="0.2">
      <c r="A2950" t="s">
        <v>285</v>
      </c>
      <c r="B2950" t="s">
        <v>458</v>
      </c>
      <c r="C2950">
        <v>15</v>
      </c>
    </row>
    <row r="2951" spans="1:3" ht="15.75" customHeight="1" x14ac:dyDescent="0.2">
      <c r="A2951" t="s">
        <v>285</v>
      </c>
      <c r="B2951" t="s">
        <v>458</v>
      </c>
      <c r="C2951">
        <v>15</v>
      </c>
    </row>
    <row r="2952" spans="1:3" ht="15.75" customHeight="1" x14ac:dyDescent="0.2">
      <c r="A2952" t="s">
        <v>285</v>
      </c>
      <c r="B2952" t="s">
        <v>458</v>
      </c>
      <c r="C2952">
        <v>15</v>
      </c>
    </row>
    <row r="2953" spans="1:3" ht="15.75" customHeight="1" x14ac:dyDescent="0.2">
      <c r="A2953" t="s">
        <v>285</v>
      </c>
      <c r="B2953" t="s">
        <v>458</v>
      </c>
      <c r="C2953">
        <v>15</v>
      </c>
    </row>
    <row r="2954" spans="1:3" ht="15.75" customHeight="1" x14ac:dyDescent="0.2">
      <c r="A2954" t="s">
        <v>285</v>
      </c>
      <c r="B2954" t="s">
        <v>458</v>
      </c>
      <c r="C2954">
        <v>15</v>
      </c>
    </row>
    <row r="2955" spans="1:3" ht="15.75" customHeight="1" x14ac:dyDescent="0.2">
      <c r="A2955" t="s">
        <v>285</v>
      </c>
      <c r="B2955" t="s">
        <v>458</v>
      </c>
      <c r="C2955">
        <v>15</v>
      </c>
    </row>
    <row r="2956" spans="1:3" ht="15.75" customHeight="1" x14ac:dyDescent="0.2">
      <c r="A2956" t="s">
        <v>285</v>
      </c>
      <c r="B2956" t="s">
        <v>458</v>
      </c>
      <c r="C2956">
        <v>15</v>
      </c>
    </row>
    <row r="2957" spans="1:3" ht="15.75" customHeight="1" x14ac:dyDescent="0.2">
      <c r="A2957" t="s">
        <v>285</v>
      </c>
      <c r="B2957" t="s">
        <v>458</v>
      </c>
      <c r="C2957">
        <v>15</v>
      </c>
    </row>
    <row r="2958" spans="1:3" ht="15.75" customHeight="1" x14ac:dyDescent="0.2">
      <c r="A2958" t="s">
        <v>285</v>
      </c>
      <c r="B2958" t="s">
        <v>458</v>
      </c>
      <c r="C2958">
        <v>15</v>
      </c>
    </row>
    <row r="2959" spans="1:3" ht="15.75" customHeight="1" x14ac:dyDescent="0.2">
      <c r="A2959" t="s">
        <v>285</v>
      </c>
      <c r="B2959" t="s">
        <v>458</v>
      </c>
      <c r="C2959">
        <v>15</v>
      </c>
    </row>
    <row r="2960" spans="1:3" ht="15.75" customHeight="1" x14ac:dyDescent="0.2">
      <c r="A2960" t="s">
        <v>285</v>
      </c>
      <c r="B2960" t="s">
        <v>458</v>
      </c>
      <c r="C2960">
        <v>15</v>
      </c>
    </row>
    <row r="2961" spans="1:3" ht="15.75" customHeight="1" x14ac:dyDescent="0.2">
      <c r="A2961" t="s">
        <v>285</v>
      </c>
      <c r="B2961" t="s">
        <v>458</v>
      </c>
      <c r="C2961">
        <v>15</v>
      </c>
    </row>
    <row r="2962" spans="1:3" ht="15.75" customHeight="1" x14ac:dyDescent="0.2">
      <c r="A2962" t="s">
        <v>285</v>
      </c>
      <c r="B2962" t="s">
        <v>458</v>
      </c>
      <c r="C2962">
        <v>15</v>
      </c>
    </row>
    <row r="2963" spans="1:3" ht="15.75" customHeight="1" x14ac:dyDescent="0.2">
      <c r="A2963" t="s">
        <v>285</v>
      </c>
      <c r="B2963" t="s">
        <v>458</v>
      </c>
      <c r="C2963">
        <v>15</v>
      </c>
    </row>
    <row r="2964" spans="1:3" ht="15.75" customHeight="1" x14ac:dyDescent="0.2">
      <c r="A2964" t="s">
        <v>285</v>
      </c>
      <c r="B2964" t="s">
        <v>458</v>
      </c>
      <c r="C2964">
        <v>15</v>
      </c>
    </row>
    <row r="2965" spans="1:3" ht="15.75" customHeight="1" x14ac:dyDescent="0.2">
      <c r="A2965" t="s">
        <v>285</v>
      </c>
      <c r="B2965" t="s">
        <v>458</v>
      </c>
      <c r="C2965">
        <v>15</v>
      </c>
    </row>
    <row r="2966" spans="1:3" ht="15.75" customHeight="1" x14ac:dyDescent="0.2">
      <c r="A2966" t="s">
        <v>285</v>
      </c>
      <c r="B2966" t="s">
        <v>458</v>
      </c>
      <c r="C2966">
        <v>15</v>
      </c>
    </row>
    <row r="2967" spans="1:3" ht="15.75" customHeight="1" x14ac:dyDescent="0.2">
      <c r="A2967" t="s">
        <v>285</v>
      </c>
      <c r="B2967" t="s">
        <v>458</v>
      </c>
      <c r="C2967">
        <v>15</v>
      </c>
    </row>
    <row r="2968" spans="1:3" ht="15.75" customHeight="1" x14ac:dyDescent="0.2">
      <c r="A2968" t="s">
        <v>285</v>
      </c>
      <c r="B2968" t="s">
        <v>458</v>
      </c>
      <c r="C2968">
        <v>15</v>
      </c>
    </row>
    <row r="2969" spans="1:3" ht="15.75" customHeight="1" x14ac:dyDescent="0.2">
      <c r="A2969" t="s">
        <v>285</v>
      </c>
      <c r="B2969" t="s">
        <v>458</v>
      </c>
      <c r="C2969">
        <v>15</v>
      </c>
    </row>
    <row r="2970" spans="1:3" ht="15.75" customHeight="1" x14ac:dyDescent="0.2">
      <c r="A2970" t="s">
        <v>285</v>
      </c>
      <c r="B2970" t="s">
        <v>458</v>
      </c>
      <c r="C2970">
        <v>15</v>
      </c>
    </row>
    <row r="2971" spans="1:3" ht="15.75" customHeight="1" x14ac:dyDescent="0.2">
      <c r="A2971" t="s">
        <v>285</v>
      </c>
      <c r="B2971" t="s">
        <v>458</v>
      </c>
      <c r="C2971">
        <v>15</v>
      </c>
    </row>
    <row r="2972" spans="1:3" ht="15.75" customHeight="1" x14ac:dyDescent="0.2">
      <c r="A2972" t="s">
        <v>285</v>
      </c>
      <c r="B2972" t="s">
        <v>458</v>
      </c>
      <c r="C2972">
        <v>15</v>
      </c>
    </row>
    <row r="2973" spans="1:3" ht="15.75" customHeight="1" x14ac:dyDescent="0.2">
      <c r="A2973" t="s">
        <v>285</v>
      </c>
      <c r="B2973" t="s">
        <v>458</v>
      </c>
      <c r="C2973">
        <v>15</v>
      </c>
    </row>
    <row r="2974" spans="1:3" ht="15.75" customHeight="1" x14ac:dyDescent="0.2">
      <c r="A2974" t="s">
        <v>285</v>
      </c>
      <c r="B2974" t="s">
        <v>458</v>
      </c>
      <c r="C2974">
        <v>15</v>
      </c>
    </row>
    <row r="2975" spans="1:3" ht="15.75" customHeight="1" x14ac:dyDescent="0.2">
      <c r="A2975" t="s">
        <v>285</v>
      </c>
      <c r="B2975" t="s">
        <v>458</v>
      </c>
      <c r="C2975">
        <v>15</v>
      </c>
    </row>
    <row r="2976" spans="1:3" ht="15.75" customHeight="1" x14ac:dyDescent="0.2">
      <c r="A2976" t="s">
        <v>285</v>
      </c>
      <c r="B2976" t="s">
        <v>458</v>
      </c>
      <c r="C2976">
        <v>15</v>
      </c>
    </row>
    <row r="2977" spans="1:3" ht="15.75" customHeight="1" x14ac:dyDescent="0.2">
      <c r="A2977" t="s">
        <v>285</v>
      </c>
      <c r="B2977" t="s">
        <v>458</v>
      </c>
      <c r="C2977">
        <v>15</v>
      </c>
    </row>
    <row r="2978" spans="1:3" ht="15.75" customHeight="1" x14ac:dyDescent="0.2">
      <c r="A2978" t="s">
        <v>285</v>
      </c>
      <c r="B2978" t="s">
        <v>458</v>
      </c>
      <c r="C2978">
        <v>15</v>
      </c>
    </row>
    <row r="2979" spans="1:3" ht="15.75" customHeight="1" x14ac:dyDescent="0.2">
      <c r="A2979" t="s">
        <v>285</v>
      </c>
      <c r="B2979" t="s">
        <v>458</v>
      </c>
      <c r="C2979">
        <v>15</v>
      </c>
    </row>
    <row r="2980" spans="1:3" ht="15.75" customHeight="1" x14ac:dyDescent="0.2">
      <c r="A2980" t="s">
        <v>285</v>
      </c>
      <c r="B2980" t="s">
        <v>458</v>
      </c>
      <c r="C2980">
        <v>15</v>
      </c>
    </row>
    <row r="2981" spans="1:3" ht="15.75" customHeight="1" x14ac:dyDescent="0.2">
      <c r="A2981" t="s">
        <v>285</v>
      </c>
      <c r="B2981" t="s">
        <v>458</v>
      </c>
      <c r="C2981">
        <v>15</v>
      </c>
    </row>
    <row r="2982" spans="1:3" ht="15.75" customHeight="1" x14ac:dyDescent="0.2">
      <c r="A2982" t="s">
        <v>285</v>
      </c>
      <c r="B2982" t="s">
        <v>458</v>
      </c>
      <c r="C2982">
        <v>15</v>
      </c>
    </row>
    <row r="2983" spans="1:3" ht="15.75" customHeight="1" x14ac:dyDescent="0.2">
      <c r="A2983" t="s">
        <v>285</v>
      </c>
      <c r="B2983" t="s">
        <v>458</v>
      </c>
      <c r="C2983">
        <v>15</v>
      </c>
    </row>
    <row r="2984" spans="1:3" ht="15.75" customHeight="1" x14ac:dyDescent="0.2">
      <c r="A2984" t="s">
        <v>285</v>
      </c>
      <c r="B2984" t="s">
        <v>458</v>
      </c>
      <c r="C2984">
        <v>15</v>
      </c>
    </row>
    <row r="2985" spans="1:3" ht="15.75" customHeight="1" x14ac:dyDescent="0.2">
      <c r="A2985" t="s">
        <v>285</v>
      </c>
      <c r="B2985" t="s">
        <v>458</v>
      </c>
      <c r="C2985">
        <v>15</v>
      </c>
    </row>
    <row r="2986" spans="1:3" ht="15.75" customHeight="1" x14ac:dyDescent="0.2">
      <c r="A2986" t="s">
        <v>285</v>
      </c>
      <c r="B2986" t="s">
        <v>458</v>
      </c>
      <c r="C2986">
        <v>15</v>
      </c>
    </row>
    <row r="2987" spans="1:3" ht="15.75" customHeight="1" x14ac:dyDescent="0.2">
      <c r="A2987" t="s">
        <v>285</v>
      </c>
      <c r="B2987" t="s">
        <v>458</v>
      </c>
      <c r="C2987">
        <v>15</v>
      </c>
    </row>
    <row r="2988" spans="1:3" ht="15.75" customHeight="1" x14ac:dyDescent="0.2">
      <c r="A2988" t="s">
        <v>285</v>
      </c>
      <c r="B2988" t="s">
        <v>458</v>
      </c>
      <c r="C2988">
        <v>15</v>
      </c>
    </row>
    <row r="2989" spans="1:3" ht="15.75" customHeight="1" x14ac:dyDescent="0.2">
      <c r="A2989" t="s">
        <v>285</v>
      </c>
      <c r="B2989" t="s">
        <v>458</v>
      </c>
      <c r="C2989">
        <v>15</v>
      </c>
    </row>
    <row r="2990" spans="1:3" ht="15.75" customHeight="1" x14ac:dyDescent="0.2">
      <c r="A2990" t="s">
        <v>285</v>
      </c>
      <c r="B2990" t="s">
        <v>458</v>
      </c>
      <c r="C2990">
        <v>15</v>
      </c>
    </row>
    <row r="2991" spans="1:3" ht="15.75" customHeight="1" x14ac:dyDescent="0.2">
      <c r="A2991" t="s">
        <v>285</v>
      </c>
      <c r="B2991" t="s">
        <v>458</v>
      </c>
      <c r="C2991">
        <v>15</v>
      </c>
    </row>
    <row r="2992" spans="1:3" ht="15.75" customHeight="1" x14ac:dyDescent="0.2">
      <c r="A2992" t="s">
        <v>285</v>
      </c>
      <c r="B2992" t="s">
        <v>458</v>
      </c>
      <c r="C2992">
        <v>15</v>
      </c>
    </row>
    <row r="2993" spans="1:3" ht="15.75" customHeight="1" x14ac:dyDescent="0.2">
      <c r="A2993" t="s">
        <v>285</v>
      </c>
      <c r="B2993" t="s">
        <v>458</v>
      </c>
      <c r="C2993">
        <v>15</v>
      </c>
    </row>
    <row r="2994" spans="1:3" ht="15.75" customHeight="1" x14ac:dyDescent="0.2">
      <c r="A2994" t="s">
        <v>285</v>
      </c>
      <c r="B2994" t="s">
        <v>458</v>
      </c>
      <c r="C2994">
        <v>15</v>
      </c>
    </row>
    <row r="2995" spans="1:3" ht="15.75" customHeight="1" x14ac:dyDescent="0.2">
      <c r="A2995" t="s">
        <v>285</v>
      </c>
      <c r="B2995" t="s">
        <v>458</v>
      </c>
      <c r="C2995">
        <v>15</v>
      </c>
    </row>
    <row r="2996" spans="1:3" ht="15.75" customHeight="1" x14ac:dyDescent="0.2">
      <c r="A2996" t="s">
        <v>285</v>
      </c>
      <c r="B2996" t="s">
        <v>458</v>
      </c>
      <c r="C2996">
        <v>15</v>
      </c>
    </row>
    <row r="2997" spans="1:3" ht="15.75" customHeight="1" x14ac:dyDescent="0.2">
      <c r="A2997" t="s">
        <v>285</v>
      </c>
      <c r="B2997" t="s">
        <v>458</v>
      </c>
      <c r="C2997">
        <v>15</v>
      </c>
    </row>
    <row r="2998" spans="1:3" ht="15.75" customHeight="1" x14ac:dyDescent="0.2">
      <c r="A2998" t="s">
        <v>285</v>
      </c>
      <c r="B2998" t="s">
        <v>458</v>
      </c>
      <c r="C2998">
        <v>15</v>
      </c>
    </row>
    <row r="2999" spans="1:3" ht="15.75" customHeight="1" x14ac:dyDescent="0.2">
      <c r="A2999" t="s">
        <v>285</v>
      </c>
      <c r="B2999" t="s">
        <v>458</v>
      </c>
      <c r="C2999">
        <v>15</v>
      </c>
    </row>
    <row r="3000" spans="1:3" ht="15.75" customHeight="1" x14ac:dyDescent="0.2">
      <c r="A3000" t="s">
        <v>285</v>
      </c>
      <c r="B3000" t="s">
        <v>458</v>
      </c>
      <c r="C3000">
        <v>15</v>
      </c>
    </row>
    <row r="3001" spans="1:3" ht="15.75" customHeight="1" x14ac:dyDescent="0.2">
      <c r="A3001" t="s">
        <v>285</v>
      </c>
      <c r="B3001" t="s">
        <v>458</v>
      </c>
      <c r="C3001">
        <v>15</v>
      </c>
    </row>
    <row r="3002" spans="1:3" ht="15.75" customHeight="1" x14ac:dyDescent="0.2">
      <c r="A3002" t="s">
        <v>285</v>
      </c>
      <c r="B3002" t="s">
        <v>458</v>
      </c>
      <c r="C3002">
        <v>15</v>
      </c>
    </row>
    <row r="3003" spans="1:3" ht="15.75" customHeight="1" x14ac:dyDescent="0.2">
      <c r="A3003" t="s">
        <v>285</v>
      </c>
      <c r="B3003" t="s">
        <v>458</v>
      </c>
      <c r="C3003">
        <v>15</v>
      </c>
    </row>
    <row r="3004" spans="1:3" ht="15.75" customHeight="1" x14ac:dyDescent="0.2">
      <c r="A3004" t="s">
        <v>285</v>
      </c>
      <c r="B3004" t="s">
        <v>458</v>
      </c>
      <c r="C3004">
        <v>15</v>
      </c>
    </row>
    <row r="3005" spans="1:3" ht="15.75" customHeight="1" x14ac:dyDescent="0.2">
      <c r="A3005" t="s">
        <v>285</v>
      </c>
      <c r="B3005" t="s">
        <v>458</v>
      </c>
      <c r="C3005">
        <v>15</v>
      </c>
    </row>
    <row r="3006" spans="1:3" ht="15.75" customHeight="1" x14ac:dyDescent="0.2">
      <c r="A3006" t="s">
        <v>285</v>
      </c>
      <c r="B3006" t="s">
        <v>458</v>
      </c>
      <c r="C3006">
        <v>15</v>
      </c>
    </row>
    <row r="3007" spans="1:3" ht="15.75" customHeight="1" x14ac:dyDescent="0.2">
      <c r="A3007" t="s">
        <v>285</v>
      </c>
      <c r="B3007" t="s">
        <v>458</v>
      </c>
      <c r="C3007">
        <v>15</v>
      </c>
    </row>
    <row r="3008" spans="1:3" ht="15.75" customHeight="1" x14ac:dyDescent="0.2">
      <c r="A3008" t="s">
        <v>285</v>
      </c>
      <c r="B3008" t="s">
        <v>458</v>
      </c>
      <c r="C3008">
        <v>15</v>
      </c>
    </row>
    <row r="3009" spans="1:3" ht="15.75" customHeight="1" x14ac:dyDescent="0.2">
      <c r="A3009" t="s">
        <v>285</v>
      </c>
      <c r="B3009" t="s">
        <v>458</v>
      </c>
      <c r="C3009">
        <v>15</v>
      </c>
    </row>
    <row r="3010" spans="1:3" ht="15.75" customHeight="1" x14ac:dyDescent="0.2">
      <c r="A3010" t="s">
        <v>285</v>
      </c>
      <c r="B3010" t="s">
        <v>458</v>
      </c>
      <c r="C3010">
        <v>15</v>
      </c>
    </row>
    <row r="3011" spans="1:3" ht="15.75" customHeight="1" x14ac:dyDescent="0.2">
      <c r="A3011" t="s">
        <v>285</v>
      </c>
      <c r="B3011" t="s">
        <v>458</v>
      </c>
      <c r="C3011">
        <v>15</v>
      </c>
    </row>
    <row r="3012" spans="1:3" ht="15.75" customHeight="1" x14ac:dyDescent="0.2">
      <c r="A3012" t="s">
        <v>285</v>
      </c>
      <c r="B3012" t="s">
        <v>458</v>
      </c>
      <c r="C3012">
        <v>15</v>
      </c>
    </row>
    <row r="3013" spans="1:3" ht="15.75" customHeight="1" x14ac:dyDescent="0.2">
      <c r="A3013" t="s">
        <v>285</v>
      </c>
      <c r="B3013" t="s">
        <v>458</v>
      </c>
      <c r="C3013">
        <v>15</v>
      </c>
    </row>
    <row r="3014" spans="1:3" ht="15.75" customHeight="1" x14ac:dyDescent="0.2">
      <c r="A3014" t="s">
        <v>285</v>
      </c>
      <c r="B3014" t="s">
        <v>458</v>
      </c>
      <c r="C3014">
        <v>15</v>
      </c>
    </row>
    <row r="3015" spans="1:3" ht="15.75" customHeight="1" x14ac:dyDescent="0.2">
      <c r="A3015" t="s">
        <v>285</v>
      </c>
      <c r="B3015" t="s">
        <v>458</v>
      </c>
      <c r="C3015">
        <v>15</v>
      </c>
    </row>
    <row r="3016" spans="1:3" ht="15.75" customHeight="1" x14ac:dyDescent="0.2">
      <c r="A3016" t="s">
        <v>285</v>
      </c>
      <c r="B3016" t="s">
        <v>458</v>
      </c>
      <c r="C3016">
        <v>15</v>
      </c>
    </row>
    <row r="3017" spans="1:3" ht="15.75" customHeight="1" x14ac:dyDescent="0.2">
      <c r="A3017" t="s">
        <v>285</v>
      </c>
      <c r="B3017" t="s">
        <v>458</v>
      </c>
      <c r="C3017">
        <v>15</v>
      </c>
    </row>
    <row r="3018" spans="1:3" ht="15.75" customHeight="1" x14ac:dyDescent="0.2">
      <c r="A3018" t="s">
        <v>285</v>
      </c>
      <c r="B3018" t="s">
        <v>458</v>
      </c>
      <c r="C3018">
        <v>15</v>
      </c>
    </row>
    <row r="3019" spans="1:3" ht="15.75" customHeight="1" x14ac:dyDescent="0.2">
      <c r="A3019" t="s">
        <v>285</v>
      </c>
      <c r="B3019" t="s">
        <v>458</v>
      </c>
      <c r="C3019">
        <v>15</v>
      </c>
    </row>
    <row r="3020" spans="1:3" ht="15.75" customHeight="1" x14ac:dyDescent="0.2">
      <c r="A3020" t="s">
        <v>285</v>
      </c>
      <c r="B3020" t="s">
        <v>458</v>
      </c>
      <c r="C3020">
        <v>15</v>
      </c>
    </row>
    <row r="3021" spans="1:3" ht="15.75" customHeight="1" x14ac:dyDescent="0.2">
      <c r="A3021" t="s">
        <v>285</v>
      </c>
      <c r="B3021" t="s">
        <v>458</v>
      </c>
      <c r="C3021">
        <v>15</v>
      </c>
    </row>
    <row r="3022" spans="1:3" ht="15.75" customHeight="1" x14ac:dyDescent="0.2">
      <c r="A3022" t="s">
        <v>285</v>
      </c>
      <c r="B3022" t="s">
        <v>458</v>
      </c>
      <c r="C3022">
        <v>15</v>
      </c>
    </row>
    <row r="3023" spans="1:3" ht="15.75" customHeight="1" x14ac:dyDescent="0.2">
      <c r="A3023" t="s">
        <v>285</v>
      </c>
      <c r="B3023" t="s">
        <v>458</v>
      </c>
      <c r="C3023">
        <v>15</v>
      </c>
    </row>
    <row r="3024" spans="1:3" ht="15.75" customHeight="1" x14ac:dyDescent="0.2">
      <c r="A3024" t="s">
        <v>285</v>
      </c>
      <c r="B3024" t="s">
        <v>458</v>
      </c>
      <c r="C3024">
        <v>15</v>
      </c>
    </row>
    <row r="3025" spans="1:3" ht="15.75" customHeight="1" x14ac:dyDescent="0.2">
      <c r="A3025" t="s">
        <v>285</v>
      </c>
      <c r="B3025" t="s">
        <v>458</v>
      </c>
      <c r="C3025">
        <v>15</v>
      </c>
    </row>
    <row r="3026" spans="1:3" ht="15.75" customHeight="1" x14ac:dyDescent="0.2">
      <c r="A3026" t="s">
        <v>285</v>
      </c>
      <c r="B3026" t="s">
        <v>458</v>
      </c>
      <c r="C3026">
        <v>15</v>
      </c>
    </row>
    <row r="3027" spans="1:3" ht="15.75" customHeight="1" x14ac:dyDescent="0.2">
      <c r="A3027" t="s">
        <v>285</v>
      </c>
      <c r="B3027" t="s">
        <v>458</v>
      </c>
      <c r="C3027">
        <v>15</v>
      </c>
    </row>
    <row r="3028" spans="1:3" ht="15.75" customHeight="1" x14ac:dyDescent="0.2">
      <c r="A3028" t="s">
        <v>285</v>
      </c>
      <c r="B3028" t="s">
        <v>458</v>
      </c>
      <c r="C3028">
        <v>15</v>
      </c>
    </row>
    <row r="3029" spans="1:3" ht="15.75" customHeight="1" x14ac:dyDescent="0.2">
      <c r="A3029" t="s">
        <v>285</v>
      </c>
      <c r="B3029" t="s">
        <v>458</v>
      </c>
      <c r="C3029">
        <v>15</v>
      </c>
    </row>
    <row r="3030" spans="1:3" ht="15.75" customHeight="1" x14ac:dyDescent="0.2">
      <c r="A3030" t="s">
        <v>285</v>
      </c>
      <c r="B3030" t="s">
        <v>458</v>
      </c>
      <c r="C3030">
        <v>15</v>
      </c>
    </row>
    <row r="3031" spans="1:3" ht="15.75" customHeight="1" x14ac:dyDescent="0.2">
      <c r="A3031" t="s">
        <v>285</v>
      </c>
      <c r="B3031" t="s">
        <v>458</v>
      </c>
      <c r="C3031">
        <v>15</v>
      </c>
    </row>
    <row r="3032" spans="1:3" ht="15.75" customHeight="1" x14ac:dyDescent="0.2">
      <c r="A3032" t="s">
        <v>285</v>
      </c>
      <c r="B3032" t="s">
        <v>458</v>
      </c>
      <c r="C3032">
        <v>15</v>
      </c>
    </row>
    <row r="3033" spans="1:3" ht="15.75" customHeight="1" x14ac:dyDescent="0.2">
      <c r="A3033" t="s">
        <v>285</v>
      </c>
      <c r="B3033" t="s">
        <v>458</v>
      </c>
      <c r="C3033">
        <v>15</v>
      </c>
    </row>
    <row r="3034" spans="1:3" ht="15.75" customHeight="1" x14ac:dyDescent="0.2">
      <c r="A3034" t="s">
        <v>285</v>
      </c>
      <c r="B3034" t="s">
        <v>458</v>
      </c>
      <c r="C3034">
        <v>15</v>
      </c>
    </row>
    <row r="3035" spans="1:3" ht="15.75" customHeight="1" x14ac:dyDescent="0.2">
      <c r="A3035" t="s">
        <v>285</v>
      </c>
      <c r="B3035" t="s">
        <v>458</v>
      </c>
      <c r="C3035">
        <v>15</v>
      </c>
    </row>
    <row r="3036" spans="1:3" ht="15.75" customHeight="1" x14ac:dyDescent="0.2">
      <c r="A3036" t="s">
        <v>285</v>
      </c>
      <c r="B3036" t="s">
        <v>458</v>
      </c>
      <c r="C3036">
        <v>15</v>
      </c>
    </row>
    <row r="3037" spans="1:3" ht="15.75" customHeight="1" x14ac:dyDescent="0.2">
      <c r="A3037" t="s">
        <v>285</v>
      </c>
      <c r="B3037" t="s">
        <v>458</v>
      </c>
      <c r="C3037">
        <v>15</v>
      </c>
    </row>
    <row r="3038" spans="1:3" ht="15.75" customHeight="1" x14ac:dyDescent="0.2">
      <c r="A3038" t="s">
        <v>285</v>
      </c>
      <c r="B3038" t="s">
        <v>458</v>
      </c>
      <c r="C3038">
        <v>15</v>
      </c>
    </row>
    <row r="3039" spans="1:3" ht="15.75" customHeight="1" x14ac:dyDescent="0.2">
      <c r="A3039" t="s">
        <v>285</v>
      </c>
      <c r="B3039" t="s">
        <v>458</v>
      </c>
      <c r="C3039">
        <v>15</v>
      </c>
    </row>
    <row r="3040" spans="1:3" ht="15.75" customHeight="1" x14ac:dyDescent="0.2">
      <c r="A3040" t="s">
        <v>285</v>
      </c>
      <c r="B3040" t="s">
        <v>458</v>
      </c>
      <c r="C3040">
        <v>15</v>
      </c>
    </row>
    <row r="3041" spans="1:3" ht="15.75" customHeight="1" x14ac:dyDescent="0.2">
      <c r="A3041" t="s">
        <v>285</v>
      </c>
      <c r="B3041" t="s">
        <v>458</v>
      </c>
      <c r="C3041">
        <v>15</v>
      </c>
    </row>
    <row r="3042" spans="1:3" ht="15.75" customHeight="1" x14ac:dyDescent="0.2">
      <c r="A3042" t="s">
        <v>285</v>
      </c>
      <c r="B3042" t="s">
        <v>458</v>
      </c>
      <c r="C3042">
        <v>15</v>
      </c>
    </row>
    <row r="3043" spans="1:3" ht="15.75" customHeight="1" x14ac:dyDescent="0.2">
      <c r="A3043" t="s">
        <v>285</v>
      </c>
      <c r="B3043" t="s">
        <v>458</v>
      </c>
      <c r="C3043">
        <v>15</v>
      </c>
    </row>
    <row r="3044" spans="1:3" ht="15.75" customHeight="1" x14ac:dyDescent="0.2">
      <c r="A3044" t="s">
        <v>285</v>
      </c>
      <c r="B3044" t="s">
        <v>458</v>
      </c>
      <c r="C3044">
        <v>15</v>
      </c>
    </row>
    <row r="3045" spans="1:3" ht="15.75" customHeight="1" x14ac:dyDescent="0.2">
      <c r="A3045" t="s">
        <v>285</v>
      </c>
      <c r="B3045" t="s">
        <v>458</v>
      </c>
      <c r="C3045">
        <v>15</v>
      </c>
    </row>
    <row r="3046" spans="1:3" ht="15.75" customHeight="1" x14ac:dyDescent="0.2">
      <c r="A3046" t="s">
        <v>285</v>
      </c>
      <c r="B3046" t="s">
        <v>458</v>
      </c>
      <c r="C3046">
        <v>15</v>
      </c>
    </row>
    <row r="3047" spans="1:3" ht="15.75" customHeight="1" x14ac:dyDescent="0.2">
      <c r="A3047" t="s">
        <v>285</v>
      </c>
      <c r="B3047" t="s">
        <v>458</v>
      </c>
      <c r="C3047">
        <v>15</v>
      </c>
    </row>
    <row r="3048" spans="1:3" ht="15.75" customHeight="1" x14ac:dyDescent="0.2">
      <c r="A3048" t="s">
        <v>285</v>
      </c>
      <c r="B3048" t="s">
        <v>458</v>
      </c>
      <c r="C3048">
        <v>15</v>
      </c>
    </row>
    <row r="3049" spans="1:3" ht="15.75" customHeight="1" x14ac:dyDescent="0.2">
      <c r="A3049" t="s">
        <v>285</v>
      </c>
      <c r="B3049" t="s">
        <v>458</v>
      </c>
      <c r="C3049">
        <v>15</v>
      </c>
    </row>
    <row r="3050" spans="1:3" ht="15.75" customHeight="1" x14ac:dyDescent="0.2">
      <c r="A3050" t="s">
        <v>285</v>
      </c>
      <c r="B3050" t="s">
        <v>458</v>
      </c>
      <c r="C3050">
        <v>15</v>
      </c>
    </row>
    <row r="3051" spans="1:3" ht="15.75" customHeight="1" x14ac:dyDescent="0.2">
      <c r="A3051" t="s">
        <v>285</v>
      </c>
      <c r="B3051" t="s">
        <v>458</v>
      </c>
      <c r="C3051">
        <v>15</v>
      </c>
    </row>
    <row r="3052" spans="1:3" ht="15.75" customHeight="1" x14ac:dyDescent="0.2">
      <c r="A3052" t="s">
        <v>285</v>
      </c>
      <c r="B3052" t="s">
        <v>458</v>
      </c>
      <c r="C3052">
        <v>15</v>
      </c>
    </row>
    <row r="3053" spans="1:3" ht="15.75" customHeight="1" x14ac:dyDescent="0.2">
      <c r="A3053" t="s">
        <v>285</v>
      </c>
      <c r="B3053" t="s">
        <v>458</v>
      </c>
      <c r="C3053">
        <v>15</v>
      </c>
    </row>
    <row r="3054" spans="1:3" ht="15.75" customHeight="1" x14ac:dyDescent="0.2">
      <c r="A3054" t="s">
        <v>285</v>
      </c>
      <c r="B3054" t="s">
        <v>458</v>
      </c>
      <c r="C3054">
        <v>15</v>
      </c>
    </row>
    <row r="3055" spans="1:3" ht="15.75" customHeight="1" x14ac:dyDescent="0.2">
      <c r="A3055" t="s">
        <v>285</v>
      </c>
      <c r="B3055" t="s">
        <v>458</v>
      </c>
      <c r="C3055">
        <v>15</v>
      </c>
    </row>
    <row r="3056" spans="1:3" ht="15.75" customHeight="1" x14ac:dyDescent="0.2">
      <c r="A3056" t="s">
        <v>285</v>
      </c>
      <c r="B3056" t="s">
        <v>458</v>
      </c>
      <c r="C3056">
        <v>15</v>
      </c>
    </row>
    <row r="3057" spans="1:3" ht="15.75" customHeight="1" x14ac:dyDescent="0.2">
      <c r="A3057" t="s">
        <v>285</v>
      </c>
      <c r="B3057" t="s">
        <v>458</v>
      </c>
      <c r="C3057">
        <v>15</v>
      </c>
    </row>
    <row r="3058" spans="1:3" ht="15.75" customHeight="1" x14ac:dyDescent="0.2">
      <c r="A3058" t="s">
        <v>285</v>
      </c>
      <c r="B3058" t="s">
        <v>458</v>
      </c>
      <c r="C3058">
        <v>15</v>
      </c>
    </row>
    <row r="3059" spans="1:3" ht="15.75" customHeight="1" x14ac:dyDescent="0.2">
      <c r="A3059" t="s">
        <v>285</v>
      </c>
      <c r="B3059" t="s">
        <v>458</v>
      </c>
      <c r="C3059">
        <v>15</v>
      </c>
    </row>
    <row r="3060" spans="1:3" ht="15.75" customHeight="1" x14ac:dyDescent="0.2">
      <c r="A3060" t="s">
        <v>285</v>
      </c>
      <c r="B3060" t="s">
        <v>458</v>
      </c>
      <c r="C3060">
        <v>15</v>
      </c>
    </row>
    <row r="3061" spans="1:3" ht="15.75" customHeight="1" x14ac:dyDescent="0.2">
      <c r="A3061" t="s">
        <v>285</v>
      </c>
      <c r="B3061" t="s">
        <v>458</v>
      </c>
      <c r="C3061">
        <v>15</v>
      </c>
    </row>
    <row r="3062" spans="1:3" ht="15.75" customHeight="1" x14ac:dyDescent="0.2">
      <c r="A3062" t="s">
        <v>285</v>
      </c>
      <c r="B3062" t="s">
        <v>458</v>
      </c>
      <c r="C3062">
        <v>15</v>
      </c>
    </row>
    <row r="3063" spans="1:3" ht="15.75" customHeight="1" x14ac:dyDescent="0.2">
      <c r="A3063" t="s">
        <v>285</v>
      </c>
      <c r="B3063" t="s">
        <v>458</v>
      </c>
      <c r="C3063">
        <v>15</v>
      </c>
    </row>
    <row r="3064" spans="1:3" ht="15.75" customHeight="1" x14ac:dyDescent="0.2">
      <c r="A3064" t="s">
        <v>285</v>
      </c>
      <c r="B3064" t="s">
        <v>458</v>
      </c>
      <c r="C3064">
        <v>15</v>
      </c>
    </row>
    <row r="3065" spans="1:3" ht="15.75" customHeight="1" x14ac:dyDescent="0.2">
      <c r="A3065" t="s">
        <v>285</v>
      </c>
      <c r="B3065" t="s">
        <v>458</v>
      </c>
      <c r="C3065">
        <v>15</v>
      </c>
    </row>
    <row r="3066" spans="1:3" ht="15.75" customHeight="1" x14ac:dyDescent="0.2">
      <c r="A3066" t="s">
        <v>285</v>
      </c>
      <c r="B3066" t="s">
        <v>458</v>
      </c>
      <c r="C3066">
        <v>15</v>
      </c>
    </row>
    <row r="3067" spans="1:3" ht="15.75" customHeight="1" x14ac:dyDescent="0.2">
      <c r="A3067" t="s">
        <v>285</v>
      </c>
      <c r="B3067" t="s">
        <v>458</v>
      </c>
      <c r="C3067">
        <v>15</v>
      </c>
    </row>
    <row r="3068" spans="1:3" ht="15.75" customHeight="1" x14ac:dyDescent="0.2">
      <c r="A3068" t="s">
        <v>285</v>
      </c>
      <c r="B3068" t="s">
        <v>458</v>
      </c>
      <c r="C3068">
        <v>15</v>
      </c>
    </row>
    <row r="3069" spans="1:3" ht="15.75" customHeight="1" x14ac:dyDescent="0.2">
      <c r="A3069" t="s">
        <v>285</v>
      </c>
      <c r="B3069" t="s">
        <v>458</v>
      </c>
      <c r="C3069">
        <v>15</v>
      </c>
    </row>
    <row r="3070" spans="1:3" ht="15.75" customHeight="1" x14ac:dyDescent="0.2">
      <c r="A3070" t="s">
        <v>285</v>
      </c>
      <c r="B3070" t="s">
        <v>458</v>
      </c>
      <c r="C3070">
        <v>15</v>
      </c>
    </row>
    <row r="3071" spans="1:3" ht="15.75" customHeight="1" x14ac:dyDescent="0.2">
      <c r="A3071" t="s">
        <v>285</v>
      </c>
      <c r="B3071" t="s">
        <v>458</v>
      </c>
      <c r="C3071">
        <v>15</v>
      </c>
    </row>
    <row r="3072" spans="1:3" ht="15.75" customHeight="1" x14ac:dyDescent="0.2">
      <c r="A3072" t="s">
        <v>285</v>
      </c>
      <c r="B3072" t="s">
        <v>458</v>
      </c>
      <c r="C3072">
        <v>15</v>
      </c>
    </row>
    <row r="3073" spans="1:3" ht="15.75" customHeight="1" x14ac:dyDescent="0.2">
      <c r="A3073" t="s">
        <v>285</v>
      </c>
      <c r="B3073" t="s">
        <v>458</v>
      </c>
      <c r="C3073">
        <v>15</v>
      </c>
    </row>
    <row r="3074" spans="1:3" ht="15.75" customHeight="1" x14ac:dyDescent="0.2">
      <c r="A3074" t="s">
        <v>285</v>
      </c>
      <c r="B3074" t="s">
        <v>458</v>
      </c>
      <c r="C3074">
        <v>15</v>
      </c>
    </row>
    <row r="3075" spans="1:3" ht="15.75" customHeight="1" x14ac:dyDescent="0.2">
      <c r="A3075" t="s">
        <v>285</v>
      </c>
      <c r="B3075" t="s">
        <v>458</v>
      </c>
      <c r="C3075">
        <v>15</v>
      </c>
    </row>
    <row r="3076" spans="1:3" ht="15.75" customHeight="1" x14ac:dyDescent="0.2">
      <c r="A3076" t="s">
        <v>285</v>
      </c>
      <c r="B3076" t="s">
        <v>458</v>
      </c>
      <c r="C3076">
        <v>15</v>
      </c>
    </row>
    <row r="3077" spans="1:3" ht="15.75" customHeight="1" x14ac:dyDescent="0.2">
      <c r="A3077" t="s">
        <v>285</v>
      </c>
      <c r="B3077" t="s">
        <v>458</v>
      </c>
      <c r="C3077">
        <v>15</v>
      </c>
    </row>
    <row r="3078" spans="1:3" ht="15.75" customHeight="1" x14ac:dyDescent="0.2">
      <c r="A3078" t="s">
        <v>285</v>
      </c>
      <c r="B3078" t="s">
        <v>458</v>
      </c>
      <c r="C3078">
        <v>15</v>
      </c>
    </row>
    <row r="3079" spans="1:3" ht="15.75" customHeight="1" x14ac:dyDescent="0.2">
      <c r="A3079" t="s">
        <v>285</v>
      </c>
      <c r="B3079" t="s">
        <v>458</v>
      </c>
      <c r="C3079">
        <v>15</v>
      </c>
    </row>
    <row r="3080" spans="1:3" ht="15.75" customHeight="1" x14ac:dyDescent="0.2">
      <c r="A3080" t="s">
        <v>285</v>
      </c>
      <c r="B3080" t="s">
        <v>458</v>
      </c>
      <c r="C3080">
        <v>15</v>
      </c>
    </row>
    <row r="3081" spans="1:3" ht="15.75" customHeight="1" x14ac:dyDescent="0.2">
      <c r="A3081" t="s">
        <v>285</v>
      </c>
      <c r="B3081" t="s">
        <v>458</v>
      </c>
      <c r="C3081">
        <v>15</v>
      </c>
    </row>
    <row r="3082" spans="1:3" ht="15.75" customHeight="1" x14ac:dyDescent="0.2">
      <c r="A3082" t="s">
        <v>285</v>
      </c>
      <c r="B3082" t="s">
        <v>458</v>
      </c>
      <c r="C3082">
        <v>15</v>
      </c>
    </row>
    <row r="3083" spans="1:3" ht="15.75" customHeight="1" x14ac:dyDescent="0.2">
      <c r="A3083" t="s">
        <v>285</v>
      </c>
      <c r="B3083" t="s">
        <v>458</v>
      </c>
      <c r="C3083">
        <v>15</v>
      </c>
    </row>
    <row r="3084" spans="1:3" ht="15.75" customHeight="1" x14ac:dyDescent="0.2">
      <c r="A3084" t="s">
        <v>285</v>
      </c>
      <c r="B3084" t="s">
        <v>458</v>
      </c>
      <c r="C3084">
        <v>15</v>
      </c>
    </row>
    <row r="3085" spans="1:3" ht="15.75" customHeight="1" x14ac:dyDescent="0.2">
      <c r="A3085" t="s">
        <v>285</v>
      </c>
      <c r="B3085" t="s">
        <v>458</v>
      </c>
      <c r="C3085">
        <v>15</v>
      </c>
    </row>
    <row r="3086" spans="1:3" ht="15.75" customHeight="1" x14ac:dyDescent="0.2">
      <c r="A3086" t="s">
        <v>285</v>
      </c>
      <c r="B3086" t="s">
        <v>458</v>
      </c>
      <c r="C3086">
        <v>15</v>
      </c>
    </row>
    <row r="3087" spans="1:3" ht="15.75" customHeight="1" x14ac:dyDescent="0.2">
      <c r="A3087" t="s">
        <v>285</v>
      </c>
      <c r="B3087" t="s">
        <v>458</v>
      </c>
      <c r="C3087">
        <v>15</v>
      </c>
    </row>
    <row r="3088" spans="1:3" ht="15.75" customHeight="1" x14ac:dyDescent="0.2">
      <c r="A3088" t="s">
        <v>285</v>
      </c>
      <c r="B3088" t="s">
        <v>458</v>
      </c>
      <c r="C3088">
        <v>15</v>
      </c>
    </row>
    <row r="3089" spans="1:3" ht="15.75" customHeight="1" x14ac:dyDescent="0.2">
      <c r="A3089" t="s">
        <v>285</v>
      </c>
      <c r="B3089" t="s">
        <v>458</v>
      </c>
      <c r="C3089">
        <v>15</v>
      </c>
    </row>
    <row r="3090" spans="1:3" ht="15.75" customHeight="1" x14ac:dyDescent="0.2">
      <c r="A3090" t="s">
        <v>285</v>
      </c>
      <c r="B3090" t="s">
        <v>458</v>
      </c>
      <c r="C3090">
        <v>15</v>
      </c>
    </row>
    <row r="3091" spans="1:3" ht="15.75" customHeight="1" x14ac:dyDescent="0.2">
      <c r="A3091" t="s">
        <v>285</v>
      </c>
      <c r="B3091" t="s">
        <v>458</v>
      </c>
      <c r="C3091">
        <v>15</v>
      </c>
    </row>
    <row r="3092" spans="1:3" ht="15.75" customHeight="1" x14ac:dyDescent="0.2">
      <c r="A3092" t="s">
        <v>285</v>
      </c>
      <c r="B3092" t="s">
        <v>458</v>
      </c>
      <c r="C3092">
        <v>15</v>
      </c>
    </row>
    <row r="3093" spans="1:3" ht="15.75" customHeight="1" x14ac:dyDescent="0.2">
      <c r="A3093" t="s">
        <v>285</v>
      </c>
      <c r="B3093" t="s">
        <v>458</v>
      </c>
      <c r="C3093">
        <v>15</v>
      </c>
    </row>
    <row r="3094" spans="1:3" ht="15.75" customHeight="1" x14ac:dyDescent="0.2">
      <c r="A3094" t="s">
        <v>285</v>
      </c>
      <c r="B3094" t="s">
        <v>458</v>
      </c>
      <c r="C3094">
        <v>15</v>
      </c>
    </row>
    <row r="3095" spans="1:3" ht="15.75" customHeight="1" x14ac:dyDescent="0.2">
      <c r="A3095" t="s">
        <v>285</v>
      </c>
      <c r="B3095" t="s">
        <v>458</v>
      </c>
      <c r="C3095">
        <v>15</v>
      </c>
    </row>
    <row r="3096" spans="1:3" ht="15.75" customHeight="1" x14ac:dyDescent="0.2">
      <c r="A3096" t="s">
        <v>285</v>
      </c>
      <c r="B3096" t="s">
        <v>458</v>
      </c>
      <c r="C3096">
        <v>15</v>
      </c>
    </row>
    <row r="3097" spans="1:3" ht="15.75" customHeight="1" x14ac:dyDescent="0.2">
      <c r="A3097" t="s">
        <v>285</v>
      </c>
      <c r="B3097" t="s">
        <v>458</v>
      </c>
      <c r="C3097">
        <v>15</v>
      </c>
    </row>
    <row r="3098" spans="1:3" ht="15.75" customHeight="1" x14ac:dyDescent="0.2">
      <c r="A3098" t="s">
        <v>285</v>
      </c>
      <c r="B3098" t="s">
        <v>458</v>
      </c>
      <c r="C3098">
        <v>15</v>
      </c>
    </row>
    <row r="3099" spans="1:3" ht="15.75" customHeight="1" x14ac:dyDescent="0.2">
      <c r="A3099" t="s">
        <v>285</v>
      </c>
      <c r="B3099" t="s">
        <v>458</v>
      </c>
      <c r="C3099">
        <v>15</v>
      </c>
    </row>
    <row r="3100" spans="1:3" ht="15.75" customHeight="1" x14ac:dyDescent="0.2">
      <c r="A3100" t="s">
        <v>285</v>
      </c>
      <c r="B3100" t="s">
        <v>458</v>
      </c>
      <c r="C3100">
        <v>15</v>
      </c>
    </row>
    <row r="3101" spans="1:3" ht="15.75" customHeight="1" x14ac:dyDescent="0.2">
      <c r="A3101" t="s">
        <v>285</v>
      </c>
      <c r="B3101" t="s">
        <v>458</v>
      </c>
      <c r="C3101">
        <v>15</v>
      </c>
    </row>
    <row r="3102" spans="1:3" ht="15.75" customHeight="1" x14ac:dyDescent="0.2">
      <c r="A3102" t="s">
        <v>285</v>
      </c>
      <c r="B3102" t="s">
        <v>458</v>
      </c>
      <c r="C3102">
        <v>15</v>
      </c>
    </row>
    <row r="3103" spans="1:3" ht="15.75" customHeight="1" x14ac:dyDescent="0.2">
      <c r="A3103" t="s">
        <v>285</v>
      </c>
      <c r="B3103" t="s">
        <v>458</v>
      </c>
      <c r="C3103">
        <v>15</v>
      </c>
    </row>
    <row r="3104" spans="1:3" ht="15.75" customHeight="1" x14ac:dyDescent="0.2">
      <c r="A3104" t="s">
        <v>285</v>
      </c>
      <c r="B3104" t="s">
        <v>458</v>
      </c>
      <c r="C3104">
        <v>15</v>
      </c>
    </row>
    <row r="3105" spans="1:3" ht="15.75" customHeight="1" x14ac:dyDescent="0.2">
      <c r="A3105" t="s">
        <v>285</v>
      </c>
      <c r="B3105" t="s">
        <v>458</v>
      </c>
      <c r="C3105">
        <v>15</v>
      </c>
    </row>
    <row r="3106" spans="1:3" ht="15.75" customHeight="1" x14ac:dyDescent="0.2">
      <c r="A3106" t="s">
        <v>285</v>
      </c>
      <c r="B3106" t="s">
        <v>458</v>
      </c>
      <c r="C3106">
        <v>15</v>
      </c>
    </row>
    <row r="3107" spans="1:3" ht="15.75" customHeight="1" x14ac:dyDescent="0.2">
      <c r="A3107" t="s">
        <v>285</v>
      </c>
      <c r="B3107" t="s">
        <v>458</v>
      </c>
      <c r="C3107">
        <v>15</v>
      </c>
    </row>
    <row r="3108" spans="1:3" ht="15.75" customHeight="1" x14ac:dyDescent="0.2">
      <c r="A3108" t="s">
        <v>285</v>
      </c>
      <c r="B3108" t="s">
        <v>458</v>
      </c>
      <c r="C3108">
        <v>15</v>
      </c>
    </row>
    <row r="3109" spans="1:3" ht="15.75" customHeight="1" x14ac:dyDescent="0.2">
      <c r="A3109" t="s">
        <v>285</v>
      </c>
      <c r="B3109" t="s">
        <v>458</v>
      </c>
      <c r="C3109">
        <v>15</v>
      </c>
    </row>
    <row r="3110" spans="1:3" ht="15.75" customHeight="1" x14ac:dyDescent="0.2">
      <c r="A3110" t="s">
        <v>285</v>
      </c>
      <c r="B3110" t="s">
        <v>458</v>
      </c>
      <c r="C3110">
        <v>15</v>
      </c>
    </row>
    <row r="3111" spans="1:3" ht="15.75" customHeight="1" x14ac:dyDescent="0.2">
      <c r="A3111" t="s">
        <v>285</v>
      </c>
      <c r="B3111" t="s">
        <v>458</v>
      </c>
      <c r="C3111">
        <v>15</v>
      </c>
    </row>
    <row r="3112" spans="1:3" ht="15.75" customHeight="1" x14ac:dyDescent="0.2">
      <c r="A3112" t="s">
        <v>285</v>
      </c>
      <c r="B3112" t="s">
        <v>458</v>
      </c>
      <c r="C3112">
        <v>15</v>
      </c>
    </row>
    <row r="3113" spans="1:3" ht="15.75" customHeight="1" x14ac:dyDescent="0.2">
      <c r="A3113" t="s">
        <v>285</v>
      </c>
      <c r="B3113" t="s">
        <v>458</v>
      </c>
      <c r="C3113">
        <v>15</v>
      </c>
    </row>
    <row r="3114" spans="1:3" ht="15.75" customHeight="1" x14ac:dyDescent="0.2">
      <c r="A3114" t="s">
        <v>285</v>
      </c>
      <c r="B3114" t="s">
        <v>458</v>
      </c>
      <c r="C3114">
        <v>15</v>
      </c>
    </row>
    <row r="3115" spans="1:3" ht="15.75" customHeight="1" x14ac:dyDescent="0.2">
      <c r="A3115" t="s">
        <v>285</v>
      </c>
      <c r="B3115" t="s">
        <v>458</v>
      </c>
      <c r="C3115">
        <v>15</v>
      </c>
    </row>
    <row r="3116" spans="1:3" ht="15.75" customHeight="1" x14ac:dyDescent="0.2">
      <c r="A3116" t="s">
        <v>285</v>
      </c>
      <c r="B3116" t="s">
        <v>458</v>
      </c>
      <c r="C3116">
        <v>15</v>
      </c>
    </row>
    <row r="3117" spans="1:3" ht="15.75" customHeight="1" x14ac:dyDescent="0.2">
      <c r="A3117" t="s">
        <v>285</v>
      </c>
      <c r="B3117" t="s">
        <v>458</v>
      </c>
      <c r="C3117">
        <v>15</v>
      </c>
    </row>
    <row r="3118" spans="1:3" ht="15.75" customHeight="1" x14ac:dyDescent="0.2">
      <c r="A3118" t="s">
        <v>285</v>
      </c>
      <c r="B3118" t="s">
        <v>458</v>
      </c>
      <c r="C3118">
        <v>15</v>
      </c>
    </row>
    <row r="3119" spans="1:3" ht="15.75" customHeight="1" x14ac:dyDescent="0.2">
      <c r="A3119" t="s">
        <v>285</v>
      </c>
      <c r="B3119" t="s">
        <v>458</v>
      </c>
      <c r="C3119">
        <v>15</v>
      </c>
    </row>
    <row r="3120" spans="1:3" ht="15.75" customHeight="1" x14ac:dyDescent="0.2">
      <c r="A3120" t="s">
        <v>285</v>
      </c>
      <c r="B3120" t="s">
        <v>458</v>
      </c>
      <c r="C3120">
        <v>15</v>
      </c>
    </row>
    <row r="3121" spans="1:3" ht="15.75" customHeight="1" x14ac:dyDescent="0.2">
      <c r="A3121" t="s">
        <v>285</v>
      </c>
      <c r="B3121" t="s">
        <v>458</v>
      </c>
      <c r="C3121">
        <v>15</v>
      </c>
    </row>
    <row r="3122" spans="1:3" ht="15.75" customHeight="1" x14ac:dyDescent="0.2">
      <c r="A3122" t="s">
        <v>285</v>
      </c>
      <c r="B3122" t="s">
        <v>458</v>
      </c>
      <c r="C3122">
        <v>15</v>
      </c>
    </row>
    <row r="3123" spans="1:3" ht="15.75" customHeight="1" x14ac:dyDescent="0.2">
      <c r="A3123" t="s">
        <v>285</v>
      </c>
      <c r="B3123" t="s">
        <v>458</v>
      </c>
      <c r="C3123">
        <v>15</v>
      </c>
    </row>
    <row r="3124" spans="1:3" ht="15.75" customHeight="1" x14ac:dyDescent="0.2">
      <c r="A3124" t="s">
        <v>285</v>
      </c>
      <c r="B3124" t="s">
        <v>458</v>
      </c>
      <c r="C3124">
        <v>15</v>
      </c>
    </row>
    <row r="3125" spans="1:3" ht="15.75" customHeight="1" x14ac:dyDescent="0.2">
      <c r="A3125" t="s">
        <v>285</v>
      </c>
      <c r="B3125" t="s">
        <v>458</v>
      </c>
      <c r="C3125">
        <v>15</v>
      </c>
    </row>
    <row r="3126" spans="1:3" ht="15.75" customHeight="1" x14ac:dyDescent="0.2">
      <c r="A3126" t="s">
        <v>285</v>
      </c>
      <c r="B3126" t="s">
        <v>458</v>
      </c>
      <c r="C3126">
        <v>15</v>
      </c>
    </row>
    <row r="3127" spans="1:3" ht="15.75" customHeight="1" x14ac:dyDescent="0.2">
      <c r="A3127" t="s">
        <v>285</v>
      </c>
      <c r="B3127" t="s">
        <v>458</v>
      </c>
      <c r="C3127">
        <v>15</v>
      </c>
    </row>
    <row r="3128" spans="1:3" ht="15.75" customHeight="1" x14ac:dyDescent="0.2">
      <c r="A3128" t="s">
        <v>285</v>
      </c>
      <c r="B3128" t="s">
        <v>458</v>
      </c>
      <c r="C3128">
        <v>15</v>
      </c>
    </row>
    <row r="3129" spans="1:3" ht="15.75" customHeight="1" x14ac:dyDescent="0.2">
      <c r="A3129" t="s">
        <v>285</v>
      </c>
      <c r="B3129" t="s">
        <v>458</v>
      </c>
      <c r="C3129">
        <v>15</v>
      </c>
    </row>
    <row r="3130" spans="1:3" ht="15.75" customHeight="1" x14ac:dyDescent="0.2">
      <c r="A3130" t="s">
        <v>285</v>
      </c>
      <c r="B3130" t="s">
        <v>458</v>
      </c>
      <c r="C3130">
        <v>15</v>
      </c>
    </row>
    <row r="3131" spans="1:3" ht="15.75" customHeight="1" x14ac:dyDescent="0.2">
      <c r="A3131" t="s">
        <v>285</v>
      </c>
      <c r="B3131" t="s">
        <v>458</v>
      </c>
      <c r="C3131">
        <v>15</v>
      </c>
    </row>
    <row r="3132" spans="1:3" ht="15.75" customHeight="1" x14ac:dyDescent="0.2">
      <c r="A3132" t="s">
        <v>285</v>
      </c>
      <c r="B3132" t="s">
        <v>458</v>
      </c>
      <c r="C3132">
        <v>15</v>
      </c>
    </row>
    <row r="3133" spans="1:3" ht="15.75" customHeight="1" x14ac:dyDescent="0.2">
      <c r="A3133" t="s">
        <v>285</v>
      </c>
      <c r="B3133" t="s">
        <v>458</v>
      </c>
      <c r="C3133">
        <v>15</v>
      </c>
    </row>
    <row r="3134" spans="1:3" ht="15.75" customHeight="1" x14ac:dyDescent="0.2">
      <c r="A3134" t="s">
        <v>285</v>
      </c>
      <c r="B3134" t="s">
        <v>458</v>
      </c>
      <c r="C3134">
        <v>15</v>
      </c>
    </row>
    <row r="3135" spans="1:3" ht="15.75" customHeight="1" x14ac:dyDescent="0.2">
      <c r="A3135" t="s">
        <v>285</v>
      </c>
      <c r="B3135" t="s">
        <v>458</v>
      </c>
      <c r="C3135">
        <v>15</v>
      </c>
    </row>
    <row r="3136" spans="1:3" ht="15.75" customHeight="1" x14ac:dyDescent="0.2">
      <c r="A3136" t="s">
        <v>285</v>
      </c>
      <c r="B3136" t="s">
        <v>458</v>
      </c>
      <c r="C3136">
        <v>15</v>
      </c>
    </row>
    <row r="3137" spans="1:3" ht="15.75" customHeight="1" x14ac:dyDescent="0.2">
      <c r="A3137" t="s">
        <v>285</v>
      </c>
      <c r="B3137" t="s">
        <v>458</v>
      </c>
      <c r="C3137">
        <v>15</v>
      </c>
    </row>
    <row r="3138" spans="1:3" ht="15.75" customHeight="1" x14ac:dyDescent="0.2">
      <c r="A3138" t="s">
        <v>285</v>
      </c>
      <c r="B3138" t="s">
        <v>458</v>
      </c>
      <c r="C3138">
        <v>15</v>
      </c>
    </row>
    <row r="3139" spans="1:3" ht="15.75" customHeight="1" x14ac:dyDescent="0.2">
      <c r="A3139" t="s">
        <v>285</v>
      </c>
      <c r="B3139" t="s">
        <v>458</v>
      </c>
      <c r="C3139">
        <v>15</v>
      </c>
    </row>
    <row r="3140" spans="1:3" ht="15.75" customHeight="1" x14ac:dyDescent="0.2">
      <c r="A3140" t="s">
        <v>285</v>
      </c>
      <c r="B3140" t="s">
        <v>458</v>
      </c>
      <c r="C3140">
        <v>15</v>
      </c>
    </row>
    <row r="3141" spans="1:3" ht="15.75" customHeight="1" x14ac:dyDescent="0.2">
      <c r="A3141" t="s">
        <v>285</v>
      </c>
      <c r="B3141" t="s">
        <v>458</v>
      </c>
      <c r="C3141">
        <v>15</v>
      </c>
    </row>
    <row r="3142" spans="1:3" ht="15.75" customHeight="1" x14ac:dyDescent="0.2">
      <c r="A3142" t="s">
        <v>285</v>
      </c>
      <c r="B3142" t="s">
        <v>458</v>
      </c>
      <c r="C3142">
        <v>15</v>
      </c>
    </row>
    <row r="3143" spans="1:3" ht="15.75" customHeight="1" x14ac:dyDescent="0.2">
      <c r="A3143" t="s">
        <v>285</v>
      </c>
      <c r="B3143" t="s">
        <v>458</v>
      </c>
      <c r="C3143">
        <v>15</v>
      </c>
    </row>
    <row r="3144" spans="1:3" ht="15.75" customHeight="1" x14ac:dyDescent="0.2">
      <c r="A3144" t="s">
        <v>285</v>
      </c>
      <c r="B3144" t="s">
        <v>458</v>
      </c>
      <c r="C3144">
        <v>15</v>
      </c>
    </row>
    <row r="3145" spans="1:3" ht="15.75" customHeight="1" x14ac:dyDescent="0.2">
      <c r="A3145" t="s">
        <v>285</v>
      </c>
      <c r="B3145" t="s">
        <v>458</v>
      </c>
      <c r="C3145">
        <v>15</v>
      </c>
    </row>
    <row r="3146" spans="1:3" ht="15.75" customHeight="1" x14ac:dyDescent="0.2">
      <c r="A3146" t="s">
        <v>285</v>
      </c>
      <c r="B3146" t="s">
        <v>458</v>
      </c>
      <c r="C3146">
        <v>15</v>
      </c>
    </row>
    <row r="3147" spans="1:3" ht="15.75" customHeight="1" x14ac:dyDescent="0.2">
      <c r="A3147" t="s">
        <v>285</v>
      </c>
      <c r="B3147" t="s">
        <v>458</v>
      </c>
      <c r="C3147">
        <v>15</v>
      </c>
    </row>
    <row r="3148" spans="1:3" ht="15.75" customHeight="1" x14ac:dyDescent="0.2">
      <c r="A3148" t="s">
        <v>285</v>
      </c>
      <c r="B3148" t="s">
        <v>458</v>
      </c>
      <c r="C3148">
        <v>15</v>
      </c>
    </row>
    <row r="3149" spans="1:3" ht="15.75" customHeight="1" x14ac:dyDescent="0.2">
      <c r="A3149" t="s">
        <v>285</v>
      </c>
      <c r="B3149" t="s">
        <v>458</v>
      </c>
      <c r="C3149">
        <v>15</v>
      </c>
    </row>
    <row r="3150" spans="1:3" ht="15.75" customHeight="1" x14ac:dyDescent="0.2">
      <c r="A3150" t="s">
        <v>285</v>
      </c>
      <c r="B3150" t="s">
        <v>458</v>
      </c>
      <c r="C3150">
        <v>15</v>
      </c>
    </row>
    <row r="3151" spans="1:3" ht="15.75" customHeight="1" x14ac:dyDescent="0.2">
      <c r="A3151" t="s">
        <v>285</v>
      </c>
      <c r="B3151" t="s">
        <v>458</v>
      </c>
      <c r="C3151">
        <v>15</v>
      </c>
    </row>
    <row r="3152" spans="1:3" ht="15.75" customHeight="1" x14ac:dyDescent="0.2">
      <c r="A3152" t="s">
        <v>285</v>
      </c>
      <c r="B3152" t="s">
        <v>458</v>
      </c>
      <c r="C3152">
        <v>15</v>
      </c>
    </row>
    <row r="3153" spans="1:3" ht="15.75" customHeight="1" x14ac:dyDescent="0.2">
      <c r="A3153" t="s">
        <v>285</v>
      </c>
      <c r="B3153" t="s">
        <v>458</v>
      </c>
      <c r="C3153">
        <v>15</v>
      </c>
    </row>
    <row r="3154" spans="1:3" ht="15.75" customHeight="1" x14ac:dyDescent="0.2">
      <c r="A3154" t="s">
        <v>285</v>
      </c>
      <c r="B3154" t="s">
        <v>458</v>
      </c>
      <c r="C3154">
        <v>15</v>
      </c>
    </row>
    <row r="3155" spans="1:3" ht="15.75" customHeight="1" x14ac:dyDescent="0.2">
      <c r="A3155" t="s">
        <v>285</v>
      </c>
      <c r="B3155" t="s">
        <v>458</v>
      </c>
      <c r="C3155">
        <v>15</v>
      </c>
    </row>
    <row r="3156" spans="1:3" ht="15.75" customHeight="1" x14ac:dyDescent="0.2">
      <c r="A3156" t="s">
        <v>285</v>
      </c>
      <c r="B3156" t="s">
        <v>458</v>
      </c>
      <c r="C3156">
        <v>15</v>
      </c>
    </row>
    <row r="3157" spans="1:3" ht="15.75" customHeight="1" x14ac:dyDescent="0.2">
      <c r="A3157" t="s">
        <v>285</v>
      </c>
      <c r="B3157" t="s">
        <v>458</v>
      </c>
      <c r="C3157">
        <v>15</v>
      </c>
    </row>
    <row r="3158" spans="1:3" ht="15.75" customHeight="1" x14ac:dyDescent="0.2">
      <c r="A3158" t="s">
        <v>285</v>
      </c>
      <c r="B3158" t="s">
        <v>458</v>
      </c>
      <c r="C3158">
        <v>15</v>
      </c>
    </row>
    <row r="3159" spans="1:3" ht="15.75" customHeight="1" x14ac:dyDescent="0.2">
      <c r="A3159" t="s">
        <v>285</v>
      </c>
      <c r="B3159" t="s">
        <v>458</v>
      </c>
      <c r="C3159">
        <v>15</v>
      </c>
    </row>
    <row r="3160" spans="1:3" ht="15.75" customHeight="1" x14ac:dyDescent="0.2">
      <c r="A3160" t="s">
        <v>285</v>
      </c>
      <c r="B3160" t="s">
        <v>458</v>
      </c>
      <c r="C3160">
        <v>15</v>
      </c>
    </row>
    <row r="3161" spans="1:3" ht="15.75" customHeight="1" x14ac:dyDescent="0.2">
      <c r="A3161" t="s">
        <v>285</v>
      </c>
      <c r="B3161" t="s">
        <v>458</v>
      </c>
      <c r="C3161">
        <v>15</v>
      </c>
    </row>
    <row r="3162" spans="1:3" ht="15.75" customHeight="1" x14ac:dyDescent="0.2">
      <c r="A3162" t="s">
        <v>285</v>
      </c>
      <c r="B3162" t="s">
        <v>458</v>
      </c>
      <c r="C3162">
        <v>15</v>
      </c>
    </row>
    <row r="3163" spans="1:3" ht="15.75" customHeight="1" x14ac:dyDescent="0.2">
      <c r="A3163" t="s">
        <v>285</v>
      </c>
      <c r="B3163" t="s">
        <v>458</v>
      </c>
      <c r="C3163">
        <v>15</v>
      </c>
    </row>
    <row r="3164" spans="1:3" ht="15.75" customHeight="1" x14ac:dyDescent="0.2">
      <c r="A3164" t="s">
        <v>285</v>
      </c>
      <c r="B3164" t="s">
        <v>458</v>
      </c>
      <c r="C3164">
        <v>15</v>
      </c>
    </row>
    <row r="3165" spans="1:3" ht="15.75" customHeight="1" x14ac:dyDescent="0.2">
      <c r="A3165" t="s">
        <v>285</v>
      </c>
      <c r="B3165" t="s">
        <v>458</v>
      </c>
      <c r="C3165">
        <v>15</v>
      </c>
    </row>
    <row r="3166" spans="1:3" ht="15.75" customHeight="1" x14ac:dyDescent="0.2">
      <c r="A3166" t="s">
        <v>285</v>
      </c>
      <c r="B3166" t="s">
        <v>458</v>
      </c>
      <c r="C3166">
        <v>15</v>
      </c>
    </row>
    <row r="3167" spans="1:3" ht="15.75" customHeight="1" x14ac:dyDescent="0.2">
      <c r="A3167" t="s">
        <v>285</v>
      </c>
      <c r="B3167" t="s">
        <v>458</v>
      </c>
      <c r="C3167">
        <v>15</v>
      </c>
    </row>
    <row r="3168" spans="1:3" ht="15.75" customHeight="1" x14ac:dyDescent="0.2">
      <c r="A3168" t="s">
        <v>285</v>
      </c>
      <c r="B3168" t="s">
        <v>458</v>
      </c>
      <c r="C3168">
        <v>15</v>
      </c>
    </row>
    <row r="3169" spans="1:3" ht="15.75" customHeight="1" x14ac:dyDescent="0.2">
      <c r="A3169" t="s">
        <v>285</v>
      </c>
      <c r="B3169" t="s">
        <v>458</v>
      </c>
      <c r="C3169">
        <v>15</v>
      </c>
    </row>
    <row r="3170" spans="1:3" ht="15.75" customHeight="1" x14ac:dyDescent="0.2">
      <c r="A3170" t="s">
        <v>285</v>
      </c>
      <c r="B3170" t="s">
        <v>458</v>
      </c>
      <c r="C3170">
        <v>15</v>
      </c>
    </row>
    <row r="3171" spans="1:3" ht="15.75" customHeight="1" x14ac:dyDescent="0.2">
      <c r="A3171" t="s">
        <v>285</v>
      </c>
      <c r="B3171" t="s">
        <v>458</v>
      </c>
      <c r="C3171">
        <v>15</v>
      </c>
    </row>
    <row r="3172" spans="1:3" ht="15.75" customHeight="1" x14ac:dyDescent="0.2">
      <c r="A3172" t="s">
        <v>285</v>
      </c>
      <c r="B3172" t="s">
        <v>458</v>
      </c>
      <c r="C3172">
        <v>15</v>
      </c>
    </row>
    <row r="3173" spans="1:3" ht="15.75" customHeight="1" x14ac:dyDescent="0.2">
      <c r="A3173" t="s">
        <v>285</v>
      </c>
      <c r="B3173" t="s">
        <v>458</v>
      </c>
      <c r="C3173">
        <v>15</v>
      </c>
    </row>
    <row r="3174" spans="1:3" ht="15.75" customHeight="1" x14ac:dyDescent="0.2">
      <c r="A3174" t="s">
        <v>285</v>
      </c>
      <c r="B3174" t="s">
        <v>458</v>
      </c>
      <c r="C3174">
        <v>15</v>
      </c>
    </row>
    <row r="3175" spans="1:3" ht="15.75" customHeight="1" x14ac:dyDescent="0.2">
      <c r="A3175" t="s">
        <v>285</v>
      </c>
      <c r="B3175" t="s">
        <v>475</v>
      </c>
      <c r="C3175">
        <v>16</v>
      </c>
    </row>
    <row r="3176" spans="1:3" ht="15.75" customHeight="1" x14ac:dyDescent="0.2">
      <c r="A3176" t="s">
        <v>285</v>
      </c>
      <c r="B3176" t="s">
        <v>475</v>
      </c>
      <c r="C3176">
        <v>16</v>
      </c>
    </row>
    <row r="3177" spans="1:3" ht="15.75" customHeight="1" x14ac:dyDescent="0.2">
      <c r="A3177" t="s">
        <v>285</v>
      </c>
      <c r="B3177" t="s">
        <v>475</v>
      </c>
      <c r="C3177">
        <v>16</v>
      </c>
    </row>
    <row r="3178" spans="1:3" ht="15.75" customHeight="1" x14ac:dyDescent="0.2">
      <c r="A3178" t="s">
        <v>285</v>
      </c>
      <c r="B3178" t="s">
        <v>475</v>
      </c>
      <c r="C3178">
        <v>16</v>
      </c>
    </row>
    <row r="3179" spans="1:3" ht="15.75" customHeight="1" x14ac:dyDescent="0.2">
      <c r="A3179" t="s">
        <v>285</v>
      </c>
      <c r="B3179" t="s">
        <v>475</v>
      </c>
      <c r="C3179">
        <v>16</v>
      </c>
    </row>
    <row r="3180" spans="1:3" ht="15.75" customHeight="1" x14ac:dyDescent="0.2">
      <c r="A3180" t="s">
        <v>285</v>
      </c>
      <c r="B3180" t="s">
        <v>475</v>
      </c>
      <c r="C3180">
        <v>16</v>
      </c>
    </row>
    <row r="3181" spans="1:3" ht="15.75" customHeight="1" x14ac:dyDescent="0.2">
      <c r="A3181" t="s">
        <v>285</v>
      </c>
      <c r="B3181" t="s">
        <v>475</v>
      </c>
      <c r="C3181">
        <v>16</v>
      </c>
    </row>
    <row r="3182" spans="1:3" ht="15.75" customHeight="1" x14ac:dyDescent="0.2">
      <c r="A3182" t="s">
        <v>285</v>
      </c>
      <c r="B3182" t="s">
        <v>475</v>
      </c>
      <c r="C3182">
        <v>16</v>
      </c>
    </row>
    <row r="3183" spans="1:3" ht="15.75" customHeight="1" x14ac:dyDescent="0.2">
      <c r="A3183" t="s">
        <v>285</v>
      </c>
      <c r="B3183" t="s">
        <v>475</v>
      </c>
      <c r="C3183">
        <v>16</v>
      </c>
    </row>
    <row r="3184" spans="1:3" ht="15.75" customHeight="1" x14ac:dyDescent="0.2">
      <c r="A3184" t="s">
        <v>285</v>
      </c>
      <c r="B3184" t="s">
        <v>475</v>
      </c>
      <c r="C3184">
        <v>16</v>
      </c>
    </row>
    <row r="3185" spans="1:3" ht="15.75" customHeight="1" x14ac:dyDescent="0.2">
      <c r="A3185" t="s">
        <v>285</v>
      </c>
      <c r="B3185" t="s">
        <v>475</v>
      </c>
      <c r="C3185">
        <v>16</v>
      </c>
    </row>
    <row r="3186" spans="1:3" ht="15.75" customHeight="1" x14ac:dyDescent="0.2">
      <c r="A3186" t="s">
        <v>285</v>
      </c>
      <c r="B3186" t="s">
        <v>475</v>
      </c>
      <c r="C3186">
        <v>16</v>
      </c>
    </row>
    <row r="3187" spans="1:3" ht="15.75" customHeight="1" x14ac:dyDescent="0.2">
      <c r="A3187" t="s">
        <v>285</v>
      </c>
      <c r="B3187" t="s">
        <v>475</v>
      </c>
      <c r="C3187">
        <v>16</v>
      </c>
    </row>
    <row r="3188" spans="1:3" ht="15.75" customHeight="1" x14ac:dyDescent="0.2">
      <c r="A3188" t="s">
        <v>285</v>
      </c>
      <c r="B3188" t="s">
        <v>475</v>
      </c>
      <c r="C3188">
        <v>16</v>
      </c>
    </row>
    <row r="3189" spans="1:3" ht="15.75" customHeight="1" x14ac:dyDescent="0.2">
      <c r="A3189" t="s">
        <v>285</v>
      </c>
      <c r="B3189" t="s">
        <v>475</v>
      </c>
      <c r="C3189">
        <v>16</v>
      </c>
    </row>
    <row r="3190" spans="1:3" ht="15.75" customHeight="1" x14ac:dyDescent="0.2">
      <c r="A3190" t="s">
        <v>285</v>
      </c>
      <c r="B3190" t="s">
        <v>475</v>
      </c>
      <c r="C3190">
        <v>16</v>
      </c>
    </row>
    <row r="3191" spans="1:3" ht="15.75" customHeight="1" x14ac:dyDescent="0.2">
      <c r="A3191" t="s">
        <v>285</v>
      </c>
      <c r="B3191" t="s">
        <v>475</v>
      </c>
      <c r="C3191">
        <v>16</v>
      </c>
    </row>
    <row r="3192" spans="1:3" ht="15.75" customHeight="1" x14ac:dyDescent="0.2">
      <c r="A3192" t="s">
        <v>285</v>
      </c>
      <c r="B3192" t="s">
        <v>475</v>
      </c>
      <c r="C3192">
        <v>16</v>
      </c>
    </row>
    <row r="3193" spans="1:3" ht="15.75" customHeight="1" x14ac:dyDescent="0.2">
      <c r="A3193" t="s">
        <v>285</v>
      </c>
      <c r="B3193" t="s">
        <v>475</v>
      </c>
      <c r="C3193">
        <v>16</v>
      </c>
    </row>
    <row r="3194" spans="1:3" ht="15.75" customHeight="1" x14ac:dyDescent="0.2">
      <c r="A3194" t="s">
        <v>285</v>
      </c>
      <c r="B3194" t="s">
        <v>475</v>
      </c>
      <c r="C3194">
        <v>16</v>
      </c>
    </row>
    <row r="3195" spans="1:3" ht="15.75" customHeight="1" x14ac:dyDescent="0.2">
      <c r="A3195" t="s">
        <v>285</v>
      </c>
      <c r="B3195" t="s">
        <v>475</v>
      </c>
      <c r="C3195">
        <v>16</v>
      </c>
    </row>
    <row r="3196" spans="1:3" ht="15.75" customHeight="1" x14ac:dyDescent="0.2">
      <c r="A3196" t="s">
        <v>285</v>
      </c>
      <c r="B3196" t="s">
        <v>475</v>
      </c>
      <c r="C3196">
        <v>16</v>
      </c>
    </row>
    <row r="3197" spans="1:3" ht="15.75" customHeight="1" x14ac:dyDescent="0.2">
      <c r="A3197" t="s">
        <v>285</v>
      </c>
      <c r="B3197" t="s">
        <v>475</v>
      </c>
      <c r="C3197">
        <v>16</v>
      </c>
    </row>
    <row r="3198" spans="1:3" ht="15.75" customHeight="1" x14ac:dyDescent="0.2">
      <c r="A3198" t="s">
        <v>285</v>
      </c>
      <c r="B3198" t="s">
        <v>475</v>
      </c>
      <c r="C3198">
        <v>16</v>
      </c>
    </row>
    <row r="3199" spans="1:3" ht="15.75" customHeight="1" x14ac:dyDescent="0.2">
      <c r="A3199" t="s">
        <v>285</v>
      </c>
      <c r="B3199" t="s">
        <v>475</v>
      </c>
      <c r="C3199">
        <v>16</v>
      </c>
    </row>
    <row r="3200" spans="1:3" ht="15.75" customHeight="1" x14ac:dyDescent="0.2">
      <c r="A3200" t="s">
        <v>285</v>
      </c>
      <c r="B3200" t="s">
        <v>475</v>
      </c>
      <c r="C3200">
        <v>16</v>
      </c>
    </row>
    <row r="3201" spans="1:3" ht="15.75" customHeight="1" x14ac:dyDescent="0.2">
      <c r="A3201" t="s">
        <v>285</v>
      </c>
      <c r="B3201" t="s">
        <v>475</v>
      </c>
      <c r="C3201">
        <v>16</v>
      </c>
    </row>
    <row r="3202" spans="1:3" ht="15.75" customHeight="1" x14ac:dyDescent="0.2">
      <c r="A3202" t="s">
        <v>285</v>
      </c>
      <c r="B3202" t="s">
        <v>475</v>
      </c>
      <c r="C3202">
        <v>16</v>
      </c>
    </row>
    <row r="3203" spans="1:3" ht="15.75" customHeight="1" x14ac:dyDescent="0.2">
      <c r="A3203" t="s">
        <v>285</v>
      </c>
      <c r="B3203" t="s">
        <v>475</v>
      </c>
      <c r="C3203">
        <v>16</v>
      </c>
    </row>
    <row r="3204" spans="1:3" ht="15.75" customHeight="1" x14ac:dyDescent="0.2">
      <c r="A3204" t="s">
        <v>285</v>
      </c>
      <c r="B3204" t="s">
        <v>475</v>
      </c>
      <c r="C3204">
        <v>16</v>
      </c>
    </row>
    <row r="3205" spans="1:3" ht="15.75" customHeight="1" x14ac:dyDescent="0.2">
      <c r="A3205" t="s">
        <v>285</v>
      </c>
      <c r="B3205" t="s">
        <v>475</v>
      </c>
      <c r="C3205">
        <v>16</v>
      </c>
    </row>
    <row r="3206" spans="1:3" ht="15.75" customHeight="1" x14ac:dyDescent="0.2">
      <c r="A3206" t="s">
        <v>285</v>
      </c>
      <c r="B3206" t="s">
        <v>475</v>
      </c>
      <c r="C3206">
        <v>16</v>
      </c>
    </row>
    <row r="3207" spans="1:3" ht="15.75" customHeight="1" x14ac:dyDescent="0.2">
      <c r="A3207" t="s">
        <v>285</v>
      </c>
      <c r="B3207" t="s">
        <v>475</v>
      </c>
      <c r="C3207">
        <v>16</v>
      </c>
    </row>
    <row r="3208" spans="1:3" ht="15.75" customHeight="1" x14ac:dyDescent="0.2">
      <c r="A3208" t="s">
        <v>285</v>
      </c>
      <c r="B3208" t="s">
        <v>475</v>
      </c>
      <c r="C3208">
        <v>16</v>
      </c>
    </row>
    <row r="3209" spans="1:3" ht="15.75" customHeight="1" x14ac:dyDescent="0.2">
      <c r="A3209" t="s">
        <v>285</v>
      </c>
      <c r="B3209" t="s">
        <v>475</v>
      </c>
      <c r="C3209">
        <v>16</v>
      </c>
    </row>
    <row r="3210" spans="1:3" ht="15.75" customHeight="1" x14ac:dyDescent="0.2">
      <c r="A3210" t="s">
        <v>285</v>
      </c>
      <c r="B3210" t="s">
        <v>475</v>
      </c>
      <c r="C3210">
        <v>16</v>
      </c>
    </row>
    <row r="3211" spans="1:3" ht="15.75" customHeight="1" x14ac:dyDescent="0.2">
      <c r="A3211" t="s">
        <v>285</v>
      </c>
      <c r="B3211" t="s">
        <v>475</v>
      </c>
      <c r="C3211">
        <v>16</v>
      </c>
    </row>
    <row r="3212" spans="1:3" ht="15.75" customHeight="1" x14ac:dyDescent="0.2">
      <c r="A3212" t="s">
        <v>285</v>
      </c>
      <c r="B3212" t="s">
        <v>475</v>
      </c>
      <c r="C3212">
        <v>16</v>
      </c>
    </row>
    <row r="3213" spans="1:3" ht="15.75" customHeight="1" x14ac:dyDescent="0.2">
      <c r="A3213" t="s">
        <v>285</v>
      </c>
      <c r="B3213" t="s">
        <v>475</v>
      </c>
      <c r="C3213">
        <v>16</v>
      </c>
    </row>
    <row r="3214" spans="1:3" ht="15.75" customHeight="1" x14ac:dyDescent="0.2">
      <c r="A3214" t="s">
        <v>285</v>
      </c>
      <c r="B3214" t="s">
        <v>475</v>
      </c>
      <c r="C3214">
        <v>16</v>
      </c>
    </row>
    <row r="3215" spans="1:3" ht="15.75" customHeight="1" x14ac:dyDescent="0.2">
      <c r="A3215" t="s">
        <v>285</v>
      </c>
      <c r="B3215" t="s">
        <v>475</v>
      </c>
      <c r="C3215">
        <v>16</v>
      </c>
    </row>
    <row r="3216" spans="1:3" ht="15.75" customHeight="1" x14ac:dyDescent="0.2">
      <c r="A3216" t="s">
        <v>285</v>
      </c>
      <c r="B3216" t="s">
        <v>475</v>
      </c>
      <c r="C3216">
        <v>16</v>
      </c>
    </row>
    <row r="3217" spans="1:3" ht="15.75" customHeight="1" x14ac:dyDescent="0.2">
      <c r="A3217" t="s">
        <v>285</v>
      </c>
      <c r="B3217" t="s">
        <v>475</v>
      </c>
      <c r="C3217">
        <v>16</v>
      </c>
    </row>
    <row r="3218" spans="1:3" ht="15.75" customHeight="1" x14ac:dyDescent="0.2">
      <c r="A3218" t="s">
        <v>285</v>
      </c>
      <c r="B3218" t="s">
        <v>475</v>
      </c>
      <c r="C3218">
        <v>16</v>
      </c>
    </row>
    <row r="3219" spans="1:3" ht="15.75" customHeight="1" x14ac:dyDescent="0.2">
      <c r="A3219" t="s">
        <v>285</v>
      </c>
      <c r="B3219" t="s">
        <v>475</v>
      </c>
      <c r="C3219">
        <v>16</v>
      </c>
    </row>
    <row r="3220" spans="1:3" ht="15.75" customHeight="1" x14ac:dyDescent="0.2">
      <c r="A3220" t="s">
        <v>285</v>
      </c>
      <c r="B3220" t="s">
        <v>475</v>
      </c>
      <c r="C3220">
        <v>16</v>
      </c>
    </row>
    <row r="3221" spans="1:3" ht="15.75" customHeight="1" x14ac:dyDescent="0.2">
      <c r="A3221" t="s">
        <v>285</v>
      </c>
      <c r="B3221" t="s">
        <v>475</v>
      </c>
      <c r="C3221">
        <v>16</v>
      </c>
    </row>
    <row r="3222" spans="1:3" ht="15.75" customHeight="1" x14ac:dyDescent="0.2">
      <c r="A3222" t="s">
        <v>285</v>
      </c>
      <c r="B3222" t="s">
        <v>475</v>
      </c>
      <c r="C3222">
        <v>16</v>
      </c>
    </row>
    <row r="3223" spans="1:3" ht="15.75" customHeight="1" x14ac:dyDescent="0.2">
      <c r="A3223" t="s">
        <v>285</v>
      </c>
      <c r="B3223" t="s">
        <v>475</v>
      </c>
      <c r="C3223">
        <v>16</v>
      </c>
    </row>
    <row r="3224" spans="1:3" ht="15.75" customHeight="1" x14ac:dyDescent="0.2">
      <c r="A3224" t="s">
        <v>285</v>
      </c>
      <c r="B3224" t="s">
        <v>477</v>
      </c>
      <c r="C3224">
        <v>17</v>
      </c>
    </row>
    <row r="3225" spans="1:3" ht="15.75" customHeight="1" x14ac:dyDescent="0.2">
      <c r="A3225" t="s">
        <v>285</v>
      </c>
      <c r="B3225" t="s">
        <v>477</v>
      </c>
      <c r="C3225">
        <v>17</v>
      </c>
    </row>
    <row r="3226" spans="1:3" ht="15.75" customHeight="1" x14ac:dyDescent="0.2">
      <c r="A3226" t="s">
        <v>285</v>
      </c>
      <c r="B3226" t="s">
        <v>477</v>
      </c>
      <c r="C3226">
        <v>17</v>
      </c>
    </row>
    <row r="3227" spans="1:3" ht="15.75" customHeight="1" x14ac:dyDescent="0.2">
      <c r="A3227" t="s">
        <v>285</v>
      </c>
      <c r="B3227" t="s">
        <v>477</v>
      </c>
      <c r="C3227">
        <v>17</v>
      </c>
    </row>
    <row r="3228" spans="1:3" ht="15.75" customHeight="1" x14ac:dyDescent="0.2">
      <c r="A3228" t="s">
        <v>285</v>
      </c>
      <c r="B3228" t="s">
        <v>477</v>
      </c>
      <c r="C3228">
        <v>17</v>
      </c>
    </row>
    <row r="3229" spans="1:3" ht="15.75" customHeight="1" x14ac:dyDescent="0.2">
      <c r="A3229" t="s">
        <v>285</v>
      </c>
      <c r="B3229" t="s">
        <v>477</v>
      </c>
      <c r="C3229">
        <v>17</v>
      </c>
    </row>
    <row r="3230" spans="1:3" ht="15.75" customHeight="1" x14ac:dyDescent="0.2">
      <c r="A3230" t="s">
        <v>285</v>
      </c>
      <c r="B3230" t="s">
        <v>477</v>
      </c>
      <c r="C3230">
        <v>17</v>
      </c>
    </row>
    <row r="3231" spans="1:3" ht="15.75" customHeight="1" x14ac:dyDescent="0.2">
      <c r="A3231" t="s">
        <v>285</v>
      </c>
      <c r="B3231" t="s">
        <v>477</v>
      </c>
      <c r="C3231">
        <v>17</v>
      </c>
    </row>
    <row r="3232" spans="1:3" ht="15.75" customHeight="1" x14ac:dyDescent="0.2">
      <c r="A3232" t="s">
        <v>285</v>
      </c>
      <c r="B3232" t="s">
        <v>477</v>
      </c>
      <c r="C3232">
        <v>17</v>
      </c>
    </row>
    <row r="3233" spans="1:3" ht="15.75" customHeight="1" x14ac:dyDescent="0.2">
      <c r="A3233" t="s">
        <v>285</v>
      </c>
      <c r="B3233" t="s">
        <v>477</v>
      </c>
      <c r="C3233">
        <v>17</v>
      </c>
    </row>
    <row r="3234" spans="1:3" ht="15.75" customHeight="1" x14ac:dyDescent="0.2">
      <c r="A3234" t="s">
        <v>285</v>
      </c>
      <c r="B3234" t="s">
        <v>477</v>
      </c>
      <c r="C3234">
        <v>17</v>
      </c>
    </row>
    <row r="3235" spans="1:3" ht="15.75" customHeight="1" x14ac:dyDescent="0.2">
      <c r="A3235" t="s">
        <v>285</v>
      </c>
      <c r="B3235" t="s">
        <v>477</v>
      </c>
      <c r="C3235">
        <v>17</v>
      </c>
    </row>
    <row r="3236" spans="1:3" ht="15.75" customHeight="1" x14ac:dyDescent="0.2">
      <c r="A3236" t="s">
        <v>285</v>
      </c>
      <c r="B3236" t="s">
        <v>477</v>
      </c>
      <c r="C3236">
        <v>17</v>
      </c>
    </row>
    <row r="3237" spans="1:3" ht="15.75" customHeight="1" x14ac:dyDescent="0.2">
      <c r="A3237" t="s">
        <v>285</v>
      </c>
      <c r="B3237" t="s">
        <v>477</v>
      </c>
      <c r="C3237">
        <v>17</v>
      </c>
    </row>
    <row r="3238" spans="1:3" ht="15.75" customHeight="1" x14ac:dyDescent="0.2">
      <c r="A3238" t="s">
        <v>285</v>
      </c>
      <c r="B3238" t="s">
        <v>477</v>
      </c>
      <c r="C3238">
        <v>17</v>
      </c>
    </row>
    <row r="3239" spans="1:3" ht="15.75" customHeight="1" x14ac:dyDescent="0.2">
      <c r="A3239" t="s">
        <v>285</v>
      </c>
      <c r="B3239" t="s">
        <v>477</v>
      </c>
      <c r="C3239">
        <v>17</v>
      </c>
    </row>
    <row r="3240" spans="1:3" ht="15.75" customHeight="1" x14ac:dyDescent="0.2">
      <c r="A3240" t="s">
        <v>285</v>
      </c>
      <c r="B3240" t="s">
        <v>477</v>
      </c>
      <c r="C3240">
        <v>17</v>
      </c>
    </row>
    <row r="3241" spans="1:3" ht="15.75" customHeight="1" x14ac:dyDescent="0.2">
      <c r="A3241" t="s">
        <v>285</v>
      </c>
      <c r="B3241" t="s">
        <v>477</v>
      </c>
      <c r="C3241">
        <v>17</v>
      </c>
    </row>
    <row r="3242" spans="1:3" ht="15.75" customHeight="1" x14ac:dyDescent="0.2">
      <c r="A3242" t="s">
        <v>285</v>
      </c>
      <c r="B3242" t="s">
        <v>477</v>
      </c>
      <c r="C3242">
        <v>17</v>
      </c>
    </row>
    <row r="3243" spans="1:3" ht="15.75" customHeight="1" x14ac:dyDescent="0.2">
      <c r="A3243" t="s">
        <v>285</v>
      </c>
      <c r="B3243" t="s">
        <v>477</v>
      </c>
      <c r="C3243">
        <v>17</v>
      </c>
    </row>
    <row r="3244" spans="1:3" ht="15.75" customHeight="1" x14ac:dyDescent="0.2">
      <c r="A3244" t="s">
        <v>285</v>
      </c>
      <c r="B3244" t="s">
        <v>477</v>
      </c>
      <c r="C3244">
        <v>17</v>
      </c>
    </row>
    <row r="3245" spans="1:3" ht="15.75" customHeight="1" x14ac:dyDescent="0.2">
      <c r="A3245" t="s">
        <v>285</v>
      </c>
      <c r="B3245" t="s">
        <v>477</v>
      </c>
      <c r="C3245">
        <v>17</v>
      </c>
    </row>
    <row r="3246" spans="1:3" ht="15.75" customHeight="1" x14ac:dyDescent="0.2">
      <c r="A3246" t="s">
        <v>285</v>
      </c>
      <c r="B3246" t="s">
        <v>477</v>
      </c>
      <c r="C3246">
        <v>17</v>
      </c>
    </row>
    <row r="3247" spans="1:3" ht="15.75" customHeight="1" x14ac:dyDescent="0.2">
      <c r="A3247" t="s">
        <v>285</v>
      </c>
      <c r="B3247" t="s">
        <v>477</v>
      </c>
      <c r="C3247">
        <v>17</v>
      </c>
    </row>
    <row r="3248" spans="1:3" ht="15.75" customHeight="1" x14ac:dyDescent="0.2">
      <c r="A3248" t="s">
        <v>285</v>
      </c>
      <c r="B3248" t="s">
        <v>477</v>
      </c>
      <c r="C3248">
        <v>17</v>
      </c>
    </row>
    <row r="3249" spans="1:3" ht="15.75" customHeight="1" x14ac:dyDescent="0.2">
      <c r="A3249" t="s">
        <v>285</v>
      </c>
      <c r="B3249" t="s">
        <v>477</v>
      </c>
      <c r="C3249">
        <v>17</v>
      </c>
    </row>
    <row r="3250" spans="1:3" ht="15.75" customHeight="1" x14ac:dyDescent="0.2">
      <c r="A3250" t="s">
        <v>285</v>
      </c>
      <c r="B3250" t="s">
        <v>477</v>
      </c>
      <c r="C3250">
        <v>17</v>
      </c>
    </row>
    <row r="3251" spans="1:3" ht="15.75" customHeight="1" x14ac:dyDescent="0.2">
      <c r="A3251" t="s">
        <v>285</v>
      </c>
      <c r="B3251" t="s">
        <v>477</v>
      </c>
      <c r="C3251">
        <v>17</v>
      </c>
    </row>
    <row r="3252" spans="1:3" ht="15.75" customHeight="1" x14ac:dyDescent="0.2">
      <c r="A3252" t="s">
        <v>285</v>
      </c>
      <c r="B3252" t="s">
        <v>477</v>
      </c>
      <c r="C3252">
        <v>17</v>
      </c>
    </row>
    <row r="3253" spans="1:3" ht="15.75" customHeight="1" x14ac:dyDescent="0.2">
      <c r="A3253" t="s">
        <v>285</v>
      </c>
      <c r="B3253" t="s">
        <v>477</v>
      </c>
      <c r="C3253">
        <v>17</v>
      </c>
    </row>
    <row r="3254" spans="1:3" ht="15.75" customHeight="1" x14ac:dyDescent="0.2">
      <c r="A3254" t="s">
        <v>285</v>
      </c>
      <c r="B3254" t="s">
        <v>477</v>
      </c>
      <c r="C3254">
        <v>17</v>
      </c>
    </row>
    <row r="3255" spans="1:3" ht="15.75" customHeight="1" x14ac:dyDescent="0.2">
      <c r="A3255" t="s">
        <v>285</v>
      </c>
      <c r="B3255" t="s">
        <v>477</v>
      </c>
      <c r="C3255">
        <v>17</v>
      </c>
    </row>
    <row r="3256" spans="1:3" ht="15.75" customHeight="1" x14ac:dyDescent="0.2">
      <c r="A3256" t="s">
        <v>285</v>
      </c>
      <c r="B3256" t="s">
        <v>477</v>
      </c>
      <c r="C3256">
        <v>17</v>
      </c>
    </row>
    <row r="3257" spans="1:3" ht="15.75" customHeight="1" x14ac:dyDescent="0.2">
      <c r="A3257" t="s">
        <v>285</v>
      </c>
      <c r="B3257" t="s">
        <v>477</v>
      </c>
      <c r="C3257">
        <v>17</v>
      </c>
    </row>
    <row r="3258" spans="1:3" ht="15.75" customHeight="1" x14ac:dyDescent="0.2">
      <c r="A3258" t="s">
        <v>285</v>
      </c>
      <c r="B3258" t="s">
        <v>477</v>
      </c>
      <c r="C3258">
        <v>17</v>
      </c>
    </row>
    <row r="3259" spans="1:3" ht="15.75" customHeight="1" x14ac:dyDescent="0.2">
      <c r="A3259" t="s">
        <v>285</v>
      </c>
      <c r="B3259" t="s">
        <v>477</v>
      </c>
      <c r="C3259">
        <v>17</v>
      </c>
    </row>
    <row r="3260" spans="1:3" ht="15.75" customHeight="1" x14ac:dyDescent="0.2">
      <c r="A3260" t="s">
        <v>285</v>
      </c>
      <c r="B3260" t="s">
        <v>477</v>
      </c>
      <c r="C3260">
        <v>17</v>
      </c>
    </row>
    <row r="3261" spans="1:3" ht="15.75" customHeight="1" x14ac:dyDescent="0.2">
      <c r="A3261" t="s">
        <v>285</v>
      </c>
      <c r="B3261" t="s">
        <v>477</v>
      </c>
      <c r="C3261">
        <v>17</v>
      </c>
    </row>
    <row r="3262" spans="1:3" ht="15.75" customHeight="1" x14ac:dyDescent="0.2">
      <c r="A3262" t="s">
        <v>285</v>
      </c>
      <c r="B3262" t="s">
        <v>477</v>
      </c>
      <c r="C3262">
        <v>17</v>
      </c>
    </row>
    <row r="3263" spans="1:3" ht="15.75" customHeight="1" x14ac:dyDescent="0.2">
      <c r="A3263" t="s">
        <v>285</v>
      </c>
      <c r="B3263" t="s">
        <v>477</v>
      </c>
      <c r="C3263">
        <v>17</v>
      </c>
    </row>
    <row r="3264" spans="1:3" ht="15.75" customHeight="1" x14ac:dyDescent="0.2">
      <c r="A3264" t="s">
        <v>285</v>
      </c>
      <c r="B3264" t="s">
        <v>477</v>
      </c>
      <c r="C3264">
        <v>17</v>
      </c>
    </row>
    <row r="3265" spans="1:3" ht="15.75" customHeight="1" x14ac:dyDescent="0.2">
      <c r="A3265" t="s">
        <v>285</v>
      </c>
      <c r="B3265" t="s">
        <v>477</v>
      </c>
      <c r="C3265">
        <v>17</v>
      </c>
    </row>
    <row r="3266" spans="1:3" ht="15.75" customHeight="1" x14ac:dyDescent="0.2">
      <c r="A3266" t="s">
        <v>285</v>
      </c>
      <c r="B3266" t="s">
        <v>477</v>
      </c>
      <c r="C3266">
        <v>17</v>
      </c>
    </row>
    <row r="3267" spans="1:3" ht="15.75" customHeight="1" x14ac:dyDescent="0.2">
      <c r="A3267" t="s">
        <v>285</v>
      </c>
      <c r="B3267" t="s">
        <v>477</v>
      </c>
      <c r="C3267">
        <v>17</v>
      </c>
    </row>
    <row r="3268" spans="1:3" ht="15.75" customHeight="1" x14ac:dyDescent="0.2">
      <c r="A3268" t="s">
        <v>285</v>
      </c>
      <c r="B3268" t="s">
        <v>477</v>
      </c>
      <c r="C3268">
        <v>17</v>
      </c>
    </row>
    <row r="3269" spans="1:3" ht="15.75" customHeight="1" x14ac:dyDescent="0.2">
      <c r="A3269" t="s">
        <v>285</v>
      </c>
      <c r="B3269" t="s">
        <v>477</v>
      </c>
      <c r="C3269">
        <v>17</v>
      </c>
    </row>
    <row r="3270" spans="1:3" ht="15.75" customHeight="1" x14ac:dyDescent="0.2">
      <c r="A3270" t="s">
        <v>285</v>
      </c>
      <c r="B3270" t="s">
        <v>477</v>
      </c>
      <c r="C3270">
        <v>17</v>
      </c>
    </row>
    <row r="3271" spans="1:3" ht="15.75" customHeight="1" x14ac:dyDescent="0.2">
      <c r="A3271" t="s">
        <v>285</v>
      </c>
      <c r="B3271" t="s">
        <v>477</v>
      </c>
      <c r="C3271">
        <v>17</v>
      </c>
    </row>
    <row r="3272" spans="1:3" ht="15.75" customHeight="1" x14ac:dyDescent="0.2">
      <c r="A3272" t="s">
        <v>285</v>
      </c>
      <c r="B3272" t="s">
        <v>477</v>
      </c>
      <c r="C3272">
        <v>17</v>
      </c>
    </row>
    <row r="3273" spans="1:3" ht="15.75" customHeight="1" x14ac:dyDescent="0.2">
      <c r="A3273" t="s">
        <v>285</v>
      </c>
      <c r="B3273" t="s">
        <v>477</v>
      </c>
      <c r="C3273">
        <v>17</v>
      </c>
    </row>
    <row r="3274" spans="1:3" ht="15.75" customHeight="1" x14ac:dyDescent="0.2">
      <c r="A3274" t="s">
        <v>285</v>
      </c>
      <c r="B3274" t="s">
        <v>477</v>
      </c>
      <c r="C3274">
        <v>17</v>
      </c>
    </row>
    <row r="3275" spans="1:3" ht="15.75" customHeight="1" x14ac:dyDescent="0.2">
      <c r="A3275" t="s">
        <v>285</v>
      </c>
      <c r="B3275" t="s">
        <v>477</v>
      </c>
      <c r="C3275">
        <v>17</v>
      </c>
    </row>
    <row r="3276" spans="1:3" ht="15.75" customHeight="1" x14ac:dyDescent="0.2">
      <c r="A3276" t="s">
        <v>285</v>
      </c>
      <c r="B3276" t="s">
        <v>477</v>
      </c>
      <c r="C3276">
        <v>17</v>
      </c>
    </row>
    <row r="3277" spans="1:3" ht="15.75" customHeight="1" x14ac:dyDescent="0.2">
      <c r="A3277" t="s">
        <v>285</v>
      </c>
      <c r="B3277" t="s">
        <v>477</v>
      </c>
      <c r="C3277">
        <v>17</v>
      </c>
    </row>
    <row r="3278" spans="1:3" ht="15.75" customHeight="1" x14ac:dyDescent="0.2">
      <c r="A3278" t="s">
        <v>285</v>
      </c>
      <c r="B3278" t="s">
        <v>477</v>
      </c>
      <c r="C3278">
        <v>17</v>
      </c>
    </row>
    <row r="3279" spans="1:3" ht="15.75" customHeight="1" x14ac:dyDescent="0.2">
      <c r="A3279" t="s">
        <v>285</v>
      </c>
      <c r="B3279" t="s">
        <v>477</v>
      </c>
      <c r="C3279">
        <v>17</v>
      </c>
    </row>
    <row r="3280" spans="1:3" ht="15.75" customHeight="1" x14ac:dyDescent="0.2">
      <c r="A3280" t="s">
        <v>285</v>
      </c>
      <c r="B3280" t="s">
        <v>477</v>
      </c>
      <c r="C3280">
        <v>17</v>
      </c>
    </row>
    <row r="3281" spans="1:3" ht="15.75" customHeight="1" x14ac:dyDescent="0.2">
      <c r="A3281" t="s">
        <v>285</v>
      </c>
      <c r="B3281" t="s">
        <v>477</v>
      </c>
      <c r="C3281">
        <v>17</v>
      </c>
    </row>
    <row r="3282" spans="1:3" ht="15.75" customHeight="1" x14ac:dyDescent="0.2">
      <c r="A3282" t="s">
        <v>285</v>
      </c>
      <c r="B3282" t="s">
        <v>477</v>
      </c>
      <c r="C3282">
        <v>17</v>
      </c>
    </row>
    <row r="3283" spans="1:3" ht="15.75" customHeight="1" x14ac:dyDescent="0.2">
      <c r="A3283" t="s">
        <v>285</v>
      </c>
      <c r="B3283" t="s">
        <v>477</v>
      </c>
      <c r="C3283">
        <v>17</v>
      </c>
    </row>
    <row r="3284" spans="1:3" ht="15.75" customHeight="1" x14ac:dyDescent="0.2">
      <c r="A3284" t="s">
        <v>285</v>
      </c>
      <c r="B3284" t="s">
        <v>477</v>
      </c>
      <c r="C3284">
        <v>17</v>
      </c>
    </row>
    <row r="3285" spans="1:3" ht="15.75" customHeight="1" x14ac:dyDescent="0.2">
      <c r="A3285" t="s">
        <v>285</v>
      </c>
      <c r="B3285" t="s">
        <v>477</v>
      </c>
      <c r="C3285">
        <v>17</v>
      </c>
    </row>
    <row r="3286" spans="1:3" ht="15.75" customHeight="1" x14ac:dyDescent="0.2">
      <c r="A3286" t="s">
        <v>285</v>
      </c>
      <c r="B3286" t="s">
        <v>477</v>
      </c>
      <c r="C3286">
        <v>17</v>
      </c>
    </row>
    <row r="3287" spans="1:3" ht="15.75" customHeight="1" x14ac:dyDescent="0.2">
      <c r="A3287" t="s">
        <v>285</v>
      </c>
      <c r="B3287" t="s">
        <v>477</v>
      </c>
      <c r="C3287">
        <v>17</v>
      </c>
    </row>
    <row r="3288" spans="1:3" ht="15.75" customHeight="1" x14ac:dyDescent="0.2">
      <c r="A3288" t="s">
        <v>285</v>
      </c>
      <c r="B3288" t="s">
        <v>477</v>
      </c>
      <c r="C3288">
        <v>17</v>
      </c>
    </row>
    <row r="3289" spans="1:3" ht="15.75" customHeight="1" x14ac:dyDescent="0.2">
      <c r="A3289" t="s">
        <v>285</v>
      </c>
      <c r="B3289" t="s">
        <v>477</v>
      </c>
      <c r="C3289">
        <v>17</v>
      </c>
    </row>
    <row r="3290" spans="1:3" ht="15.75" customHeight="1" x14ac:dyDescent="0.2">
      <c r="A3290" t="s">
        <v>285</v>
      </c>
      <c r="B3290" t="s">
        <v>477</v>
      </c>
      <c r="C3290">
        <v>17</v>
      </c>
    </row>
    <row r="3291" spans="1:3" ht="15.75" customHeight="1" x14ac:dyDescent="0.2">
      <c r="A3291" t="s">
        <v>285</v>
      </c>
      <c r="B3291" t="s">
        <v>477</v>
      </c>
      <c r="C3291">
        <v>17</v>
      </c>
    </row>
    <row r="3292" spans="1:3" ht="15.75" customHeight="1" x14ac:dyDescent="0.2">
      <c r="A3292" t="s">
        <v>285</v>
      </c>
      <c r="B3292" t="s">
        <v>477</v>
      </c>
      <c r="C3292">
        <v>17</v>
      </c>
    </row>
    <row r="3293" spans="1:3" ht="15.75" customHeight="1" x14ac:dyDescent="0.2">
      <c r="A3293" t="s">
        <v>285</v>
      </c>
      <c r="B3293" t="s">
        <v>477</v>
      </c>
      <c r="C3293">
        <v>17</v>
      </c>
    </row>
    <row r="3294" spans="1:3" ht="15.75" customHeight="1" x14ac:dyDescent="0.2">
      <c r="A3294" t="s">
        <v>285</v>
      </c>
      <c r="B3294" t="s">
        <v>477</v>
      </c>
      <c r="C3294">
        <v>17</v>
      </c>
    </row>
    <row r="3295" spans="1:3" ht="15.75" customHeight="1" x14ac:dyDescent="0.2">
      <c r="A3295" t="s">
        <v>285</v>
      </c>
      <c r="B3295" t="s">
        <v>477</v>
      </c>
      <c r="C3295">
        <v>17</v>
      </c>
    </row>
    <row r="3296" spans="1:3" ht="15.75" customHeight="1" x14ac:dyDescent="0.2">
      <c r="A3296" t="s">
        <v>285</v>
      </c>
      <c r="B3296" t="s">
        <v>477</v>
      </c>
      <c r="C3296">
        <v>17</v>
      </c>
    </row>
    <row r="3297" spans="1:3" ht="15.75" customHeight="1" x14ac:dyDescent="0.2">
      <c r="A3297" t="s">
        <v>285</v>
      </c>
      <c r="B3297" t="s">
        <v>477</v>
      </c>
      <c r="C3297">
        <v>17</v>
      </c>
    </row>
    <row r="3298" spans="1:3" ht="15.75" customHeight="1" x14ac:dyDescent="0.2">
      <c r="A3298" t="s">
        <v>285</v>
      </c>
      <c r="B3298" t="s">
        <v>477</v>
      </c>
      <c r="C3298">
        <v>17</v>
      </c>
    </row>
    <row r="3299" spans="1:3" ht="15.75" customHeight="1" x14ac:dyDescent="0.2">
      <c r="A3299" t="s">
        <v>285</v>
      </c>
      <c r="B3299" t="s">
        <v>477</v>
      </c>
      <c r="C3299">
        <v>17</v>
      </c>
    </row>
    <row r="3300" spans="1:3" ht="15.75" customHeight="1" x14ac:dyDescent="0.2">
      <c r="A3300" t="s">
        <v>285</v>
      </c>
      <c r="B3300" t="s">
        <v>477</v>
      </c>
      <c r="C3300">
        <v>17</v>
      </c>
    </row>
    <row r="3301" spans="1:3" ht="15.75" customHeight="1" x14ac:dyDescent="0.2">
      <c r="A3301" t="s">
        <v>285</v>
      </c>
      <c r="B3301" t="s">
        <v>477</v>
      </c>
      <c r="C3301">
        <v>17</v>
      </c>
    </row>
    <row r="3302" spans="1:3" ht="15.75" customHeight="1" x14ac:dyDescent="0.2">
      <c r="A3302" t="s">
        <v>285</v>
      </c>
      <c r="B3302" t="s">
        <v>477</v>
      </c>
      <c r="C3302">
        <v>17</v>
      </c>
    </row>
    <row r="3303" spans="1:3" ht="15.75" customHeight="1" x14ac:dyDescent="0.2">
      <c r="A3303" t="s">
        <v>285</v>
      </c>
      <c r="B3303" t="s">
        <v>477</v>
      </c>
      <c r="C3303">
        <v>17</v>
      </c>
    </row>
    <row r="3304" spans="1:3" ht="15.75" customHeight="1" x14ac:dyDescent="0.2">
      <c r="A3304" t="s">
        <v>285</v>
      </c>
      <c r="B3304" t="s">
        <v>477</v>
      </c>
      <c r="C3304">
        <v>17</v>
      </c>
    </row>
    <row r="3305" spans="1:3" ht="15.75" customHeight="1" x14ac:dyDescent="0.2">
      <c r="A3305" t="s">
        <v>285</v>
      </c>
      <c r="B3305" t="s">
        <v>477</v>
      </c>
      <c r="C3305">
        <v>17</v>
      </c>
    </row>
    <row r="3306" spans="1:3" ht="15.75" customHeight="1" x14ac:dyDescent="0.2">
      <c r="A3306" t="s">
        <v>285</v>
      </c>
      <c r="B3306" t="s">
        <v>477</v>
      </c>
      <c r="C3306">
        <v>17</v>
      </c>
    </row>
    <row r="3307" spans="1:3" ht="15.75" customHeight="1" x14ac:dyDescent="0.2">
      <c r="A3307" t="s">
        <v>285</v>
      </c>
      <c r="B3307" t="s">
        <v>477</v>
      </c>
      <c r="C3307">
        <v>17</v>
      </c>
    </row>
    <row r="3308" spans="1:3" ht="15.75" customHeight="1" x14ac:dyDescent="0.2">
      <c r="A3308" t="s">
        <v>285</v>
      </c>
      <c r="B3308" t="s">
        <v>477</v>
      </c>
      <c r="C3308">
        <v>17</v>
      </c>
    </row>
    <row r="3309" spans="1:3" ht="15.75" customHeight="1" x14ac:dyDescent="0.2">
      <c r="A3309" t="s">
        <v>285</v>
      </c>
      <c r="B3309" t="s">
        <v>477</v>
      </c>
      <c r="C3309">
        <v>17</v>
      </c>
    </row>
    <row r="3310" spans="1:3" ht="15.75" customHeight="1" x14ac:dyDescent="0.2">
      <c r="A3310" t="s">
        <v>285</v>
      </c>
      <c r="B3310" t="s">
        <v>477</v>
      </c>
      <c r="C3310">
        <v>17</v>
      </c>
    </row>
    <row r="3311" spans="1:3" ht="15.75" customHeight="1" x14ac:dyDescent="0.2">
      <c r="A3311" t="s">
        <v>285</v>
      </c>
      <c r="B3311" t="s">
        <v>477</v>
      </c>
      <c r="C3311">
        <v>17</v>
      </c>
    </row>
    <row r="3312" spans="1:3" ht="15.75" customHeight="1" x14ac:dyDescent="0.2">
      <c r="A3312" t="s">
        <v>285</v>
      </c>
      <c r="B3312" t="s">
        <v>477</v>
      </c>
      <c r="C3312">
        <v>17</v>
      </c>
    </row>
    <row r="3313" spans="1:3" ht="15.75" customHeight="1" x14ac:dyDescent="0.2">
      <c r="A3313" t="s">
        <v>285</v>
      </c>
      <c r="B3313" t="s">
        <v>477</v>
      </c>
      <c r="C3313">
        <v>17</v>
      </c>
    </row>
    <row r="3314" spans="1:3" ht="15.75" customHeight="1" x14ac:dyDescent="0.2">
      <c r="A3314" t="s">
        <v>285</v>
      </c>
      <c r="B3314" t="s">
        <v>477</v>
      </c>
      <c r="C3314">
        <v>17</v>
      </c>
    </row>
    <row r="3315" spans="1:3" ht="15.75" customHeight="1" x14ac:dyDescent="0.2">
      <c r="A3315" t="s">
        <v>285</v>
      </c>
      <c r="B3315" t="s">
        <v>477</v>
      </c>
      <c r="C3315">
        <v>17</v>
      </c>
    </row>
    <row r="3316" spans="1:3" ht="15.75" customHeight="1" x14ac:dyDescent="0.2">
      <c r="A3316" t="s">
        <v>285</v>
      </c>
      <c r="B3316" t="s">
        <v>477</v>
      </c>
      <c r="C3316">
        <v>17</v>
      </c>
    </row>
    <row r="3317" spans="1:3" ht="15.75" customHeight="1" x14ac:dyDescent="0.2">
      <c r="A3317" t="s">
        <v>285</v>
      </c>
      <c r="B3317" t="s">
        <v>477</v>
      </c>
      <c r="C3317">
        <v>17</v>
      </c>
    </row>
    <row r="3318" spans="1:3" ht="15.75" customHeight="1" x14ac:dyDescent="0.2">
      <c r="A3318" t="s">
        <v>285</v>
      </c>
      <c r="B3318" t="s">
        <v>477</v>
      </c>
      <c r="C3318">
        <v>17</v>
      </c>
    </row>
    <row r="3319" spans="1:3" ht="15.75" customHeight="1" x14ac:dyDescent="0.2">
      <c r="A3319" t="s">
        <v>285</v>
      </c>
      <c r="B3319" t="s">
        <v>477</v>
      </c>
      <c r="C3319">
        <v>17</v>
      </c>
    </row>
    <row r="3320" spans="1:3" ht="15.75" customHeight="1" x14ac:dyDescent="0.2">
      <c r="A3320" t="s">
        <v>285</v>
      </c>
      <c r="B3320" t="s">
        <v>477</v>
      </c>
      <c r="C3320">
        <v>17</v>
      </c>
    </row>
    <row r="3321" spans="1:3" ht="15.75" customHeight="1" x14ac:dyDescent="0.2">
      <c r="A3321" t="s">
        <v>285</v>
      </c>
      <c r="B3321" t="s">
        <v>477</v>
      </c>
      <c r="C3321">
        <v>17</v>
      </c>
    </row>
    <row r="3322" spans="1:3" ht="15.75" customHeight="1" x14ac:dyDescent="0.2">
      <c r="A3322" t="s">
        <v>285</v>
      </c>
      <c r="B3322" t="s">
        <v>477</v>
      </c>
      <c r="C3322">
        <v>17</v>
      </c>
    </row>
    <row r="3323" spans="1:3" ht="15.75" customHeight="1" x14ac:dyDescent="0.2">
      <c r="A3323" t="s">
        <v>285</v>
      </c>
      <c r="B3323" t="s">
        <v>477</v>
      </c>
      <c r="C3323">
        <v>17</v>
      </c>
    </row>
    <row r="3324" spans="1:3" ht="15.75" customHeight="1" x14ac:dyDescent="0.2">
      <c r="A3324" t="s">
        <v>285</v>
      </c>
      <c r="B3324" t="s">
        <v>477</v>
      </c>
      <c r="C3324">
        <v>17</v>
      </c>
    </row>
    <row r="3325" spans="1:3" ht="15.75" customHeight="1" x14ac:dyDescent="0.2">
      <c r="A3325" t="s">
        <v>285</v>
      </c>
      <c r="B3325" t="s">
        <v>477</v>
      </c>
      <c r="C3325">
        <v>17</v>
      </c>
    </row>
    <row r="3326" spans="1:3" ht="15.75" customHeight="1" x14ac:dyDescent="0.2">
      <c r="A3326" t="s">
        <v>285</v>
      </c>
      <c r="B3326" t="s">
        <v>477</v>
      </c>
      <c r="C3326">
        <v>17</v>
      </c>
    </row>
    <row r="3327" spans="1:3" ht="15.75" customHeight="1" x14ac:dyDescent="0.2">
      <c r="A3327" t="s">
        <v>285</v>
      </c>
      <c r="B3327" t="s">
        <v>477</v>
      </c>
      <c r="C3327">
        <v>17</v>
      </c>
    </row>
    <row r="3328" spans="1:3" ht="15.75" customHeight="1" x14ac:dyDescent="0.2">
      <c r="A3328" t="s">
        <v>285</v>
      </c>
      <c r="B3328" t="s">
        <v>477</v>
      </c>
      <c r="C3328">
        <v>17</v>
      </c>
    </row>
    <row r="3329" spans="1:3" ht="15.75" customHeight="1" x14ac:dyDescent="0.2">
      <c r="A3329" t="s">
        <v>285</v>
      </c>
      <c r="B3329" t="s">
        <v>477</v>
      </c>
      <c r="C3329">
        <v>17</v>
      </c>
    </row>
    <row r="3330" spans="1:3" ht="15.75" customHeight="1" x14ac:dyDescent="0.2">
      <c r="A3330" t="s">
        <v>285</v>
      </c>
      <c r="B3330" t="s">
        <v>477</v>
      </c>
      <c r="C3330">
        <v>17</v>
      </c>
    </row>
    <row r="3331" spans="1:3" ht="15.75" customHeight="1" x14ac:dyDescent="0.2">
      <c r="A3331" t="s">
        <v>285</v>
      </c>
      <c r="B3331" t="s">
        <v>477</v>
      </c>
      <c r="C3331">
        <v>17</v>
      </c>
    </row>
    <row r="3332" spans="1:3" ht="15.75" customHeight="1" x14ac:dyDescent="0.2">
      <c r="A3332" t="s">
        <v>285</v>
      </c>
      <c r="B3332" t="s">
        <v>477</v>
      </c>
      <c r="C3332">
        <v>17</v>
      </c>
    </row>
    <row r="3333" spans="1:3" ht="15.75" customHeight="1" x14ac:dyDescent="0.2">
      <c r="A3333" t="s">
        <v>285</v>
      </c>
      <c r="B3333" t="s">
        <v>477</v>
      </c>
      <c r="C3333">
        <v>17</v>
      </c>
    </row>
    <row r="3334" spans="1:3" ht="15.75" customHeight="1" x14ac:dyDescent="0.2">
      <c r="A3334" t="s">
        <v>285</v>
      </c>
      <c r="B3334" t="s">
        <v>477</v>
      </c>
      <c r="C3334">
        <v>17</v>
      </c>
    </row>
    <row r="3335" spans="1:3" ht="15.75" customHeight="1" x14ac:dyDescent="0.2">
      <c r="A3335" t="s">
        <v>285</v>
      </c>
      <c r="B3335" t="s">
        <v>477</v>
      </c>
      <c r="C3335">
        <v>17</v>
      </c>
    </row>
    <row r="3336" spans="1:3" ht="15.75" customHeight="1" x14ac:dyDescent="0.2">
      <c r="A3336" t="s">
        <v>285</v>
      </c>
      <c r="B3336" t="s">
        <v>477</v>
      </c>
      <c r="C3336">
        <v>17</v>
      </c>
    </row>
    <row r="3337" spans="1:3" ht="15.75" customHeight="1" x14ac:dyDescent="0.2">
      <c r="A3337" t="s">
        <v>285</v>
      </c>
      <c r="B3337" t="s">
        <v>477</v>
      </c>
      <c r="C3337">
        <v>17</v>
      </c>
    </row>
    <row r="3338" spans="1:3" ht="15.75" customHeight="1" x14ac:dyDescent="0.2">
      <c r="A3338" t="s">
        <v>285</v>
      </c>
      <c r="B3338" t="s">
        <v>477</v>
      </c>
      <c r="C3338">
        <v>17</v>
      </c>
    </row>
    <row r="3339" spans="1:3" ht="15.75" customHeight="1" x14ac:dyDescent="0.2">
      <c r="A3339" t="s">
        <v>285</v>
      </c>
      <c r="B3339" t="s">
        <v>477</v>
      </c>
      <c r="C3339">
        <v>17</v>
      </c>
    </row>
    <row r="3340" spans="1:3" ht="15.75" customHeight="1" x14ac:dyDescent="0.2">
      <c r="A3340" t="s">
        <v>285</v>
      </c>
      <c r="B3340" t="s">
        <v>477</v>
      </c>
      <c r="C3340">
        <v>17</v>
      </c>
    </row>
    <row r="3341" spans="1:3" ht="15.75" customHeight="1" x14ac:dyDescent="0.2">
      <c r="A3341" t="s">
        <v>285</v>
      </c>
      <c r="B3341" t="s">
        <v>477</v>
      </c>
      <c r="C3341">
        <v>17</v>
      </c>
    </row>
    <row r="3342" spans="1:3" ht="15.75" customHeight="1" x14ac:dyDescent="0.2">
      <c r="A3342" t="s">
        <v>285</v>
      </c>
      <c r="B3342" t="s">
        <v>477</v>
      </c>
      <c r="C3342">
        <v>17</v>
      </c>
    </row>
    <row r="3343" spans="1:3" ht="15.75" customHeight="1" x14ac:dyDescent="0.2">
      <c r="A3343" t="s">
        <v>285</v>
      </c>
      <c r="B3343" t="s">
        <v>477</v>
      </c>
      <c r="C3343">
        <v>17</v>
      </c>
    </row>
    <row r="3344" spans="1:3" ht="15.75" customHeight="1" x14ac:dyDescent="0.2">
      <c r="A3344" t="s">
        <v>285</v>
      </c>
      <c r="B3344" t="s">
        <v>477</v>
      </c>
      <c r="C3344">
        <v>17</v>
      </c>
    </row>
    <row r="3345" spans="1:3" ht="15.75" customHeight="1" x14ac:dyDescent="0.2">
      <c r="A3345" t="s">
        <v>285</v>
      </c>
      <c r="B3345" t="s">
        <v>477</v>
      </c>
      <c r="C3345">
        <v>17</v>
      </c>
    </row>
    <row r="3346" spans="1:3" ht="15.75" customHeight="1" x14ac:dyDescent="0.2">
      <c r="A3346" t="s">
        <v>285</v>
      </c>
      <c r="B3346" t="s">
        <v>477</v>
      </c>
      <c r="C3346">
        <v>17</v>
      </c>
    </row>
    <row r="3347" spans="1:3" ht="15.75" customHeight="1" x14ac:dyDescent="0.2">
      <c r="A3347" t="s">
        <v>285</v>
      </c>
      <c r="B3347" t="s">
        <v>477</v>
      </c>
      <c r="C3347">
        <v>17</v>
      </c>
    </row>
    <row r="3348" spans="1:3" ht="15.75" customHeight="1" x14ac:dyDescent="0.2">
      <c r="A3348" t="s">
        <v>285</v>
      </c>
      <c r="B3348" t="s">
        <v>477</v>
      </c>
      <c r="C3348">
        <v>17</v>
      </c>
    </row>
    <row r="3349" spans="1:3" ht="15.75" customHeight="1" x14ac:dyDescent="0.2">
      <c r="A3349" t="s">
        <v>285</v>
      </c>
      <c r="B3349" t="s">
        <v>477</v>
      </c>
      <c r="C3349">
        <v>17</v>
      </c>
    </row>
    <row r="3350" spans="1:3" ht="15.75" customHeight="1" x14ac:dyDescent="0.2">
      <c r="A3350" t="s">
        <v>285</v>
      </c>
      <c r="B3350" t="s">
        <v>477</v>
      </c>
      <c r="C3350">
        <v>17</v>
      </c>
    </row>
    <row r="3351" spans="1:3" ht="15.75" customHeight="1" x14ac:dyDescent="0.2">
      <c r="A3351" t="s">
        <v>285</v>
      </c>
      <c r="B3351" t="s">
        <v>477</v>
      </c>
      <c r="C3351">
        <v>17</v>
      </c>
    </row>
    <row r="3352" spans="1:3" ht="15.75" customHeight="1" x14ac:dyDescent="0.2">
      <c r="A3352" t="s">
        <v>285</v>
      </c>
      <c r="B3352" t="s">
        <v>477</v>
      </c>
      <c r="C3352">
        <v>17</v>
      </c>
    </row>
    <row r="3353" spans="1:3" ht="15.75" customHeight="1" x14ac:dyDescent="0.2">
      <c r="A3353" t="s">
        <v>285</v>
      </c>
      <c r="B3353" t="s">
        <v>477</v>
      </c>
      <c r="C3353">
        <v>17</v>
      </c>
    </row>
    <row r="3354" spans="1:3" ht="15.75" customHeight="1" x14ac:dyDescent="0.2">
      <c r="A3354" t="s">
        <v>285</v>
      </c>
      <c r="B3354" t="s">
        <v>477</v>
      </c>
      <c r="C3354">
        <v>17</v>
      </c>
    </row>
    <row r="3355" spans="1:3" ht="15.75" customHeight="1" x14ac:dyDescent="0.2">
      <c r="A3355" t="s">
        <v>285</v>
      </c>
      <c r="B3355" t="s">
        <v>477</v>
      </c>
      <c r="C3355">
        <v>17</v>
      </c>
    </row>
    <row r="3356" spans="1:3" ht="15.75" customHeight="1" x14ac:dyDescent="0.2">
      <c r="A3356" t="s">
        <v>285</v>
      </c>
      <c r="B3356" t="s">
        <v>477</v>
      </c>
      <c r="C3356">
        <v>17</v>
      </c>
    </row>
    <row r="3357" spans="1:3" ht="15.75" customHeight="1" x14ac:dyDescent="0.2">
      <c r="A3357" t="s">
        <v>285</v>
      </c>
      <c r="B3357" t="s">
        <v>477</v>
      </c>
      <c r="C3357">
        <v>17</v>
      </c>
    </row>
    <row r="3358" spans="1:3" ht="15.75" customHeight="1" x14ac:dyDescent="0.2">
      <c r="A3358" t="s">
        <v>285</v>
      </c>
      <c r="B3358" t="s">
        <v>477</v>
      </c>
      <c r="C3358">
        <v>17</v>
      </c>
    </row>
    <row r="3359" spans="1:3" ht="15.75" customHeight="1" x14ac:dyDescent="0.2">
      <c r="A3359" t="s">
        <v>285</v>
      </c>
      <c r="B3359" t="s">
        <v>477</v>
      </c>
      <c r="C3359">
        <v>17</v>
      </c>
    </row>
    <row r="3360" spans="1:3" ht="15.75" customHeight="1" x14ac:dyDescent="0.2">
      <c r="A3360" t="s">
        <v>285</v>
      </c>
      <c r="B3360" t="s">
        <v>477</v>
      </c>
      <c r="C3360">
        <v>17</v>
      </c>
    </row>
    <row r="3361" spans="1:4" ht="15.75" customHeight="1" x14ac:dyDescent="0.2">
      <c r="A3361" t="s">
        <v>285</v>
      </c>
      <c r="B3361" t="s">
        <v>477</v>
      </c>
      <c r="C3361">
        <v>17</v>
      </c>
    </row>
    <row r="3362" spans="1:4" ht="15.75" customHeight="1" x14ac:dyDescent="0.2">
      <c r="A3362" t="s">
        <v>285</v>
      </c>
      <c r="B3362" t="s">
        <v>477</v>
      </c>
      <c r="C3362">
        <v>17</v>
      </c>
    </row>
    <row r="3363" spans="1:4" ht="15.75" customHeight="1" x14ac:dyDescent="0.2">
      <c r="A3363" t="s">
        <v>285</v>
      </c>
      <c r="B3363" t="s">
        <v>477</v>
      </c>
      <c r="C3363">
        <v>17</v>
      </c>
    </row>
    <row r="3364" spans="1:4" ht="15.75" customHeight="1" x14ac:dyDescent="0.2">
      <c r="A3364" t="s">
        <v>285</v>
      </c>
      <c r="B3364" t="s">
        <v>477</v>
      </c>
      <c r="C3364">
        <v>17</v>
      </c>
    </row>
    <row r="3365" spans="1:4" ht="15.75" customHeight="1" x14ac:dyDescent="0.2">
      <c r="A3365" t="s">
        <v>285</v>
      </c>
      <c r="B3365" t="s">
        <v>477</v>
      </c>
      <c r="C3365">
        <v>17</v>
      </c>
    </row>
    <row r="3366" spans="1:4" ht="15.75" customHeight="1" x14ac:dyDescent="0.2">
      <c r="A3366" t="s">
        <v>285</v>
      </c>
      <c r="B3366" t="s">
        <v>477</v>
      </c>
      <c r="C3366">
        <v>17</v>
      </c>
    </row>
    <row r="3367" spans="1:4" ht="15.75" customHeight="1" x14ac:dyDescent="0.2">
      <c r="A3367" t="s">
        <v>285</v>
      </c>
      <c r="B3367" t="s">
        <v>477</v>
      </c>
      <c r="C3367">
        <v>17</v>
      </c>
    </row>
    <row r="3368" spans="1:4" ht="15.75" customHeight="1" x14ac:dyDescent="0.2">
      <c r="A3368" t="s">
        <v>285</v>
      </c>
      <c r="B3368" t="s">
        <v>477</v>
      </c>
      <c r="C3368">
        <v>17</v>
      </c>
    </row>
    <row r="3369" spans="1:4" ht="15.75" customHeight="1" x14ac:dyDescent="0.2">
      <c r="A3369" t="s">
        <v>285</v>
      </c>
      <c r="B3369" t="s">
        <v>477</v>
      </c>
      <c r="C3369">
        <v>17</v>
      </c>
    </row>
    <row r="3370" spans="1:4" ht="15.75" customHeight="1" x14ac:dyDescent="0.2">
      <c r="A3370" t="s">
        <v>285</v>
      </c>
      <c r="B3370" t="s">
        <v>477</v>
      </c>
      <c r="C3370">
        <v>17</v>
      </c>
    </row>
    <row r="3371" spans="1:4" ht="15.75" customHeight="1" x14ac:dyDescent="0.2">
      <c r="A3371" t="s">
        <v>285</v>
      </c>
      <c r="B3371" t="s">
        <v>477</v>
      </c>
      <c r="C3371">
        <v>17</v>
      </c>
    </row>
    <row r="3372" spans="1:4" ht="15.75" customHeight="1" x14ac:dyDescent="0.2">
      <c r="A3372" t="s">
        <v>285</v>
      </c>
      <c r="B3372" t="s">
        <v>477</v>
      </c>
      <c r="C3372">
        <v>17</v>
      </c>
    </row>
    <row r="3373" spans="1:4" ht="15.75" customHeight="1" x14ac:dyDescent="0.2">
      <c r="A3373" t="s">
        <v>285</v>
      </c>
      <c r="B3373" t="s">
        <v>479</v>
      </c>
      <c r="C3373">
        <v>18</v>
      </c>
      <c r="D3373" t="s">
        <v>480</v>
      </c>
    </row>
    <row r="3374" spans="1:4" ht="15.75" customHeight="1" x14ac:dyDescent="0.2">
      <c r="A3374" t="s">
        <v>285</v>
      </c>
      <c r="B3374" t="s">
        <v>479</v>
      </c>
      <c r="C3374">
        <v>18</v>
      </c>
      <c r="D3374" t="s">
        <v>480</v>
      </c>
    </row>
    <row r="3375" spans="1:4" ht="15.75" customHeight="1" x14ac:dyDescent="0.2">
      <c r="A3375" t="s">
        <v>285</v>
      </c>
      <c r="B3375" t="s">
        <v>479</v>
      </c>
      <c r="C3375">
        <v>18</v>
      </c>
      <c r="D3375" t="s">
        <v>480</v>
      </c>
    </row>
    <row r="3376" spans="1:4" ht="15.75" customHeight="1" x14ac:dyDescent="0.2">
      <c r="A3376" t="s">
        <v>285</v>
      </c>
      <c r="B3376" t="s">
        <v>479</v>
      </c>
      <c r="C3376">
        <v>18</v>
      </c>
      <c r="D3376" t="s">
        <v>480</v>
      </c>
    </row>
    <row r="3377" spans="1:4" ht="15.75" customHeight="1" x14ac:dyDescent="0.2">
      <c r="A3377" t="s">
        <v>285</v>
      </c>
      <c r="B3377" t="s">
        <v>479</v>
      </c>
      <c r="C3377">
        <v>18</v>
      </c>
      <c r="D3377" t="s">
        <v>480</v>
      </c>
    </row>
    <row r="3378" spans="1:4" ht="15.75" customHeight="1" x14ac:dyDescent="0.2">
      <c r="A3378" t="s">
        <v>285</v>
      </c>
      <c r="B3378" t="s">
        <v>479</v>
      </c>
      <c r="C3378">
        <v>18</v>
      </c>
      <c r="D3378" t="s">
        <v>480</v>
      </c>
    </row>
    <row r="3379" spans="1:4" ht="15.75" customHeight="1" x14ac:dyDescent="0.2">
      <c r="A3379" t="s">
        <v>285</v>
      </c>
      <c r="B3379" t="s">
        <v>479</v>
      </c>
      <c r="C3379">
        <v>18</v>
      </c>
      <c r="D3379" t="s">
        <v>480</v>
      </c>
    </row>
    <row r="3380" spans="1:4" ht="15.75" customHeight="1" x14ac:dyDescent="0.2">
      <c r="A3380" t="s">
        <v>285</v>
      </c>
      <c r="B3380" t="s">
        <v>479</v>
      </c>
      <c r="C3380">
        <v>18</v>
      </c>
      <c r="D3380" t="s">
        <v>480</v>
      </c>
    </row>
    <row r="3381" spans="1:4" ht="15.75" customHeight="1" x14ac:dyDescent="0.2">
      <c r="A3381" t="s">
        <v>285</v>
      </c>
      <c r="B3381" t="s">
        <v>479</v>
      </c>
      <c r="C3381">
        <v>18</v>
      </c>
      <c r="D3381" t="s">
        <v>480</v>
      </c>
    </row>
    <row r="3382" spans="1:4" ht="15.75" customHeight="1" x14ac:dyDescent="0.2">
      <c r="A3382" t="s">
        <v>285</v>
      </c>
      <c r="B3382" t="s">
        <v>479</v>
      </c>
      <c r="C3382">
        <v>18</v>
      </c>
      <c r="D3382" t="s">
        <v>480</v>
      </c>
    </row>
    <row r="3383" spans="1:4" ht="15.75" customHeight="1" x14ac:dyDescent="0.2">
      <c r="A3383" t="s">
        <v>285</v>
      </c>
      <c r="B3383" t="s">
        <v>479</v>
      </c>
      <c r="C3383">
        <v>18</v>
      </c>
      <c r="D3383" t="s">
        <v>480</v>
      </c>
    </row>
    <row r="3384" spans="1:4" ht="15.75" customHeight="1" x14ac:dyDescent="0.2">
      <c r="A3384" t="s">
        <v>285</v>
      </c>
      <c r="B3384" t="s">
        <v>479</v>
      </c>
      <c r="C3384">
        <v>18</v>
      </c>
      <c r="D3384" t="s">
        <v>480</v>
      </c>
    </row>
    <row r="3385" spans="1:4" ht="15.75" customHeight="1" x14ac:dyDescent="0.2">
      <c r="A3385" t="s">
        <v>285</v>
      </c>
      <c r="B3385" t="s">
        <v>479</v>
      </c>
      <c r="C3385">
        <v>18</v>
      </c>
      <c r="D3385" t="s">
        <v>480</v>
      </c>
    </row>
    <row r="3386" spans="1:4" ht="15.75" customHeight="1" x14ac:dyDescent="0.2">
      <c r="A3386" t="s">
        <v>285</v>
      </c>
      <c r="B3386" t="s">
        <v>479</v>
      </c>
      <c r="C3386">
        <v>18</v>
      </c>
      <c r="D3386" t="s">
        <v>480</v>
      </c>
    </row>
    <row r="3387" spans="1:4" ht="15.75" customHeight="1" x14ac:dyDescent="0.2">
      <c r="A3387" t="s">
        <v>285</v>
      </c>
      <c r="B3387" t="s">
        <v>479</v>
      </c>
      <c r="C3387">
        <v>18</v>
      </c>
      <c r="D3387" t="s">
        <v>480</v>
      </c>
    </row>
    <row r="3388" spans="1:4" ht="15.75" customHeight="1" x14ac:dyDescent="0.2">
      <c r="A3388" t="s">
        <v>285</v>
      </c>
      <c r="B3388" t="s">
        <v>479</v>
      </c>
      <c r="C3388">
        <v>18</v>
      </c>
      <c r="D3388" t="s">
        <v>480</v>
      </c>
    </row>
    <row r="3389" spans="1:4" ht="15.75" customHeight="1" x14ac:dyDescent="0.2">
      <c r="A3389" t="s">
        <v>285</v>
      </c>
      <c r="B3389" t="s">
        <v>479</v>
      </c>
      <c r="C3389">
        <v>18</v>
      </c>
      <c r="D3389" t="s">
        <v>480</v>
      </c>
    </row>
    <row r="3390" spans="1:4" ht="15.75" customHeight="1" x14ac:dyDescent="0.2">
      <c r="A3390" t="s">
        <v>285</v>
      </c>
      <c r="B3390" t="s">
        <v>479</v>
      </c>
      <c r="C3390">
        <v>18</v>
      </c>
      <c r="D3390" t="s">
        <v>480</v>
      </c>
    </row>
    <row r="3391" spans="1:4" ht="15.75" customHeight="1" x14ac:dyDescent="0.2">
      <c r="A3391" t="s">
        <v>285</v>
      </c>
      <c r="B3391" t="s">
        <v>479</v>
      </c>
      <c r="C3391">
        <v>18</v>
      </c>
      <c r="D3391" t="s">
        <v>480</v>
      </c>
    </row>
    <row r="3392" spans="1:4" ht="15.75" customHeight="1" x14ac:dyDescent="0.2">
      <c r="A3392" t="s">
        <v>285</v>
      </c>
      <c r="B3392" t="s">
        <v>479</v>
      </c>
      <c r="C3392">
        <v>18</v>
      </c>
      <c r="D3392" t="s">
        <v>480</v>
      </c>
    </row>
    <row r="3393" spans="1:4" ht="15.75" customHeight="1" x14ac:dyDescent="0.2">
      <c r="A3393" t="s">
        <v>285</v>
      </c>
      <c r="B3393" t="s">
        <v>479</v>
      </c>
      <c r="C3393">
        <v>18</v>
      </c>
      <c r="D3393" t="s">
        <v>480</v>
      </c>
    </row>
    <row r="3394" spans="1:4" ht="15.75" customHeight="1" x14ac:dyDescent="0.2">
      <c r="A3394" t="s">
        <v>285</v>
      </c>
      <c r="B3394" t="s">
        <v>479</v>
      </c>
      <c r="C3394">
        <v>18</v>
      </c>
      <c r="D3394" t="s">
        <v>480</v>
      </c>
    </row>
    <row r="3395" spans="1:4" ht="15.75" customHeight="1" x14ac:dyDescent="0.2">
      <c r="A3395" t="s">
        <v>285</v>
      </c>
      <c r="B3395" t="s">
        <v>479</v>
      </c>
      <c r="C3395">
        <v>18</v>
      </c>
      <c r="D3395" t="s">
        <v>480</v>
      </c>
    </row>
    <row r="3396" spans="1:4" ht="15.75" customHeight="1" x14ac:dyDescent="0.2">
      <c r="A3396" t="s">
        <v>285</v>
      </c>
      <c r="B3396" t="s">
        <v>479</v>
      </c>
      <c r="C3396">
        <v>18</v>
      </c>
      <c r="D3396" t="s">
        <v>480</v>
      </c>
    </row>
    <row r="3397" spans="1:4" ht="15.75" customHeight="1" x14ac:dyDescent="0.2">
      <c r="A3397" t="s">
        <v>285</v>
      </c>
      <c r="B3397" t="s">
        <v>479</v>
      </c>
      <c r="C3397">
        <v>18</v>
      </c>
      <c r="D3397" t="s">
        <v>480</v>
      </c>
    </row>
    <row r="3398" spans="1:4" ht="15.75" customHeight="1" x14ac:dyDescent="0.2">
      <c r="A3398" t="s">
        <v>285</v>
      </c>
      <c r="B3398" t="s">
        <v>479</v>
      </c>
      <c r="C3398">
        <v>18</v>
      </c>
      <c r="D3398" t="s">
        <v>480</v>
      </c>
    </row>
    <row r="3399" spans="1:4" ht="15.75" customHeight="1" x14ac:dyDescent="0.2">
      <c r="A3399" t="s">
        <v>285</v>
      </c>
      <c r="B3399" t="s">
        <v>479</v>
      </c>
      <c r="C3399">
        <v>18</v>
      </c>
      <c r="D3399" t="s">
        <v>480</v>
      </c>
    </row>
    <row r="3400" spans="1:4" ht="15.75" customHeight="1" x14ac:dyDescent="0.2">
      <c r="A3400" t="s">
        <v>285</v>
      </c>
      <c r="B3400" t="s">
        <v>479</v>
      </c>
      <c r="C3400">
        <v>18</v>
      </c>
      <c r="D3400" t="s">
        <v>480</v>
      </c>
    </row>
    <row r="3401" spans="1:4" ht="15.75" customHeight="1" x14ac:dyDescent="0.2">
      <c r="A3401" t="s">
        <v>285</v>
      </c>
      <c r="B3401" t="s">
        <v>479</v>
      </c>
      <c r="C3401">
        <v>18</v>
      </c>
      <c r="D3401" t="s">
        <v>480</v>
      </c>
    </row>
    <row r="3402" spans="1:4" ht="15.75" customHeight="1" x14ac:dyDescent="0.2">
      <c r="A3402" t="s">
        <v>285</v>
      </c>
      <c r="B3402" t="s">
        <v>479</v>
      </c>
      <c r="C3402">
        <v>18</v>
      </c>
      <c r="D3402" t="s">
        <v>480</v>
      </c>
    </row>
    <row r="3403" spans="1:4" ht="15.75" customHeight="1" x14ac:dyDescent="0.2">
      <c r="A3403" t="s">
        <v>285</v>
      </c>
      <c r="B3403" t="s">
        <v>479</v>
      </c>
      <c r="C3403">
        <v>18</v>
      </c>
      <c r="D3403" t="s">
        <v>480</v>
      </c>
    </row>
    <row r="3404" spans="1:4" ht="15.75" customHeight="1" x14ac:dyDescent="0.2">
      <c r="A3404" t="s">
        <v>285</v>
      </c>
      <c r="B3404" t="s">
        <v>479</v>
      </c>
      <c r="C3404">
        <v>18</v>
      </c>
      <c r="D3404" t="s">
        <v>480</v>
      </c>
    </row>
    <row r="3405" spans="1:4" ht="15.75" customHeight="1" x14ac:dyDescent="0.2">
      <c r="A3405" t="s">
        <v>285</v>
      </c>
      <c r="B3405" t="s">
        <v>479</v>
      </c>
      <c r="C3405">
        <v>18</v>
      </c>
      <c r="D3405" t="s">
        <v>480</v>
      </c>
    </row>
    <row r="3406" spans="1:4" ht="15.75" customHeight="1" x14ac:dyDescent="0.2">
      <c r="A3406" t="s">
        <v>285</v>
      </c>
      <c r="B3406" t="s">
        <v>479</v>
      </c>
      <c r="C3406">
        <v>18</v>
      </c>
      <c r="D3406" t="s">
        <v>480</v>
      </c>
    </row>
    <row r="3407" spans="1:4" ht="15.75" customHeight="1" x14ac:dyDescent="0.2">
      <c r="A3407" t="s">
        <v>285</v>
      </c>
      <c r="B3407" t="s">
        <v>479</v>
      </c>
      <c r="C3407">
        <v>18</v>
      </c>
      <c r="D3407" t="s">
        <v>480</v>
      </c>
    </row>
    <row r="3408" spans="1:4" ht="15.75" customHeight="1" x14ac:dyDescent="0.2">
      <c r="A3408" t="s">
        <v>285</v>
      </c>
      <c r="B3408" t="s">
        <v>479</v>
      </c>
      <c r="C3408">
        <v>18</v>
      </c>
      <c r="D3408" t="s">
        <v>480</v>
      </c>
    </row>
    <row r="3409" spans="1:4" ht="15.75" customHeight="1" x14ac:dyDescent="0.2">
      <c r="A3409" t="s">
        <v>285</v>
      </c>
      <c r="B3409" t="s">
        <v>479</v>
      </c>
      <c r="C3409">
        <v>18</v>
      </c>
      <c r="D3409" t="s">
        <v>480</v>
      </c>
    </row>
    <row r="3410" spans="1:4" ht="15.75" customHeight="1" x14ac:dyDescent="0.2">
      <c r="A3410" t="s">
        <v>285</v>
      </c>
      <c r="B3410" t="s">
        <v>479</v>
      </c>
      <c r="C3410">
        <v>18</v>
      </c>
      <c r="D3410" t="s">
        <v>480</v>
      </c>
    </row>
    <row r="3411" spans="1:4" ht="15.75" customHeight="1" x14ac:dyDescent="0.2">
      <c r="A3411" t="s">
        <v>285</v>
      </c>
      <c r="B3411" t="s">
        <v>479</v>
      </c>
      <c r="C3411">
        <v>18</v>
      </c>
      <c r="D3411" t="s">
        <v>480</v>
      </c>
    </row>
    <row r="3412" spans="1:4" ht="15.75" customHeight="1" x14ac:dyDescent="0.2">
      <c r="A3412" t="s">
        <v>285</v>
      </c>
      <c r="B3412" t="s">
        <v>479</v>
      </c>
      <c r="C3412">
        <v>18</v>
      </c>
      <c r="D3412" t="s">
        <v>480</v>
      </c>
    </row>
    <row r="3413" spans="1:4" ht="15.75" customHeight="1" x14ac:dyDescent="0.2">
      <c r="A3413" t="s">
        <v>285</v>
      </c>
      <c r="B3413" t="s">
        <v>479</v>
      </c>
      <c r="C3413">
        <v>18</v>
      </c>
      <c r="D3413" t="s">
        <v>480</v>
      </c>
    </row>
    <row r="3414" spans="1:4" ht="15.75" customHeight="1" x14ac:dyDescent="0.2">
      <c r="A3414" t="s">
        <v>285</v>
      </c>
      <c r="B3414" t="s">
        <v>479</v>
      </c>
      <c r="C3414">
        <v>18</v>
      </c>
      <c r="D3414" t="s">
        <v>480</v>
      </c>
    </row>
    <row r="3415" spans="1:4" ht="15.75" customHeight="1" x14ac:dyDescent="0.2">
      <c r="A3415" t="s">
        <v>285</v>
      </c>
      <c r="B3415" t="s">
        <v>479</v>
      </c>
      <c r="C3415">
        <v>18</v>
      </c>
      <c r="D3415" t="s">
        <v>480</v>
      </c>
    </row>
    <row r="3416" spans="1:4" ht="15.75" customHeight="1" x14ac:dyDescent="0.2">
      <c r="A3416" t="s">
        <v>285</v>
      </c>
      <c r="B3416" t="s">
        <v>479</v>
      </c>
      <c r="C3416">
        <v>18</v>
      </c>
      <c r="D3416" t="s">
        <v>480</v>
      </c>
    </row>
    <row r="3417" spans="1:4" ht="15.75" customHeight="1" x14ac:dyDescent="0.2">
      <c r="A3417" t="s">
        <v>285</v>
      </c>
      <c r="B3417" t="s">
        <v>479</v>
      </c>
      <c r="C3417">
        <v>18</v>
      </c>
      <c r="D3417" t="s">
        <v>480</v>
      </c>
    </row>
    <row r="3418" spans="1:4" ht="15.75" customHeight="1" x14ac:dyDescent="0.2">
      <c r="A3418" t="s">
        <v>285</v>
      </c>
      <c r="B3418" t="s">
        <v>479</v>
      </c>
      <c r="C3418">
        <v>18</v>
      </c>
      <c r="D3418" t="s">
        <v>480</v>
      </c>
    </row>
    <row r="3419" spans="1:4" ht="15.75" customHeight="1" x14ac:dyDescent="0.2">
      <c r="A3419" t="s">
        <v>285</v>
      </c>
      <c r="B3419" t="s">
        <v>479</v>
      </c>
      <c r="C3419">
        <v>18</v>
      </c>
      <c r="D3419" t="s">
        <v>480</v>
      </c>
    </row>
    <row r="3420" spans="1:4" ht="15.75" customHeight="1" x14ac:dyDescent="0.2">
      <c r="A3420" t="s">
        <v>285</v>
      </c>
      <c r="B3420" t="s">
        <v>479</v>
      </c>
      <c r="C3420">
        <v>18</v>
      </c>
      <c r="D3420" t="s">
        <v>480</v>
      </c>
    </row>
    <row r="3421" spans="1:4" ht="15.75" customHeight="1" x14ac:dyDescent="0.2">
      <c r="A3421" t="s">
        <v>285</v>
      </c>
      <c r="B3421" t="s">
        <v>479</v>
      </c>
      <c r="C3421">
        <v>18</v>
      </c>
      <c r="D3421" t="s">
        <v>480</v>
      </c>
    </row>
    <row r="3422" spans="1:4" ht="15.75" customHeight="1" x14ac:dyDescent="0.2">
      <c r="A3422" t="s">
        <v>285</v>
      </c>
      <c r="B3422" t="s">
        <v>479</v>
      </c>
      <c r="C3422">
        <v>18</v>
      </c>
    </row>
    <row r="3423" spans="1:4" ht="15.75" customHeight="1" x14ac:dyDescent="0.2">
      <c r="A3423" t="s">
        <v>285</v>
      </c>
      <c r="B3423" t="s">
        <v>479</v>
      </c>
      <c r="C3423">
        <v>18</v>
      </c>
    </row>
    <row r="3424" spans="1:4" ht="15.75" customHeight="1" x14ac:dyDescent="0.2">
      <c r="A3424" t="s">
        <v>285</v>
      </c>
      <c r="B3424" t="s">
        <v>479</v>
      </c>
      <c r="C3424">
        <v>18</v>
      </c>
    </row>
    <row r="3425" spans="1:3" ht="15.75" customHeight="1" x14ac:dyDescent="0.2">
      <c r="A3425" t="s">
        <v>285</v>
      </c>
      <c r="B3425" t="s">
        <v>479</v>
      </c>
      <c r="C3425">
        <v>18</v>
      </c>
    </row>
    <row r="3426" spans="1:3" ht="15.75" customHeight="1" x14ac:dyDescent="0.2">
      <c r="A3426" t="s">
        <v>285</v>
      </c>
      <c r="B3426" t="s">
        <v>479</v>
      </c>
      <c r="C3426">
        <v>18</v>
      </c>
    </row>
    <row r="3427" spans="1:3" ht="15.75" customHeight="1" x14ac:dyDescent="0.2">
      <c r="A3427" t="s">
        <v>285</v>
      </c>
      <c r="B3427" t="s">
        <v>479</v>
      </c>
      <c r="C3427">
        <v>18</v>
      </c>
    </row>
    <row r="3428" spans="1:3" ht="15.75" customHeight="1" x14ac:dyDescent="0.2">
      <c r="A3428" t="s">
        <v>285</v>
      </c>
      <c r="B3428" t="s">
        <v>479</v>
      </c>
      <c r="C3428">
        <v>18</v>
      </c>
    </row>
    <row r="3429" spans="1:3" ht="15.75" customHeight="1" x14ac:dyDescent="0.2">
      <c r="A3429" t="s">
        <v>285</v>
      </c>
      <c r="B3429" t="s">
        <v>479</v>
      </c>
      <c r="C3429">
        <v>18</v>
      </c>
    </row>
    <row r="3430" spans="1:3" ht="15.75" customHeight="1" x14ac:dyDescent="0.2">
      <c r="A3430" t="s">
        <v>285</v>
      </c>
      <c r="B3430" t="s">
        <v>479</v>
      </c>
      <c r="C3430">
        <v>18</v>
      </c>
    </row>
    <row r="3431" spans="1:3" ht="15.75" customHeight="1" x14ac:dyDescent="0.2">
      <c r="A3431" t="s">
        <v>285</v>
      </c>
      <c r="B3431" t="s">
        <v>479</v>
      </c>
      <c r="C3431">
        <v>18</v>
      </c>
    </row>
    <row r="3432" spans="1:3" ht="15.75" customHeight="1" x14ac:dyDescent="0.2">
      <c r="A3432" t="s">
        <v>285</v>
      </c>
      <c r="B3432" t="s">
        <v>479</v>
      </c>
      <c r="C3432">
        <v>18</v>
      </c>
    </row>
    <row r="3433" spans="1:3" ht="15.75" customHeight="1" x14ac:dyDescent="0.2">
      <c r="A3433" t="s">
        <v>285</v>
      </c>
      <c r="B3433" t="s">
        <v>479</v>
      </c>
      <c r="C3433">
        <v>18</v>
      </c>
    </row>
    <row r="3434" spans="1:3" ht="15.75" customHeight="1" x14ac:dyDescent="0.2">
      <c r="A3434" t="s">
        <v>285</v>
      </c>
      <c r="B3434" t="s">
        <v>479</v>
      </c>
      <c r="C3434">
        <v>18</v>
      </c>
    </row>
    <row r="3435" spans="1:3" ht="15.75" customHeight="1" x14ac:dyDescent="0.2">
      <c r="A3435" t="s">
        <v>285</v>
      </c>
      <c r="B3435" t="s">
        <v>479</v>
      </c>
      <c r="C3435">
        <v>18</v>
      </c>
    </row>
    <row r="3436" spans="1:3" ht="15.75" customHeight="1" x14ac:dyDescent="0.2">
      <c r="A3436" t="s">
        <v>285</v>
      </c>
      <c r="B3436" t="s">
        <v>479</v>
      </c>
      <c r="C3436">
        <v>18</v>
      </c>
    </row>
    <row r="3437" spans="1:3" ht="15.75" customHeight="1" x14ac:dyDescent="0.2">
      <c r="A3437" t="s">
        <v>285</v>
      </c>
      <c r="B3437" t="s">
        <v>479</v>
      </c>
      <c r="C3437">
        <v>18</v>
      </c>
    </row>
    <row r="3438" spans="1:3" ht="15.75" customHeight="1" x14ac:dyDescent="0.2">
      <c r="A3438" t="s">
        <v>285</v>
      </c>
      <c r="B3438" t="s">
        <v>479</v>
      </c>
      <c r="C3438">
        <v>18</v>
      </c>
    </row>
    <row r="3439" spans="1:3" ht="15.75" customHeight="1" x14ac:dyDescent="0.2">
      <c r="A3439" t="s">
        <v>285</v>
      </c>
      <c r="B3439" t="s">
        <v>479</v>
      </c>
      <c r="C3439">
        <v>18</v>
      </c>
    </row>
    <row r="3440" spans="1:3" ht="15.75" customHeight="1" x14ac:dyDescent="0.2">
      <c r="A3440" t="s">
        <v>285</v>
      </c>
      <c r="B3440" t="s">
        <v>479</v>
      </c>
      <c r="C3440">
        <v>18</v>
      </c>
    </row>
    <row r="3441" spans="1:3" ht="15.75" customHeight="1" x14ac:dyDescent="0.2">
      <c r="A3441" t="s">
        <v>285</v>
      </c>
      <c r="B3441" t="s">
        <v>479</v>
      </c>
      <c r="C3441">
        <v>18</v>
      </c>
    </row>
    <row r="3442" spans="1:3" ht="15.75" customHeight="1" x14ac:dyDescent="0.2">
      <c r="A3442" t="s">
        <v>285</v>
      </c>
      <c r="B3442" t="s">
        <v>479</v>
      </c>
      <c r="C3442">
        <v>18</v>
      </c>
    </row>
    <row r="3443" spans="1:3" ht="15.75" customHeight="1" x14ac:dyDescent="0.2">
      <c r="A3443" t="s">
        <v>285</v>
      </c>
      <c r="B3443" t="s">
        <v>479</v>
      </c>
      <c r="C3443">
        <v>18</v>
      </c>
    </row>
    <row r="3444" spans="1:3" ht="15.75" customHeight="1" x14ac:dyDescent="0.2">
      <c r="A3444" t="s">
        <v>285</v>
      </c>
      <c r="B3444" t="s">
        <v>479</v>
      </c>
      <c r="C3444">
        <v>18</v>
      </c>
    </row>
    <row r="3445" spans="1:3" ht="15.75" customHeight="1" x14ac:dyDescent="0.2">
      <c r="A3445" t="s">
        <v>285</v>
      </c>
      <c r="B3445" t="s">
        <v>479</v>
      </c>
      <c r="C3445">
        <v>18</v>
      </c>
    </row>
    <row r="3446" spans="1:3" ht="15.75" customHeight="1" x14ac:dyDescent="0.2">
      <c r="A3446" t="s">
        <v>285</v>
      </c>
      <c r="B3446" t="s">
        <v>479</v>
      </c>
      <c r="C3446">
        <v>18</v>
      </c>
    </row>
    <row r="3447" spans="1:3" ht="15.75" customHeight="1" x14ac:dyDescent="0.2">
      <c r="A3447" t="s">
        <v>285</v>
      </c>
      <c r="B3447" t="s">
        <v>479</v>
      </c>
      <c r="C3447">
        <v>18</v>
      </c>
    </row>
    <row r="3448" spans="1:3" ht="15.75" customHeight="1" x14ac:dyDescent="0.2">
      <c r="A3448" t="s">
        <v>285</v>
      </c>
      <c r="B3448" t="s">
        <v>479</v>
      </c>
      <c r="C3448">
        <v>18</v>
      </c>
    </row>
    <row r="3449" spans="1:3" ht="15.75" customHeight="1" x14ac:dyDescent="0.2">
      <c r="A3449" t="s">
        <v>285</v>
      </c>
      <c r="B3449" t="s">
        <v>479</v>
      </c>
      <c r="C3449">
        <v>18</v>
      </c>
    </row>
    <row r="3450" spans="1:3" ht="15.75" customHeight="1" x14ac:dyDescent="0.2">
      <c r="A3450" t="s">
        <v>285</v>
      </c>
      <c r="B3450" t="s">
        <v>479</v>
      </c>
      <c r="C3450">
        <v>18</v>
      </c>
    </row>
    <row r="3451" spans="1:3" ht="15.75" customHeight="1" x14ac:dyDescent="0.2">
      <c r="A3451" t="s">
        <v>285</v>
      </c>
      <c r="B3451" t="s">
        <v>479</v>
      </c>
      <c r="C3451">
        <v>18</v>
      </c>
    </row>
    <row r="3452" spans="1:3" ht="15.75" customHeight="1" x14ac:dyDescent="0.2">
      <c r="A3452" t="s">
        <v>285</v>
      </c>
      <c r="B3452" t="s">
        <v>479</v>
      </c>
      <c r="C3452">
        <v>18</v>
      </c>
    </row>
    <row r="3453" spans="1:3" ht="15.75" customHeight="1" x14ac:dyDescent="0.2">
      <c r="A3453" t="s">
        <v>285</v>
      </c>
      <c r="B3453" t="s">
        <v>479</v>
      </c>
      <c r="C3453">
        <v>18</v>
      </c>
    </row>
    <row r="3454" spans="1:3" ht="15.75" customHeight="1" x14ac:dyDescent="0.2">
      <c r="A3454" t="s">
        <v>285</v>
      </c>
      <c r="B3454" t="s">
        <v>479</v>
      </c>
      <c r="C3454">
        <v>18</v>
      </c>
    </row>
    <row r="3455" spans="1:3" ht="15.75" customHeight="1" x14ac:dyDescent="0.2">
      <c r="A3455" t="s">
        <v>285</v>
      </c>
      <c r="B3455" t="s">
        <v>479</v>
      </c>
      <c r="C3455">
        <v>18</v>
      </c>
    </row>
    <row r="3456" spans="1:3" ht="15.75" customHeight="1" x14ac:dyDescent="0.2">
      <c r="A3456" t="s">
        <v>285</v>
      </c>
      <c r="B3456" t="s">
        <v>479</v>
      </c>
      <c r="C3456">
        <v>18</v>
      </c>
    </row>
    <row r="3457" spans="1:3" ht="15.75" customHeight="1" x14ac:dyDescent="0.2">
      <c r="A3457" t="s">
        <v>285</v>
      </c>
      <c r="B3457" t="s">
        <v>479</v>
      </c>
      <c r="C3457">
        <v>18</v>
      </c>
    </row>
    <row r="3458" spans="1:3" ht="15.75" customHeight="1" x14ac:dyDescent="0.2">
      <c r="A3458" t="s">
        <v>285</v>
      </c>
      <c r="B3458" t="s">
        <v>479</v>
      </c>
      <c r="C3458">
        <v>18</v>
      </c>
    </row>
    <row r="3459" spans="1:3" ht="15.75" customHeight="1" x14ac:dyDescent="0.2">
      <c r="A3459" t="s">
        <v>285</v>
      </c>
      <c r="B3459" t="s">
        <v>479</v>
      </c>
      <c r="C3459">
        <v>18</v>
      </c>
    </row>
    <row r="3460" spans="1:3" ht="15.75" customHeight="1" x14ac:dyDescent="0.2">
      <c r="A3460" t="s">
        <v>285</v>
      </c>
      <c r="B3460" t="s">
        <v>479</v>
      </c>
      <c r="C3460">
        <v>18</v>
      </c>
    </row>
    <row r="3461" spans="1:3" ht="15.75" customHeight="1" x14ac:dyDescent="0.2">
      <c r="A3461" t="s">
        <v>285</v>
      </c>
      <c r="B3461" t="s">
        <v>479</v>
      </c>
      <c r="C3461">
        <v>18</v>
      </c>
    </row>
    <row r="3462" spans="1:3" ht="15.75" customHeight="1" x14ac:dyDescent="0.2">
      <c r="A3462" t="s">
        <v>285</v>
      </c>
      <c r="B3462" t="s">
        <v>479</v>
      </c>
      <c r="C3462">
        <v>18</v>
      </c>
    </row>
    <row r="3463" spans="1:3" ht="15.75" customHeight="1" x14ac:dyDescent="0.2">
      <c r="A3463" t="s">
        <v>285</v>
      </c>
      <c r="B3463" t="s">
        <v>479</v>
      </c>
      <c r="C3463">
        <v>18</v>
      </c>
    </row>
    <row r="3464" spans="1:3" ht="15.75" customHeight="1" x14ac:dyDescent="0.2">
      <c r="A3464" t="s">
        <v>285</v>
      </c>
      <c r="B3464" t="s">
        <v>479</v>
      </c>
      <c r="C3464">
        <v>18</v>
      </c>
    </row>
    <row r="3465" spans="1:3" ht="15.75" customHeight="1" x14ac:dyDescent="0.2">
      <c r="A3465" t="s">
        <v>285</v>
      </c>
      <c r="B3465" t="s">
        <v>479</v>
      </c>
      <c r="C3465">
        <v>18</v>
      </c>
    </row>
    <row r="3466" spans="1:3" ht="15.75" customHeight="1" x14ac:dyDescent="0.2">
      <c r="A3466" t="s">
        <v>285</v>
      </c>
      <c r="B3466" t="s">
        <v>479</v>
      </c>
      <c r="C3466">
        <v>18</v>
      </c>
    </row>
    <row r="3467" spans="1:3" ht="15.75" customHeight="1" x14ac:dyDescent="0.2">
      <c r="A3467" t="s">
        <v>285</v>
      </c>
      <c r="B3467" t="s">
        <v>479</v>
      </c>
      <c r="C3467">
        <v>18</v>
      </c>
    </row>
    <row r="3468" spans="1:3" ht="15.75" customHeight="1" x14ac:dyDescent="0.2">
      <c r="A3468" t="s">
        <v>285</v>
      </c>
      <c r="B3468" t="s">
        <v>479</v>
      </c>
      <c r="C3468">
        <v>18</v>
      </c>
    </row>
    <row r="3469" spans="1:3" ht="15.75" customHeight="1" x14ac:dyDescent="0.2">
      <c r="A3469" t="s">
        <v>285</v>
      </c>
      <c r="B3469" t="s">
        <v>479</v>
      </c>
      <c r="C3469">
        <v>18</v>
      </c>
    </row>
    <row r="3470" spans="1:3" ht="15.75" customHeight="1" x14ac:dyDescent="0.2">
      <c r="A3470" t="s">
        <v>285</v>
      </c>
      <c r="B3470" t="s">
        <v>479</v>
      </c>
      <c r="C3470">
        <v>18</v>
      </c>
    </row>
    <row r="3471" spans="1:3" ht="15.75" customHeight="1" x14ac:dyDescent="0.2">
      <c r="A3471" t="s">
        <v>285</v>
      </c>
      <c r="B3471" t="s">
        <v>479</v>
      </c>
      <c r="C3471">
        <v>18</v>
      </c>
    </row>
    <row r="3472" spans="1:3" ht="15.75" customHeight="1" x14ac:dyDescent="0.2">
      <c r="A3472" t="s">
        <v>285</v>
      </c>
      <c r="B3472" t="s">
        <v>479</v>
      </c>
      <c r="C3472">
        <v>18</v>
      </c>
    </row>
    <row r="3473" spans="1:3" ht="15.75" customHeight="1" x14ac:dyDescent="0.2">
      <c r="A3473" t="s">
        <v>285</v>
      </c>
      <c r="B3473" t="s">
        <v>479</v>
      </c>
      <c r="C3473">
        <v>18</v>
      </c>
    </row>
    <row r="3474" spans="1:3" ht="15.75" customHeight="1" x14ac:dyDescent="0.2">
      <c r="A3474" t="s">
        <v>285</v>
      </c>
      <c r="B3474" t="s">
        <v>479</v>
      </c>
      <c r="C3474">
        <v>18</v>
      </c>
    </row>
    <row r="3475" spans="1:3" ht="15.75" customHeight="1" x14ac:dyDescent="0.2">
      <c r="A3475" t="s">
        <v>285</v>
      </c>
      <c r="B3475" t="s">
        <v>479</v>
      </c>
      <c r="C3475">
        <v>18</v>
      </c>
    </row>
    <row r="3476" spans="1:3" ht="15.75" customHeight="1" x14ac:dyDescent="0.2">
      <c r="A3476" t="s">
        <v>285</v>
      </c>
      <c r="B3476" t="s">
        <v>479</v>
      </c>
      <c r="C3476">
        <v>18</v>
      </c>
    </row>
    <row r="3477" spans="1:3" ht="15.75" customHeight="1" x14ac:dyDescent="0.2">
      <c r="A3477" t="s">
        <v>285</v>
      </c>
      <c r="B3477" t="s">
        <v>479</v>
      </c>
      <c r="C3477">
        <v>18</v>
      </c>
    </row>
    <row r="3478" spans="1:3" ht="15.75" customHeight="1" x14ac:dyDescent="0.2">
      <c r="A3478" t="s">
        <v>285</v>
      </c>
      <c r="B3478" t="s">
        <v>479</v>
      </c>
      <c r="C3478">
        <v>18</v>
      </c>
    </row>
    <row r="3479" spans="1:3" ht="15.75" customHeight="1" x14ac:dyDescent="0.2">
      <c r="A3479" t="s">
        <v>285</v>
      </c>
      <c r="B3479" t="s">
        <v>479</v>
      </c>
      <c r="C3479">
        <v>18</v>
      </c>
    </row>
    <row r="3480" spans="1:3" ht="15.75" customHeight="1" x14ac:dyDescent="0.2">
      <c r="A3480" t="s">
        <v>285</v>
      </c>
      <c r="B3480" t="s">
        <v>479</v>
      </c>
      <c r="C3480">
        <v>18</v>
      </c>
    </row>
    <row r="3481" spans="1:3" ht="15.75" customHeight="1" x14ac:dyDescent="0.2">
      <c r="A3481" t="s">
        <v>285</v>
      </c>
      <c r="B3481" t="s">
        <v>479</v>
      </c>
      <c r="C3481">
        <v>18</v>
      </c>
    </row>
    <row r="3482" spans="1:3" ht="15.75" customHeight="1" x14ac:dyDescent="0.2">
      <c r="A3482" t="s">
        <v>285</v>
      </c>
      <c r="B3482" t="s">
        <v>479</v>
      </c>
      <c r="C3482">
        <v>18</v>
      </c>
    </row>
    <row r="3483" spans="1:3" ht="15.75" customHeight="1" x14ac:dyDescent="0.2">
      <c r="A3483" t="s">
        <v>285</v>
      </c>
      <c r="B3483" t="s">
        <v>479</v>
      </c>
      <c r="C3483">
        <v>18</v>
      </c>
    </row>
    <row r="3484" spans="1:3" ht="15.75" customHeight="1" x14ac:dyDescent="0.2">
      <c r="A3484" t="s">
        <v>285</v>
      </c>
      <c r="B3484" t="s">
        <v>479</v>
      </c>
      <c r="C3484">
        <v>18</v>
      </c>
    </row>
    <row r="3485" spans="1:3" ht="15.75" customHeight="1" x14ac:dyDescent="0.2">
      <c r="A3485" t="s">
        <v>285</v>
      </c>
      <c r="B3485" t="s">
        <v>479</v>
      </c>
      <c r="C3485">
        <v>18</v>
      </c>
    </row>
    <row r="3486" spans="1:3" ht="15.75" customHeight="1" x14ac:dyDescent="0.2">
      <c r="A3486" t="s">
        <v>285</v>
      </c>
      <c r="B3486" t="s">
        <v>479</v>
      </c>
      <c r="C3486">
        <v>18</v>
      </c>
    </row>
    <row r="3487" spans="1:3" ht="15.75" customHeight="1" x14ac:dyDescent="0.2">
      <c r="A3487" t="s">
        <v>285</v>
      </c>
      <c r="B3487" t="s">
        <v>479</v>
      </c>
      <c r="C3487">
        <v>18</v>
      </c>
    </row>
    <row r="3488" spans="1:3" ht="15.75" customHeight="1" x14ac:dyDescent="0.2">
      <c r="A3488" t="s">
        <v>285</v>
      </c>
      <c r="B3488" t="s">
        <v>479</v>
      </c>
      <c r="C3488">
        <v>18</v>
      </c>
    </row>
    <row r="3489" spans="1:3" ht="15.75" customHeight="1" x14ac:dyDescent="0.2">
      <c r="A3489" t="s">
        <v>285</v>
      </c>
      <c r="B3489" t="s">
        <v>479</v>
      </c>
      <c r="C3489">
        <v>18</v>
      </c>
    </row>
    <row r="3490" spans="1:3" ht="15.75" customHeight="1" x14ac:dyDescent="0.2">
      <c r="A3490" t="s">
        <v>285</v>
      </c>
      <c r="B3490" t="s">
        <v>479</v>
      </c>
      <c r="C3490">
        <v>18</v>
      </c>
    </row>
    <row r="3491" spans="1:3" ht="15.75" customHeight="1" x14ac:dyDescent="0.2">
      <c r="A3491" t="s">
        <v>285</v>
      </c>
      <c r="B3491" t="s">
        <v>479</v>
      </c>
      <c r="C3491">
        <v>18</v>
      </c>
    </row>
    <row r="3492" spans="1:3" ht="15.75" customHeight="1" x14ac:dyDescent="0.2">
      <c r="A3492" t="s">
        <v>285</v>
      </c>
      <c r="B3492" t="s">
        <v>479</v>
      </c>
      <c r="C3492">
        <v>18</v>
      </c>
    </row>
    <row r="3493" spans="1:3" ht="15.75" customHeight="1" x14ac:dyDescent="0.2">
      <c r="A3493" t="s">
        <v>285</v>
      </c>
      <c r="B3493" t="s">
        <v>479</v>
      </c>
      <c r="C3493">
        <v>18</v>
      </c>
    </row>
    <row r="3494" spans="1:3" ht="15.75" customHeight="1" x14ac:dyDescent="0.2">
      <c r="A3494" t="s">
        <v>285</v>
      </c>
      <c r="B3494" t="s">
        <v>479</v>
      </c>
      <c r="C3494">
        <v>18</v>
      </c>
    </row>
    <row r="3495" spans="1:3" ht="15.75" customHeight="1" x14ac:dyDescent="0.2">
      <c r="A3495" t="s">
        <v>285</v>
      </c>
      <c r="B3495" t="s">
        <v>479</v>
      </c>
      <c r="C3495">
        <v>18</v>
      </c>
    </row>
    <row r="3496" spans="1:3" ht="15.75" customHeight="1" x14ac:dyDescent="0.2">
      <c r="A3496" t="s">
        <v>285</v>
      </c>
      <c r="B3496" t="s">
        <v>479</v>
      </c>
      <c r="C3496">
        <v>18</v>
      </c>
    </row>
    <row r="3497" spans="1:3" ht="15.75" customHeight="1" x14ac:dyDescent="0.2">
      <c r="A3497" t="s">
        <v>285</v>
      </c>
      <c r="B3497" t="s">
        <v>479</v>
      </c>
      <c r="C3497">
        <v>18</v>
      </c>
    </row>
    <row r="3498" spans="1:3" ht="15.75" customHeight="1" x14ac:dyDescent="0.2">
      <c r="A3498" t="s">
        <v>285</v>
      </c>
      <c r="B3498" t="s">
        <v>479</v>
      </c>
      <c r="C3498">
        <v>18</v>
      </c>
    </row>
    <row r="3499" spans="1:3" ht="15.75" customHeight="1" x14ac:dyDescent="0.2">
      <c r="A3499" t="s">
        <v>285</v>
      </c>
      <c r="B3499" t="s">
        <v>479</v>
      </c>
      <c r="C3499">
        <v>18</v>
      </c>
    </row>
    <row r="3500" spans="1:3" ht="15.75" customHeight="1" x14ac:dyDescent="0.2">
      <c r="A3500" t="s">
        <v>285</v>
      </c>
      <c r="B3500" t="s">
        <v>479</v>
      </c>
      <c r="C3500">
        <v>18</v>
      </c>
    </row>
    <row r="3501" spans="1:3" ht="15.75" customHeight="1" x14ac:dyDescent="0.2">
      <c r="A3501" t="s">
        <v>285</v>
      </c>
      <c r="B3501" t="s">
        <v>479</v>
      </c>
      <c r="C3501">
        <v>18</v>
      </c>
    </row>
    <row r="3502" spans="1:3" ht="15.75" customHeight="1" x14ac:dyDescent="0.2">
      <c r="A3502" t="s">
        <v>285</v>
      </c>
      <c r="B3502" t="s">
        <v>479</v>
      </c>
      <c r="C3502">
        <v>18</v>
      </c>
    </row>
    <row r="3503" spans="1:3" ht="15.75" customHeight="1" x14ac:dyDescent="0.2">
      <c r="A3503" t="s">
        <v>285</v>
      </c>
      <c r="B3503" t="s">
        <v>479</v>
      </c>
      <c r="C3503">
        <v>18</v>
      </c>
    </row>
    <row r="3504" spans="1:3" ht="15.75" customHeight="1" x14ac:dyDescent="0.2">
      <c r="A3504" t="s">
        <v>285</v>
      </c>
      <c r="B3504" t="s">
        <v>479</v>
      </c>
      <c r="C3504">
        <v>18</v>
      </c>
    </row>
    <row r="3505" spans="1:3" ht="15.75" customHeight="1" x14ac:dyDescent="0.2">
      <c r="A3505" t="s">
        <v>285</v>
      </c>
      <c r="B3505" t="s">
        <v>479</v>
      </c>
      <c r="C3505">
        <v>18</v>
      </c>
    </row>
    <row r="3506" spans="1:3" ht="15.75" customHeight="1" x14ac:dyDescent="0.2">
      <c r="A3506" t="s">
        <v>285</v>
      </c>
      <c r="B3506" t="s">
        <v>479</v>
      </c>
      <c r="C3506">
        <v>18</v>
      </c>
    </row>
    <row r="3507" spans="1:3" ht="15.75" customHeight="1" x14ac:dyDescent="0.2">
      <c r="A3507" t="s">
        <v>285</v>
      </c>
      <c r="B3507" t="s">
        <v>479</v>
      </c>
      <c r="C3507">
        <v>18</v>
      </c>
    </row>
    <row r="3508" spans="1:3" ht="15.75" customHeight="1" x14ac:dyDescent="0.2">
      <c r="A3508" t="s">
        <v>285</v>
      </c>
      <c r="B3508" t="s">
        <v>479</v>
      </c>
      <c r="C3508">
        <v>18</v>
      </c>
    </row>
    <row r="3509" spans="1:3" ht="15.75" customHeight="1" x14ac:dyDescent="0.2">
      <c r="A3509" t="s">
        <v>285</v>
      </c>
      <c r="B3509" t="s">
        <v>479</v>
      </c>
      <c r="C3509">
        <v>18</v>
      </c>
    </row>
    <row r="3510" spans="1:3" ht="15.75" customHeight="1" x14ac:dyDescent="0.2">
      <c r="A3510" t="s">
        <v>285</v>
      </c>
      <c r="B3510" t="s">
        <v>479</v>
      </c>
      <c r="C3510">
        <v>18</v>
      </c>
    </row>
    <row r="3511" spans="1:3" ht="15.75" customHeight="1" x14ac:dyDescent="0.2">
      <c r="A3511" t="s">
        <v>285</v>
      </c>
      <c r="B3511" t="s">
        <v>485</v>
      </c>
      <c r="C3511">
        <v>19</v>
      </c>
    </row>
    <row r="3512" spans="1:3" ht="15.75" customHeight="1" x14ac:dyDescent="0.2">
      <c r="A3512" t="s">
        <v>285</v>
      </c>
      <c r="B3512" t="s">
        <v>485</v>
      </c>
      <c r="C3512">
        <v>19</v>
      </c>
    </row>
    <row r="3513" spans="1:3" ht="15.75" customHeight="1" x14ac:dyDescent="0.2">
      <c r="A3513" t="s">
        <v>285</v>
      </c>
      <c r="B3513" t="s">
        <v>485</v>
      </c>
      <c r="C3513">
        <v>19</v>
      </c>
    </row>
    <row r="3514" spans="1:3" ht="15.75" customHeight="1" x14ac:dyDescent="0.2">
      <c r="A3514" t="s">
        <v>285</v>
      </c>
      <c r="B3514" t="s">
        <v>485</v>
      </c>
      <c r="C3514">
        <v>19</v>
      </c>
    </row>
    <row r="3515" spans="1:3" ht="15.75" customHeight="1" x14ac:dyDescent="0.2">
      <c r="A3515" t="s">
        <v>285</v>
      </c>
      <c r="B3515" t="s">
        <v>485</v>
      </c>
      <c r="C3515">
        <v>19</v>
      </c>
    </row>
    <row r="3516" spans="1:3" ht="15.75" customHeight="1" x14ac:dyDescent="0.2">
      <c r="A3516" t="s">
        <v>285</v>
      </c>
      <c r="B3516" t="s">
        <v>485</v>
      </c>
      <c r="C3516">
        <v>19</v>
      </c>
    </row>
    <row r="3517" spans="1:3" ht="15.75" customHeight="1" x14ac:dyDescent="0.2">
      <c r="A3517" t="s">
        <v>285</v>
      </c>
      <c r="B3517" t="s">
        <v>485</v>
      </c>
      <c r="C3517">
        <v>19</v>
      </c>
    </row>
    <row r="3518" spans="1:3" ht="15.75" customHeight="1" x14ac:dyDescent="0.2">
      <c r="A3518" t="s">
        <v>285</v>
      </c>
      <c r="B3518" t="s">
        <v>485</v>
      </c>
      <c r="C3518">
        <v>19</v>
      </c>
    </row>
    <row r="3519" spans="1:3" ht="15.75" customHeight="1" x14ac:dyDescent="0.2">
      <c r="A3519" t="s">
        <v>285</v>
      </c>
      <c r="B3519" t="s">
        <v>485</v>
      </c>
      <c r="C3519">
        <v>19</v>
      </c>
    </row>
    <row r="3520" spans="1:3" ht="15.75" customHeight="1" x14ac:dyDescent="0.2">
      <c r="A3520" t="s">
        <v>285</v>
      </c>
      <c r="B3520" t="s">
        <v>485</v>
      </c>
      <c r="C3520">
        <v>19</v>
      </c>
    </row>
    <row r="3521" spans="1:3" ht="15.75" customHeight="1" x14ac:dyDescent="0.2">
      <c r="A3521" t="s">
        <v>285</v>
      </c>
      <c r="B3521" t="s">
        <v>485</v>
      </c>
      <c r="C3521">
        <v>19</v>
      </c>
    </row>
    <row r="3522" spans="1:3" ht="15.75" customHeight="1" x14ac:dyDescent="0.2">
      <c r="A3522" t="s">
        <v>285</v>
      </c>
      <c r="B3522" t="s">
        <v>485</v>
      </c>
      <c r="C3522">
        <v>19</v>
      </c>
    </row>
    <row r="3523" spans="1:3" ht="15.75" customHeight="1" x14ac:dyDescent="0.2">
      <c r="A3523" t="s">
        <v>285</v>
      </c>
      <c r="B3523" t="s">
        <v>485</v>
      </c>
      <c r="C3523">
        <v>19</v>
      </c>
    </row>
    <row r="3524" spans="1:3" ht="15.75" customHeight="1" x14ac:dyDescent="0.2">
      <c r="A3524" t="s">
        <v>285</v>
      </c>
      <c r="B3524" t="s">
        <v>485</v>
      </c>
      <c r="C3524">
        <v>19</v>
      </c>
    </row>
    <row r="3525" spans="1:3" ht="15.75" customHeight="1" x14ac:dyDescent="0.2">
      <c r="A3525" t="s">
        <v>285</v>
      </c>
      <c r="B3525" t="s">
        <v>485</v>
      </c>
      <c r="C3525">
        <v>19</v>
      </c>
    </row>
    <row r="3526" spans="1:3" ht="15.75" customHeight="1" x14ac:dyDescent="0.2">
      <c r="A3526" t="s">
        <v>285</v>
      </c>
      <c r="B3526" t="s">
        <v>485</v>
      </c>
      <c r="C3526">
        <v>19</v>
      </c>
    </row>
    <row r="3527" spans="1:3" ht="15.75" customHeight="1" x14ac:dyDescent="0.2">
      <c r="A3527" t="s">
        <v>285</v>
      </c>
      <c r="B3527" t="s">
        <v>485</v>
      </c>
      <c r="C3527">
        <v>19</v>
      </c>
    </row>
    <row r="3528" spans="1:3" ht="15.75" customHeight="1" x14ac:dyDescent="0.2">
      <c r="A3528" t="s">
        <v>285</v>
      </c>
      <c r="B3528" t="s">
        <v>485</v>
      </c>
      <c r="C3528">
        <v>19</v>
      </c>
    </row>
    <row r="3529" spans="1:3" ht="15.75" customHeight="1" x14ac:dyDescent="0.2">
      <c r="A3529" t="s">
        <v>285</v>
      </c>
      <c r="B3529" t="s">
        <v>485</v>
      </c>
      <c r="C3529">
        <v>19</v>
      </c>
    </row>
    <row r="3530" spans="1:3" ht="15.75" customHeight="1" x14ac:dyDescent="0.2">
      <c r="A3530" t="s">
        <v>285</v>
      </c>
      <c r="B3530" t="s">
        <v>485</v>
      </c>
      <c r="C3530">
        <v>19</v>
      </c>
    </row>
    <row r="3531" spans="1:3" ht="15.75" customHeight="1" x14ac:dyDescent="0.2">
      <c r="A3531" t="s">
        <v>285</v>
      </c>
      <c r="B3531" t="s">
        <v>485</v>
      </c>
      <c r="C3531">
        <v>19</v>
      </c>
    </row>
    <row r="3532" spans="1:3" ht="15.75" customHeight="1" x14ac:dyDescent="0.2">
      <c r="A3532" t="s">
        <v>285</v>
      </c>
      <c r="B3532" t="s">
        <v>485</v>
      </c>
      <c r="C3532">
        <v>19</v>
      </c>
    </row>
    <row r="3533" spans="1:3" ht="15.75" customHeight="1" x14ac:dyDescent="0.2">
      <c r="A3533" t="s">
        <v>285</v>
      </c>
      <c r="B3533" t="s">
        <v>485</v>
      </c>
      <c r="C3533">
        <v>19</v>
      </c>
    </row>
    <row r="3534" spans="1:3" ht="15.75" customHeight="1" x14ac:dyDescent="0.2">
      <c r="A3534" t="s">
        <v>285</v>
      </c>
      <c r="B3534" t="s">
        <v>485</v>
      </c>
      <c r="C3534">
        <v>19</v>
      </c>
    </row>
    <row r="3535" spans="1:3" ht="15.75" customHeight="1" x14ac:dyDescent="0.2">
      <c r="A3535" t="s">
        <v>285</v>
      </c>
      <c r="B3535" t="s">
        <v>485</v>
      </c>
      <c r="C3535">
        <v>19</v>
      </c>
    </row>
    <row r="3536" spans="1:3" ht="15.75" customHeight="1" x14ac:dyDescent="0.2">
      <c r="A3536" t="s">
        <v>285</v>
      </c>
      <c r="B3536" t="s">
        <v>485</v>
      </c>
      <c r="C3536">
        <v>19</v>
      </c>
    </row>
    <row r="3537" spans="1:3" ht="15.75" customHeight="1" x14ac:dyDescent="0.2">
      <c r="A3537" t="s">
        <v>285</v>
      </c>
      <c r="B3537" t="s">
        <v>485</v>
      </c>
      <c r="C3537">
        <v>19</v>
      </c>
    </row>
    <row r="3538" spans="1:3" ht="15.75" customHeight="1" x14ac:dyDescent="0.2">
      <c r="A3538" t="s">
        <v>285</v>
      </c>
      <c r="B3538" t="s">
        <v>485</v>
      </c>
      <c r="C3538">
        <v>19</v>
      </c>
    </row>
    <row r="3539" spans="1:3" ht="15.75" customHeight="1" x14ac:dyDescent="0.2">
      <c r="A3539" t="s">
        <v>285</v>
      </c>
      <c r="B3539" t="s">
        <v>485</v>
      </c>
      <c r="C3539">
        <v>19</v>
      </c>
    </row>
    <row r="3540" spans="1:3" ht="15.75" customHeight="1" x14ac:dyDescent="0.2">
      <c r="A3540" t="s">
        <v>285</v>
      </c>
      <c r="B3540" t="s">
        <v>485</v>
      </c>
      <c r="C3540">
        <v>19</v>
      </c>
    </row>
    <row r="3541" spans="1:3" ht="15.75" customHeight="1" x14ac:dyDescent="0.2">
      <c r="A3541" t="s">
        <v>285</v>
      </c>
      <c r="B3541" t="s">
        <v>485</v>
      </c>
      <c r="C3541">
        <v>19</v>
      </c>
    </row>
    <row r="3542" spans="1:3" ht="15.75" customHeight="1" x14ac:dyDescent="0.2">
      <c r="A3542" t="s">
        <v>285</v>
      </c>
      <c r="B3542" t="s">
        <v>485</v>
      </c>
      <c r="C3542">
        <v>19</v>
      </c>
    </row>
    <row r="3543" spans="1:3" ht="15.75" customHeight="1" x14ac:dyDescent="0.2">
      <c r="A3543" t="s">
        <v>285</v>
      </c>
      <c r="B3543" t="s">
        <v>485</v>
      </c>
      <c r="C3543">
        <v>19</v>
      </c>
    </row>
    <row r="3544" spans="1:3" ht="15.75" customHeight="1" x14ac:dyDescent="0.2">
      <c r="A3544" t="s">
        <v>285</v>
      </c>
      <c r="B3544" t="s">
        <v>485</v>
      </c>
      <c r="C3544">
        <v>19</v>
      </c>
    </row>
    <row r="3545" spans="1:3" ht="15.75" customHeight="1" x14ac:dyDescent="0.2">
      <c r="A3545" t="s">
        <v>285</v>
      </c>
      <c r="B3545" t="s">
        <v>485</v>
      </c>
      <c r="C3545">
        <v>19</v>
      </c>
    </row>
    <row r="3546" spans="1:3" ht="15.75" customHeight="1" x14ac:dyDescent="0.2">
      <c r="A3546" t="s">
        <v>285</v>
      </c>
      <c r="B3546" t="s">
        <v>485</v>
      </c>
      <c r="C3546">
        <v>19</v>
      </c>
    </row>
    <row r="3547" spans="1:3" ht="15.75" customHeight="1" x14ac:dyDescent="0.2">
      <c r="A3547" t="s">
        <v>285</v>
      </c>
      <c r="B3547" t="s">
        <v>485</v>
      </c>
      <c r="C3547">
        <v>19</v>
      </c>
    </row>
    <row r="3548" spans="1:3" ht="15.75" customHeight="1" x14ac:dyDescent="0.2">
      <c r="A3548" t="s">
        <v>285</v>
      </c>
      <c r="B3548" t="s">
        <v>485</v>
      </c>
      <c r="C3548">
        <v>19</v>
      </c>
    </row>
    <row r="3549" spans="1:3" ht="15.75" customHeight="1" x14ac:dyDescent="0.2">
      <c r="A3549" t="s">
        <v>285</v>
      </c>
      <c r="B3549" t="s">
        <v>485</v>
      </c>
      <c r="C3549">
        <v>19</v>
      </c>
    </row>
    <row r="3550" spans="1:3" ht="15.75" customHeight="1" x14ac:dyDescent="0.2">
      <c r="A3550" t="s">
        <v>285</v>
      </c>
      <c r="B3550" t="s">
        <v>485</v>
      </c>
      <c r="C3550">
        <v>19</v>
      </c>
    </row>
    <row r="3551" spans="1:3" ht="15.75" customHeight="1" x14ac:dyDescent="0.2">
      <c r="A3551" t="s">
        <v>285</v>
      </c>
      <c r="B3551" t="s">
        <v>485</v>
      </c>
      <c r="C3551">
        <v>19</v>
      </c>
    </row>
    <row r="3552" spans="1:3" ht="15.75" customHeight="1" x14ac:dyDescent="0.2">
      <c r="A3552" t="s">
        <v>285</v>
      </c>
      <c r="B3552" t="s">
        <v>485</v>
      </c>
      <c r="C3552">
        <v>19</v>
      </c>
    </row>
    <row r="3553" spans="1:3" ht="15.75" customHeight="1" x14ac:dyDescent="0.2">
      <c r="A3553" t="s">
        <v>285</v>
      </c>
      <c r="B3553" t="s">
        <v>485</v>
      </c>
      <c r="C3553">
        <v>19</v>
      </c>
    </row>
    <row r="3554" spans="1:3" ht="15.75" customHeight="1" x14ac:dyDescent="0.2">
      <c r="A3554" t="s">
        <v>285</v>
      </c>
      <c r="B3554" t="s">
        <v>485</v>
      </c>
      <c r="C3554">
        <v>19</v>
      </c>
    </row>
    <row r="3555" spans="1:3" ht="15.75" customHeight="1" x14ac:dyDescent="0.2">
      <c r="A3555" t="s">
        <v>285</v>
      </c>
      <c r="B3555" t="s">
        <v>485</v>
      </c>
      <c r="C3555">
        <v>19</v>
      </c>
    </row>
    <row r="3556" spans="1:3" ht="15.75" customHeight="1" x14ac:dyDescent="0.2">
      <c r="A3556" t="s">
        <v>285</v>
      </c>
      <c r="B3556" t="s">
        <v>485</v>
      </c>
      <c r="C3556">
        <v>19</v>
      </c>
    </row>
    <row r="3557" spans="1:3" ht="15.75" customHeight="1" x14ac:dyDescent="0.2">
      <c r="A3557" t="s">
        <v>285</v>
      </c>
      <c r="B3557" t="s">
        <v>485</v>
      </c>
      <c r="C3557">
        <v>19</v>
      </c>
    </row>
    <row r="3558" spans="1:3" ht="15.75" customHeight="1" x14ac:dyDescent="0.2">
      <c r="A3558" t="s">
        <v>285</v>
      </c>
      <c r="B3558" t="s">
        <v>485</v>
      </c>
      <c r="C3558">
        <v>19</v>
      </c>
    </row>
    <row r="3559" spans="1:3" ht="15.75" customHeight="1" x14ac:dyDescent="0.2">
      <c r="A3559" t="s">
        <v>285</v>
      </c>
      <c r="B3559" t="s">
        <v>485</v>
      </c>
      <c r="C3559">
        <v>19</v>
      </c>
    </row>
    <row r="3560" spans="1:3" ht="15.75" customHeight="1" x14ac:dyDescent="0.2">
      <c r="A3560" t="s">
        <v>285</v>
      </c>
      <c r="B3560" t="s">
        <v>485</v>
      </c>
      <c r="C3560">
        <v>19</v>
      </c>
    </row>
    <row r="3561" spans="1:3" ht="15.75" customHeight="1" x14ac:dyDescent="0.2">
      <c r="A3561" t="s">
        <v>285</v>
      </c>
      <c r="B3561" t="s">
        <v>485</v>
      </c>
      <c r="C3561">
        <v>19</v>
      </c>
    </row>
    <row r="3562" spans="1:3" ht="15.75" customHeight="1" x14ac:dyDescent="0.2">
      <c r="A3562" t="s">
        <v>285</v>
      </c>
      <c r="B3562" t="s">
        <v>485</v>
      </c>
      <c r="C3562">
        <v>19</v>
      </c>
    </row>
    <row r="3563" spans="1:3" ht="15.75" customHeight="1" x14ac:dyDescent="0.2">
      <c r="A3563" t="s">
        <v>285</v>
      </c>
      <c r="B3563" t="s">
        <v>485</v>
      </c>
      <c r="C3563">
        <v>19</v>
      </c>
    </row>
    <row r="3564" spans="1:3" ht="15.75" customHeight="1" x14ac:dyDescent="0.2">
      <c r="A3564" t="s">
        <v>285</v>
      </c>
      <c r="B3564" t="s">
        <v>485</v>
      </c>
      <c r="C3564">
        <v>19</v>
      </c>
    </row>
    <row r="3565" spans="1:3" ht="15.75" customHeight="1" x14ac:dyDescent="0.2">
      <c r="A3565" t="s">
        <v>285</v>
      </c>
      <c r="B3565" t="s">
        <v>485</v>
      </c>
      <c r="C3565">
        <v>19</v>
      </c>
    </row>
    <row r="3566" spans="1:3" ht="15.75" customHeight="1" x14ac:dyDescent="0.2">
      <c r="A3566" t="s">
        <v>285</v>
      </c>
      <c r="B3566" t="s">
        <v>485</v>
      </c>
      <c r="C3566">
        <v>19</v>
      </c>
    </row>
    <row r="3567" spans="1:3" ht="15.75" customHeight="1" x14ac:dyDescent="0.2">
      <c r="A3567" t="s">
        <v>285</v>
      </c>
      <c r="B3567" t="s">
        <v>485</v>
      </c>
      <c r="C3567">
        <v>19</v>
      </c>
    </row>
    <row r="3568" spans="1:3" ht="15.75" customHeight="1" x14ac:dyDescent="0.2">
      <c r="A3568" t="s">
        <v>285</v>
      </c>
      <c r="B3568" t="s">
        <v>485</v>
      </c>
      <c r="C3568">
        <v>19</v>
      </c>
    </row>
    <row r="3569" spans="1:3" ht="15.75" customHeight="1" x14ac:dyDescent="0.2">
      <c r="A3569" t="s">
        <v>285</v>
      </c>
      <c r="B3569" t="s">
        <v>485</v>
      </c>
      <c r="C3569">
        <v>19</v>
      </c>
    </row>
    <row r="3570" spans="1:3" ht="15.75" customHeight="1" x14ac:dyDescent="0.2">
      <c r="A3570" t="s">
        <v>285</v>
      </c>
      <c r="B3570" t="s">
        <v>485</v>
      </c>
      <c r="C3570">
        <v>19</v>
      </c>
    </row>
    <row r="3571" spans="1:3" ht="15.75" customHeight="1" x14ac:dyDescent="0.2">
      <c r="A3571" t="s">
        <v>285</v>
      </c>
      <c r="B3571" t="s">
        <v>485</v>
      </c>
      <c r="C3571">
        <v>19</v>
      </c>
    </row>
    <row r="3572" spans="1:3" ht="15.75" customHeight="1" x14ac:dyDescent="0.2">
      <c r="A3572" t="s">
        <v>285</v>
      </c>
      <c r="B3572" t="s">
        <v>485</v>
      </c>
      <c r="C3572">
        <v>19</v>
      </c>
    </row>
    <row r="3573" spans="1:3" ht="15.75" customHeight="1" x14ac:dyDescent="0.2">
      <c r="A3573" t="s">
        <v>285</v>
      </c>
      <c r="B3573" t="s">
        <v>485</v>
      </c>
      <c r="C3573">
        <v>19</v>
      </c>
    </row>
    <row r="3574" spans="1:3" ht="15.75" customHeight="1" x14ac:dyDescent="0.2">
      <c r="A3574" t="s">
        <v>285</v>
      </c>
      <c r="B3574" t="s">
        <v>485</v>
      </c>
      <c r="C3574">
        <v>19</v>
      </c>
    </row>
    <row r="3575" spans="1:3" ht="15.75" customHeight="1" x14ac:dyDescent="0.2">
      <c r="A3575" t="s">
        <v>285</v>
      </c>
      <c r="B3575" t="s">
        <v>485</v>
      </c>
      <c r="C3575">
        <v>19</v>
      </c>
    </row>
    <row r="3576" spans="1:3" ht="15.75" customHeight="1" x14ac:dyDescent="0.2">
      <c r="A3576" t="s">
        <v>285</v>
      </c>
      <c r="B3576" t="s">
        <v>485</v>
      </c>
      <c r="C3576">
        <v>19</v>
      </c>
    </row>
    <row r="3577" spans="1:3" ht="15.75" customHeight="1" x14ac:dyDescent="0.2">
      <c r="A3577" t="s">
        <v>285</v>
      </c>
      <c r="B3577" t="s">
        <v>485</v>
      </c>
      <c r="C3577">
        <v>19</v>
      </c>
    </row>
    <row r="3578" spans="1:3" ht="15.75" customHeight="1" x14ac:dyDescent="0.2">
      <c r="A3578" t="s">
        <v>285</v>
      </c>
      <c r="B3578" t="s">
        <v>485</v>
      </c>
      <c r="C3578">
        <v>19</v>
      </c>
    </row>
    <row r="3579" spans="1:3" ht="15.75" customHeight="1" x14ac:dyDescent="0.2">
      <c r="A3579" t="s">
        <v>285</v>
      </c>
      <c r="B3579" t="s">
        <v>485</v>
      </c>
      <c r="C3579">
        <v>19</v>
      </c>
    </row>
    <row r="3580" spans="1:3" ht="15.75" customHeight="1" x14ac:dyDescent="0.2">
      <c r="A3580" t="s">
        <v>285</v>
      </c>
      <c r="B3580" t="s">
        <v>485</v>
      </c>
      <c r="C3580">
        <v>19</v>
      </c>
    </row>
    <row r="3581" spans="1:3" ht="15.75" customHeight="1" x14ac:dyDescent="0.2">
      <c r="A3581" t="s">
        <v>285</v>
      </c>
      <c r="B3581" t="s">
        <v>485</v>
      </c>
      <c r="C3581">
        <v>19</v>
      </c>
    </row>
    <row r="3582" spans="1:3" ht="15.75" customHeight="1" x14ac:dyDescent="0.2">
      <c r="A3582" t="s">
        <v>285</v>
      </c>
      <c r="B3582" t="s">
        <v>485</v>
      </c>
      <c r="C3582">
        <v>19</v>
      </c>
    </row>
    <row r="3583" spans="1:3" ht="15.75" customHeight="1" x14ac:dyDescent="0.2">
      <c r="A3583" t="s">
        <v>285</v>
      </c>
      <c r="B3583" t="s">
        <v>485</v>
      </c>
      <c r="C3583">
        <v>19</v>
      </c>
    </row>
    <row r="3584" spans="1:3" ht="15.75" customHeight="1" x14ac:dyDescent="0.2">
      <c r="A3584" t="s">
        <v>285</v>
      </c>
      <c r="B3584" t="s">
        <v>485</v>
      </c>
      <c r="C3584">
        <v>19</v>
      </c>
    </row>
    <row r="3585" spans="1:3" ht="15.75" customHeight="1" x14ac:dyDescent="0.2">
      <c r="A3585" t="s">
        <v>285</v>
      </c>
      <c r="B3585" t="s">
        <v>485</v>
      </c>
      <c r="C3585">
        <v>19</v>
      </c>
    </row>
    <row r="3586" spans="1:3" ht="15.75" customHeight="1" x14ac:dyDescent="0.2">
      <c r="A3586" t="s">
        <v>285</v>
      </c>
      <c r="B3586" t="s">
        <v>485</v>
      </c>
      <c r="C3586">
        <v>19</v>
      </c>
    </row>
    <row r="3587" spans="1:3" ht="15.75" customHeight="1" x14ac:dyDescent="0.2">
      <c r="A3587" t="s">
        <v>285</v>
      </c>
      <c r="B3587" t="s">
        <v>485</v>
      </c>
      <c r="C3587">
        <v>19</v>
      </c>
    </row>
    <row r="3588" spans="1:3" ht="15.75" customHeight="1" x14ac:dyDescent="0.2">
      <c r="A3588" t="s">
        <v>285</v>
      </c>
      <c r="B3588" t="s">
        <v>485</v>
      </c>
      <c r="C3588">
        <v>19</v>
      </c>
    </row>
    <row r="3589" spans="1:3" ht="15.75" customHeight="1" x14ac:dyDescent="0.2">
      <c r="A3589" t="s">
        <v>285</v>
      </c>
      <c r="B3589" t="s">
        <v>485</v>
      </c>
      <c r="C3589">
        <v>19</v>
      </c>
    </row>
    <row r="3590" spans="1:3" ht="15.75" customHeight="1" x14ac:dyDescent="0.2">
      <c r="A3590" t="s">
        <v>285</v>
      </c>
      <c r="B3590" t="s">
        <v>485</v>
      </c>
      <c r="C3590">
        <v>19</v>
      </c>
    </row>
    <row r="3591" spans="1:3" ht="15.75" customHeight="1" x14ac:dyDescent="0.2">
      <c r="A3591" t="s">
        <v>285</v>
      </c>
      <c r="B3591" t="s">
        <v>485</v>
      </c>
      <c r="C3591">
        <v>19</v>
      </c>
    </row>
    <row r="3592" spans="1:3" ht="15.75" customHeight="1" x14ac:dyDescent="0.2">
      <c r="A3592" t="s">
        <v>285</v>
      </c>
      <c r="B3592" t="s">
        <v>485</v>
      </c>
      <c r="C3592">
        <v>19</v>
      </c>
    </row>
    <row r="3593" spans="1:3" ht="15.75" customHeight="1" x14ac:dyDescent="0.2">
      <c r="A3593" t="s">
        <v>285</v>
      </c>
      <c r="B3593" t="s">
        <v>485</v>
      </c>
      <c r="C3593">
        <v>19</v>
      </c>
    </row>
    <row r="3594" spans="1:3" ht="15.75" customHeight="1" x14ac:dyDescent="0.2">
      <c r="A3594" t="s">
        <v>285</v>
      </c>
      <c r="B3594" t="s">
        <v>485</v>
      </c>
      <c r="C3594">
        <v>19</v>
      </c>
    </row>
    <row r="3595" spans="1:3" ht="15.75" customHeight="1" x14ac:dyDescent="0.2">
      <c r="A3595" t="s">
        <v>285</v>
      </c>
      <c r="B3595" t="s">
        <v>485</v>
      </c>
      <c r="C3595">
        <v>19</v>
      </c>
    </row>
    <row r="3596" spans="1:3" ht="15.75" customHeight="1" x14ac:dyDescent="0.2">
      <c r="A3596" t="s">
        <v>285</v>
      </c>
      <c r="B3596" t="s">
        <v>485</v>
      </c>
      <c r="C3596">
        <v>19</v>
      </c>
    </row>
    <row r="3597" spans="1:3" ht="15.75" customHeight="1" x14ac:dyDescent="0.2">
      <c r="A3597" t="s">
        <v>285</v>
      </c>
      <c r="B3597" t="s">
        <v>485</v>
      </c>
      <c r="C3597">
        <v>19</v>
      </c>
    </row>
    <row r="3598" spans="1:3" ht="15.75" customHeight="1" x14ac:dyDescent="0.2">
      <c r="A3598" t="s">
        <v>285</v>
      </c>
      <c r="B3598" t="s">
        <v>485</v>
      </c>
      <c r="C3598">
        <v>19</v>
      </c>
    </row>
    <row r="3599" spans="1:3" ht="15.75" customHeight="1" x14ac:dyDescent="0.2">
      <c r="A3599" t="s">
        <v>285</v>
      </c>
      <c r="B3599" t="s">
        <v>485</v>
      </c>
      <c r="C3599">
        <v>19</v>
      </c>
    </row>
    <row r="3600" spans="1:3" ht="15.75" customHeight="1" x14ac:dyDescent="0.2">
      <c r="A3600" t="s">
        <v>285</v>
      </c>
      <c r="B3600" t="s">
        <v>485</v>
      </c>
      <c r="C3600">
        <v>19</v>
      </c>
    </row>
    <row r="3601" spans="1:3" ht="15.75" customHeight="1" x14ac:dyDescent="0.2">
      <c r="A3601" t="s">
        <v>285</v>
      </c>
      <c r="B3601" t="s">
        <v>485</v>
      </c>
      <c r="C3601">
        <v>19</v>
      </c>
    </row>
    <row r="3602" spans="1:3" ht="15.75" customHeight="1" x14ac:dyDescent="0.2">
      <c r="A3602" t="s">
        <v>285</v>
      </c>
      <c r="B3602" t="s">
        <v>485</v>
      </c>
      <c r="C3602">
        <v>19</v>
      </c>
    </row>
    <row r="3603" spans="1:3" ht="15.75" customHeight="1" x14ac:dyDescent="0.2">
      <c r="A3603" t="s">
        <v>285</v>
      </c>
      <c r="B3603" t="s">
        <v>485</v>
      </c>
      <c r="C3603">
        <v>19</v>
      </c>
    </row>
    <row r="3604" spans="1:3" ht="15.75" customHeight="1" x14ac:dyDescent="0.2">
      <c r="A3604" t="s">
        <v>285</v>
      </c>
      <c r="B3604" t="s">
        <v>485</v>
      </c>
      <c r="C3604">
        <v>19</v>
      </c>
    </row>
    <row r="3605" spans="1:3" ht="15.75" customHeight="1" x14ac:dyDescent="0.2">
      <c r="A3605" t="s">
        <v>285</v>
      </c>
      <c r="B3605" t="s">
        <v>485</v>
      </c>
      <c r="C3605">
        <v>19</v>
      </c>
    </row>
    <row r="3606" spans="1:3" ht="15.75" customHeight="1" x14ac:dyDescent="0.2">
      <c r="A3606" t="s">
        <v>285</v>
      </c>
      <c r="B3606" t="s">
        <v>485</v>
      </c>
      <c r="C3606">
        <v>19</v>
      </c>
    </row>
    <row r="3607" spans="1:3" ht="15.75" customHeight="1" x14ac:dyDescent="0.2">
      <c r="A3607" t="s">
        <v>285</v>
      </c>
      <c r="B3607" t="s">
        <v>485</v>
      </c>
      <c r="C3607">
        <v>19</v>
      </c>
    </row>
    <row r="3608" spans="1:3" ht="15.75" customHeight="1" x14ac:dyDescent="0.2">
      <c r="A3608" t="s">
        <v>285</v>
      </c>
      <c r="B3608" t="s">
        <v>485</v>
      </c>
      <c r="C3608">
        <v>19</v>
      </c>
    </row>
    <row r="3609" spans="1:3" ht="15.75" customHeight="1" x14ac:dyDescent="0.2">
      <c r="A3609" t="s">
        <v>285</v>
      </c>
      <c r="B3609" t="s">
        <v>485</v>
      </c>
      <c r="C3609">
        <v>19</v>
      </c>
    </row>
    <row r="3610" spans="1:3" ht="15.75" customHeight="1" x14ac:dyDescent="0.2">
      <c r="A3610" t="s">
        <v>285</v>
      </c>
      <c r="B3610" t="s">
        <v>485</v>
      </c>
      <c r="C3610">
        <v>19</v>
      </c>
    </row>
    <row r="3611" spans="1:3" ht="15.75" customHeight="1" x14ac:dyDescent="0.2">
      <c r="A3611" t="s">
        <v>285</v>
      </c>
      <c r="B3611" t="s">
        <v>485</v>
      </c>
      <c r="C3611">
        <v>19</v>
      </c>
    </row>
    <row r="3612" spans="1:3" ht="15.75" customHeight="1" x14ac:dyDescent="0.2">
      <c r="A3612" t="s">
        <v>285</v>
      </c>
      <c r="B3612" t="s">
        <v>485</v>
      </c>
      <c r="C3612">
        <v>19</v>
      </c>
    </row>
    <row r="3613" spans="1:3" ht="15.75" customHeight="1" x14ac:dyDescent="0.2">
      <c r="A3613" t="s">
        <v>285</v>
      </c>
      <c r="B3613" t="s">
        <v>485</v>
      </c>
      <c r="C3613">
        <v>19</v>
      </c>
    </row>
    <row r="3614" spans="1:3" ht="15.75" customHeight="1" x14ac:dyDescent="0.2">
      <c r="A3614" t="s">
        <v>285</v>
      </c>
      <c r="B3614" t="s">
        <v>485</v>
      </c>
      <c r="C3614">
        <v>19</v>
      </c>
    </row>
    <row r="3615" spans="1:3" ht="15.75" customHeight="1" x14ac:dyDescent="0.2">
      <c r="A3615" t="s">
        <v>285</v>
      </c>
      <c r="B3615" t="s">
        <v>485</v>
      </c>
      <c r="C3615">
        <v>19</v>
      </c>
    </row>
    <row r="3616" spans="1:3" ht="15.75" customHeight="1" x14ac:dyDescent="0.2">
      <c r="A3616" t="s">
        <v>285</v>
      </c>
      <c r="B3616" t="s">
        <v>485</v>
      </c>
      <c r="C3616">
        <v>19</v>
      </c>
    </row>
    <row r="3617" spans="1:3" ht="15.75" customHeight="1" x14ac:dyDescent="0.2">
      <c r="A3617" t="s">
        <v>285</v>
      </c>
      <c r="B3617" t="s">
        <v>485</v>
      </c>
      <c r="C3617">
        <v>19</v>
      </c>
    </row>
    <row r="3618" spans="1:3" ht="15.75" customHeight="1" x14ac:dyDescent="0.2">
      <c r="A3618" t="s">
        <v>285</v>
      </c>
      <c r="B3618" t="s">
        <v>485</v>
      </c>
      <c r="C3618">
        <v>19</v>
      </c>
    </row>
    <row r="3619" spans="1:3" ht="15.75" customHeight="1" x14ac:dyDescent="0.2">
      <c r="A3619" t="s">
        <v>285</v>
      </c>
      <c r="B3619" t="s">
        <v>485</v>
      </c>
      <c r="C3619">
        <v>19</v>
      </c>
    </row>
    <row r="3620" spans="1:3" ht="15.75" customHeight="1" x14ac:dyDescent="0.2">
      <c r="A3620" t="s">
        <v>285</v>
      </c>
      <c r="B3620" t="s">
        <v>485</v>
      </c>
      <c r="C3620">
        <v>19</v>
      </c>
    </row>
    <row r="3621" spans="1:3" ht="15.75" customHeight="1" x14ac:dyDescent="0.2">
      <c r="A3621" t="s">
        <v>285</v>
      </c>
      <c r="B3621" t="s">
        <v>485</v>
      </c>
      <c r="C3621">
        <v>19</v>
      </c>
    </row>
    <row r="3622" spans="1:3" ht="15.75" customHeight="1" x14ac:dyDescent="0.2">
      <c r="A3622" t="s">
        <v>285</v>
      </c>
      <c r="B3622" t="s">
        <v>485</v>
      </c>
      <c r="C3622">
        <v>19</v>
      </c>
    </row>
    <row r="3623" spans="1:3" ht="15.75" customHeight="1" x14ac:dyDescent="0.2">
      <c r="A3623" t="s">
        <v>285</v>
      </c>
      <c r="B3623" t="s">
        <v>485</v>
      </c>
      <c r="C3623">
        <v>19</v>
      </c>
    </row>
    <row r="3624" spans="1:3" ht="15.75" customHeight="1" x14ac:dyDescent="0.2">
      <c r="A3624" t="s">
        <v>285</v>
      </c>
      <c r="B3624" t="s">
        <v>485</v>
      </c>
      <c r="C3624">
        <v>19</v>
      </c>
    </row>
    <row r="3625" spans="1:3" ht="15.75" customHeight="1" x14ac:dyDescent="0.2">
      <c r="A3625" t="s">
        <v>285</v>
      </c>
      <c r="B3625" t="s">
        <v>485</v>
      </c>
      <c r="C3625">
        <v>19</v>
      </c>
    </row>
    <row r="3626" spans="1:3" ht="15.75" customHeight="1" x14ac:dyDescent="0.2">
      <c r="A3626" t="s">
        <v>285</v>
      </c>
      <c r="B3626" t="s">
        <v>485</v>
      </c>
      <c r="C3626">
        <v>19</v>
      </c>
    </row>
    <row r="3627" spans="1:3" ht="15.75" customHeight="1" x14ac:dyDescent="0.2">
      <c r="A3627" t="s">
        <v>285</v>
      </c>
      <c r="B3627" t="s">
        <v>485</v>
      </c>
      <c r="C3627">
        <v>19</v>
      </c>
    </row>
    <row r="3628" spans="1:3" ht="15.75" customHeight="1" x14ac:dyDescent="0.2">
      <c r="A3628" t="s">
        <v>285</v>
      </c>
      <c r="B3628" t="s">
        <v>485</v>
      </c>
      <c r="C3628">
        <v>19</v>
      </c>
    </row>
    <row r="3629" spans="1:3" ht="15.75" customHeight="1" x14ac:dyDescent="0.2">
      <c r="A3629" t="s">
        <v>285</v>
      </c>
      <c r="B3629" t="s">
        <v>485</v>
      </c>
      <c r="C3629">
        <v>19</v>
      </c>
    </row>
    <row r="3630" spans="1:3" ht="15.75" customHeight="1" x14ac:dyDescent="0.2">
      <c r="A3630" t="s">
        <v>285</v>
      </c>
      <c r="B3630" t="s">
        <v>485</v>
      </c>
      <c r="C3630">
        <v>19</v>
      </c>
    </row>
    <row r="3631" spans="1:3" ht="15.75" customHeight="1" x14ac:dyDescent="0.2">
      <c r="A3631" t="s">
        <v>285</v>
      </c>
      <c r="B3631" t="s">
        <v>485</v>
      </c>
      <c r="C3631">
        <v>19</v>
      </c>
    </row>
    <row r="3632" spans="1:3" ht="15.75" customHeight="1" x14ac:dyDescent="0.2">
      <c r="A3632" t="s">
        <v>285</v>
      </c>
      <c r="B3632" t="s">
        <v>485</v>
      </c>
      <c r="C3632">
        <v>19</v>
      </c>
    </row>
    <row r="3633" spans="1:3" ht="15.75" customHeight="1" x14ac:dyDescent="0.2">
      <c r="A3633" t="s">
        <v>285</v>
      </c>
      <c r="B3633" t="s">
        <v>485</v>
      </c>
      <c r="C3633">
        <v>19</v>
      </c>
    </row>
    <row r="3634" spans="1:3" ht="15.75" customHeight="1" x14ac:dyDescent="0.2">
      <c r="A3634" t="s">
        <v>285</v>
      </c>
      <c r="B3634" t="s">
        <v>485</v>
      </c>
      <c r="C3634">
        <v>19</v>
      </c>
    </row>
    <row r="3635" spans="1:3" ht="15.75" customHeight="1" x14ac:dyDescent="0.2">
      <c r="A3635" t="s">
        <v>285</v>
      </c>
      <c r="B3635" t="s">
        <v>485</v>
      </c>
      <c r="C3635">
        <v>19</v>
      </c>
    </row>
    <row r="3636" spans="1:3" ht="15.75" customHeight="1" x14ac:dyDescent="0.2">
      <c r="A3636" t="s">
        <v>285</v>
      </c>
      <c r="B3636" t="s">
        <v>485</v>
      </c>
      <c r="C3636">
        <v>19</v>
      </c>
    </row>
    <row r="3637" spans="1:3" ht="15.75" customHeight="1" x14ac:dyDescent="0.2">
      <c r="A3637" t="s">
        <v>285</v>
      </c>
      <c r="B3637" t="s">
        <v>485</v>
      </c>
      <c r="C3637">
        <v>19</v>
      </c>
    </row>
    <row r="3638" spans="1:3" ht="15.75" customHeight="1" x14ac:dyDescent="0.2">
      <c r="A3638" t="s">
        <v>285</v>
      </c>
      <c r="B3638" t="s">
        <v>485</v>
      </c>
      <c r="C3638">
        <v>19</v>
      </c>
    </row>
    <row r="3639" spans="1:3" ht="15.75" customHeight="1" x14ac:dyDescent="0.2">
      <c r="A3639" t="s">
        <v>285</v>
      </c>
      <c r="B3639" t="s">
        <v>485</v>
      </c>
      <c r="C3639">
        <v>19</v>
      </c>
    </row>
    <row r="3640" spans="1:3" ht="15.75" customHeight="1" x14ac:dyDescent="0.2">
      <c r="A3640" t="s">
        <v>285</v>
      </c>
      <c r="B3640" t="s">
        <v>485</v>
      </c>
      <c r="C3640">
        <v>19</v>
      </c>
    </row>
    <row r="3641" spans="1:3" ht="15.75" customHeight="1" x14ac:dyDescent="0.2">
      <c r="A3641" t="s">
        <v>285</v>
      </c>
      <c r="B3641" t="s">
        <v>485</v>
      </c>
      <c r="C3641">
        <v>19</v>
      </c>
    </row>
    <row r="3642" spans="1:3" ht="15.75" customHeight="1" x14ac:dyDescent="0.2">
      <c r="A3642" t="s">
        <v>285</v>
      </c>
      <c r="B3642" t="s">
        <v>485</v>
      </c>
      <c r="C3642">
        <v>19</v>
      </c>
    </row>
    <row r="3643" spans="1:3" ht="15.75" customHeight="1" x14ac:dyDescent="0.2">
      <c r="A3643" t="s">
        <v>285</v>
      </c>
      <c r="B3643" t="s">
        <v>485</v>
      </c>
      <c r="C3643">
        <v>19</v>
      </c>
    </row>
    <row r="3644" spans="1:3" ht="15.75" customHeight="1" x14ac:dyDescent="0.2">
      <c r="A3644" t="s">
        <v>285</v>
      </c>
      <c r="B3644" t="s">
        <v>485</v>
      </c>
      <c r="C3644">
        <v>19</v>
      </c>
    </row>
    <row r="3645" spans="1:3" ht="15.75" customHeight="1" x14ac:dyDescent="0.2">
      <c r="A3645" t="s">
        <v>285</v>
      </c>
      <c r="B3645" t="s">
        <v>485</v>
      </c>
      <c r="C3645">
        <v>19</v>
      </c>
    </row>
    <row r="3646" spans="1:3" ht="15.75" customHeight="1" x14ac:dyDescent="0.2">
      <c r="A3646" t="s">
        <v>285</v>
      </c>
      <c r="B3646" t="s">
        <v>485</v>
      </c>
      <c r="C3646">
        <v>19</v>
      </c>
    </row>
    <row r="3647" spans="1:3" ht="15.75" customHeight="1" x14ac:dyDescent="0.2">
      <c r="A3647" t="s">
        <v>285</v>
      </c>
      <c r="B3647" t="s">
        <v>485</v>
      </c>
      <c r="C3647">
        <v>19</v>
      </c>
    </row>
    <row r="3648" spans="1:3" ht="15.75" customHeight="1" x14ac:dyDescent="0.2">
      <c r="A3648" t="s">
        <v>285</v>
      </c>
      <c r="B3648" t="s">
        <v>485</v>
      </c>
      <c r="C3648">
        <v>19</v>
      </c>
    </row>
    <row r="3649" spans="1:3" ht="15.75" customHeight="1" x14ac:dyDescent="0.2">
      <c r="A3649" t="s">
        <v>285</v>
      </c>
      <c r="B3649" t="s">
        <v>485</v>
      </c>
      <c r="C3649">
        <v>19</v>
      </c>
    </row>
    <row r="3650" spans="1:3" ht="15.75" customHeight="1" x14ac:dyDescent="0.2">
      <c r="A3650" t="s">
        <v>285</v>
      </c>
      <c r="B3650" t="s">
        <v>485</v>
      </c>
      <c r="C3650">
        <v>19</v>
      </c>
    </row>
    <row r="3651" spans="1:3" ht="15.75" customHeight="1" x14ac:dyDescent="0.2">
      <c r="A3651" t="s">
        <v>285</v>
      </c>
      <c r="B3651" t="s">
        <v>485</v>
      </c>
      <c r="C3651">
        <v>19</v>
      </c>
    </row>
    <row r="3652" spans="1:3" ht="15.75" customHeight="1" x14ac:dyDescent="0.2">
      <c r="A3652" t="s">
        <v>285</v>
      </c>
      <c r="B3652" t="s">
        <v>485</v>
      </c>
      <c r="C3652">
        <v>19</v>
      </c>
    </row>
    <row r="3653" spans="1:3" ht="15.75" customHeight="1" x14ac:dyDescent="0.2">
      <c r="A3653" t="s">
        <v>285</v>
      </c>
      <c r="B3653" t="s">
        <v>485</v>
      </c>
      <c r="C3653">
        <v>19</v>
      </c>
    </row>
    <row r="3654" spans="1:3" ht="15.75" customHeight="1" x14ac:dyDescent="0.2">
      <c r="A3654" t="s">
        <v>285</v>
      </c>
      <c r="B3654" t="s">
        <v>485</v>
      </c>
      <c r="C3654">
        <v>19</v>
      </c>
    </row>
    <row r="3655" spans="1:3" ht="15.75" customHeight="1" x14ac:dyDescent="0.2">
      <c r="A3655" t="s">
        <v>285</v>
      </c>
      <c r="B3655" t="s">
        <v>485</v>
      </c>
      <c r="C3655">
        <v>19</v>
      </c>
    </row>
    <row r="3656" spans="1:3" ht="15.75" customHeight="1" x14ac:dyDescent="0.2">
      <c r="A3656" t="s">
        <v>285</v>
      </c>
      <c r="B3656" t="s">
        <v>485</v>
      </c>
      <c r="C3656">
        <v>19</v>
      </c>
    </row>
    <row r="3657" spans="1:3" ht="15.75" customHeight="1" x14ac:dyDescent="0.2">
      <c r="A3657" t="s">
        <v>285</v>
      </c>
      <c r="B3657" t="s">
        <v>485</v>
      </c>
      <c r="C3657">
        <v>19</v>
      </c>
    </row>
    <row r="3658" spans="1:3" ht="15.75" customHeight="1" x14ac:dyDescent="0.2">
      <c r="A3658" t="s">
        <v>285</v>
      </c>
      <c r="B3658" t="s">
        <v>485</v>
      </c>
      <c r="C3658">
        <v>19</v>
      </c>
    </row>
    <row r="3659" spans="1:3" ht="15.75" customHeight="1" x14ac:dyDescent="0.2">
      <c r="A3659" t="s">
        <v>285</v>
      </c>
      <c r="B3659" t="s">
        <v>485</v>
      </c>
      <c r="C3659">
        <v>19</v>
      </c>
    </row>
    <row r="3660" spans="1:3" ht="15.75" customHeight="1" x14ac:dyDescent="0.2">
      <c r="A3660" t="s">
        <v>285</v>
      </c>
      <c r="B3660" t="s">
        <v>485</v>
      </c>
      <c r="C3660">
        <v>19</v>
      </c>
    </row>
    <row r="3661" spans="1:3" ht="15.75" customHeight="1" x14ac:dyDescent="0.2">
      <c r="A3661" t="s">
        <v>285</v>
      </c>
      <c r="B3661" t="s">
        <v>485</v>
      </c>
      <c r="C3661">
        <v>19</v>
      </c>
    </row>
    <row r="3662" spans="1:3" ht="15.75" customHeight="1" x14ac:dyDescent="0.2">
      <c r="A3662" t="s">
        <v>285</v>
      </c>
      <c r="B3662" t="s">
        <v>485</v>
      </c>
      <c r="C3662">
        <v>19</v>
      </c>
    </row>
    <row r="3663" spans="1:3" ht="15.75" customHeight="1" x14ac:dyDescent="0.2">
      <c r="A3663" t="s">
        <v>285</v>
      </c>
      <c r="B3663" t="s">
        <v>485</v>
      </c>
      <c r="C3663">
        <v>19</v>
      </c>
    </row>
    <row r="3664" spans="1:3" ht="15.75" customHeight="1" x14ac:dyDescent="0.2">
      <c r="A3664" t="s">
        <v>285</v>
      </c>
      <c r="B3664" t="s">
        <v>485</v>
      </c>
      <c r="C3664">
        <v>19</v>
      </c>
    </row>
    <row r="3665" spans="1:3" ht="15.75" customHeight="1" x14ac:dyDescent="0.2">
      <c r="A3665" t="s">
        <v>285</v>
      </c>
      <c r="B3665" t="s">
        <v>485</v>
      </c>
      <c r="C3665">
        <v>19</v>
      </c>
    </row>
    <row r="3666" spans="1:3" ht="15.75" customHeight="1" x14ac:dyDescent="0.2">
      <c r="A3666" t="s">
        <v>285</v>
      </c>
      <c r="B3666" t="s">
        <v>485</v>
      </c>
      <c r="C3666">
        <v>19</v>
      </c>
    </row>
    <row r="3667" spans="1:3" ht="15.75" customHeight="1" x14ac:dyDescent="0.2">
      <c r="A3667" t="s">
        <v>285</v>
      </c>
      <c r="B3667" t="s">
        <v>485</v>
      </c>
      <c r="C3667">
        <v>19</v>
      </c>
    </row>
    <row r="3668" spans="1:3" ht="15.75" customHeight="1" x14ac:dyDescent="0.2">
      <c r="A3668" t="s">
        <v>285</v>
      </c>
      <c r="B3668" t="s">
        <v>485</v>
      </c>
      <c r="C3668">
        <v>19</v>
      </c>
    </row>
    <row r="3669" spans="1:3" ht="15.75" customHeight="1" x14ac:dyDescent="0.2">
      <c r="A3669" t="s">
        <v>285</v>
      </c>
      <c r="B3669" t="s">
        <v>485</v>
      </c>
      <c r="C3669">
        <v>19</v>
      </c>
    </row>
    <row r="3670" spans="1:3" ht="15.75" customHeight="1" x14ac:dyDescent="0.2">
      <c r="A3670" t="s">
        <v>285</v>
      </c>
      <c r="B3670" t="s">
        <v>485</v>
      </c>
      <c r="C3670">
        <v>19</v>
      </c>
    </row>
    <row r="3671" spans="1:3" ht="15.75" customHeight="1" x14ac:dyDescent="0.2">
      <c r="A3671" t="s">
        <v>285</v>
      </c>
      <c r="B3671" t="s">
        <v>485</v>
      </c>
      <c r="C3671">
        <v>19</v>
      </c>
    </row>
    <row r="3672" spans="1:3" ht="15.75" customHeight="1" x14ac:dyDescent="0.2">
      <c r="A3672" t="s">
        <v>285</v>
      </c>
      <c r="B3672" t="s">
        <v>485</v>
      </c>
      <c r="C3672">
        <v>19</v>
      </c>
    </row>
    <row r="3673" spans="1:3" ht="15.75" customHeight="1" x14ac:dyDescent="0.2">
      <c r="A3673" t="s">
        <v>285</v>
      </c>
      <c r="B3673" t="s">
        <v>485</v>
      </c>
      <c r="C3673">
        <v>19</v>
      </c>
    </row>
    <row r="3674" spans="1:3" ht="15.75" customHeight="1" x14ac:dyDescent="0.2">
      <c r="A3674" t="s">
        <v>285</v>
      </c>
      <c r="B3674" t="s">
        <v>485</v>
      </c>
      <c r="C3674">
        <v>19</v>
      </c>
    </row>
    <row r="3675" spans="1:3" ht="15.75" customHeight="1" x14ac:dyDescent="0.2">
      <c r="A3675" t="s">
        <v>285</v>
      </c>
      <c r="B3675" t="s">
        <v>485</v>
      </c>
      <c r="C3675">
        <v>19</v>
      </c>
    </row>
    <row r="3676" spans="1:3" ht="15.75" customHeight="1" x14ac:dyDescent="0.2">
      <c r="A3676" t="s">
        <v>285</v>
      </c>
      <c r="B3676" t="s">
        <v>485</v>
      </c>
      <c r="C3676">
        <v>19</v>
      </c>
    </row>
    <row r="3677" spans="1:3" ht="15.75" customHeight="1" x14ac:dyDescent="0.2">
      <c r="A3677" t="s">
        <v>285</v>
      </c>
      <c r="B3677" t="s">
        <v>485</v>
      </c>
      <c r="C3677">
        <v>19</v>
      </c>
    </row>
    <row r="3678" spans="1:3" ht="15.75" customHeight="1" x14ac:dyDescent="0.2">
      <c r="A3678" t="s">
        <v>285</v>
      </c>
      <c r="B3678" t="s">
        <v>485</v>
      </c>
      <c r="C3678">
        <v>19</v>
      </c>
    </row>
    <row r="3679" spans="1:3" ht="15.75" customHeight="1" x14ac:dyDescent="0.2">
      <c r="A3679" t="s">
        <v>285</v>
      </c>
      <c r="B3679" t="s">
        <v>485</v>
      </c>
      <c r="C3679">
        <v>19</v>
      </c>
    </row>
    <row r="3680" spans="1:3" ht="15.75" customHeight="1" x14ac:dyDescent="0.2">
      <c r="A3680" t="s">
        <v>285</v>
      </c>
      <c r="B3680" t="s">
        <v>485</v>
      </c>
      <c r="C3680">
        <v>19</v>
      </c>
    </row>
    <row r="3681" spans="1:3" ht="15.75" customHeight="1" x14ac:dyDescent="0.2">
      <c r="A3681" t="s">
        <v>285</v>
      </c>
      <c r="B3681" t="s">
        <v>485</v>
      </c>
      <c r="C3681">
        <v>19</v>
      </c>
    </row>
    <row r="3682" spans="1:3" ht="15.75" customHeight="1" x14ac:dyDescent="0.2">
      <c r="A3682" t="s">
        <v>285</v>
      </c>
      <c r="B3682" t="s">
        <v>485</v>
      </c>
      <c r="C3682">
        <v>19</v>
      </c>
    </row>
    <row r="3683" spans="1:3" ht="15.75" customHeight="1" x14ac:dyDescent="0.2">
      <c r="A3683" t="s">
        <v>285</v>
      </c>
      <c r="B3683" t="s">
        <v>485</v>
      </c>
      <c r="C3683">
        <v>19</v>
      </c>
    </row>
    <row r="3684" spans="1:3" ht="15.75" customHeight="1" x14ac:dyDescent="0.2">
      <c r="A3684" t="s">
        <v>285</v>
      </c>
      <c r="B3684" t="s">
        <v>485</v>
      </c>
      <c r="C3684">
        <v>19</v>
      </c>
    </row>
    <row r="3685" spans="1:3" ht="15.75" customHeight="1" x14ac:dyDescent="0.2">
      <c r="A3685" t="s">
        <v>285</v>
      </c>
      <c r="B3685" t="s">
        <v>485</v>
      </c>
      <c r="C3685">
        <v>19</v>
      </c>
    </row>
    <row r="3686" spans="1:3" ht="15.75" customHeight="1" x14ac:dyDescent="0.2">
      <c r="A3686" t="s">
        <v>285</v>
      </c>
      <c r="B3686" t="s">
        <v>485</v>
      </c>
      <c r="C3686">
        <v>19</v>
      </c>
    </row>
    <row r="3687" spans="1:3" ht="15.75" customHeight="1" x14ac:dyDescent="0.2">
      <c r="A3687" t="s">
        <v>285</v>
      </c>
      <c r="B3687" t="s">
        <v>485</v>
      </c>
      <c r="C3687">
        <v>19</v>
      </c>
    </row>
    <row r="3688" spans="1:3" ht="15.75" customHeight="1" x14ac:dyDescent="0.2">
      <c r="A3688" t="s">
        <v>285</v>
      </c>
      <c r="B3688" t="s">
        <v>485</v>
      </c>
      <c r="C3688">
        <v>19</v>
      </c>
    </row>
    <row r="3689" spans="1:3" ht="15.75" customHeight="1" x14ac:dyDescent="0.2">
      <c r="A3689" t="s">
        <v>285</v>
      </c>
      <c r="B3689" t="s">
        <v>485</v>
      </c>
      <c r="C3689">
        <v>19</v>
      </c>
    </row>
    <row r="3690" spans="1:3" ht="15.75" customHeight="1" x14ac:dyDescent="0.2">
      <c r="A3690" t="s">
        <v>285</v>
      </c>
      <c r="B3690" t="s">
        <v>485</v>
      </c>
      <c r="C3690">
        <v>19</v>
      </c>
    </row>
    <row r="3691" spans="1:3" ht="15.75" customHeight="1" x14ac:dyDescent="0.2">
      <c r="A3691" t="s">
        <v>285</v>
      </c>
      <c r="B3691" t="s">
        <v>485</v>
      </c>
      <c r="C3691">
        <v>19</v>
      </c>
    </row>
    <row r="3692" spans="1:3" ht="15.75" customHeight="1" x14ac:dyDescent="0.2">
      <c r="A3692" t="s">
        <v>285</v>
      </c>
      <c r="B3692" t="s">
        <v>485</v>
      </c>
      <c r="C3692">
        <v>19</v>
      </c>
    </row>
    <row r="3693" spans="1:3" ht="15.75" customHeight="1" x14ac:dyDescent="0.2">
      <c r="A3693" t="s">
        <v>285</v>
      </c>
      <c r="B3693" t="s">
        <v>485</v>
      </c>
      <c r="C3693">
        <v>19</v>
      </c>
    </row>
    <row r="3694" spans="1:3" ht="15.75" customHeight="1" x14ac:dyDescent="0.2">
      <c r="A3694" t="s">
        <v>285</v>
      </c>
      <c r="B3694" t="s">
        <v>485</v>
      </c>
      <c r="C3694">
        <v>19</v>
      </c>
    </row>
    <row r="3695" spans="1:3" ht="15.75" customHeight="1" x14ac:dyDescent="0.2">
      <c r="A3695" t="s">
        <v>285</v>
      </c>
      <c r="B3695" t="s">
        <v>485</v>
      </c>
      <c r="C3695">
        <v>19</v>
      </c>
    </row>
    <row r="3696" spans="1:3" ht="15.75" customHeight="1" x14ac:dyDescent="0.2">
      <c r="A3696" t="s">
        <v>285</v>
      </c>
      <c r="B3696" t="s">
        <v>485</v>
      </c>
      <c r="C3696">
        <v>19</v>
      </c>
    </row>
    <row r="3697" spans="1:3" ht="15.75" customHeight="1" x14ac:dyDescent="0.2">
      <c r="A3697" t="s">
        <v>285</v>
      </c>
      <c r="B3697" t="s">
        <v>485</v>
      </c>
      <c r="C3697">
        <v>19</v>
      </c>
    </row>
    <row r="3698" spans="1:3" ht="15.75" customHeight="1" x14ac:dyDescent="0.2">
      <c r="A3698" t="s">
        <v>285</v>
      </c>
      <c r="B3698" t="s">
        <v>485</v>
      </c>
      <c r="C3698">
        <v>19</v>
      </c>
    </row>
    <row r="3699" spans="1:3" ht="15.75" customHeight="1" x14ac:dyDescent="0.2">
      <c r="A3699" t="s">
        <v>285</v>
      </c>
      <c r="B3699" t="s">
        <v>485</v>
      </c>
      <c r="C3699">
        <v>19</v>
      </c>
    </row>
    <row r="3700" spans="1:3" ht="15.75" customHeight="1" x14ac:dyDescent="0.2">
      <c r="A3700" t="s">
        <v>285</v>
      </c>
      <c r="B3700" t="s">
        <v>485</v>
      </c>
      <c r="C3700">
        <v>19</v>
      </c>
    </row>
    <row r="3701" spans="1:3" ht="15.75" customHeight="1" x14ac:dyDescent="0.2">
      <c r="A3701" t="s">
        <v>285</v>
      </c>
      <c r="B3701" t="s">
        <v>485</v>
      </c>
      <c r="C3701">
        <v>19</v>
      </c>
    </row>
    <row r="3702" spans="1:3" ht="15.75" customHeight="1" x14ac:dyDescent="0.2">
      <c r="A3702" t="s">
        <v>285</v>
      </c>
      <c r="B3702" t="s">
        <v>485</v>
      </c>
      <c r="C3702">
        <v>19</v>
      </c>
    </row>
    <row r="3703" spans="1:3" ht="15.75" customHeight="1" x14ac:dyDescent="0.2">
      <c r="A3703" t="s">
        <v>285</v>
      </c>
      <c r="B3703" t="s">
        <v>485</v>
      </c>
      <c r="C3703">
        <v>19</v>
      </c>
    </row>
    <row r="3704" spans="1:3" ht="15.75" customHeight="1" x14ac:dyDescent="0.2">
      <c r="A3704" t="s">
        <v>285</v>
      </c>
      <c r="B3704" t="s">
        <v>485</v>
      </c>
      <c r="C3704">
        <v>19</v>
      </c>
    </row>
    <row r="3705" spans="1:3" ht="15.75" customHeight="1" x14ac:dyDescent="0.2">
      <c r="A3705" t="s">
        <v>285</v>
      </c>
      <c r="B3705" t="s">
        <v>485</v>
      </c>
      <c r="C3705">
        <v>19</v>
      </c>
    </row>
    <row r="3706" spans="1:3" ht="15.75" customHeight="1" x14ac:dyDescent="0.2">
      <c r="A3706" t="s">
        <v>285</v>
      </c>
      <c r="B3706" t="s">
        <v>485</v>
      </c>
      <c r="C3706">
        <v>19</v>
      </c>
    </row>
    <row r="3707" spans="1:3" ht="15.75" customHeight="1" x14ac:dyDescent="0.2">
      <c r="A3707" t="s">
        <v>285</v>
      </c>
      <c r="B3707" t="s">
        <v>485</v>
      </c>
      <c r="C3707">
        <v>19</v>
      </c>
    </row>
    <row r="3708" spans="1:3" ht="15.75" customHeight="1" x14ac:dyDescent="0.2">
      <c r="A3708" t="s">
        <v>285</v>
      </c>
      <c r="B3708" t="s">
        <v>485</v>
      </c>
      <c r="C3708">
        <v>19</v>
      </c>
    </row>
    <row r="3709" spans="1:3" ht="15.75" customHeight="1" x14ac:dyDescent="0.2">
      <c r="A3709" t="s">
        <v>285</v>
      </c>
      <c r="B3709" t="s">
        <v>485</v>
      </c>
      <c r="C3709">
        <v>19</v>
      </c>
    </row>
    <row r="3710" spans="1:3" ht="15.75" customHeight="1" x14ac:dyDescent="0.2">
      <c r="A3710" t="s">
        <v>285</v>
      </c>
      <c r="B3710" t="s">
        <v>485</v>
      </c>
      <c r="C3710">
        <v>19</v>
      </c>
    </row>
    <row r="3711" spans="1:3" ht="15.75" customHeight="1" x14ac:dyDescent="0.2">
      <c r="A3711" t="s">
        <v>285</v>
      </c>
      <c r="B3711" t="s">
        <v>485</v>
      </c>
      <c r="C3711">
        <v>19</v>
      </c>
    </row>
    <row r="3712" spans="1:3" ht="15.75" customHeight="1" x14ac:dyDescent="0.2">
      <c r="A3712" t="s">
        <v>285</v>
      </c>
      <c r="B3712" t="s">
        <v>485</v>
      </c>
      <c r="C3712">
        <v>19</v>
      </c>
    </row>
    <row r="3713" spans="1:3" ht="15.75" customHeight="1" x14ac:dyDescent="0.2">
      <c r="A3713" t="s">
        <v>285</v>
      </c>
      <c r="B3713" t="s">
        <v>485</v>
      </c>
      <c r="C3713">
        <v>19</v>
      </c>
    </row>
    <row r="3714" spans="1:3" ht="15.75" customHeight="1" x14ac:dyDescent="0.2">
      <c r="A3714" t="s">
        <v>285</v>
      </c>
      <c r="B3714" t="s">
        <v>485</v>
      </c>
      <c r="C3714">
        <v>19</v>
      </c>
    </row>
    <row r="3715" spans="1:3" ht="15.75" customHeight="1" x14ac:dyDescent="0.2">
      <c r="A3715" t="s">
        <v>285</v>
      </c>
      <c r="B3715" t="s">
        <v>485</v>
      </c>
      <c r="C3715">
        <v>19</v>
      </c>
    </row>
    <row r="3716" spans="1:3" ht="15.75" customHeight="1" x14ac:dyDescent="0.2">
      <c r="A3716" t="s">
        <v>285</v>
      </c>
      <c r="B3716" t="s">
        <v>485</v>
      </c>
      <c r="C3716">
        <v>19</v>
      </c>
    </row>
    <row r="3717" spans="1:3" ht="15.75" customHeight="1" x14ac:dyDescent="0.2">
      <c r="A3717" t="s">
        <v>285</v>
      </c>
      <c r="B3717" t="s">
        <v>485</v>
      </c>
      <c r="C3717">
        <v>19</v>
      </c>
    </row>
    <row r="3718" spans="1:3" ht="15.75" customHeight="1" x14ac:dyDescent="0.2">
      <c r="A3718" t="s">
        <v>285</v>
      </c>
      <c r="B3718" t="s">
        <v>485</v>
      </c>
      <c r="C3718">
        <v>19</v>
      </c>
    </row>
    <row r="3719" spans="1:3" ht="15.75" customHeight="1" x14ac:dyDescent="0.2">
      <c r="A3719" t="s">
        <v>285</v>
      </c>
      <c r="B3719" t="s">
        <v>485</v>
      </c>
      <c r="C3719">
        <v>19</v>
      </c>
    </row>
    <row r="3720" spans="1:3" ht="15.75" customHeight="1" x14ac:dyDescent="0.2">
      <c r="A3720" t="s">
        <v>285</v>
      </c>
      <c r="B3720" t="s">
        <v>485</v>
      </c>
      <c r="C3720">
        <v>19</v>
      </c>
    </row>
    <row r="3721" spans="1:3" ht="15.75" customHeight="1" x14ac:dyDescent="0.2">
      <c r="A3721" t="s">
        <v>285</v>
      </c>
      <c r="B3721" t="s">
        <v>485</v>
      </c>
      <c r="C3721">
        <v>19</v>
      </c>
    </row>
    <row r="3722" spans="1:3" ht="15.75" customHeight="1" x14ac:dyDescent="0.2">
      <c r="A3722" t="s">
        <v>285</v>
      </c>
      <c r="B3722" t="s">
        <v>485</v>
      </c>
      <c r="C3722">
        <v>19</v>
      </c>
    </row>
    <row r="3723" spans="1:3" ht="15.75" customHeight="1" x14ac:dyDescent="0.2">
      <c r="A3723" t="s">
        <v>285</v>
      </c>
      <c r="B3723" t="s">
        <v>485</v>
      </c>
      <c r="C3723">
        <v>19</v>
      </c>
    </row>
    <row r="3724" spans="1:3" ht="15.75" customHeight="1" x14ac:dyDescent="0.2">
      <c r="A3724" t="s">
        <v>285</v>
      </c>
      <c r="B3724" t="s">
        <v>485</v>
      </c>
      <c r="C3724">
        <v>19</v>
      </c>
    </row>
    <row r="3725" spans="1:3" ht="15.75" customHeight="1" x14ac:dyDescent="0.2">
      <c r="A3725" t="s">
        <v>285</v>
      </c>
      <c r="B3725" t="s">
        <v>485</v>
      </c>
      <c r="C3725">
        <v>19</v>
      </c>
    </row>
    <row r="3726" spans="1:3" ht="15.75" customHeight="1" x14ac:dyDescent="0.2">
      <c r="A3726" t="s">
        <v>285</v>
      </c>
      <c r="B3726" t="s">
        <v>485</v>
      </c>
      <c r="C3726">
        <v>19</v>
      </c>
    </row>
    <row r="3727" spans="1:3" ht="15.75" customHeight="1" x14ac:dyDescent="0.2">
      <c r="A3727" t="s">
        <v>285</v>
      </c>
      <c r="B3727" t="s">
        <v>485</v>
      </c>
      <c r="C3727">
        <v>19</v>
      </c>
    </row>
    <row r="3728" spans="1:3" ht="15.75" customHeight="1" x14ac:dyDescent="0.2">
      <c r="A3728" t="s">
        <v>285</v>
      </c>
      <c r="B3728" t="s">
        <v>485</v>
      </c>
      <c r="C3728">
        <v>19</v>
      </c>
    </row>
    <row r="3729" spans="1:3" ht="15.75" customHeight="1" x14ac:dyDescent="0.2">
      <c r="A3729" t="s">
        <v>285</v>
      </c>
      <c r="B3729" t="s">
        <v>485</v>
      </c>
      <c r="C3729">
        <v>19</v>
      </c>
    </row>
    <row r="3730" spans="1:3" ht="15.75" customHeight="1" x14ac:dyDescent="0.2">
      <c r="A3730" t="s">
        <v>285</v>
      </c>
      <c r="B3730" t="s">
        <v>485</v>
      </c>
      <c r="C3730">
        <v>19</v>
      </c>
    </row>
    <row r="3731" spans="1:3" ht="15.75" customHeight="1" x14ac:dyDescent="0.2">
      <c r="A3731" t="s">
        <v>285</v>
      </c>
      <c r="B3731" t="s">
        <v>485</v>
      </c>
      <c r="C3731">
        <v>19</v>
      </c>
    </row>
    <row r="3732" spans="1:3" ht="15.75" customHeight="1" x14ac:dyDescent="0.2">
      <c r="A3732" t="s">
        <v>285</v>
      </c>
      <c r="B3732" t="s">
        <v>485</v>
      </c>
      <c r="C3732">
        <v>19</v>
      </c>
    </row>
    <row r="3733" spans="1:3" ht="15.75" customHeight="1" x14ac:dyDescent="0.2">
      <c r="A3733" t="s">
        <v>285</v>
      </c>
      <c r="B3733" t="s">
        <v>485</v>
      </c>
      <c r="C3733">
        <v>19</v>
      </c>
    </row>
    <row r="3734" spans="1:3" ht="15.75" customHeight="1" x14ac:dyDescent="0.2">
      <c r="A3734" t="s">
        <v>285</v>
      </c>
      <c r="B3734" t="s">
        <v>485</v>
      </c>
      <c r="C3734">
        <v>19</v>
      </c>
    </row>
    <row r="3735" spans="1:3" ht="15.75" customHeight="1" x14ac:dyDescent="0.2">
      <c r="A3735" t="s">
        <v>285</v>
      </c>
      <c r="B3735" t="s">
        <v>485</v>
      </c>
      <c r="C3735">
        <v>19</v>
      </c>
    </row>
    <row r="3736" spans="1:3" ht="15.75" customHeight="1" x14ac:dyDescent="0.2">
      <c r="A3736" t="s">
        <v>285</v>
      </c>
      <c r="B3736" t="s">
        <v>485</v>
      </c>
      <c r="C3736">
        <v>19</v>
      </c>
    </row>
    <row r="3737" spans="1:3" ht="15.75" customHeight="1" x14ac:dyDescent="0.2">
      <c r="A3737" t="s">
        <v>285</v>
      </c>
      <c r="B3737" t="s">
        <v>485</v>
      </c>
      <c r="C3737">
        <v>19</v>
      </c>
    </row>
    <row r="3738" spans="1:3" ht="15.75" customHeight="1" x14ac:dyDescent="0.2">
      <c r="A3738" t="s">
        <v>285</v>
      </c>
      <c r="B3738" t="s">
        <v>485</v>
      </c>
      <c r="C3738">
        <v>19</v>
      </c>
    </row>
    <row r="3739" spans="1:3" ht="15.75" customHeight="1" x14ac:dyDescent="0.2">
      <c r="A3739" t="s">
        <v>285</v>
      </c>
      <c r="B3739" t="s">
        <v>485</v>
      </c>
      <c r="C3739">
        <v>19</v>
      </c>
    </row>
    <row r="3740" spans="1:3" ht="15.75" customHeight="1" x14ac:dyDescent="0.2">
      <c r="A3740" t="s">
        <v>285</v>
      </c>
      <c r="B3740" t="s">
        <v>485</v>
      </c>
      <c r="C3740">
        <v>19</v>
      </c>
    </row>
    <row r="3741" spans="1:3" ht="15.75" customHeight="1" x14ac:dyDescent="0.2">
      <c r="A3741" t="s">
        <v>285</v>
      </c>
      <c r="B3741" t="s">
        <v>485</v>
      </c>
      <c r="C3741">
        <v>19</v>
      </c>
    </row>
    <row r="3742" spans="1:3" ht="15.75" customHeight="1" x14ac:dyDescent="0.2">
      <c r="A3742" t="s">
        <v>285</v>
      </c>
      <c r="B3742" t="s">
        <v>485</v>
      </c>
      <c r="C3742">
        <v>19</v>
      </c>
    </row>
    <row r="3743" spans="1:3" ht="15.75" customHeight="1" x14ac:dyDescent="0.2">
      <c r="A3743" t="s">
        <v>285</v>
      </c>
      <c r="B3743" t="s">
        <v>485</v>
      </c>
      <c r="C3743">
        <v>19</v>
      </c>
    </row>
    <row r="3744" spans="1:3" ht="15.75" customHeight="1" x14ac:dyDescent="0.2">
      <c r="A3744" t="s">
        <v>285</v>
      </c>
      <c r="B3744" t="s">
        <v>485</v>
      </c>
      <c r="C3744">
        <v>19</v>
      </c>
    </row>
    <row r="3745" spans="1:3" ht="15.75" customHeight="1" x14ac:dyDescent="0.2">
      <c r="A3745" t="s">
        <v>285</v>
      </c>
      <c r="B3745" t="s">
        <v>485</v>
      </c>
      <c r="C3745">
        <v>19</v>
      </c>
    </row>
    <row r="3746" spans="1:3" ht="15.75" customHeight="1" x14ac:dyDescent="0.2">
      <c r="A3746" t="s">
        <v>285</v>
      </c>
      <c r="B3746" t="s">
        <v>485</v>
      </c>
      <c r="C3746">
        <v>19</v>
      </c>
    </row>
    <row r="3747" spans="1:3" ht="15.75" customHeight="1" x14ac:dyDescent="0.2">
      <c r="A3747" t="s">
        <v>285</v>
      </c>
      <c r="B3747" t="s">
        <v>485</v>
      </c>
      <c r="C3747">
        <v>19</v>
      </c>
    </row>
    <row r="3748" spans="1:3" ht="15.75" customHeight="1" x14ac:dyDescent="0.2">
      <c r="A3748" t="s">
        <v>285</v>
      </c>
      <c r="B3748" t="s">
        <v>485</v>
      </c>
      <c r="C3748">
        <v>19</v>
      </c>
    </row>
    <row r="3749" spans="1:3" ht="15.75" customHeight="1" x14ac:dyDescent="0.2">
      <c r="A3749" t="s">
        <v>285</v>
      </c>
      <c r="B3749" t="s">
        <v>485</v>
      </c>
      <c r="C3749">
        <v>19</v>
      </c>
    </row>
    <row r="3750" spans="1:3" ht="15.75" customHeight="1" x14ac:dyDescent="0.2">
      <c r="A3750" t="s">
        <v>285</v>
      </c>
      <c r="B3750" t="s">
        <v>485</v>
      </c>
      <c r="C3750">
        <v>19</v>
      </c>
    </row>
    <row r="3751" spans="1:3" ht="15.75" customHeight="1" x14ac:dyDescent="0.2">
      <c r="A3751" t="s">
        <v>285</v>
      </c>
      <c r="B3751" t="s">
        <v>485</v>
      </c>
      <c r="C3751">
        <v>19</v>
      </c>
    </row>
    <row r="3752" spans="1:3" ht="15.75" customHeight="1" x14ac:dyDescent="0.2">
      <c r="A3752" t="s">
        <v>285</v>
      </c>
      <c r="B3752" t="s">
        <v>485</v>
      </c>
      <c r="C3752">
        <v>19</v>
      </c>
    </row>
    <row r="3753" spans="1:3" ht="15.75" customHeight="1" x14ac:dyDescent="0.2">
      <c r="A3753" t="s">
        <v>285</v>
      </c>
      <c r="B3753" t="s">
        <v>485</v>
      </c>
      <c r="C3753">
        <v>19</v>
      </c>
    </row>
    <row r="3754" spans="1:3" ht="15.75" customHeight="1" x14ac:dyDescent="0.2">
      <c r="A3754" t="s">
        <v>285</v>
      </c>
      <c r="B3754" t="s">
        <v>485</v>
      </c>
      <c r="C3754">
        <v>19</v>
      </c>
    </row>
    <row r="3755" spans="1:3" ht="15.75" customHeight="1" x14ac:dyDescent="0.2">
      <c r="A3755" t="s">
        <v>285</v>
      </c>
      <c r="B3755" t="s">
        <v>485</v>
      </c>
      <c r="C3755">
        <v>19</v>
      </c>
    </row>
    <row r="3756" spans="1:3" ht="15.75" customHeight="1" x14ac:dyDescent="0.2">
      <c r="A3756" t="s">
        <v>285</v>
      </c>
      <c r="B3756" t="s">
        <v>485</v>
      </c>
      <c r="C3756">
        <v>19</v>
      </c>
    </row>
    <row r="3757" spans="1:3" ht="15.75" customHeight="1" x14ac:dyDescent="0.2">
      <c r="A3757" t="s">
        <v>285</v>
      </c>
      <c r="B3757" t="s">
        <v>485</v>
      </c>
      <c r="C3757">
        <v>19</v>
      </c>
    </row>
    <row r="3758" spans="1:3" ht="15.75" customHeight="1" x14ac:dyDescent="0.2">
      <c r="A3758" t="s">
        <v>285</v>
      </c>
      <c r="B3758" t="s">
        <v>485</v>
      </c>
      <c r="C3758">
        <v>19</v>
      </c>
    </row>
    <row r="3759" spans="1:3" ht="15.75" customHeight="1" x14ac:dyDescent="0.2">
      <c r="A3759" t="s">
        <v>285</v>
      </c>
      <c r="B3759" t="s">
        <v>485</v>
      </c>
      <c r="C3759">
        <v>19</v>
      </c>
    </row>
    <row r="3760" spans="1:3" ht="15.75" customHeight="1" x14ac:dyDescent="0.2">
      <c r="A3760" t="s">
        <v>285</v>
      </c>
      <c r="B3760" t="s">
        <v>485</v>
      </c>
      <c r="C3760">
        <v>19</v>
      </c>
    </row>
    <row r="3761" spans="1:3" ht="15.75" customHeight="1" x14ac:dyDescent="0.2">
      <c r="A3761" t="s">
        <v>285</v>
      </c>
      <c r="B3761" t="s">
        <v>485</v>
      </c>
      <c r="C3761">
        <v>19</v>
      </c>
    </row>
    <row r="3762" spans="1:3" ht="15.75" customHeight="1" x14ac:dyDescent="0.2">
      <c r="A3762" t="s">
        <v>285</v>
      </c>
      <c r="B3762" t="s">
        <v>485</v>
      </c>
      <c r="C3762">
        <v>19</v>
      </c>
    </row>
    <row r="3763" spans="1:3" ht="15.75" customHeight="1" x14ac:dyDescent="0.2">
      <c r="A3763" t="s">
        <v>285</v>
      </c>
      <c r="B3763" t="s">
        <v>485</v>
      </c>
      <c r="C3763">
        <v>19</v>
      </c>
    </row>
    <row r="3764" spans="1:3" ht="15.75" customHeight="1" x14ac:dyDescent="0.2">
      <c r="A3764" t="s">
        <v>285</v>
      </c>
      <c r="B3764" t="s">
        <v>485</v>
      </c>
      <c r="C3764">
        <v>19</v>
      </c>
    </row>
    <row r="3765" spans="1:3" ht="15.75" customHeight="1" x14ac:dyDescent="0.2">
      <c r="A3765" t="s">
        <v>285</v>
      </c>
      <c r="B3765" t="s">
        <v>485</v>
      </c>
      <c r="C3765">
        <v>19</v>
      </c>
    </row>
    <row r="3766" spans="1:3" ht="15.75" customHeight="1" x14ac:dyDescent="0.2">
      <c r="A3766" t="s">
        <v>285</v>
      </c>
      <c r="B3766" t="s">
        <v>485</v>
      </c>
      <c r="C3766">
        <v>19</v>
      </c>
    </row>
    <row r="3767" spans="1:3" ht="15.75" customHeight="1" x14ac:dyDescent="0.2">
      <c r="A3767" t="s">
        <v>285</v>
      </c>
      <c r="B3767" t="s">
        <v>485</v>
      </c>
      <c r="C3767">
        <v>19</v>
      </c>
    </row>
    <row r="3768" spans="1:3" ht="15.75" customHeight="1" x14ac:dyDescent="0.2">
      <c r="A3768" t="s">
        <v>285</v>
      </c>
      <c r="B3768" t="s">
        <v>485</v>
      </c>
      <c r="C3768">
        <v>19</v>
      </c>
    </row>
    <row r="3769" spans="1:3" ht="15.75" customHeight="1" x14ac:dyDescent="0.2">
      <c r="A3769" t="s">
        <v>285</v>
      </c>
      <c r="B3769" t="s">
        <v>485</v>
      </c>
      <c r="C3769">
        <v>19</v>
      </c>
    </row>
    <row r="3770" spans="1:3" ht="15.75" customHeight="1" x14ac:dyDescent="0.2">
      <c r="A3770" t="s">
        <v>285</v>
      </c>
      <c r="B3770" t="s">
        <v>485</v>
      </c>
      <c r="C3770">
        <v>19</v>
      </c>
    </row>
    <row r="3771" spans="1:3" ht="15.75" customHeight="1" x14ac:dyDescent="0.2">
      <c r="A3771" t="s">
        <v>285</v>
      </c>
      <c r="B3771" t="s">
        <v>485</v>
      </c>
      <c r="C3771">
        <v>19</v>
      </c>
    </row>
    <row r="3772" spans="1:3" ht="15.75" customHeight="1" x14ac:dyDescent="0.2">
      <c r="A3772" t="s">
        <v>285</v>
      </c>
      <c r="B3772" t="s">
        <v>485</v>
      </c>
      <c r="C3772">
        <v>19</v>
      </c>
    </row>
    <row r="3773" spans="1:3" ht="15.75" customHeight="1" x14ac:dyDescent="0.2">
      <c r="A3773" t="s">
        <v>285</v>
      </c>
      <c r="B3773" t="s">
        <v>485</v>
      </c>
      <c r="C3773">
        <v>19</v>
      </c>
    </row>
    <row r="3774" spans="1:3" ht="15.75" customHeight="1" x14ac:dyDescent="0.2">
      <c r="A3774" t="s">
        <v>285</v>
      </c>
      <c r="B3774" t="s">
        <v>485</v>
      </c>
      <c r="C3774">
        <v>19</v>
      </c>
    </row>
    <row r="3775" spans="1:3" ht="15.75" customHeight="1" x14ac:dyDescent="0.2">
      <c r="A3775" t="s">
        <v>285</v>
      </c>
      <c r="B3775" t="s">
        <v>485</v>
      </c>
      <c r="C3775">
        <v>19</v>
      </c>
    </row>
    <row r="3776" spans="1:3" ht="15.75" customHeight="1" x14ac:dyDescent="0.2">
      <c r="A3776" t="s">
        <v>285</v>
      </c>
      <c r="B3776" t="s">
        <v>485</v>
      </c>
      <c r="C3776">
        <v>19</v>
      </c>
    </row>
    <row r="3777" spans="1:3" ht="15.75" customHeight="1" x14ac:dyDescent="0.2">
      <c r="A3777" t="s">
        <v>285</v>
      </c>
      <c r="B3777" t="s">
        <v>485</v>
      </c>
      <c r="C3777">
        <v>19</v>
      </c>
    </row>
    <row r="3778" spans="1:3" ht="15.75" customHeight="1" x14ac:dyDescent="0.2">
      <c r="A3778" t="s">
        <v>285</v>
      </c>
      <c r="B3778" t="s">
        <v>485</v>
      </c>
      <c r="C3778">
        <v>19</v>
      </c>
    </row>
    <row r="3779" spans="1:3" ht="15.75" customHeight="1" x14ac:dyDescent="0.2">
      <c r="A3779" t="s">
        <v>285</v>
      </c>
      <c r="B3779" t="s">
        <v>485</v>
      </c>
      <c r="C3779">
        <v>19</v>
      </c>
    </row>
    <row r="3780" spans="1:3" ht="15.75" customHeight="1" x14ac:dyDescent="0.2">
      <c r="A3780" t="s">
        <v>285</v>
      </c>
      <c r="B3780" t="s">
        <v>485</v>
      </c>
      <c r="C3780">
        <v>19</v>
      </c>
    </row>
    <row r="3781" spans="1:3" ht="15.75" customHeight="1" x14ac:dyDescent="0.2">
      <c r="A3781" t="s">
        <v>285</v>
      </c>
      <c r="B3781" t="s">
        <v>485</v>
      </c>
      <c r="C3781">
        <v>19</v>
      </c>
    </row>
    <row r="3782" spans="1:3" ht="15.75" customHeight="1" x14ac:dyDescent="0.2">
      <c r="A3782" t="s">
        <v>285</v>
      </c>
      <c r="B3782" t="s">
        <v>485</v>
      </c>
      <c r="C3782">
        <v>19</v>
      </c>
    </row>
    <row r="3783" spans="1:3" ht="15.75" customHeight="1" x14ac:dyDescent="0.2">
      <c r="A3783" t="s">
        <v>285</v>
      </c>
      <c r="B3783" t="s">
        <v>485</v>
      </c>
      <c r="C3783">
        <v>19</v>
      </c>
    </row>
    <row r="3784" spans="1:3" ht="15.75" customHeight="1" x14ac:dyDescent="0.2">
      <c r="A3784" t="s">
        <v>285</v>
      </c>
      <c r="B3784" t="s">
        <v>485</v>
      </c>
      <c r="C3784">
        <v>19</v>
      </c>
    </row>
    <row r="3785" spans="1:3" ht="15.75" customHeight="1" x14ac:dyDescent="0.2">
      <c r="A3785" t="s">
        <v>285</v>
      </c>
      <c r="B3785" t="s">
        <v>485</v>
      </c>
      <c r="C3785">
        <v>19</v>
      </c>
    </row>
    <row r="3786" spans="1:3" ht="15.75" customHeight="1" x14ac:dyDescent="0.2">
      <c r="A3786" t="s">
        <v>285</v>
      </c>
      <c r="B3786" t="s">
        <v>485</v>
      </c>
      <c r="C3786">
        <v>19</v>
      </c>
    </row>
    <row r="3787" spans="1:3" ht="15.75" customHeight="1" x14ac:dyDescent="0.2">
      <c r="A3787" t="s">
        <v>285</v>
      </c>
      <c r="B3787" t="s">
        <v>485</v>
      </c>
      <c r="C3787">
        <v>19</v>
      </c>
    </row>
    <row r="3788" spans="1:3" ht="15.75" customHeight="1" x14ac:dyDescent="0.2">
      <c r="A3788" t="s">
        <v>285</v>
      </c>
      <c r="B3788" t="s">
        <v>485</v>
      </c>
      <c r="C3788">
        <v>19</v>
      </c>
    </row>
    <row r="3789" spans="1:3" ht="15.75" customHeight="1" x14ac:dyDescent="0.2">
      <c r="A3789" t="s">
        <v>285</v>
      </c>
      <c r="B3789" t="s">
        <v>485</v>
      </c>
      <c r="C3789">
        <v>19</v>
      </c>
    </row>
    <row r="3790" spans="1:3" ht="15.75" customHeight="1" x14ac:dyDescent="0.2">
      <c r="A3790" t="s">
        <v>285</v>
      </c>
      <c r="B3790" t="s">
        <v>485</v>
      </c>
      <c r="C3790">
        <v>19</v>
      </c>
    </row>
    <row r="3791" spans="1:3" ht="15.75" customHeight="1" x14ac:dyDescent="0.2">
      <c r="A3791" t="s">
        <v>285</v>
      </c>
      <c r="B3791" t="s">
        <v>485</v>
      </c>
      <c r="C3791">
        <v>19</v>
      </c>
    </row>
    <row r="3792" spans="1:3" ht="15.75" customHeight="1" x14ac:dyDescent="0.2">
      <c r="A3792" t="s">
        <v>285</v>
      </c>
      <c r="B3792" t="s">
        <v>485</v>
      </c>
      <c r="C3792">
        <v>19</v>
      </c>
    </row>
    <row r="3793" spans="1:3" ht="15.75" customHeight="1" x14ac:dyDescent="0.2">
      <c r="A3793" t="s">
        <v>285</v>
      </c>
      <c r="B3793" t="s">
        <v>485</v>
      </c>
      <c r="C3793">
        <v>19</v>
      </c>
    </row>
    <row r="3794" spans="1:3" ht="15.75" customHeight="1" x14ac:dyDescent="0.2">
      <c r="A3794" t="s">
        <v>285</v>
      </c>
      <c r="B3794" t="s">
        <v>485</v>
      </c>
      <c r="C3794">
        <v>19</v>
      </c>
    </row>
    <row r="3795" spans="1:3" ht="15.75" customHeight="1" x14ac:dyDescent="0.2">
      <c r="A3795" t="s">
        <v>285</v>
      </c>
      <c r="B3795" t="s">
        <v>485</v>
      </c>
      <c r="C3795">
        <v>19</v>
      </c>
    </row>
    <row r="3796" spans="1:3" ht="15.75" customHeight="1" x14ac:dyDescent="0.2">
      <c r="A3796" t="s">
        <v>285</v>
      </c>
      <c r="B3796" t="s">
        <v>485</v>
      </c>
      <c r="C3796">
        <v>19</v>
      </c>
    </row>
    <row r="3797" spans="1:3" ht="15.75" customHeight="1" x14ac:dyDescent="0.2">
      <c r="A3797" t="s">
        <v>285</v>
      </c>
      <c r="B3797" t="s">
        <v>485</v>
      </c>
      <c r="C3797">
        <v>19</v>
      </c>
    </row>
    <row r="3798" spans="1:3" ht="15.75" customHeight="1" x14ac:dyDescent="0.2">
      <c r="A3798" t="s">
        <v>285</v>
      </c>
      <c r="B3798" t="s">
        <v>485</v>
      </c>
      <c r="C3798">
        <v>19</v>
      </c>
    </row>
    <row r="3799" spans="1:3" ht="15.75" customHeight="1" x14ac:dyDescent="0.2">
      <c r="A3799" t="s">
        <v>285</v>
      </c>
      <c r="B3799" t="s">
        <v>485</v>
      </c>
      <c r="C3799">
        <v>19</v>
      </c>
    </row>
    <row r="3800" spans="1:3" ht="15.75" customHeight="1" x14ac:dyDescent="0.2">
      <c r="A3800" t="s">
        <v>285</v>
      </c>
      <c r="B3800" t="s">
        <v>485</v>
      </c>
      <c r="C3800">
        <v>19</v>
      </c>
    </row>
    <row r="3801" spans="1:3" ht="15.75" customHeight="1" x14ac:dyDescent="0.2">
      <c r="A3801" t="s">
        <v>285</v>
      </c>
      <c r="B3801" t="s">
        <v>485</v>
      </c>
      <c r="C3801">
        <v>19</v>
      </c>
    </row>
    <row r="3802" spans="1:3" ht="15.75" customHeight="1" x14ac:dyDescent="0.2">
      <c r="A3802" t="s">
        <v>285</v>
      </c>
      <c r="B3802" t="s">
        <v>485</v>
      </c>
      <c r="C3802">
        <v>19</v>
      </c>
    </row>
    <row r="3803" spans="1:3" ht="15.75" customHeight="1" x14ac:dyDescent="0.2">
      <c r="A3803" t="s">
        <v>285</v>
      </c>
      <c r="B3803" t="s">
        <v>485</v>
      </c>
      <c r="C3803">
        <v>19</v>
      </c>
    </row>
    <row r="3804" spans="1:3" ht="15.75" customHeight="1" x14ac:dyDescent="0.2">
      <c r="A3804" t="s">
        <v>285</v>
      </c>
      <c r="B3804" t="s">
        <v>485</v>
      </c>
      <c r="C3804">
        <v>19</v>
      </c>
    </row>
    <row r="3805" spans="1:3" ht="15.75" customHeight="1" x14ac:dyDescent="0.2">
      <c r="A3805" t="s">
        <v>285</v>
      </c>
      <c r="B3805" t="s">
        <v>485</v>
      </c>
      <c r="C3805">
        <v>19</v>
      </c>
    </row>
    <row r="3806" spans="1:3" ht="15.75" customHeight="1" x14ac:dyDescent="0.2">
      <c r="A3806" t="s">
        <v>285</v>
      </c>
      <c r="B3806" t="s">
        <v>485</v>
      </c>
      <c r="C3806">
        <v>19</v>
      </c>
    </row>
    <row r="3807" spans="1:3" ht="15.75" customHeight="1" x14ac:dyDescent="0.2">
      <c r="A3807" t="s">
        <v>285</v>
      </c>
      <c r="B3807" t="s">
        <v>485</v>
      </c>
      <c r="C3807">
        <v>19</v>
      </c>
    </row>
    <row r="3808" spans="1:3" ht="15.75" customHeight="1" x14ac:dyDescent="0.2">
      <c r="A3808" t="s">
        <v>285</v>
      </c>
      <c r="B3808" t="s">
        <v>485</v>
      </c>
      <c r="C3808">
        <v>19</v>
      </c>
    </row>
    <row r="3809" spans="1:3" ht="15.75" customHeight="1" x14ac:dyDescent="0.2">
      <c r="A3809" t="s">
        <v>285</v>
      </c>
      <c r="B3809" t="s">
        <v>485</v>
      </c>
      <c r="C3809">
        <v>19</v>
      </c>
    </row>
    <row r="3810" spans="1:3" ht="15.75" customHeight="1" x14ac:dyDescent="0.2">
      <c r="A3810" t="s">
        <v>285</v>
      </c>
      <c r="B3810" t="s">
        <v>485</v>
      </c>
      <c r="C3810">
        <v>19</v>
      </c>
    </row>
    <row r="3811" spans="1:3" ht="15.75" customHeight="1" x14ac:dyDescent="0.2">
      <c r="A3811" t="s">
        <v>285</v>
      </c>
      <c r="B3811" t="s">
        <v>485</v>
      </c>
      <c r="C3811">
        <v>19</v>
      </c>
    </row>
    <row r="3812" spans="1:3" ht="15.75" customHeight="1" x14ac:dyDescent="0.2">
      <c r="A3812" t="s">
        <v>285</v>
      </c>
      <c r="B3812" t="s">
        <v>485</v>
      </c>
      <c r="C3812">
        <v>19</v>
      </c>
    </row>
    <row r="3813" spans="1:3" ht="15.75" customHeight="1" x14ac:dyDescent="0.2">
      <c r="A3813" t="s">
        <v>285</v>
      </c>
      <c r="B3813" t="s">
        <v>485</v>
      </c>
      <c r="C3813">
        <v>19</v>
      </c>
    </row>
    <row r="3814" spans="1:3" ht="15.75" customHeight="1" x14ac:dyDescent="0.2">
      <c r="A3814" t="s">
        <v>285</v>
      </c>
      <c r="B3814" t="s">
        <v>485</v>
      </c>
      <c r="C3814">
        <v>19</v>
      </c>
    </row>
    <row r="3815" spans="1:3" ht="15.75" customHeight="1" x14ac:dyDescent="0.2">
      <c r="A3815" t="s">
        <v>285</v>
      </c>
      <c r="B3815" t="s">
        <v>485</v>
      </c>
      <c r="C3815">
        <v>19</v>
      </c>
    </row>
    <row r="3816" spans="1:3" ht="15.75" customHeight="1" x14ac:dyDescent="0.2">
      <c r="A3816" t="s">
        <v>285</v>
      </c>
      <c r="B3816" t="s">
        <v>485</v>
      </c>
      <c r="C3816">
        <v>19</v>
      </c>
    </row>
    <row r="3817" spans="1:3" ht="15.75" customHeight="1" x14ac:dyDescent="0.2">
      <c r="A3817" t="s">
        <v>285</v>
      </c>
      <c r="B3817" t="s">
        <v>485</v>
      </c>
      <c r="C3817">
        <v>19</v>
      </c>
    </row>
    <row r="3818" spans="1:3" ht="15.75" customHeight="1" x14ac:dyDescent="0.2">
      <c r="A3818" t="s">
        <v>285</v>
      </c>
      <c r="B3818" t="s">
        <v>485</v>
      </c>
      <c r="C3818">
        <v>19</v>
      </c>
    </row>
    <row r="3819" spans="1:3" ht="15.75" customHeight="1" x14ac:dyDescent="0.2">
      <c r="A3819" t="s">
        <v>285</v>
      </c>
      <c r="B3819" t="s">
        <v>485</v>
      </c>
      <c r="C3819">
        <v>19</v>
      </c>
    </row>
    <row r="3820" spans="1:3" ht="15.75" customHeight="1" x14ac:dyDescent="0.2">
      <c r="A3820" t="s">
        <v>285</v>
      </c>
      <c r="B3820" t="s">
        <v>485</v>
      </c>
      <c r="C3820">
        <v>19</v>
      </c>
    </row>
    <row r="3821" spans="1:3" ht="15.75" customHeight="1" x14ac:dyDescent="0.2">
      <c r="A3821" t="s">
        <v>285</v>
      </c>
      <c r="B3821" t="s">
        <v>485</v>
      </c>
      <c r="C3821">
        <v>19</v>
      </c>
    </row>
    <row r="3822" spans="1:3" ht="15.75" customHeight="1" x14ac:dyDescent="0.2">
      <c r="A3822" t="s">
        <v>285</v>
      </c>
      <c r="B3822" t="s">
        <v>485</v>
      </c>
      <c r="C3822">
        <v>19</v>
      </c>
    </row>
    <row r="3823" spans="1:3" ht="15.75" customHeight="1" x14ac:dyDescent="0.2">
      <c r="A3823" t="s">
        <v>285</v>
      </c>
      <c r="B3823" t="s">
        <v>485</v>
      </c>
      <c r="C3823">
        <v>19</v>
      </c>
    </row>
    <row r="3824" spans="1:3" ht="15.75" customHeight="1" x14ac:dyDescent="0.2">
      <c r="A3824" t="s">
        <v>285</v>
      </c>
      <c r="B3824" t="s">
        <v>485</v>
      </c>
      <c r="C3824">
        <v>19</v>
      </c>
    </row>
    <row r="3825" spans="1:3" ht="15.75" customHeight="1" x14ac:dyDescent="0.2">
      <c r="A3825" t="s">
        <v>285</v>
      </c>
      <c r="B3825" t="s">
        <v>485</v>
      </c>
      <c r="C3825">
        <v>19</v>
      </c>
    </row>
    <row r="3826" spans="1:3" ht="15.75" customHeight="1" x14ac:dyDescent="0.2">
      <c r="A3826" t="s">
        <v>285</v>
      </c>
      <c r="B3826" t="s">
        <v>485</v>
      </c>
      <c r="C3826">
        <v>19</v>
      </c>
    </row>
    <row r="3827" spans="1:3" ht="15.75" customHeight="1" x14ac:dyDescent="0.2">
      <c r="A3827" t="s">
        <v>285</v>
      </c>
      <c r="B3827" t="s">
        <v>485</v>
      </c>
      <c r="C3827">
        <v>19</v>
      </c>
    </row>
    <row r="3828" spans="1:3" ht="15.75" customHeight="1" x14ac:dyDescent="0.2">
      <c r="A3828" t="s">
        <v>285</v>
      </c>
      <c r="B3828" t="s">
        <v>485</v>
      </c>
      <c r="C3828">
        <v>19</v>
      </c>
    </row>
    <row r="3829" spans="1:3" ht="15.75" customHeight="1" x14ac:dyDescent="0.2">
      <c r="A3829" t="s">
        <v>285</v>
      </c>
      <c r="B3829" t="s">
        <v>485</v>
      </c>
      <c r="C3829">
        <v>19</v>
      </c>
    </row>
    <row r="3830" spans="1:3" ht="15.75" customHeight="1" x14ac:dyDescent="0.2">
      <c r="A3830" t="s">
        <v>285</v>
      </c>
      <c r="B3830" t="s">
        <v>485</v>
      </c>
      <c r="C3830">
        <v>19</v>
      </c>
    </row>
    <row r="3831" spans="1:3" ht="15.75" customHeight="1" x14ac:dyDescent="0.2">
      <c r="A3831" t="s">
        <v>285</v>
      </c>
      <c r="B3831" t="s">
        <v>485</v>
      </c>
      <c r="C3831">
        <v>19</v>
      </c>
    </row>
    <row r="3832" spans="1:3" ht="15.75" customHeight="1" x14ac:dyDescent="0.2">
      <c r="A3832" t="s">
        <v>285</v>
      </c>
      <c r="B3832" t="s">
        <v>485</v>
      </c>
      <c r="C3832">
        <v>19</v>
      </c>
    </row>
    <row r="3833" spans="1:3" ht="15.75" customHeight="1" x14ac:dyDescent="0.2">
      <c r="A3833" t="s">
        <v>285</v>
      </c>
      <c r="B3833" t="s">
        <v>485</v>
      </c>
      <c r="C3833">
        <v>19</v>
      </c>
    </row>
    <row r="3834" spans="1:3" ht="15.75" customHeight="1" x14ac:dyDescent="0.2">
      <c r="A3834" t="s">
        <v>285</v>
      </c>
      <c r="B3834" t="s">
        <v>485</v>
      </c>
      <c r="C3834">
        <v>19</v>
      </c>
    </row>
    <row r="3835" spans="1:3" ht="15.75" customHeight="1" x14ac:dyDescent="0.2">
      <c r="A3835" t="s">
        <v>285</v>
      </c>
      <c r="B3835" t="s">
        <v>485</v>
      </c>
      <c r="C3835">
        <v>19</v>
      </c>
    </row>
    <row r="3836" spans="1:3" ht="15.75" customHeight="1" x14ac:dyDescent="0.2">
      <c r="A3836" t="s">
        <v>285</v>
      </c>
      <c r="B3836" t="s">
        <v>485</v>
      </c>
      <c r="C3836">
        <v>19</v>
      </c>
    </row>
    <row r="3837" spans="1:3" ht="15.75" customHeight="1" x14ac:dyDescent="0.2">
      <c r="A3837" t="s">
        <v>285</v>
      </c>
      <c r="B3837" t="s">
        <v>485</v>
      </c>
      <c r="C3837">
        <v>19</v>
      </c>
    </row>
    <row r="3838" spans="1:3" ht="15.75" customHeight="1" x14ac:dyDescent="0.2">
      <c r="A3838" t="s">
        <v>285</v>
      </c>
      <c r="B3838" t="s">
        <v>485</v>
      </c>
      <c r="C3838">
        <v>19</v>
      </c>
    </row>
    <row r="3839" spans="1:3" ht="15.75" customHeight="1" x14ac:dyDescent="0.2">
      <c r="A3839" t="s">
        <v>285</v>
      </c>
      <c r="B3839" t="s">
        <v>485</v>
      </c>
      <c r="C3839">
        <v>19</v>
      </c>
    </row>
    <row r="3840" spans="1:3" ht="15.75" customHeight="1" x14ac:dyDescent="0.2">
      <c r="A3840" t="s">
        <v>285</v>
      </c>
      <c r="B3840" t="s">
        <v>485</v>
      </c>
      <c r="C3840">
        <v>19</v>
      </c>
    </row>
    <row r="3841" spans="1:3" ht="15.75" customHeight="1" x14ac:dyDescent="0.2">
      <c r="A3841" t="s">
        <v>285</v>
      </c>
      <c r="B3841" t="s">
        <v>485</v>
      </c>
      <c r="C3841">
        <v>19</v>
      </c>
    </row>
    <row r="3842" spans="1:3" ht="15.75" customHeight="1" x14ac:dyDescent="0.2">
      <c r="A3842" t="s">
        <v>285</v>
      </c>
      <c r="B3842" t="s">
        <v>485</v>
      </c>
      <c r="C3842">
        <v>19</v>
      </c>
    </row>
    <row r="3843" spans="1:3" ht="15.75" customHeight="1" x14ac:dyDescent="0.2">
      <c r="A3843" t="s">
        <v>285</v>
      </c>
      <c r="B3843" t="s">
        <v>485</v>
      </c>
      <c r="C3843">
        <v>19</v>
      </c>
    </row>
    <row r="3844" spans="1:3" ht="15.75" customHeight="1" x14ac:dyDescent="0.2">
      <c r="A3844" t="s">
        <v>285</v>
      </c>
      <c r="B3844" t="s">
        <v>485</v>
      </c>
      <c r="C3844">
        <v>19</v>
      </c>
    </row>
    <row r="3845" spans="1:3" ht="15.75" customHeight="1" x14ac:dyDescent="0.2">
      <c r="A3845" t="s">
        <v>285</v>
      </c>
      <c r="B3845" t="s">
        <v>485</v>
      </c>
      <c r="C3845">
        <v>19</v>
      </c>
    </row>
    <row r="3846" spans="1:3" ht="15.75" customHeight="1" x14ac:dyDescent="0.2">
      <c r="A3846" t="s">
        <v>285</v>
      </c>
      <c r="B3846" t="s">
        <v>485</v>
      </c>
      <c r="C3846">
        <v>19</v>
      </c>
    </row>
    <row r="3847" spans="1:3" ht="15.75" customHeight="1" x14ac:dyDescent="0.2">
      <c r="A3847" t="s">
        <v>285</v>
      </c>
      <c r="B3847" t="s">
        <v>485</v>
      </c>
      <c r="C3847">
        <v>19</v>
      </c>
    </row>
    <row r="3848" spans="1:3" ht="15.75" customHeight="1" x14ac:dyDescent="0.2">
      <c r="A3848" t="s">
        <v>285</v>
      </c>
      <c r="B3848" t="s">
        <v>485</v>
      </c>
      <c r="C3848">
        <v>19</v>
      </c>
    </row>
    <row r="3849" spans="1:3" ht="15.75" customHeight="1" x14ac:dyDescent="0.2">
      <c r="A3849" t="s">
        <v>285</v>
      </c>
      <c r="B3849" t="s">
        <v>485</v>
      </c>
      <c r="C3849">
        <v>19</v>
      </c>
    </row>
    <row r="3850" spans="1:3" ht="15.75" customHeight="1" x14ac:dyDescent="0.2">
      <c r="A3850" t="s">
        <v>285</v>
      </c>
      <c r="B3850" t="s">
        <v>485</v>
      </c>
      <c r="C3850">
        <v>19</v>
      </c>
    </row>
    <row r="3851" spans="1:3" ht="15.75" customHeight="1" x14ac:dyDescent="0.2">
      <c r="A3851" t="s">
        <v>285</v>
      </c>
      <c r="B3851" t="s">
        <v>485</v>
      </c>
      <c r="C3851">
        <v>19</v>
      </c>
    </row>
    <row r="3852" spans="1:3" ht="15.75" customHeight="1" x14ac:dyDescent="0.2">
      <c r="A3852" t="s">
        <v>285</v>
      </c>
      <c r="B3852" t="s">
        <v>485</v>
      </c>
      <c r="C3852">
        <v>19</v>
      </c>
    </row>
    <row r="3853" spans="1:3" ht="15.75" customHeight="1" x14ac:dyDescent="0.2">
      <c r="A3853" t="s">
        <v>285</v>
      </c>
      <c r="B3853" t="s">
        <v>485</v>
      </c>
      <c r="C3853">
        <v>19</v>
      </c>
    </row>
    <row r="3854" spans="1:3" ht="15.75" customHeight="1" x14ac:dyDescent="0.2">
      <c r="A3854" t="s">
        <v>285</v>
      </c>
      <c r="B3854" t="s">
        <v>485</v>
      </c>
      <c r="C3854">
        <v>19</v>
      </c>
    </row>
    <row r="3855" spans="1:3" ht="15.75" customHeight="1" x14ac:dyDescent="0.2">
      <c r="A3855" t="s">
        <v>285</v>
      </c>
      <c r="B3855" t="s">
        <v>485</v>
      </c>
      <c r="C3855">
        <v>19</v>
      </c>
    </row>
    <row r="3856" spans="1:3" ht="15.75" customHeight="1" x14ac:dyDescent="0.2">
      <c r="A3856" t="s">
        <v>285</v>
      </c>
      <c r="B3856" t="s">
        <v>485</v>
      </c>
      <c r="C3856">
        <v>19</v>
      </c>
    </row>
    <row r="3857" spans="1:3" ht="15.75" customHeight="1" x14ac:dyDescent="0.2">
      <c r="A3857" t="s">
        <v>285</v>
      </c>
      <c r="B3857" t="s">
        <v>485</v>
      </c>
      <c r="C3857">
        <v>19</v>
      </c>
    </row>
    <row r="3858" spans="1:3" ht="15.75" customHeight="1" x14ac:dyDescent="0.2">
      <c r="A3858" t="s">
        <v>285</v>
      </c>
      <c r="B3858" t="s">
        <v>485</v>
      </c>
      <c r="C3858">
        <v>19</v>
      </c>
    </row>
    <row r="3859" spans="1:3" ht="15.75" customHeight="1" x14ac:dyDescent="0.2">
      <c r="A3859" t="s">
        <v>285</v>
      </c>
      <c r="B3859" t="s">
        <v>485</v>
      </c>
      <c r="C3859">
        <v>19</v>
      </c>
    </row>
    <row r="3860" spans="1:3" ht="15.75" customHeight="1" x14ac:dyDescent="0.2">
      <c r="A3860" t="s">
        <v>285</v>
      </c>
      <c r="B3860" t="s">
        <v>485</v>
      </c>
      <c r="C3860">
        <v>19</v>
      </c>
    </row>
    <row r="3861" spans="1:3" ht="15.75" customHeight="1" x14ac:dyDescent="0.2">
      <c r="A3861" t="s">
        <v>285</v>
      </c>
      <c r="B3861" t="s">
        <v>485</v>
      </c>
      <c r="C3861">
        <v>19</v>
      </c>
    </row>
    <row r="3862" spans="1:3" ht="15.75" customHeight="1" x14ac:dyDescent="0.2">
      <c r="A3862" t="s">
        <v>285</v>
      </c>
      <c r="B3862" t="s">
        <v>485</v>
      </c>
      <c r="C3862">
        <v>19</v>
      </c>
    </row>
    <row r="3863" spans="1:3" ht="15.75" customHeight="1" x14ac:dyDescent="0.2">
      <c r="A3863" t="s">
        <v>285</v>
      </c>
      <c r="B3863" t="s">
        <v>485</v>
      </c>
      <c r="C3863">
        <v>19</v>
      </c>
    </row>
    <row r="3864" spans="1:3" ht="15.75" customHeight="1" x14ac:dyDescent="0.2">
      <c r="A3864" t="s">
        <v>285</v>
      </c>
      <c r="B3864" t="s">
        <v>485</v>
      </c>
      <c r="C3864">
        <v>19</v>
      </c>
    </row>
    <row r="3865" spans="1:3" ht="15.75" customHeight="1" x14ac:dyDescent="0.2">
      <c r="A3865" t="s">
        <v>285</v>
      </c>
      <c r="B3865" t="s">
        <v>485</v>
      </c>
      <c r="C3865">
        <v>19</v>
      </c>
    </row>
    <row r="3866" spans="1:3" ht="15.75" customHeight="1" x14ac:dyDescent="0.2">
      <c r="A3866" t="s">
        <v>285</v>
      </c>
      <c r="B3866" t="s">
        <v>485</v>
      </c>
      <c r="C3866">
        <v>19</v>
      </c>
    </row>
    <row r="3867" spans="1:3" ht="15.75" customHeight="1" x14ac:dyDescent="0.2">
      <c r="A3867" t="s">
        <v>285</v>
      </c>
      <c r="B3867" t="s">
        <v>485</v>
      </c>
      <c r="C3867">
        <v>19</v>
      </c>
    </row>
    <row r="3868" spans="1:3" ht="15.75" customHeight="1" x14ac:dyDescent="0.2">
      <c r="A3868" t="s">
        <v>285</v>
      </c>
      <c r="B3868" t="s">
        <v>485</v>
      </c>
      <c r="C3868">
        <v>19</v>
      </c>
    </row>
    <row r="3869" spans="1:3" ht="15.75" customHeight="1" x14ac:dyDescent="0.2">
      <c r="A3869" t="s">
        <v>285</v>
      </c>
      <c r="B3869" t="s">
        <v>485</v>
      </c>
      <c r="C3869">
        <v>19</v>
      </c>
    </row>
    <row r="3870" spans="1:3" ht="15.75" customHeight="1" x14ac:dyDescent="0.2">
      <c r="A3870" t="s">
        <v>285</v>
      </c>
      <c r="B3870" t="s">
        <v>485</v>
      </c>
      <c r="C3870">
        <v>19</v>
      </c>
    </row>
    <row r="3871" spans="1:3" ht="15.75" customHeight="1" x14ac:dyDescent="0.2">
      <c r="A3871" t="s">
        <v>285</v>
      </c>
      <c r="B3871" t="s">
        <v>485</v>
      </c>
      <c r="C3871">
        <v>19</v>
      </c>
    </row>
    <row r="3872" spans="1:3" ht="15.75" customHeight="1" x14ac:dyDescent="0.2">
      <c r="A3872" t="s">
        <v>285</v>
      </c>
      <c r="B3872" t="s">
        <v>485</v>
      </c>
      <c r="C3872">
        <v>19</v>
      </c>
    </row>
    <row r="3873" spans="1:3" ht="15.75" customHeight="1" x14ac:dyDescent="0.2">
      <c r="A3873" t="s">
        <v>285</v>
      </c>
      <c r="B3873" t="s">
        <v>485</v>
      </c>
      <c r="C3873">
        <v>19</v>
      </c>
    </row>
    <row r="3874" spans="1:3" ht="15.75" customHeight="1" x14ac:dyDescent="0.2">
      <c r="A3874" t="s">
        <v>285</v>
      </c>
      <c r="B3874" t="s">
        <v>485</v>
      </c>
      <c r="C3874">
        <v>19</v>
      </c>
    </row>
    <row r="3875" spans="1:3" ht="15.75" customHeight="1" x14ac:dyDescent="0.2">
      <c r="A3875" t="s">
        <v>285</v>
      </c>
      <c r="B3875" t="s">
        <v>485</v>
      </c>
      <c r="C3875">
        <v>19</v>
      </c>
    </row>
    <row r="3876" spans="1:3" ht="15.75" customHeight="1" x14ac:dyDescent="0.2">
      <c r="A3876" t="s">
        <v>285</v>
      </c>
      <c r="B3876" t="s">
        <v>485</v>
      </c>
      <c r="C3876">
        <v>19</v>
      </c>
    </row>
    <row r="3877" spans="1:3" ht="15.75" customHeight="1" x14ac:dyDescent="0.2">
      <c r="A3877" t="s">
        <v>285</v>
      </c>
      <c r="B3877" t="s">
        <v>485</v>
      </c>
      <c r="C3877">
        <v>19</v>
      </c>
    </row>
    <row r="3878" spans="1:3" ht="15.75" customHeight="1" x14ac:dyDescent="0.2">
      <c r="A3878" t="s">
        <v>285</v>
      </c>
      <c r="B3878" t="s">
        <v>485</v>
      </c>
      <c r="C3878">
        <v>19</v>
      </c>
    </row>
    <row r="3879" spans="1:3" ht="15.75" customHeight="1" x14ac:dyDescent="0.2">
      <c r="A3879" t="s">
        <v>285</v>
      </c>
      <c r="B3879" t="s">
        <v>485</v>
      </c>
      <c r="C3879">
        <v>19</v>
      </c>
    </row>
    <row r="3880" spans="1:3" ht="15.75" customHeight="1" x14ac:dyDescent="0.2">
      <c r="A3880" t="s">
        <v>285</v>
      </c>
      <c r="B3880" t="s">
        <v>490</v>
      </c>
      <c r="C3880">
        <v>20</v>
      </c>
    </row>
    <row r="3881" spans="1:3" ht="15.75" customHeight="1" x14ac:dyDescent="0.2">
      <c r="A3881" t="s">
        <v>285</v>
      </c>
      <c r="B3881" t="s">
        <v>490</v>
      </c>
      <c r="C3881">
        <v>20</v>
      </c>
    </row>
    <row r="3882" spans="1:3" ht="15.75" customHeight="1" x14ac:dyDescent="0.2">
      <c r="A3882" t="s">
        <v>285</v>
      </c>
      <c r="B3882" t="s">
        <v>490</v>
      </c>
      <c r="C3882">
        <v>20</v>
      </c>
    </row>
    <row r="3883" spans="1:3" ht="15.75" customHeight="1" x14ac:dyDescent="0.2">
      <c r="A3883" t="s">
        <v>285</v>
      </c>
      <c r="B3883" t="s">
        <v>490</v>
      </c>
      <c r="C3883">
        <v>20</v>
      </c>
    </row>
    <row r="3884" spans="1:3" ht="15.75" customHeight="1" x14ac:dyDescent="0.2">
      <c r="A3884" t="s">
        <v>285</v>
      </c>
      <c r="B3884" t="s">
        <v>490</v>
      </c>
      <c r="C3884">
        <v>20</v>
      </c>
    </row>
    <row r="3885" spans="1:3" ht="15.75" customHeight="1" x14ac:dyDescent="0.2">
      <c r="A3885" t="s">
        <v>285</v>
      </c>
      <c r="B3885" t="s">
        <v>490</v>
      </c>
      <c r="C3885">
        <v>20</v>
      </c>
    </row>
    <row r="3886" spans="1:3" ht="15.75" customHeight="1" x14ac:dyDescent="0.2">
      <c r="A3886" t="s">
        <v>285</v>
      </c>
      <c r="B3886" t="s">
        <v>490</v>
      </c>
      <c r="C3886">
        <v>20</v>
      </c>
    </row>
    <row r="3887" spans="1:3" ht="15.75" customHeight="1" x14ac:dyDescent="0.2">
      <c r="A3887" t="s">
        <v>285</v>
      </c>
      <c r="B3887" t="s">
        <v>490</v>
      </c>
      <c r="C3887">
        <v>20</v>
      </c>
    </row>
    <row r="3888" spans="1:3" ht="15.75" customHeight="1" x14ac:dyDescent="0.2">
      <c r="A3888" t="s">
        <v>285</v>
      </c>
      <c r="B3888" t="s">
        <v>490</v>
      </c>
      <c r="C3888">
        <v>20</v>
      </c>
    </row>
    <row r="3889" spans="1:3" ht="15.75" customHeight="1" x14ac:dyDescent="0.2">
      <c r="A3889" t="s">
        <v>285</v>
      </c>
      <c r="B3889" t="s">
        <v>490</v>
      </c>
      <c r="C3889">
        <v>20</v>
      </c>
    </row>
    <row r="3890" spans="1:3" ht="15.75" customHeight="1" x14ac:dyDescent="0.2">
      <c r="A3890" t="s">
        <v>285</v>
      </c>
      <c r="B3890" t="s">
        <v>490</v>
      </c>
      <c r="C3890">
        <v>20</v>
      </c>
    </row>
    <row r="3891" spans="1:3" ht="15.75" customHeight="1" x14ac:dyDescent="0.2">
      <c r="A3891" t="s">
        <v>285</v>
      </c>
      <c r="B3891" t="s">
        <v>490</v>
      </c>
      <c r="C3891">
        <v>20</v>
      </c>
    </row>
    <row r="3892" spans="1:3" ht="15.75" customHeight="1" x14ac:dyDescent="0.2">
      <c r="A3892" t="s">
        <v>285</v>
      </c>
      <c r="B3892" t="s">
        <v>490</v>
      </c>
      <c r="C3892">
        <v>20</v>
      </c>
    </row>
    <row r="3893" spans="1:3" ht="15.75" customHeight="1" x14ac:dyDescent="0.2">
      <c r="A3893" t="s">
        <v>285</v>
      </c>
      <c r="B3893" t="s">
        <v>490</v>
      </c>
      <c r="C3893">
        <v>20</v>
      </c>
    </row>
    <row r="3894" spans="1:3" ht="15.75" customHeight="1" x14ac:dyDescent="0.2">
      <c r="A3894" t="s">
        <v>285</v>
      </c>
      <c r="B3894" t="s">
        <v>490</v>
      </c>
      <c r="C3894">
        <v>20</v>
      </c>
    </row>
    <row r="3895" spans="1:3" ht="15.75" customHeight="1" x14ac:dyDescent="0.2">
      <c r="A3895" t="s">
        <v>285</v>
      </c>
      <c r="B3895" t="s">
        <v>490</v>
      </c>
      <c r="C3895">
        <v>20</v>
      </c>
    </row>
    <row r="3896" spans="1:3" ht="15.75" customHeight="1" x14ac:dyDescent="0.2">
      <c r="A3896" t="s">
        <v>285</v>
      </c>
      <c r="B3896" t="s">
        <v>490</v>
      </c>
      <c r="C3896">
        <v>20</v>
      </c>
    </row>
    <row r="3897" spans="1:3" ht="15.75" customHeight="1" x14ac:dyDescent="0.2">
      <c r="A3897" t="s">
        <v>285</v>
      </c>
      <c r="B3897" t="s">
        <v>490</v>
      </c>
      <c r="C3897">
        <v>20</v>
      </c>
    </row>
    <row r="3898" spans="1:3" ht="15.75" customHeight="1" x14ac:dyDescent="0.2">
      <c r="A3898" t="s">
        <v>285</v>
      </c>
      <c r="B3898" t="s">
        <v>490</v>
      </c>
      <c r="C3898">
        <v>20</v>
      </c>
    </row>
    <row r="3899" spans="1:3" ht="15.75" customHeight="1" x14ac:dyDescent="0.2">
      <c r="A3899" t="s">
        <v>285</v>
      </c>
      <c r="B3899" t="s">
        <v>490</v>
      </c>
      <c r="C3899">
        <v>20</v>
      </c>
    </row>
    <row r="3900" spans="1:3" ht="15.75" customHeight="1" x14ac:dyDescent="0.2">
      <c r="A3900" t="s">
        <v>285</v>
      </c>
      <c r="B3900" t="s">
        <v>490</v>
      </c>
      <c r="C3900">
        <v>20</v>
      </c>
    </row>
    <row r="3901" spans="1:3" ht="15.75" customHeight="1" x14ac:dyDescent="0.2">
      <c r="A3901" t="s">
        <v>285</v>
      </c>
      <c r="B3901" t="s">
        <v>490</v>
      </c>
      <c r="C3901">
        <v>20</v>
      </c>
    </row>
    <row r="3902" spans="1:3" ht="15.75" customHeight="1" x14ac:dyDescent="0.2">
      <c r="A3902" t="s">
        <v>285</v>
      </c>
      <c r="B3902" t="s">
        <v>490</v>
      </c>
      <c r="C3902">
        <v>20</v>
      </c>
    </row>
    <row r="3903" spans="1:3" ht="15.75" customHeight="1" x14ac:dyDescent="0.2">
      <c r="A3903" t="s">
        <v>285</v>
      </c>
      <c r="B3903" t="s">
        <v>490</v>
      </c>
      <c r="C3903">
        <v>20</v>
      </c>
    </row>
    <row r="3904" spans="1:3" ht="15.75" customHeight="1" x14ac:dyDescent="0.2">
      <c r="A3904" t="s">
        <v>285</v>
      </c>
      <c r="B3904" t="s">
        <v>490</v>
      </c>
      <c r="C3904">
        <v>20</v>
      </c>
    </row>
    <row r="3905" spans="1:3" ht="15.75" customHeight="1" x14ac:dyDescent="0.2">
      <c r="A3905" t="s">
        <v>285</v>
      </c>
      <c r="B3905" t="s">
        <v>490</v>
      </c>
      <c r="C3905">
        <v>20</v>
      </c>
    </row>
    <row r="3906" spans="1:3" ht="15.75" customHeight="1" x14ac:dyDescent="0.2">
      <c r="A3906" t="s">
        <v>285</v>
      </c>
      <c r="B3906" t="s">
        <v>490</v>
      </c>
      <c r="C3906">
        <v>20</v>
      </c>
    </row>
    <row r="3907" spans="1:3" ht="15.75" customHeight="1" x14ac:dyDescent="0.2">
      <c r="A3907" t="s">
        <v>285</v>
      </c>
      <c r="B3907" t="s">
        <v>490</v>
      </c>
      <c r="C3907">
        <v>20</v>
      </c>
    </row>
    <row r="3908" spans="1:3" ht="15.75" customHeight="1" x14ac:dyDescent="0.2">
      <c r="A3908" t="s">
        <v>285</v>
      </c>
      <c r="B3908" t="s">
        <v>490</v>
      </c>
      <c r="C3908">
        <v>20</v>
      </c>
    </row>
    <row r="3909" spans="1:3" ht="15.75" customHeight="1" x14ac:dyDescent="0.2">
      <c r="A3909" t="s">
        <v>285</v>
      </c>
      <c r="B3909" t="s">
        <v>490</v>
      </c>
      <c r="C3909">
        <v>20</v>
      </c>
    </row>
    <row r="3910" spans="1:3" ht="15.75" customHeight="1" x14ac:dyDescent="0.2">
      <c r="A3910" t="s">
        <v>285</v>
      </c>
      <c r="B3910" t="s">
        <v>490</v>
      </c>
      <c r="C3910">
        <v>20</v>
      </c>
    </row>
    <row r="3911" spans="1:3" ht="15.75" customHeight="1" x14ac:dyDescent="0.2">
      <c r="A3911" t="s">
        <v>285</v>
      </c>
      <c r="B3911" t="s">
        <v>490</v>
      </c>
      <c r="C3911">
        <v>20</v>
      </c>
    </row>
    <row r="3912" spans="1:3" ht="15.75" customHeight="1" x14ac:dyDescent="0.2">
      <c r="A3912" t="s">
        <v>285</v>
      </c>
      <c r="B3912" t="s">
        <v>490</v>
      </c>
      <c r="C3912">
        <v>20</v>
      </c>
    </row>
    <row r="3913" spans="1:3" ht="15.75" customHeight="1" x14ac:dyDescent="0.2">
      <c r="A3913" t="s">
        <v>285</v>
      </c>
      <c r="B3913" t="s">
        <v>490</v>
      </c>
      <c r="C3913">
        <v>20</v>
      </c>
    </row>
    <row r="3914" spans="1:3" ht="15.75" customHeight="1" x14ac:dyDescent="0.2">
      <c r="A3914" t="s">
        <v>285</v>
      </c>
      <c r="B3914" t="s">
        <v>490</v>
      </c>
      <c r="C3914">
        <v>20</v>
      </c>
    </row>
    <row r="3915" spans="1:3" ht="15.75" customHeight="1" x14ac:dyDescent="0.2">
      <c r="A3915" t="s">
        <v>285</v>
      </c>
      <c r="B3915" t="s">
        <v>490</v>
      </c>
      <c r="C3915">
        <v>20</v>
      </c>
    </row>
    <row r="3916" spans="1:3" ht="15.75" customHeight="1" x14ac:dyDescent="0.2">
      <c r="A3916" t="s">
        <v>285</v>
      </c>
      <c r="B3916" t="s">
        <v>490</v>
      </c>
      <c r="C3916">
        <v>20</v>
      </c>
    </row>
    <row r="3917" spans="1:3" ht="15.75" customHeight="1" x14ac:dyDescent="0.2">
      <c r="A3917" t="s">
        <v>285</v>
      </c>
      <c r="B3917" t="s">
        <v>490</v>
      </c>
      <c r="C3917">
        <v>20</v>
      </c>
    </row>
    <row r="3918" spans="1:3" ht="15.75" customHeight="1" x14ac:dyDescent="0.2">
      <c r="A3918" t="s">
        <v>285</v>
      </c>
      <c r="B3918" t="s">
        <v>490</v>
      </c>
      <c r="C3918">
        <v>20</v>
      </c>
    </row>
    <row r="3919" spans="1:3" ht="15.75" customHeight="1" x14ac:dyDescent="0.2">
      <c r="A3919" t="s">
        <v>285</v>
      </c>
      <c r="B3919" t="s">
        <v>490</v>
      </c>
      <c r="C3919">
        <v>20</v>
      </c>
    </row>
    <row r="3920" spans="1:3" ht="15.75" customHeight="1" x14ac:dyDescent="0.2">
      <c r="A3920" t="s">
        <v>285</v>
      </c>
      <c r="B3920" t="s">
        <v>490</v>
      </c>
      <c r="C3920">
        <v>20</v>
      </c>
    </row>
    <row r="3921" spans="1:3" ht="15.75" customHeight="1" x14ac:dyDescent="0.2">
      <c r="A3921" t="s">
        <v>285</v>
      </c>
      <c r="B3921" t="s">
        <v>490</v>
      </c>
      <c r="C3921">
        <v>20</v>
      </c>
    </row>
    <row r="3922" spans="1:3" ht="15.75" customHeight="1" x14ac:dyDescent="0.2">
      <c r="A3922" t="s">
        <v>285</v>
      </c>
      <c r="B3922" t="s">
        <v>490</v>
      </c>
      <c r="C3922">
        <v>20</v>
      </c>
    </row>
    <row r="3923" spans="1:3" ht="15.75" customHeight="1" x14ac:dyDescent="0.2">
      <c r="A3923" t="s">
        <v>285</v>
      </c>
      <c r="B3923" t="s">
        <v>490</v>
      </c>
      <c r="C3923">
        <v>20</v>
      </c>
    </row>
    <row r="3924" spans="1:3" ht="15.75" customHeight="1" x14ac:dyDescent="0.2">
      <c r="A3924" t="s">
        <v>285</v>
      </c>
      <c r="B3924" t="s">
        <v>490</v>
      </c>
      <c r="C3924">
        <v>20</v>
      </c>
    </row>
    <row r="3925" spans="1:3" ht="15.75" customHeight="1" x14ac:dyDescent="0.2">
      <c r="A3925" t="s">
        <v>285</v>
      </c>
      <c r="B3925" t="s">
        <v>490</v>
      </c>
      <c r="C3925">
        <v>20</v>
      </c>
    </row>
    <row r="3926" spans="1:3" ht="15.75" customHeight="1" x14ac:dyDescent="0.2">
      <c r="A3926" t="s">
        <v>285</v>
      </c>
      <c r="B3926" t="s">
        <v>490</v>
      </c>
      <c r="C3926">
        <v>20</v>
      </c>
    </row>
    <row r="3927" spans="1:3" ht="15.75" customHeight="1" x14ac:dyDescent="0.2">
      <c r="A3927" t="s">
        <v>285</v>
      </c>
      <c r="B3927" t="s">
        <v>490</v>
      </c>
      <c r="C3927">
        <v>20</v>
      </c>
    </row>
    <row r="3928" spans="1:3" ht="15.75" customHeight="1" x14ac:dyDescent="0.2">
      <c r="A3928" t="s">
        <v>285</v>
      </c>
      <c r="B3928" t="s">
        <v>490</v>
      </c>
      <c r="C3928">
        <v>20</v>
      </c>
    </row>
    <row r="3929" spans="1:3" ht="15.75" customHeight="1" x14ac:dyDescent="0.2">
      <c r="A3929" t="s">
        <v>285</v>
      </c>
      <c r="B3929" t="s">
        <v>490</v>
      </c>
      <c r="C3929">
        <v>20</v>
      </c>
    </row>
    <row r="3930" spans="1:3" ht="15.75" customHeight="1" x14ac:dyDescent="0.2">
      <c r="A3930" t="s">
        <v>285</v>
      </c>
      <c r="B3930" t="s">
        <v>490</v>
      </c>
      <c r="C3930">
        <v>20</v>
      </c>
    </row>
    <row r="3931" spans="1:3" ht="15.75" customHeight="1" x14ac:dyDescent="0.2">
      <c r="A3931" t="s">
        <v>285</v>
      </c>
      <c r="B3931" t="s">
        <v>490</v>
      </c>
      <c r="C3931">
        <v>20</v>
      </c>
    </row>
    <row r="3932" spans="1:3" ht="15.75" customHeight="1" x14ac:dyDescent="0.2">
      <c r="A3932" t="s">
        <v>285</v>
      </c>
      <c r="B3932" t="s">
        <v>490</v>
      </c>
      <c r="C3932">
        <v>20</v>
      </c>
    </row>
    <row r="3933" spans="1:3" ht="15.75" customHeight="1" x14ac:dyDescent="0.2">
      <c r="A3933" t="s">
        <v>285</v>
      </c>
      <c r="B3933" t="s">
        <v>490</v>
      </c>
      <c r="C3933">
        <v>20</v>
      </c>
    </row>
    <row r="3934" spans="1:3" ht="15.75" customHeight="1" x14ac:dyDescent="0.2">
      <c r="A3934" t="s">
        <v>285</v>
      </c>
      <c r="B3934" t="s">
        <v>490</v>
      </c>
      <c r="C3934">
        <v>20</v>
      </c>
    </row>
    <row r="3935" spans="1:3" ht="15.75" customHeight="1" x14ac:dyDescent="0.2">
      <c r="A3935" t="s">
        <v>285</v>
      </c>
      <c r="B3935" t="s">
        <v>490</v>
      </c>
      <c r="C3935">
        <v>20</v>
      </c>
    </row>
    <row r="3936" spans="1:3" ht="15.75" customHeight="1" x14ac:dyDescent="0.2">
      <c r="A3936" t="s">
        <v>285</v>
      </c>
      <c r="B3936" t="s">
        <v>490</v>
      </c>
      <c r="C3936">
        <v>20</v>
      </c>
    </row>
    <row r="3937" spans="1:3" ht="15.75" customHeight="1" x14ac:dyDescent="0.2">
      <c r="A3937" t="s">
        <v>285</v>
      </c>
      <c r="B3937" t="s">
        <v>490</v>
      </c>
      <c r="C3937">
        <v>20</v>
      </c>
    </row>
    <row r="3938" spans="1:3" ht="15.75" customHeight="1" x14ac:dyDescent="0.2">
      <c r="A3938" t="s">
        <v>285</v>
      </c>
      <c r="B3938" t="s">
        <v>490</v>
      </c>
      <c r="C3938">
        <v>20</v>
      </c>
    </row>
    <row r="3939" spans="1:3" ht="15.75" customHeight="1" x14ac:dyDescent="0.2">
      <c r="A3939" t="s">
        <v>285</v>
      </c>
      <c r="B3939" t="s">
        <v>490</v>
      </c>
      <c r="C3939">
        <v>20</v>
      </c>
    </row>
    <row r="3940" spans="1:3" ht="15.75" customHeight="1" x14ac:dyDescent="0.2">
      <c r="A3940" t="s">
        <v>285</v>
      </c>
      <c r="B3940" t="s">
        <v>490</v>
      </c>
      <c r="C3940">
        <v>20</v>
      </c>
    </row>
    <row r="3941" spans="1:3" ht="15.75" customHeight="1" x14ac:dyDescent="0.2">
      <c r="A3941" t="s">
        <v>285</v>
      </c>
      <c r="B3941" t="s">
        <v>490</v>
      </c>
      <c r="C3941">
        <v>20</v>
      </c>
    </row>
    <row r="3942" spans="1:3" ht="15.75" customHeight="1" x14ac:dyDescent="0.2">
      <c r="A3942" t="s">
        <v>285</v>
      </c>
      <c r="B3942" t="s">
        <v>490</v>
      </c>
      <c r="C3942">
        <v>20</v>
      </c>
    </row>
    <row r="3943" spans="1:3" ht="15.75" customHeight="1" x14ac:dyDescent="0.2">
      <c r="A3943" t="s">
        <v>285</v>
      </c>
      <c r="B3943" t="s">
        <v>490</v>
      </c>
      <c r="C3943">
        <v>20</v>
      </c>
    </row>
    <row r="3944" spans="1:3" ht="15.75" customHeight="1" x14ac:dyDescent="0.2">
      <c r="A3944" t="s">
        <v>285</v>
      </c>
      <c r="B3944" t="s">
        <v>490</v>
      </c>
      <c r="C3944">
        <v>20</v>
      </c>
    </row>
    <row r="3945" spans="1:3" ht="15.75" customHeight="1" x14ac:dyDescent="0.2">
      <c r="A3945" t="s">
        <v>285</v>
      </c>
      <c r="B3945" t="s">
        <v>490</v>
      </c>
      <c r="C3945">
        <v>20</v>
      </c>
    </row>
    <row r="3946" spans="1:3" ht="15.75" customHeight="1" x14ac:dyDescent="0.2">
      <c r="A3946" t="s">
        <v>285</v>
      </c>
      <c r="B3946" t="s">
        <v>490</v>
      </c>
      <c r="C3946">
        <v>20</v>
      </c>
    </row>
    <row r="3947" spans="1:3" ht="15.75" customHeight="1" x14ac:dyDescent="0.2">
      <c r="A3947" t="s">
        <v>285</v>
      </c>
      <c r="B3947" t="s">
        <v>490</v>
      </c>
      <c r="C3947">
        <v>20</v>
      </c>
    </row>
    <row r="3948" spans="1:3" ht="15.75" customHeight="1" x14ac:dyDescent="0.2">
      <c r="A3948" t="s">
        <v>285</v>
      </c>
      <c r="B3948" t="s">
        <v>490</v>
      </c>
      <c r="C3948">
        <v>20</v>
      </c>
    </row>
    <row r="3949" spans="1:3" ht="15.75" customHeight="1" x14ac:dyDescent="0.2">
      <c r="A3949" t="s">
        <v>285</v>
      </c>
      <c r="B3949" t="s">
        <v>490</v>
      </c>
      <c r="C3949">
        <v>20</v>
      </c>
    </row>
    <row r="3950" spans="1:3" ht="15.75" customHeight="1" x14ac:dyDescent="0.2">
      <c r="A3950" t="s">
        <v>285</v>
      </c>
      <c r="B3950" t="s">
        <v>490</v>
      </c>
      <c r="C3950">
        <v>20</v>
      </c>
    </row>
    <row r="3951" spans="1:3" ht="15.75" customHeight="1" x14ac:dyDescent="0.2">
      <c r="A3951" t="s">
        <v>285</v>
      </c>
      <c r="B3951" t="s">
        <v>490</v>
      </c>
      <c r="C3951">
        <v>20</v>
      </c>
    </row>
    <row r="3952" spans="1:3" ht="15.75" customHeight="1" x14ac:dyDescent="0.2">
      <c r="A3952" t="s">
        <v>285</v>
      </c>
      <c r="B3952" t="s">
        <v>490</v>
      </c>
      <c r="C3952">
        <v>20</v>
      </c>
    </row>
    <row r="3953" spans="1:3" ht="15.75" customHeight="1" x14ac:dyDescent="0.2">
      <c r="A3953" t="s">
        <v>285</v>
      </c>
      <c r="B3953" t="s">
        <v>490</v>
      </c>
      <c r="C3953">
        <v>20</v>
      </c>
    </row>
    <row r="3954" spans="1:3" ht="15.75" customHeight="1" x14ac:dyDescent="0.2">
      <c r="A3954" t="s">
        <v>285</v>
      </c>
      <c r="B3954" t="s">
        <v>490</v>
      </c>
      <c r="C3954">
        <v>20</v>
      </c>
    </row>
    <row r="3955" spans="1:3" ht="15.75" customHeight="1" x14ac:dyDescent="0.2">
      <c r="A3955" t="s">
        <v>285</v>
      </c>
      <c r="B3955" t="s">
        <v>490</v>
      </c>
      <c r="C3955">
        <v>20</v>
      </c>
    </row>
    <row r="3956" spans="1:3" ht="15.75" customHeight="1" x14ac:dyDescent="0.2">
      <c r="A3956" t="s">
        <v>285</v>
      </c>
      <c r="B3956" t="s">
        <v>490</v>
      </c>
      <c r="C3956">
        <v>20</v>
      </c>
    </row>
    <row r="3957" spans="1:3" ht="15.75" customHeight="1" x14ac:dyDescent="0.2">
      <c r="A3957" t="s">
        <v>285</v>
      </c>
      <c r="B3957" t="s">
        <v>490</v>
      </c>
      <c r="C3957">
        <v>20</v>
      </c>
    </row>
    <row r="3958" spans="1:3" ht="15.75" customHeight="1" x14ac:dyDescent="0.2">
      <c r="A3958" t="s">
        <v>285</v>
      </c>
      <c r="B3958" t="s">
        <v>490</v>
      </c>
      <c r="C3958">
        <v>20</v>
      </c>
    </row>
    <row r="3959" spans="1:3" ht="15.75" customHeight="1" x14ac:dyDescent="0.2">
      <c r="A3959" t="s">
        <v>285</v>
      </c>
      <c r="B3959" t="s">
        <v>490</v>
      </c>
      <c r="C3959">
        <v>20</v>
      </c>
    </row>
    <row r="3960" spans="1:3" ht="15.75" customHeight="1" x14ac:dyDescent="0.2">
      <c r="A3960" t="s">
        <v>285</v>
      </c>
      <c r="B3960" t="s">
        <v>490</v>
      </c>
      <c r="C3960">
        <v>20</v>
      </c>
    </row>
    <row r="3961" spans="1:3" ht="15.75" customHeight="1" x14ac:dyDescent="0.2">
      <c r="A3961" t="s">
        <v>285</v>
      </c>
      <c r="B3961" t="s">
        <v>490</v>
      </c>
      <c r="C3961">
        <v>20</v>
      </c>
    </row>
    <row r="3962" spans="1:3" ht="15.75" customHeight="1" x14ac:dyDescent="0.2">
      <c r="A3962" t="s">
        <v>285</v>
      </c>
      <c r="B3962" t="s">
        <v>490</v>
      </c>
      <c r="C3962">
        <v>20</v>
      </c>
    </row>
    <row r="3963" spans="1:3" ht="15.75" customHeight="1" x14ac:dyDescent="0.2">
      <c r="A3963" t="s">
        <v>285</v>
      </c>
      <c r="B3963" t="s">
        <v>490</v>
      </c>
      <c r="C3963">
        <v>20</v>
      </c>
    </row>
    <row r="3964" spans="1:3" ht="15.75" customHeight="1" x14ac:dyDescent="0.2">
      <c r="A3964" t="s">
        <v>285</v>
      </c>
      <c r="B3964" t="s">
        <v>490</v>
      </c>
      <c r="C3964">
        <v>20</v>
      </c>
    </row>
    <row r="3965" spans="1:3" ht="15.75" customHeight="1" x14ac:dyDescent="0.2">
      <c r="A3965" t="s">
        <v>285</v>
      </c>
      <c r="B3965" t="s">
        <v>490</v>
      </c>
      <c r="C3965">
        <v>20</v>
      </c>
    </row>
    <row r="3966" spans="1:3" ht="15.75" customHeight="1" x14ac:dyDescent="0.2">
      <c r="A3966" t="s">
        <v>285</v>
      </c>
      <c r="B3966" t="s">
        <v>490</v>
      </c>
      <c r="C3966">
        <v>20</v>
      </c>
    </row>
    <row r="3967" spans="1:3" ht="15.75" customHeight="1" x14ac:dyDescent="0.2">
      <c r="A3967" t="s">
        <v>285</v>
      </c>
      <c r="B3967" t="s">
        <v>490</v>
      </c>
      <c r="C3967">
        <v>20</v>
      </c>
    </row>
    <row r="3968" spans="1:3" ht="15.75" customHeight="1" x14ac:dyDescent="0.2">
      <c r="A3968" t="s">
        <v>285</v>
      </c>
      <c r="B3968" t="s">
        <v>490</v>
      </c>
      <c r="C3968">
        <v>20</v>
      </c>
    </row>
    <row r="3969" spans="1:3" ht="15.75" customHeight="1" x14ac:dyDescent="0.2">
      <c r="A3969" t="s">
        <v>285</v>
      </c>
      <c r="B3969" t="s">
        <v>490</v>
      </c>
      <c r="C3969">
        <v>20</v>
      </c>
    </row>
    <row r="3970" spans="1:3" ht="15.75" customHeight="1" x14ac:dyDescent="0.2">
      <c r="A3970" t="s">
        <v>285</v>
      </c>
      <c r="B3970" t="s">
        <v>490</v>
      </c>
      <c r="C3970">
        <v>20</v>
      </c>
    </row>
    <row r="3971" spans="1:3" ht="15.75" customHeight="1" x14ac:dyDescent="0.2">
      <c r="A3971" t="s">
        <v>285</v>
      </c>
      <c r="B3971" t="s">
        <v>490</v>
      </c>
      <c r="C3971">
        <v>20</v>
      </c>
    </row>
    <row r="3972" spans="1:3" ht="15.75" customHeight="1" x14ac:dyDescent="0.2">
      <c r="A3972" t="s">
        <v>285</v>
      </c>
      <c r="B3972" t="s">
        <v>490</v>
      </c>
      <c r="C3972">
        <v>20</v>
      </c>
    </row>
    <row r="3973" spans="1:3" ht="15.75" customHeight="1" x14ac:dyDescent="0.2">
      <c r="A3973" t="s">
        <v>285</v>
      </c>
      <c r="B3973" t="s">
        <v>490</v>
      </c>
      <c r="C3973">
        <v>20</v>
      </c>
    </row>
    <row r="3974" spans="1:3" ht="15.75" customHeight="1" x14ac:dyDescent="0.2">
      <c r="A3974" t="s">
        <v>285</v>
      </c>
      <c r="B3974" t="s">
        <v>490</v>
      </c>
      <c r="C3974">
        <v>20</v>
      </c>
    </row>
    <row r="3975" spans="1:3" ht="15.75" customHeight="1" x14ac:dyDescent="0.2">
      <c r="A3975" t="s">
        <v>285</v>
      </c>
      <c r="B3975" t="s">
        <v>490</v>
      </c>
      <c r="C3975">
        <v>20</v>
      </c>
    </row>
    <row r="3976" spans="1:3" ht="15.75" customHeight="1" x14ac:dyDescent="0.2">
      <c r="A3976" t="s">
        <v>285</v>
      </c>
      <c r="B3976" t="s">
        <v>490</v>
      </c>
      <c r="C3976">
        <v>20</v>
      </c>
    </row>
    <row r="3977" spans="1:3" ht="15.75" customHeight="1" x14ac:dyDescent="0.2">
      <c r="A3977" t="s">
        <v>285</v>
      </c>
      <c r="B3977" t="s">
        <v>490</v>
      </c>
      <c r="C3977">
        <v>20</v>
      </c>
    </row>
    <row r="3978" spans="1:3" ht="15.75" customHeight="1" x14ac:dyDescent="0.2">
      <c r="A3978" t="s">
        <v>285</v>
      </c>
      <c r="B3978" t="s">
        <v>490</v>
      </c>
      <c r="C3978">
        <v>20</v>
      </c>
    </row>
    <row r="3979" spans="1:3" ht="15.75" customHeight="1" x14ac:dyDescent="0.2">
      <c r="A3979" t="s">
        <v>285</v>
      </c>
      <c r="B3979" t="s">
        <v>490</v>
      </c>
      <c r="C3979">
        <v>20</v>
      </c>
    </row>
    <row r="3980" spans="1:3" ht="15.75" customHeight="1" x14ac:dyDescent="0.2">
      <c r="A3980" t="s">
        <v>285</v>
      </c>
      <c r="B3980" t="s">
        <v>490</v>
      </c>
      <c r="C3980">
        <v>20</v>
      </c>
    </row>
    <row r="3981" spans="1:3" ht="15.75" customHeight="1" x14ac:dyDescent="0.2">
      <c r="A3981" t="s">
        <v>285</v>
      </c>
      <c r="B3981" t="s">
        <v>490</v>
      </c>
      <c r="C3981">
        <v>20</v>
      </c>
    </row>
    <row r="3982" spans="1:3" ht="15.75" customHeight="1" x14ac:dyDescent="0.2">
      <c r="A3982" t="s">
        <v>285</v>
      </c>
      <c r="B3982" t="s">
        <v>490</v>
      </c>
      <c r="C3982">
        <v>20</v>
      </c>
    </row>
    <row r="3983" spans="1:3" ht="15.75" customHeight="1" x14ac:dyDescent="0.2">
      <c r="A3983" t="s">
        <v>285</v>
      </c>
      <c r="B3983" t="s">
        <v>490</v>
      </c>
      <c r="C3983">
        <v>20</v>
      </c>
    </row>
    <row r="3984" spans="1:3" ht="15.75" customHeight="1" x14ac:dyDescent="0.2">
      <c r="A3984" t="s">
        <v>285</v>
      </c>
      <c r="B3984" t="s">
        <v>490</v>
      </c>
      <c r="C3984">
        <v>20</v>
      </c>
    </row>
    <row r="3985" spans="1:3" ht="15.75" customHeight="1" x14ac:dyDescent="0.2">
      <c r="A3985" t="s">
        <v>285</v>
      </c>
      <c r="B3985" t="s">
        <v>490</v>
      </c>
      <c r="C3985">
        <v>20</v>
      </c>
    </row>
    <row r="3986" spans="1:3" ht="15.75" customHeight="1" x14ac:dyDescent="0.2">
      <c r="A3986" t="s">
        <v>285</v>
      </c>
      <c r="B3986" t="s">
        <v>490</v>
      </c>
      <c r="C3986">
        <v>20</v>
      </c>
    </row>
    <row r="3987" spans="1:3" ht="15.75" customHeight="1" x14ac:dyDescent="0.2">
      <c r="A3987" t="s">
        <v>285</v>
      </c>
      <c r="B3987" t="s">
        <v>490</v>
      </c>
      <c r="C3987">
        <v>20</v>
      </c>
    </row>
    <row r="3988" spans="1:3" ht="15.75" customHeight="1" x14ac:dyDescent="0.2">
      <c r="A3988" t="s">
        <v>285</v>
      </c>
      <c r="B3988" t="s">
        <v>490</v>
      </c>
      <c r="C3988">
        <v>20</v>
      </c>
    </row>
    <row r="3989" spans="1:3" ht="15.75" customHeight="1" x14ac:dyDescent="0.2">
      <c r="A3989" t="s">
        <v>285</v>
      </c>
      <c r="B3989" t="s">
        <v>495</v>
      </c>
      <c r="C3989">
        <v>21</v>
      </c>
    </row>
    <row r="3990" spans="1:3" ht="15.75" customHeight="1" x14ac:dyDescent="0.2">
      <c r="A3990" t="s">
        <v>285</v>
      </c>
      <c r="B3990" t="s">
        <v>495</v>
      </c>
      <c r="C3990">
        <v>21</v>
      </c>
    </row>
    <row r="3991" spans="1:3" ht="15.75" customHeight="1" x14ac:dyDescent="0.2">
      <c r="A3991" t="s">
        <v>285</v>
      </c>
      <c r="B3991" t="s">
        <v>495</v>
      </c>
      <c r="C3991">
        <v>21</v>
      </c>
    </row>
    <row r="3992" spans="1:3" ht="15.75" customHeight="1" x14ac:dyDescent="0.2">
      <c r="A3992" t="s">
        <v>285</v>
      </c>
      <c r="B3992" t="s">
        <v>495</v>
      </c>
      <c r="C3992">
        <v>21</v>
      </c>
    </row>
    <row r="3993" spans="1:3" ht="15.75" customHeight="1" x14ac:dyDescent="0.2">
      <c r="A3993" t="s">
        <v>285</v>
      </c>
      <c r="B3993" t="s">
        <v>495</v>
      </c>
      <c r="C3993">
        <v>21</v>
      </c>
    </row>
    <row r="3994" spans="1:3" ht="15.75" customHeight="1" x14ac:dyDescent="0.2">
      <c r="A3994" t="s">
        <v>285</v>
      </c>
      <c r="B3994" t="s">
        <v>495</v>
      </c>
      <c r="C3994">
        <v>21</v>
      </c>
    </row>
    <row r="3995" spans="1:3" ht="15.75" customHeight="1" x14ac:dyDescent="0.2">
      <c r="A3995" t="s">
        <v>285</v>
      </c>
      <c r="B3995" t="s">
        <v>495</v>
      </c>
      <c r="C3995">
        <v>21</v>
      </c>
    </row>
    <row r="3996" spans="1:3" ht="15.75" customHeight="1" x14ac:dyDescent="0.2">
      <c r="A3996" t="s">
        <v>285</v>
      </c>
      <c r="B3996" t="s">
        <v>495</v>
      </c>
      <c r="C3996">
        <v>21</v>
      </c>
    </row>
    <row r="3997" spans="1:3" ht="15.75" customHeight="1" x14ac:dyDescent="0.2">
      <c r="A3997" t="s">
        <v>285</v>
      </c>
      <c r="B3997" t="s">
        <v>495</v>
      </c>
      <c r="C3997">
        <v>21</v>
      </c>
    </row>
    <row r="3998" spans="1:3" ht="15.75" customHeight="1" x14ac:dyDescent="0.2">
      <c r="A3998" t="s">
        <v>285</v>
      </c>
      <c r="B3998" t="s">
        <v>495</v>
      </c>
      <c r="C3998">
        <v>21</v>
      </c>
    </row>
    <row r="3999" spans="1:3" ht="15.75" customHeight="1" x14ac:dyDescent="0.2">
      <c r="A3999" t="s">
        <v>285</v>
      </c>
      <c r="B3999" t="s">
        <v>495</v>
      </c>
      <c r="C3999">
        <v>21</v>
      </c>
    </row>
    <row r="4000" spans="1:3" ht="15.75" customHeight="1" x14ac:dyDescent="0.2">
      <c r="A4000" t="s">
        <v>285</v>
      </c>
      <c r="B4000" t="s">
        <v>495</v>
      </c>
      <c r="C4000">
        <v>21</v>
      </c>
    </row>
    <row r="4001" spans="1:3" ht="15.75" customHeight="1" x14ac:dyDescent="0.2">
      <c r="A4001" t="s">
        <v>285</v>
      </c>
      <c r="B4001" t="s">
        <v>495</v>
      </c>
      <c r="C4001">
        <v>21</v>
      </c>
    </row>
    <row r="4002" spans="1:3" ht="15.75" customHeight="1" x14ac:dyDescent="0.2">
      <c r="A4002" t="s">
        <v>285</v>
      </c>
      <c r="B4002" t="s">
        <v>495</v>
      </c>
      <c r="C4002">
        <v>21</v>
      </c>
    </row>
    <row r="4003" spans="1:3" ht="15.75" customHeight="1" x14ac:dyDescent="0.2">
      <c r="A4003" t="s">
        <v>285</v>
      </c>
      <c r="B4003" t="s">
        <v>495</v>
      </c>
      <c r="C4003">
        <v>21</v>
      </c>
    </row>
    <row r="4004" spans="1:3" ht="15.75" customHeight="1" x14ac:dyDescent="0.2">
      <c r="A4004" t="s">
        <v>285</v>
      </c>
      <c r="B4004" t="s">
        <v>495</v>
      </c>
      <c r="C4004">
        <v>21</v>
      </c>
    </row>
    <row r="4005" spans="1:3" ht="15.75" customHeight="1" x14ac:dyDescent="0.2">
      <c r="A4005" t="s">
        <v>285</v>
      </c>
      <c r="B4005" t="s">
        <v>495</v>
      </c>
      <c r="C4005">
        <v>21</v>
      </c>
    </row>
    <row r="4006" spans="1:3" ht="15.75" customHeight="1" x14ac:dyDescent="0.2">
      <c r="A4006" t="s">
        <v>285</v>
      </c>
      <c r="B4006" t="s">
        <v>495</v>
      </c>
      <c r="C4006">
        <v>21</v>
      </c>
    </row>
    <row r="4007" spans="1:3" ht="15.75" customHeight="1" x14ac:dyDescent="0.2">
      <c r="A4007" t="s">
        <v>285</v>
      </c>
      <c r="B4007" t="s">
        <v>495</v>
      </c>
      <c r="C4007">
        <v>21</v>
      </c>
    </row>
    <row r="4008" spans="1:3" ht="15.75" customHeight="1" x14ac:dyDescent="0.2">
      <c r="A4008" t="s">
        <v>285</v>
      </c>
      <c r="B4008" t="s">
        <v>495</v>
      </c>
      <c r="C4008">
        <v>21</v>
      </c>
    </row>
    <row r="4009" spans="1:3" ht="15.75" customHeight="1" x14ac:dyDescent="0.2">
      <c r="A4009" t="s">
        <v>285</v>
      </c>
      <c r="B4009" t="s">
        <v>495</v>
      </c>
      <c r="C4009">
        <v>21</v>
      </c>
    </row>
    <row r="4010" spans="1:3" ht="15.75" customHeight="1" x14ac:dyDescent="0.2">
      <c r="A4010" t="s">
        <v>285</v>
      </c>
      <c r="B4010" t="s">
        <v>495</v>
      </c>
      <c r="C4010">
        <v>21</v>
      </c>
    </row>
    <row r="4011" spans="1:3" ht="15.75" customHeight="1" x14ac:dyDescent="0.2">
      <c r="A4011" t="s">
        <v>285</v>
      </c>
      <c r="B4011" t="s">
        <v>495</v>
      </c>
      <c r="C4011">
        <v>21</v>
      </c>
    </row>
    <row r="4012" spans="1:3" ht="15.75" customHeight="1" x14ac:dyDescent="0.2">
      <c r="A4012" t="s">
        <v>285</v>
      </c>
      <c r="B4012" t="s">
        <v>495</v>
      </c>
      <c r="C4012">
        <v>21</v>
      </c>
    </row>
    <row r="4013" spans="1:3" ht="15.75" customHeight="1" x14ac:dyDescent="0.2">
      <c r="A4013" t="s">
        <v>285</v>
      </c>
      <c r="B4013" t="s">
        <v>495</v>
      </c>
      <c r="C4013">
        <v>21</v>
      </c>
    </row>
    <row r="4014" spans="1:3" ht="15.75" customHeight="1" x14ac:dyDescent="0.2">
      <c r="A4014" t="s">
        <v>285</v>
      </c>
      <c r="B4014" t="s">
        <v>495</v>
      </c>
      <c r="C4014">
        <v>21</v>
      </c>
    </row>
    <row r="4015" spans="1:3" ht="15.75" customHeight="1" x14ac:dyDescent="0.2">
      <c r="A4015" t="s">
        <v>285</v>
      </c>
      <c r="B4015" t="s">
        <v>495</v>
      </c>
      <c r="C4015">
        <v>21</v>
      </c>
    </row>
    <row r="4016" spans="1:3" ht="15.75" customHeight="1" x14ac:dyDescent="0.2">
      <c r="A4016" t="s">
        <v>285</v>
      </c>
      <c r="B4016" t="s">
        <v>495</v>
      </c>
      <c r="C4016">
        <v>21</v>
      </c>
    </row>
    <row r="4017" spans="1:3" ht="15.75" customHeight="1" x14ac:dyDescent="0.2">
      <c r="A4017" t="s">
        <v>285</v>
      </c>
      <c r="B4017" t="s">
        <v>495</v>
      </c>
      <c r="C4017">
        <v>21</v>
      </c>
    </row>
    <row r="4018" spans="1:3" ht="15.75" customHeight="1" x14ac:dyDescent="0.2">
      <c r="A4018" t="s">
        <v>285</v>
      </c>
      <c r="B4018" t="s">
        <v>495</v>
      </c>
      <c r="C4018">
        <v>21</v>
      </c>
    </row>
    <row r="4019" spans="1:3" ht="15.75" customHeight="1" x14ac:dyDescent="0.2">
      <c r="A4019" t="s">
        <v>285</v>
      </c>
      <c r="B4019" t="s">
        <v>495</v>
      </c>
      <c r="C4019">
        <v>21</v>
      </c>
    </row>
    <row r="4020" spans="1:3" ht="15.75" customHeight="1" x14ac:dyDescent="0.2">
      <c r="A4020" t="s">
        <v>285</v>
      </c>
      <c r="B4020" t="s">
        <v>495</v>
      </c>
      <c r="C4020">
        <v>21</v>
      </c>
    </row>
    <row r="4021" spans="1:3" ht="15.75" customHeight="1" x14ac:dyDescent="0.2">
      <c r="A4021" t="s">
        <v>285</v>
      </c>
      <c r="B4021" t="s">
        <v>495</v>
      </c>
      <c r="C4021">
        <v>21</v>
      </c>
    </row>
    <row r="4022" spans="1:3" ht="15.75" customHeight="1" x14ac:dyDescent="0.2">
      <c r="A4022" t="s">
        <v>285</v>
      </c>
      <c r="B4022" t="s">
        <v>495</v>
      </c>
      <c r="C4022">
        <v>21</v>
      </c>
    </row>
    <row r="4023" spans="1:3" ht="15.75" customHeight="1" x14ac:dyDescent="0.2">
      <c r="A4023" t="s">
        <v>285</v>
      </c>
      <c r="B4023" t="s">
        <v>495</v>
      </c>
      <c r="C4023">
        <v>21</v>
      </c>
    </row>
    <row r="4024" spans="1:3" ht="15.75" customHeight="1" x14ac:dyDescent="0.2">
      <c r="A4024" t="s">
        <v>285</v>
      </c>
      <c r="B4024" t="s">
        <v>495</v>
      </c>
      <c r="C4024">
        <v>21</v>
      </c>
    </row>
    <row r="4025" spans="1:3" ht="15.75" customHeight="1" x14ac:dyDescent="0.2">
      <c r="A4025" t="s">
        <v>285</v>
      </c>
      <c r="B4025" t="s">
        <v>495</v>
      </c>
      <c r="C4025">
        <v>21</v>
      </c>
    </row>
    <row r="4026" spans="1:3" ht="15.75" customHeight="1" x14ac:dyDescent="0.2">
      <c r="A4026" t="s">
        <v>285</v>
      </c>
      <c r="B4026" t="s">
        <v>495</v>
      </c>
      <c r="C4026">
        <v>21</v>
      </c>
    </row>
    <row r="4027" spans="1:3" ht="15.75" customHeight="1" x14ac:dyDescent="0.2">
      <c r="A4027" t="s">
        <v>285</v>
      </c>
      <c r="B4027" t="s">
        <v>495</v>
      </c>
      <c r="C4027">
        <v>21</v>
      </c>
    </row>
    <row r="4028" spans="1:3" ht="15.75" customHeight="1" x14ac:dyDescent="0.2">
      <c r="A4028" t="s">
        <v>285</v>
      </c>
      <c r="B4028" t="s">
        <v>495</v>
      </c>
      <c r="C4028">
        <v>21</v>
      </c>
    </row>
    <row r="4029" spans="1:3" ht="15.75" customHeight="1" x14ac:dyDescent="0.2">
      <c r="A4029" t="s">
        <v>285</v>
      </c>
      <c r="B4029" t="s">
        <v>495</v>
      </c>
      <c r="C4029">
        <v>21</v>
      </c>
    </row>
    <row r="4030" spans="1:3" ht="15.75" customHeight="1" x14ac:dyDescent="0.2">
      <c r="A4030" t="s">
        <v>285</v>
      </c>
      <c r="B4030" t="s">
        <v>495</v>
      </c>
      <c r="C4030">
        <v>21</v>
      </c>
    </row>
    <row r="4031" spans="1:3" ht="15.75" customHeight="1" x14ac:dyDescent="0.2">
      <c r="A4031" t="s">
        <v>285</v>
      </c>
      <c r="B4031" t="s">
        <v>495</v>
      </c>
      <c r="C4031">
        <v>21</v>
      </c>
    </row>
    <row r="4032" spans="1:3" ht="15.75" customHeight="1" x14ac:dyDescent="0.2">
      <c r="A4032" t="s">
        <v>285</v>
      </c>
      <c r="B4032" t="s">
        <v>495</v>
      </c>
      <c r="C4032">
        <v>21</v>
      </c>
    </row>
    <row r="4033" spans="1:3" ht="15.75" customHeight="1" x14ac:dyDescent="0.2">
      <c r="A4033" t="s">
        <v>285</v>
      </c>
      <c r="B4033" t="s">
        <v>495</v>
      </c>
      <c r="C4033">
        <v>21</v>
      </c>
    </row>
    <row r="4034" spans="1:3" ht="15.75" customHeight="1" x14ac:dyDescent="0.2">
      <c r="A4034" t="s">
        <v>285</v>
      </c>
      <c r="B4034" t="s">
        <v>495</v>
      </c>
      <c r="C4034">
        <v>21</v>
      </c>
    </row>
    <row r="4035" spans="1:3" ht="15.75" customHeight="1" x14ac:dyDescent="0.2">
      <c r="A4035" t="s">
        <v>285</v>
      </c>
      <c r="B4035" t="s">
        <v>495</v>
      </c>
      <c r="C4035">
        <v>21</v>
      </c>
    </row>
    <row r="4036" spans="1:3" ht="15.75" customHeight="1" x14ac:dyDescent="0.2">
      <c r="A4036" t="s">
        <v>285</v>
      </c>
      <c r="B4036" t="s">
        <v>495</v>
      </c>
      <c r="C4036">
        <v>21</v>
      </c>
    </row>
    <row r="4037" spans="1:3" ht="15.75" customHeight="1" x14ac:dyDescent="0.2">
      <c r="A4037" t="s">
        <v>285</v>
      </c>
      <c r="B4037" t="s">
        <v>495</v>
      </c>
      <c r="C4037">
        <v>21</v>
      </c>
    </row>
    <row r="4038" spans="1:3" ht="15.75" customHeight="1" x14ac:dyDescent="0.2">
      <c r="A4038" t="s">
        <v>285</v>
      </c>
      <c r="B4038" t="s">
        <v>495</v>
      </c>
      <c r="C4038">
        <v>21</v>
      </c>
    </row>
    <row r="4039" spans="1:3" ht="15.75" customHeight="1" x14ac:dyDescent="0.2">
      <c r="A4039" t="s">
        <v>285</v>
      </c>
      <c r="B4039" t="s">
        <v>495</v>
      </c>
      <c r="C4039">
        <v>21</v>
      </c>
    </row>
    <row r="4040" spans="1:3" ht="15.75" customHeight="1" x14ac:dyDescent="0.2">
      <c r="A4040" t="s">
        <v>285</v>
      </c>
      <c r="B4040" t="s">
        <v>495</v>
      </c>
      <c r="C4040">
        <v>21</v>
      </c>
    </row>
    <row r="4041" spans="1:3" ht="15.75" customHeight="1" x14ac:dyDescent="0.2">
      <c r="A4041" t="s">
        <v>285</v>
      </c>
      <c r="B4041" t="s">
        <v>495</v>
      </c>
      <c r="C4041">
        <v>21</v>
      </c>
    </row>
    <row r="4042" spans="1:3" ht="15.75" customHeight="1" x14ac:dyDescent="0.2">
      <c r="A4042" t="s">
        <v>285</v>
      </c>
      <c r="B4042" t="s">
        <v>495</v>
      </c>
      <c r="C4042">
        <v>21</v>
      </c>
    </row>
    <row r="4043" spans="1:3" ht="15.75" customHeight="1" x14ac:dyDescent="0.2">
      <c r="A4043" t="s">
        <v>285</v>
      </c>
      <c r="B4043" t="s">
        <v>495</v>
      </c>
      <c r="C4043">
        <v>21</v>
      </c>
    </row>
    <row r="4044" spans="1:3" ht="15.75" customHeight="1" x14ac:dyDescent="0.2">
      <c r="A4044" t="s">
        <v>285</v>
      </c>
      <c r="B4044" t="s">
        <v>495</v>
      </c>
      <c r="C4044">
        <v>21</v>
      </c>
    </row>
    <row r="4045" spans="1:3" ht="15.75" customHeight="1" x14ac:dyDescent="0.2">
      <c r="A4045" t="s">
        <v>285</v>
      </c>
      <c r="B4045" t="s">
        <v>495</v>
      </c>
      <c r="C4045">
        <v>21</v>
      </c>
    </row>
    <row r="4046" spans="1:3" ht="15.75" customHeight="1" x14ac:dyDescent="0.2">
      <c r="A4046" t="s">
        <v>285</v>
      </c>
      <c r="B4046" t="s">
        <v>495</v>
      </c>
      <c r="C4046">
        <v>21</v>
      </c>
    </row>
    <row r="4047" spans="1:3" ht="15.75" customHeight="1" x14ac:dyDescent="0.2">
      <c r="A4047" t="s">
        <v>285</v>
      </c>
      <c r="B4047" t="s">
        <v>495</v>
      </c>
      <c r="C4047">
        <v>21</v>
      </c>
    </row>
    <row r="4048" spans="1:3" ht="15.75" customHeight="1" x14ac:dyDescent="0.2">
      <c r="A4048" t="s">
        <v>285</v>
      </c>
      <c r="B4048" t="s">
        <v>495</v>
      </c>
      <c r="C4048">
        <v>21</v>
      </c>
    </row>
    <row r="4049" spans="1:3" ht="15.75" customHeight="1" x14ac:dyDescent="0.2">
      <c r="A4049" t="s">
        <v>285</v>
      </c>
      <c r="B4049" t="s">
        <v>495</v>
      </c>
      <c r="C4049">
        <v>21</v>
      </c>
    </row>
    <row r="4050" spans="1:3" ht="15.75" customHeight="1" x14ac:dyDescent="0.2">
      <c r="A4050" t="s">
        <v>285</v>
      </c>
      <c r="B4050" t="s">
        <v>495</v>
      </c>
      <c r="C4050">
        <v>21</v>
      </c>
    </row>
    <row r="4051" spans="1:3" ht="15.75" customHeight="1" x14ac:dyDescent="0.2">
      <c r="A4051" t="s">
        <v>285</v>
      </c>
      <c r="B4051" t="s">
        <v>495</v>
      </c>
      <c r="C4051">
        <v>21</v>
      </c>
    </row>
    <row r="4052" spans="1:3" ht="15.75" customHeight="1" x14ac:dyDescent="0.2">
      <c r="A4052" t="s">
        <v>285</v>
      </c>
      <c r="B4052" t="s">
        <v>495</v>
      </c>
      <c r="C4052">
        <v>21</v>
      </c>
    </row>
    <row r="4053" spans="1:3" ht="15.75" customHeight="1" x14ac:dyDescent="0.2">
      <c r="A4053" t="s">
        <v>285</v>
      </c>
      <c r="B4053" t="s">
        <v>495</v>
      </c>
      <c r="C4053">
        <v>21</v>
      </c>
    </row>
    <row r="4054" spans="1:3" ht="15.75" customHeight="1" x14ac:dyDescent="0.2">
      <c r="A4054" t="s">
        <v>285</v>
      </c>
      <c r="B4054" t="s">
        <v>495</v>
      </c>
      <c r="C4054">
        <v>21</v>
      </c>
    </row>
    <row r="4055" spans="1:3" ht="15.75" customHeight="1" x14ac:dyDescent="0.2">
      <c r="A4055" t="s">
        <v>285</v>
      </c>
      <c r="B4055" t="s">
        <v>495</v>
      </c>
      <c r="C4055">
        <v>21</v>
      </c>
    </row>
    <row r="4056" spans="1:3" ht="15.75" customHeight="1" x14ac:dyDescent="0.2">
      <c r="A4056" t="s">
        <v>285</v>
      </c>
      <c r="B4056" t="s">
        <v>495</v>
      </c>
      <c r="C4056">
        <v>21</v>
      </c>
    </row>
    <row r="4057" spans="1:3" ht="15.75" customHeight="1" x14ac:dyDescent="0.2">
      <c r="A4057" t="s">
        <v>285</v>
      </c>
      <c r="B4057" t="s">
        <v>495</v>
      </c>
      <c r="C4057">
        <v>21</v>
      </c>
    </row>
    <row r="4058" spans="1:3" ht="15.75" customHeight="1" x14ac:dyDescent="0.2">
      <c r="A4058" t="s">
        <v>285</v>
      </c>
      <c r="B4058" t="s">
        <v>495</v>
      </c>
      <c r="C4058">
        <v>21</v>
      </c>
    </row>
    <row r="4059" spans="1:3" ht="15.75" customHeight="1" x14ac:dyDescent="0.2">
      <c r="A4059" t="s">
        <v>285</v>
      </c>
      <c r="B4059" t="s">
        <v>495</v>
      </c>
      <c r="C4059">
        <v>21</v>
      </c>
    </row>
    <row r="4060" spans="1:3" ht="15.75" customHeight="1" x14ac:dyDescent="0.2">
      <c r="A4060" t="s">
        <v>285</v>
      </c>
      <c r="B4060" t="s">
        <v>495</v>
      </c>
      <c r="C4060">
        <v>21</v>
      </c>
    </row>
    <row r="4061" spans="1:3" ht="15.75" customHeight="1" x14ac:dyDescent="0.2">
      <c r="A4061" t="s">
        <v>285</v>
      </c>
      <c r="B4061" t="s">
        <v>495</v>
      </c>
      <c r="C4061">
        <v>21</v>
      </c>
    </row>
    <row r="4062" spans="1:3" ht="15.75" customHeight="1" x14ac:dyDescent="0.2">
      <c r="A4062" t="s">
        <v>285</v>
      </c>
      <c r="B4062" t="s">
        <v>495</v>
      </c>
      <c r="C4062">
        <v>21</v>
      </c>
    </row>
    <row r="4063" spans="1:3" ht="15.75" customHeight="1" x14ac:dyDescent="0.2">
      <c r="A4063" t="s">
        <v>285</v>
      </c>
      <c r="B4063" t="s">
        <v>495</v>
      </c>
      <c r="C4063">
        <v>21</v>
      </c>
    </row>
    <row r="4064" spans="1:3" ht="15.75" customHeight="1" x14ac:dyDescent="0.2">
      <c r="A4064" t="s">
        <v>285</v>
      </c>
      <c r="B4064" t="s">
        <v>495</v>
      </c>
      <c r="C4064">
        <v>21</v>
      </c>
    </row>
    <row r="4065" spans="1:3" ht="15.75" customHeight="1" x14ac:dyDescent="0.2">
      <c r="A4065" t="s">
        <v>285</v>
      </c>
      <c r="B4065" t="s">
        <v>495</v>
      </c>
      <c r="C4065">
        <v>21</v>
      </c>
    </row>
    <row r="4066" spans="1:3" ht="15.75" customHeight="1" x14ac:dyDescent="0.2">
      <c r="A4066" t="s">
        <v>285</v>
      </c>
      <c r="B4066" t="s">
        <v>495</v>
      </c>
      <c r="C4066">
        <v>21</v>
      </c>
    </row>
    <row r="4067" spans="1:3" ht="15.75" customHeight="1" x14ac:dyDescent="0.2">
      <c r="A4067" t="s">
        <v>285</v>
      </c>
      <c r="B4067" t="s">
        <v>495</v>
      </c>
      <c r="C4067">
        <v>21</v>
      </c>
    </row>
    <row r="4068" spans="1:3" ht="15.75" customHeight="1" x14ac:dyDescent="0.2">
      <c r="A4068" t="s">
        <v>285</v>
      </c>
      <c r="B4068" t="s">
        <v>495</v>
      </c>
      <c r="C4068">
        <v>21</v>
      </c>
    </row>
    <row r="4069" spans="1:3" ht="15.75" customHeight="1" x14ac:dyDescent="0.2">
      <c r="A4069" t="s">
        <v>285</v>
      </c>
      <c r="B4069" t="s">
        <v>495</v>
      </c>
      <c r="C4069">
        <v>21</v>
      </c>
    </row>
    <row r="4070" spans="1:3" ht="15.75" customHeight="1" x14ac:dyDescent="0.2">
      <c r="A4070" t="s">
        <v>285</v>
      </c>
      <c r="B4070" t="s">
        <v>495</v>
      </c>
      <c r="C4070">
        <v>21</v>
      </c>
    </row>
    <row r="4071" spans="1:3" ht="15.75" customHeight="1" x14ac:dyDescent="0.2">
      <c r="A4071" t="s">
        <v>285</v>
      </c>
      <c r="B4071" t="s">
        <v>495</v>
      </c>
      <c r="C4071">
        <v>21</v>
      </c>
    </row>
    <row r="4072" spans="1:3" ht="15.75" customHeight="1" x14ac:dyDescent="0.2">
      <c r="A4072" t="s">
        <v>285</v>
      </c>
      <c r="B4072" t="s">
        <v>495</v>
      </c>
      <c r="C4072">
        <v>21</v>
      </c>
    </row>
    <row r="4073" spans="1:3" ht="15.75" customHeight="1" x14ac:dyDescent="0.2">
      <c r="A4073" t="s">
        <v>285</v>
      </c>
      <c r="B4073" t="s">
        <v>495</v>
      </c>
      <c r="C4073">
        <v>21</v>
      </c>
    </row>
    <row r="4074" spans="1:3" ht="15.75" customHeight="1" x14ac:dyDescent="0.2">
      <c r="A4074" t="s">
        <v>285</v>
      </c>
      <c r="B4074" t="s">
        <v>495</v>
      </c>
      <c r="C4074">
        <v>21</v>
      </c>
    </row>
    <row r="4075" spans="1:3" ht="15.75" customHeight="1" x14ac:dyDescent="0.2">
      <c r="A4075" t="s">
        <v>285</v>
      </c>
      <c r="B4075" t="s">
        <v>495</v>
      </c>
      <c r="C4075">
        <v>21</v>
      </c>
    </row>
    <row r="4076" spans="1:3" ht="15.75" customHeight="1" x14ac:dyDescent="0.2">
      <c r="A4076" t="s">
        <v>285</v>
      </c>
      <c r="B4076" t="s">
        <v>495</v>
      </c>
      <c r="C4076">
        <v>21</v>
      </c>
    </row>
    <row r="4077" spans="1:3" ht="15.75" customHeight="1" x14ac:dyDescent="0.2">
      <c r="A4077" t="s">
        <v>285</v>
      </c>
      <c r="B4077" t="s">
        <v>495</v>
      </c>
      <c r="C4077">
        <v>21</v>
      </c>
    </row>
    <row r="4078" spans="1:3" ht="15.75" customHeight="1" x14ac:dyDescent="0.2">
      <c r="A4078" t="s">
        <v>285</v>
      </c>
      <c r="B4078" t="s">
        <v>495</v>
      </c>
      <c r="C4078">
        <v>21</v>
      </c>
    </row>
    <row r="4079" spans="1:3" ht="15.75" customHeight="1" x14ac:dyDescent="0.2">
      <c r="A4079" t="s">
        <v>285</v>
      </c>
      <c r="B4079" t="s">
        <v>495</v>
      </c>
      <c r="C4079">
        <v>21</v>
      </c>
    </row>
    <row r="4080" spans="1:3" ht="15.75" customHeight="1" x14ac:dyDescent="0.2">
      <c r="A4080" t="s">
        <v>285</v>
      </c>
      <c r="B4080" t="s">
        <v>495</v>
      </c>
      <c r="C4080">
        <v>21</v>
      </c>
    </row>
    <row r="4081" spans="1:3" ht="15.75" customHeight="1" x14ac:dyDescent="0.2">
      <c r="A4081" t="s">
        <v>285</v>
      </c>
      <c r="B4081" t="s">
        <v>495</v>
      </c>
      <c r="C4081">
        <v>21</v>
      </c>
    </row>
    <row r="4082" spans="1:3" ht="15.75" customHeight="1" x14ac:dyDescent="0.2">
      <c r="A4082" t="s">
        <v>285</v>
      </c>
      <c r="B4082" t="s">
        <v>495</v>
      </c>
      <c r="C4082">
        <v>21</v>
      </c>
    </row>
    <row r="4083" spans="1:3" ht="15.75" customHeight="1" x14ac:dyDescent="0.2">
      <c r="A4083" t="s">
        <v>285</v>
      </c>
      <c r="B4083" t="s">
        <v>495</v>
      </c>
      <c r="C4083">
        <v>21</v>
      </c>
    </row>
    <row r="4084" spans="1:3" ht="15.75" customHeight="1" x14ac:dyDescent="0.2">
      <c r="A4084" t="s">
        <v>285</v>
      </c>
      <c r="B4084" t="s">
        <v>495</v>
      </c>
      <c r="C4084">
        <v>21</v>
      </c>
    </row>
    <row r="4085" spans="1:3" ht="15.75" customHeight="1" x14ac:dyDescent="0.2">
      <c r="A4085" t="s">
        <v>285</v>
      </c>
      <c r="B4085" t="s">
        <v>495</v>
      </c>
      <c r="C4085">
        <v>21</v>
      </c>
    </row>
    <row r="4086" spans="1:3" ht="15.75" customHeight="1" x14ac:dyDescent="0.2">
      <c r="A4086" t="s">
        <v>285</v>
      </c>
      <c r="B4086" t="s">
        <v>495</v>
      </c>
      <c r="C4086">
        <v>21</v>
      </c>
    </row>
    <row r="4087" spans="1:3" ht="15.75" customHeight="1" x14ac:dyDescent="0.2">
      <c r="A4087" t="s">
        <v>285</v>
      </c>
      <c r="B4087" t="s">
        <v>495</v>
      </c>
      <c r="C4087">
        <v>21</v>
      </c>
    </row>
    <row r="4088" spans="1:3" ht="15.75" customHeight="1" x14ac:dyDescent="0.2">
      <c r="A4088" t="s">
        <v>285</v>
      </c>
      <c r="B4088" t="s">
        <v>495</v>
      </c>
      <c r="C4088">
        <v>21</v>
      </c>
    </row>
    <row r="4089" spans="1:3" ht="15.75" customHeight="1" x14ac:dyDescent="0.2">
      <c r="A4089" t="s">
        <v>285</v>
      </c>
      <c r="B4089" t="s">
        <v>495</v>
      </c>
      <c r="C4089">
        <v>21</v>
      </c>
    </row>
    <row r="4090" spans="1:3" ht="15.75" customHeight="1" x14ac:dyDescent="0.2">
      <c r="A4090" t="s">
        <v>285</v>
      </c>
      <c r="B4090" t="s">
        <v>495</v>
      </c>
      <c r="C4090">
        <v>21</v>
      </c>
    </row>
    <row r="4091" spans="1:3" ht="15.75" customHeight="1" x14ac:dyDescent="0.2">
      <c r="A4091" t="s">
        <v>285</v>
      </c>
      <c r="B4091" t="s">
        <v>495</v>
      </c>
      <c r="C4091">
        <v>21</v>
      </c>
    </row>
    <row r="4092" spans="1:3" ht="15.75" customHeight="1" x14ac:dyDescent="0.2">
      <c r="A4092" t="s">
        <v>285</v>
      </c>
      <c r="B4092" t="s">
        <v>495</v>
      </c>
      <c r="C4092">
        <v>21</v>
      </c>
    </row>
    <row r="4093" spans="1:3" ht="15.75" customHeight="1" x14ac:dyDescent="0.2">
      <c r="A4093" t="s">
        <v>285</v>
      </c>
      <c r="B4093" t="s">
        <v>495</v>
      </c>
      <c r="C4093">
        <v>21</v>
      </c>
    </row>
    <row r="4094" spans="1:3" ht="15.75" customHeight="1" x14ac:dyDescent="0.2">
      <c r="A4094" t="s">
        <v>285</v>
      </c>
      <c r="B4094" t="s">
        <v>495</v>
      </c>
      <c r="C4094">
        <v>21</v>
      </c>
    </row>
    <row r="4095" spans="1:3" ht="15.75" customHeight="1" x14ac:dyDescent="0.2">
      <c r="A4095" t="s">
        <v>285</v>
      </c>
      <c r="B4095" t="s">
        <v>495</v>
      </c>
      <c r="C4095">
        <v>21</v>
      </c>
    </row>
    <row r="4096" spans="1:3" ht="15.75" customHeight="1" x14ac:dyDescent="0.2">
      <c r="A4096" t="s">
        <v>285</v>
      </c>
      <c r="B4096" t="s">
        <v>495</v>
      </c>
      <c r="C4096">
        <v>21</v>
      </c>
    </row>
    <row r="4097" spans="1:3" ht="15.75" customHeight="1" x14ac:dyDescent="0.2">
      <c r="A4097" t="s">
        <v>285</v>
      </c>
      <c r="B4097" t="s">
        <v>495</v>
      </c>
      <c r="C4097">
        <v>21</v>
      </c>
    </row>
    <row r="4098" spans="1:3" ht="15.75" customHeight="1" x14ac:dyDescent="0.2">
      <c r="A4098" t="s">
        <v>285</v>
      </c>
      <c r="B4098" t="s">
        <v>495</v>
      </c>
      <c r="C4098">
        <v>21</v>
      </c>
    </row>
    <row r="4099" spans="1:3" ht="15.75" customHeight="1" x14ac:dyDescent="0.2">
      <c r="A4099" t="s">
        <v>285</v>
      </c>
      <c r="B4099" t="s">
        <v>495</v>
      </c>
      <c r="C4099">
        <v>21</v>
      </c>
    </row>
    <row r="4100" spans="1:3" ht="15.75" customHeight="1" x14ac:dyDescent="0.2">
      <c r="A4100" t="s">
        <v>285</v>
      </c>
      <c r="B4100" t="s">
        <v>495</v>
      </c>
      <c r="C4100">
        <v>21</v>
      </c>
    </row>
    <row r="4101" spans="1:3" ht="15.75" customHeight="1" x14ac:dyDescent="0.2">
      <c r="A4101" t="s">
        <v>285</v>
      </c>
      <c r="B4101" t="s">
        <v>495</v>
      </c>
      <c r="C4101">
        <v>21</v>
      </c>
    </row>
    <row r="4102" spans="1:3" ht="15.75" customHeight="1" x14ac:dyDescent="0.2">
      <c r="A4102" t="s">
        <v>285</v>
      </c>
      <c r="B4102" t="s">
        <v>495</v>
      </c>
      <c r="C4102">
        <v>21</v>
      </c>
    </row>
    <row r="4103" spans="1:3" ht="15.75" customHeight="1" x14ac:dyDescent="0.2">
      <c r="A4103" t="s">
        <v>285</v>
      </c>
      <c r="B4103" t="s">
        <v>495</v>
      </c>
      <c r="C4103">
        <v>21</v>
      </c>
    </row>
    <row r="4104" spans="1:3" ht="15.75" customHeight="1" x14ac:dyDescent="0.2">
      <c r="A4104" t="s">
        <v>285</v>
      </c>
      <c r="B4104" t="s">
        <v>495</v>
      </c>
      <c r="C4104">
        <v>21</v>
      </c>
    </row>
    <row r="4105" spans="1:3" ht="15.75" customHeight="1" x14ac:dyDescent="0.2">
      <c r="A4105" t="s">
        <v>285</v>
      </c>
      <c r="B4105" t="s">
        <v>495</v>
      </c>
      <c r="C4105">
        <v>21</v>
      </c>
    </row>
    <row r="4106" spans="1:3" ht="15.75" customHeight="1" x14ac:dyDescent="0.2">
      <c r="A4106" t="s">
        <v>285</v>
      </c>
      <c r="B4106" t="s">
        <v>495</v>
      </c>
      <c r="C4106">
        <v>21</v>
      </c>
    </row>
    <row r="4107" spans="1:3" ht="15.75" customHeight="1" x14ac:dyDescent="0.2">
      <c r="A4107" t="s">
        <v>285</v>
      </c>
      <c r="B4107" t="s">
        <v>495</v>
      </c>
      <c r="C4107">
        <v>21</v>
      </c>
    </row>
    <row r="4108" spans="1:3" ht="15.75" customHeight="1" x14ac:dyDescent="0.2">
      <c r="A4108" t="s">
        <v>285</v>
      </c>
      <c r="B4108" t="s">
        <v>495</v>
      </c>
      <c r="C4108">
        <v>21</v>
      </c>
    </row>
    <row r="4109" spans="1:3" ht="15.75" customHeight="1" x14ac:dyDescent="0.2">
      <c r="A4109" t="s">
        <v>285</v>
      </c>
      <c r="B4109" t="s">
        <v>495</v>
      </c>
      <c r="C4109">
        <v>21</v>
      </c>
    </row>
    <row r="4110" spans="1:3" ht="15.75" customHeight="1" x14ac:dyDescent="0.2">
      <c r="A4110" t="s">
        <v>285</v>
      </c>
      <c r="B4110" t="s">
        <v>495</v>
      </c>
      <c r="C4110">
        <v>21</v>
      </c>
    </row>
    <row r="4111" spans="1:3" ht="15.75" customHeight="1" x14ac:dyDescent="0.2">
      <c r="A4111" t="s">
        <v>285</v>
      </c>
      <c r="B4111" t="s">
        <v>495</v>
      </c>
      <c r="C4111">
        <v>21</v>
      </c>
    </row>
    <row r="4112" spans="1:3" ht="15.75" customHeight="1" x14ac:dyDescent="0.2">
      <c r="A4112" t="s">
        <v>285</v>
      </c>
      <c r="B4112" t="s">
        <v>495</v>
      </c>
      <c r="C4112">
        <v>21</v>
      </c>
    </row>
    <row r="4113" spans="1:3" ht="15.75" customHeight="1" x14ac:dyDescent="0.2">
      <c r="A4113" t="s">
        <v>285</v>
      </c>
      <c r="B4113" t="s">
        <v>495</v>
      </c>
      <c r="C4113">
        <v>21</v>
      </c>
    </row>
    <row r="4114" spans="1:3" ht="15.75" customHeight="1" x14ac:dyDescent="0.2">
      <c r="A4114" t="s">
        <v>285</v>
      </c>
      <c r="B4114" t="s">
        <v>495</v>
      </c>
      <c r="C4114">
        <v>21</v>
      </c>
    </row>
    <row r="4115" spans="1:3" ht="15.75" customHeight="1" x14ac:dyDescent="0.2">
      <c r="A4115" t="s">
        <v>285</v>
      </c>
      <c r="B4115" t="s">
        <v>495</v>
      </c>
      <c r="C4115">
        <v>21</v>
      </c>
    </row>
    <row r="4116" spans="1:3" ht="15.75" customHeight="1" x14ac:dyDescent="0.2">
      <c r="A4116" t="s">
        <v>285</v>
      </c>
      <c r="B4116" t="s">
        <v>495</v>
      </c>
      <c r="C4116">
        <v>21</v>
      </c>
    </row>
    <row r="4117" spans="1:3" ht="15.75" customHeight="1" x14ac:dyDescent="0.2">
      <c r="A4117" t="s">
        <v>285</v>
      </c>
      <c r="B4117" t="s">
        <v>495</v>
      </c>
      <c r="C4117">
        <v>21</v>
      </c>
    </row>
    <row r="4118" spans="1:3" ht="15.75" customHeight="1" x14ac:dyDescent="0.2">
      <c r="A4118" t="s">
        <v>285</v>
      </c>
      <c r="B4118" t="s">
        <v>495</v>
      </c>
      <c r="C4118">
        <v>21</v>
      </c>
    </row>
    <row r="4119" spans="1:3" ht="15.75" customHeight="1" x14ac:dyDescent="0.2">
      <c r="A4119" t="s">
        <v>285</v>
      </c>
      <c r="B4119" t="s">
        <v>495</v>
      </c>
      <c r="C4119">
        <v>21</v>
      </c>
    </row>
    <row r="4120" spans="1:3" ht="15.75" customHeight="1" x14ac:dyDescent="0.2">
      <c r="A4120" t="s">
        <v>285</v>
      </c>
      <c r="B4120" t="s">
        <v>495</v>
      </c>
      <c r="C4120">
        <v>21</v>
      </c>
    </row>
    <row r="4121" spans="1:3" ht="15.75" customHeight="1" x14ac:dyDescent="0.2">
      <c r="A4121" t="s">
        <v>285</v>
      </c>
      <c r="B4121" t="s">
        <v>495</v>
      </c>
      <c r="C4121">
        <v>21</v>
      </c>
    </row>
    <row r="4122" spans="1:3" ht="15.75" customHeight="1" x14ac:dyDescent="0.2">
      <c r="A4122" t="s">
        <v>285</v>
      </c>
      <c r="B4122" t="s">
        <v>495</v>
      </c>
      <c r="C4122">
        <v>21</v>
      </c>
    </row>
    <row r="4123" spans="1:3" ht="15.75" customHeight="1" x14ac:dyDescent="0.2">
      <c r="A4123" t="s">
        <v>285</v>
      </c>
      <c r="B4123" t="s">
        <v>495</v>
      </c>
      <c r="C4123">
        <v>21</v>
      </c>
    </row>
    <row r="4124" spans="1:3" ht="15.75" customHeight="1" x14ac:dyDescent="0.2">
      <c r="A4124" t="s">
        <v>285</v>
      </c>
      <c r="B4124" t="s">
        <v>495</v>
      </c>
      <c r="C4124">
        <v>21</v>
      </c>
    </row>
    <row r="4125" spans="1:3" ht="15.75" customHeight="1" x14ac:dyDescent="0.2">
      <c r="A4125" t="s">
        <v>285</v>
      </c>
      <c r="B4125" t="s">
        <v>495</v>
      </c>
      <c r="C4125">
        <v>21</v>
      </c>
    </row>
    <row r="4126" spans="1:3" ht="15.75" customHeight="1" x14ac:dyDescent="0.2">
      <c r="A4126" t="s">
        <v>285</v>
      </c>
      <c r="B4126" t="s">
        <v>495</v>
      </c>
      <c r="C4126">
        <v>21</v>
      </c>
    </row>
    <row r="4127" spans="1:3" ht="15.75" customHeight="1" x14ac:dyDescent="0.2">
      <c r="A4127" t="s">
        <v>285</v>
      </c>
      <c r="B4127" t="s">
        <v>495</v>
      </c>
      <c r="C4127">
        <v>21</v>
      </c>
    </row>
    <row r="4128" spans="1:3" ht="15.75" customHeight="1" x14ac:dyDescent="0.2">
      <c r="A4128" t="s">
        <v>285</v>
      </c>
      <c r="B4128" t="s">
        <v>495</v>
      </c>
      <c r="C4128">
        <v>21</v>
      </c>
    </row>
    <row r="4129" spans="1:3" ht="15.75" customHeight="1" x14ac:dyDescent="0.2">
      <c r="A4129" t="s">
        <v>285</v>
      </c>
      <c r="B4129" t="s">
        <v>495</v>
      </c>
      <c r="C4129">
        <v>21</v>
      </c>
    </row>
    <row r="4130" spans="1:3" ht="15.75" customHeight="1" x14ac:dyDescent="0.2">
      <c r="A4130" t="s">
        <v>285</v>
      </c>
      <c r="B4130" t="s">
        <v>495</v>
      </c>
      <c r="C4130">
        <v>21</v>
      </c>
    </row>
    <row r="4131" spans="1:3" ht="15.75" customHeight="1" x14ac:dyDescent="0.2">
      <c r="A4131" t="s">
        <v>285</v>
      </c>
      <c r="B4131" t="s">
        <v>495</v>
      </c>
      <c r="C4131">
        <v>21</v>
      </c>
    </row>
    <row r="4132" spans="1:3" ht="15.75" customHeight="1" x14ac:dyDescent="0.2">
      <c r="A4132" t="s">
        <v>285</v>
      </c>
      <c r="B4132" t="s">
        <v>495</v>
      </c>
      <c r="C4132">
        <v>21</v>
      </c>
    </row>
    <row r="4133" spans="1:3" ht="15.75" customHeight="1" x14ac:dyDescent="0.2">
      <c r="A4133" t="s">
        <v>285</v>
      </c>
      <c r="B4133" t="s">
        <v>495</v>
      </c>
      <c r="C4133">
        <v>21</v>
      </c>
    </row>
    <row r="4134" spans="1:3" ht="15.75" customHeight="1" x14ac:dyDescent="0.2">
      <c r="A4134" t="s">
        <v>285</v>
      </c>
      <c r="B4134" t="s">
        <v>495</v>
      </c>
      <c r="C4134">
        <v>21</v>
      </c>
    </row>
    <row r="4135" spans="1:3" ht="15.75" customHeight="1" x14ac:dyDescent="0.2">
      <c r="A4135" t="s">
        <v>285</v>
      </c>
      <c r="B4135" t="s">
        <v>495</v>
      </c>
      <c r="C4135">
        <v>21</v>
      </c>
    </row>
    <row r="4136" spans="1:3" ht="15.75" customHeight="1" x14ac:dyDescent="0.2">
      <c r="A4136" t="s">
        <v>285</v>
      </c>
      <c r="B4136" t="s">
        <v>495</v>
      </c>
      <c r="C4136">
        <v>21</v>
      </c>
    </row>
    <row r="4137" spans="1:3" ht="15.75" customHeight="1" x14ac:dyDescent="0.2">
      <c r="A4137" t="s">
        <v>285</v>
      </c>
      <c r="B4137" t="s">
        <v>495</v>
      </c>
      <c r="C4137">
        <v>21</v>
      </c>
    </row>
    <row r="4138" spans="1:3" ht="15.75" customHeight="1" x14ac:dyDescent="0.2">
      <c r="A4138" t="s">
        <v>285</v>
      </c>
      <c r="B4138" t="s">
        <v>495</v>
      </c>
      <c r="C4138">
        <v>21</v>
      </c>
    </row>
    <row r="4139" spans="1:3" ht="15.75" customHeight="1" x14ac:dyDescent="0.2">
      <c r="A4139" t="s">
        <v>285</v>
      </c>
      <c r="B4139" t="s">
        <v>495</v>
      </c>
      <c r="C4139">
        <v>21</v>
      </c>
    </row>
    <row r="4140" spans="1:3" ht="15.75" customHeight="1" x14ac:dyDescent="0.2">
      <c r="A4140" t="s">
        <v>285</v>
      </c>
      <c r="B4140" t="s">
        <v>495</v>
      </c>
      <c r="C4140">
        <v>21</v>
      </c>
    </row>
    <row r="4141" spans="1:3" ht="15.75" customHeight="1" x14ac:dyDescent="0.2">
      <c r="A4141" t="s">
        <v>285</v>
      </c>
      <c r="B4141" t="s">
        <v>495</v>
      </c>
      <c r="C4141">
        <v>21</v>
      </c>
    </row>
    <row r="4142" spans="1:3" ht="15.75" customHeight="1" x14ac:dyDescent="0.2">
      <c r="A4142" t="s">
        <v>285</v>
      </c>
      <c r="B4142" t="s">
        <v>495</v>
      </c>
      <c r="C4142">
        <v>21</v>
      </c>
    </row>
    <row r="4143" spans="1:3" ht="15.75" customHeight="1" x14ac:dyDescent="0.2">
      <c r="A4143" t="s">
        <v>285</v>
      </c>
      <c r="B4143" t="s">
        <v>495</v>
      </c>
      <c r="C4143">
        <v>21</v>
      </c>
    </row>
    <row r="4144" spans="1:3" ht="15.75" customHeight="1" x14ac:dyDescent="0.2">
      <c r="A4144" t="s">
        <v>285</v>
      </c>
      <c r="B4144" t="s">
        <v>495</v>
      </c>
      <c r="C4144">
        <v>21</v>
      </c>
    </row>
    <row r="4145" spans="1:3" ht="15.75" customHeight="1" x14ac:dyDescent="0.2">
      <c r="A4145" t="s">
        <v>285</v>
      </c>
      <c r="B4145" t="s">
        <v>495</v>
      </c>
      <c r="C4145">
        <v>21</v>
      </c>
    </row>
    <row r="4146" spans="1:3" ht="15.75" customHeight="1" x14ac:dyDescent="0.2">
      <c r="A4146" t="s">
        <v>285</v>
      </c>
      <c r="B4146" t="s">
        <v>495</v>
      </c>
      <c r="C4146">
        <v>21</v>
      </c>
    </row>
    <row r="4147" spans="1:3" ht="15.75" customHeight="1" x14ac:dyDescent="0.2">
      <c r="A4147" t="s">
        <v>285</v>
      </c>
      <c r="B4147" t="s">
        <v>495</v>
      </c>
      <c r="C4147">
        <v>21</v>
      </c>
    </row>
    <row r="4148" spans="1:3" ht="15.75" customHeight="1" x14ac:dyDescent="0.2">
      <c r="A4148" t="s">
        <v>285</v>
      </c>
      <c r="B4148" t="s">
        <v>495</v>
      </c>
      <c r="C4148">
        <v>21</v>
      </c>
    </row>
    <row r="4149" spans="1:3" ht="15.75" customHeight="1" x14ac:dyDescent="0.2">
      <c r="A4149" t="s">
        <v>285</v>
      </c>
      <c r="B4149" t="s">
        <v>495</v>
      </c>
      <c r="C4149">
        <v>21</v>
      </c>
    </row>
    <row r="4150" spans="1:3" ht="15.75" customHeight="1" x14ac:dyDescent="0.2">
      <c r="A4150" t="s">
        <v>285</v>
      </c>
      <c r="B4150" t="s">
        <v>495</v>
      </c>
      <c r="C4150">
        <v>21</v>
      </c>
    </row>
    <row r="4151" spans="1:3" ht="15.75" customHeight="1" x14ac:dyDescent="0.2">
      <c r="A4151" t="s">
        <v>285</v>
      </c>
      <c r="B4151" t="s">
        <v>495</v>
      </c>
      <c r="C4151">
        <v>21</v>
      </c>
    </row>
    <row r="4152" spans="1:3" ht="15.75" customHeight="1" x14ac:dyDescent="0.2">
      <c r="A4152" t="s">
        <v>285</v>
      </c>
      <c r="B4152" t="s">
        <v>495</v>
      </c>
      <c r="C4152">
        <v>21</v>
      </c>
    </row>
    <row r="4153" spans="1:3" ht="15.75" customHeight="1" x14ac:dyDescent="0.2">
      <c r="A4153" t="s">
        <v>285</v>
      </c>
      <c r="B4153" t="s">
        <v>495</v>
      </c>
      <c r="C4153">
        <v>21</v>
      </c>
    </row>
    <row r="4154" spans="1:3" ht="15.75" customHeight="1" x14ac:dyDescent="0.2">
      <c r="A4154" t="s">
        <v>285</v>
      </c>
      <c r="B4154" t="s">
        <v>495</v>
      </c>
      <c r="C4154">
        <v>21</v>
      </c>
    </row>
    <row r="4155" spans="1:3" ht="15.75" customHeight="1" x14ac:dyDescent="0.2">
      <c r="A4155" t="s">
        <v>285</v>
      </c>
      <c r="B4155" t="s">
        <v>495</v>
      </c>
      <c r="C4155">
        <v>21</v>
      </c>
    </row>
    <row r="4156" spans="1:3" ht="15.75" customHeight="1" x14ac:dyDescent="0.2">
      <c r="A4156" t="s">
        <v>285</v>
      </c>
      <c r="B4156" t="s">
        <v>495</v>
      </c>
      <c r="C4156">
        <v>21</v>
      </c>
    </row>
    <row r="4157" spans="1:3" ht="15.75" customHeight="1" x14ac:dyDescent="0.2">
      <c r="A4157" t="s">
        <v>285</v>
      </c>
      <c r="B4157" t="s">
        <v>495</v>
      </c>
      <c r="C4157">
        <v>21</v>
      </c>
    </row>
    <row r="4158" spans="1:3" ht="15.75" customHeight="1" x14ac:dyDescent="0.2">
      <c r="A4158" t="s">
        <v>285</v>
      </c>
      <c r="B4158" t="s">
        <v>495</v>
      </c>
      <c r="C4158">
        <v>21</v>
      </c>
    </row>
    <row r="4159" spans="1:3" ht="15.75" customHeight="1" x14ac:dyDescent="0.2">
      <c r="A4159" t="s">
        <v>285</v>
      </c>
      <c r="B4159" t="s">
        <v>495</v>
      </c>
      <c r="C4159">
        <v>21</v>
      </c>
    </row>
    <row r="4160" spans="1:3" ht="15.75" customHeight="1" x14ac:dyDescent="0.2">
      <c r="A4160" t="s">
        <v>285</v>
      </c>
      <c r="B4160" t="s">
        <v>495</v>
      </c>
      <c r="C4160">
        <v>21</v>
      </c>
    </row>
    <row r="4161" spans="1:3" ht="15.75" customHeight="1" x14ac:dyDescent="0.2">
      <c r="A4161" t="s">
        <v>285</v>
      </c>
      <c r="B4161" t="s">
        <v>495</v>
      </c>
      <c r="C4161">
        <v>21</v>
      </c>
    </row>
    <row r="4162" spans="1:3" ht="15.75" customHeight="1" x14ac:dyDescent="0.2">
      <c r="A4162" t="s">
        <v>285</v>
      </c>
      <c r="B4162" t="s">
        <v>495</v>
      </c>
      <c r="C4162">
        <v>21</v>
      </c>
    </row>
    <row r="4163" spans="1:3" ht="15.75" customHeight="1" x14ac:dyDescent="0.2">
      <c r="A4163" t="s">
        <v>285</v>
      </c>
      <c r="B4163" t="s">
        <v>495</v>
      </c>
      <c r="C4163">
        <v>21</v>
      </c>
    </row>
    <row r="4164" spans="1:3" ht="15.75" customHeight="1" x14ac:dyDescent="0.2">
      <c r="A4164" t="s">
        <v>285</v>
      </c>
      <c r="B4164" t="s">
        <v>495</v>
      </c>
      <c r="C4164">
        <v>21</v>
      </c>
    </row>
    <row r="4165" spans="1:3" ht="15.75" customHeight="1" x14ac:dyDescent="0.2">
      <c r="A4165" t="s">
        <v>285</v>
      </c>
      <c r="B4165" t="s">
        <v>495</v>
      </c>
      <c r="C4165">
        <v>21</v>
      </c>
    </row>
    <row r="4166" spans="1:3" ht="15.75" customHeight="1" x14ac:dyDescent="0.2">
      <c r="A4166" t="s">
        <v>285</v>
      </c>
      <c r="B4166" t="s">
        <v>495</v>
      </c>
      <c r="C4166">
        <v>21</v>
      </c>
    </row>
    <row r="4167" spans="1:3" ht="15.75" customHeight="1" x14ac:dyDescent="0.2">
      <c r="A4167" t="s">
        <v>285</v>
      </c>
      <c r="B4167" t="s">
        <v>495</v>
      </c>
      <c r="C4167">
        <v>21</v>
      </c>
    </row>
    <row r="4168" spans="1:3" ht="15.75" customHeight="1" x14ac:dyDescent="0.2">
      <c r="A4168" t="s">
        <v>285</v>
      </c>
      <c r="B4168" t="s">
        <v>495</v>
      </c>
      <c r="C4168">
        <v>21</v>
      </c>
    </row>
    <row r="4169" spans="1:3" ht="15.75" customHeight="1" x14ac:dyDescent="0.2">
      <c r="A4169" t="s">
        <v>285</v>
      </c>
      <c r="B4169" t="s">
        <v>495</v>
      </c>
      <c r="C4169">
        <v>21</v>
      </c>
    </row>
    <row r="4170" spans="1:3" ht="15.75" customHeight="1" x14ac:dyDescent="0.2">
      <c r="A4170" t="s">
        <v>285</v>
      </c>
      <c r="B4170" t="s">
        <v>495</v>
      </c>
      <c r="C4170">
        <v>21</v>
      </c>
    </row>
    <row r="4171" spans="1:3" ht="15.75" customHeight="1" x14ac:dyDescent="0.2">
      <c r="A4171" t="s">
        <v>285</v>
      </c>
      <c r="B4171" t="s">
        <v>495</v>
      </c>
      <c r="C4171">
        <v>21</v>
      </c>
    </row>
    <row r="4172" spans="1:3" ht="15.75" customHeight="1" x14ac:dyDescent="0.2">
      <c r="A4172" t="s">
        <v>285</v>
      </c>
      <c r="B4172" t="s">
        <v>495</v>
      </c>
      <c r="C4172">
        <v>21</v>
      </c>
    </row>
    <row r="4173" spans="1:3" ht="15.75" customHeight="1" x14ac:dyDescent="0.2">
      <c r="A4173" t="s">
        <v>285</v>
      </c>
      <c r="B4173" t="s">
        <v>495</v>
      </c>
      <c r="C4173">
        <v>21</v>
      </c>
    </row>
    <row r="4174" spans="1:3" ht="15.75" customHeight="1" x14ac:dyDescent="0.2">
      <c r="A4174" t="s">
        <v>285</v>
      </c>
      <c r="B4174" t="s">
        <v>495</v>
      </c>
      <c r="C4174">
        <v>21</v>
      </c>
    </row>
    <row r="4175" spans="1:3" ht="15.75" customHeight="1" x14ac:dyDescent="0.2">
      <c r="A4175" t="s">
        <v>285</v>
      </c>
      <c r="B4175" t="s">
        <v>495</v>
      </c>
      <c r="C4175">
        <v>21</v>
      </c>
    </row>
    <row r="4176" spans="1:3" ht="15.75" customHeight="1" x14ac:dyDescent="0.2">
      <c r="A4176" t="s">
        <v>285</v>
      </c>
      <c r="B4176" t="s">
        <v>495</v>
      </c>
      <c r="C4176">
        <v>21</v>
      </c>
    </row>
    <row r="4177" spans="1:3" ht="15.75" customHeight="1" x14ac:dyDescent="0.2">
      <c r="A4177" t="s">
        <v>285</v>
      </c>
      <c r="B4177" t="s">
        <v>495</v>
      </c>
      <c r="C4177">
        <v>21</v>
      </c>
    </row>
    <row r="4178" spans="1:3" ht="15.75" customHeight="1" x14ac:dyDescent="0.2">
      <c r="A4178" t="s">
        <v>285</v>
      </c>
      <c r="B4178" t="s">
        <v>495</v>
      </c>
      <c r="C4178">
        <v>21</v>
      </c>
    </row>
    <row r="4179" spans="1:3" ht="15.75" customHeight="1" x14ac:dyDescent="0.2">
      <c r="A4179" t="s">
        <v>285</v>
      </c>
      <c r="B4179" t="s">
        <v>495</v>
      </c>
      <c r="C4179">
        <v>21</v>
      </c>
    </row>
    <row r="4180" spans="1:3" ht="15.75" customHeight="1" x14ac:dyDescent="0.2">
      <c r="A4180" t="s">
        <v>285</v>
      </c>
      <c r="B4180" t="s">
        <v>495</v>
      </c>
      <c r="C4180">
        <v>21</v>
      </c>
    </row>
    <row r="4181" spans="1:3" ht="15.75" customHeight="1" x14ac:dyDescent="0.2">
      <c r="A4181" t="s">
        <v>285</v>
      </c>
      <c r="B4181" t="s">
        <v>495</v>
      </c>
      <c r="C4181">
        <v>21</v>
      </c>
    </row>
    <row r="4182" spans="1:3" ht="15.75" customHeight="1" x14ac:dyDescent="0.2">
      <c r="A4182" t="s">
        <v>285</v>
      </c>
      <c r="B4182" t="s">
        <v>495</v>
      </c>
      <c r="C4182">
        <v>21</v>
      </c>
    </row>
    <row r="4183" spans="1:3" ht="15.75" customHeight="1" x14ac:dyDescent="0.2">
      <c r="A4183" t="s">
        <v>285</v>
      </c>
      <c r="B4183" t="s">
        <v>495</v>
      </c>
      <c r="C4183">
        <v>21</v>
      </c>
    </row>
    <row r="4184" spans="1:3" ht="15.75" customHeight="1" x14ac:dyDescent="0.2">
      <c r="A4184" t="s">
        <v>285</v>
      </c>
      <c r="B4184" t="s">
        <v>495</v>
      </c>
      <c r="C4184">
        <v>21</v>
      </c>
    </row>
    <row r="4185" spans="1:3" ht="15.75" customHeight="1" x14ac:dyDescent="0.2">
      <c r="A4185" t="s">
        <v>285</v>
      </c>
      <c r="B4185" t="s">
        <v>495</v>
      </c>
      <c r="C4185">
        <v>21</v>
      </c>
    </row>
    <row r="4186" spans="1:3" ht="15.75" customHeight="1" x14ac:dyDescent="0.2">
      <c r="A4186" t="s">
        <v>285</v>
      </c>
      <c r="B4186" t="s">
        <v>495</v>
      </c>
      <c r="C4186">
        <v>21</v>
      </c>
    </row>
    <row r="4187" spans="1:3" ht="15.75" customHeight="1" x14ac:dyDescent="0.2">
      <c r="A4187" t="s">
        <v>285</v>
      </c>
      <c r="B4187" t="s">
        <v>495</v>
      </c>
      <c r="C4187">
        <v>21</v>
      </c>
    </row>
    <row r="4188" spans="1:3" ht="15.75" customHeight="1" x14ac:dyDescent="0.2">
      <c r="A4188" t="s">
        <v>285</v>
      </c>
      <c r="B4188" t="s">
        <v>495</v>
      </c>
      <c r="C4188">
        <v>21</v>
      </c>
    </row>
    <row r="4189" spans="1:3" ht="15.75" customHeight="1" x14ac:dyDescent="0.2">
      <c r="A4189" t="s">
        <v>285</v>
      </c>
      <c r="B4189" t="s">
        <v>495</v>
      </c>
      <c r="C4189">
        <v>21</v>
      </c>
    </row>
    <row r="4190" spans="1:3" ht="15.75" customHeight="1" x14ac:dyDescent="0.2">
      <c r="A4190" t="s">
        <v>285</v>
      </c>
      <c r="B4190" t="s">
        <v>495</v>
      </c>
      <c r="C4190">
        <v>21</v>
      </c>
    </row>
    <row r="4191" spans="1:3" ht="15.75" customHeight="1" x14ac:dyDescent="0.2">
      <c r="A4191" t="s">
        <v>285</v>
      </c>
      <c r="B4191" t="s">
        <v>495</v>
      </c>
      <c r="C4191">
        <v>21</v>
      </c>
    </row>
    <row r="4192" spans="1:3" ht="15.75" customHeight="1" x14ac:dyDescent="0.2">
      <c r="A4192" t="s">
        <v>285</v>
      </c>
      <c r="B4192" t="s">
        <v>495</v>
      </c>
      <c r="C4192">
        <v>21</v>
      </c>
    </row>
    <row r="4193" spans="1:3" ht="15.75" customHeight="1" x14ac:dyDescent="0.2">
      <c r="A4193" t="s">
        <v>285</v>
      </c>
      <c r="B4193" t="s">
        <v>495</v>
      </c>
      <c r="C4193">
        <v>21</v>
      </c>
    </row>
    <row r="4194" spans="1:3" ht="15.75" customHeight="1" x14ac:dyDescent="0.2">
      <c r="A4194" t="s">
        <v>285</v>
      </c>
      <c r="B4194" t="s">
        <v>495</v>
      </c>
      <c r="C4194">
        <v>21</v>
      </c>
    </row>
    <row r="4195" spans="1:3" ht="15.75" customHeight="1" x14ac:dyDescent="0.2">
      <c r="A4195" t="s">
        <v>285</v>
      </c>
      <c r="B4195" t="s">
        <v>495</v>
      </c>
      <c r="C4195">
        <v>21</v>
      </c>
    </row>
    <row r="4196" spans="1:3" ht="15.75" customHeight="1" x14ac:dyDescent="0.2">
      <c r="A4196" t="s">
        <v>285</v>
      </c>
      <c r="B4196" t="s">
        <v>495</v>
      </c>
      <c r="C4196">
        <v>21</v>
      </c>
    </row>
    <row r="4197" spans="1:3" ht="15.75" customHeight="1" x14ac:dyDescent="0.2">
      <c r="A4197" t="s">
        <v>285</v>
      </c>
      <c r="B4197" t="s">
        <v>495</v>
      </c>
      <c r="C4197">
        <v>21</v>
      </c>
    </row>
    <row r="4198" spans="1:3" ht="15.75" customHeight="1" x14ac:dyDescent="0.2">
      <c r="A4198" t="s">
        <v>285</v>
      </c>
      <c r="B4198" t="s">
        <v>495</v>
      </c>
      <c r="C4198">
        <v>21</v>
      </c>
    </row>
    <row r="4199" spans="1:3" ht="15.75" customHeight="1" x14ac:dyDescent="0.2">
      <c r="A4199" t="s">
        <v>285</v>
      </c>
      <c r="B4199" t="s">
        <v>495</v>
      </c>
      <c r="C4199">
        <v>21</v>
      </c>
    </row>
    <row r="4200" spans="1:3" ht="15.75" customHeight="1" x14ac:dyDescent="0.2">
      <c r="A4200" t="s">
        <v>285</v>
      </c>
      <c r="B4200" t="s">
        <v>495</v>
      </c>
      <c r="C4200">
        <v>21</v>
      </c>
    </row>
    <row r="4201" spans="1:3" ht="15.75" customHeight="1" x14ac:dyDescent="0.2">
      <c r="A4201" t="s">
        <v>285</v>
      </c>
      <c r="B4201" t="s">
        <v>495</v>
      </c>
      <c r="C4201">
        <v>21</v>
      </c>
    </row>
    <row r="4202" spans="1:3" ht="15.75" customHeight="1" x14ac:dyDescent="0.2">
      <c r="A4202" t="s">
        <v>285</v>
      </c>
      <c r="B4202" t="s">
        <v>495</v>
      </c>
      <c r="C4202">
        <v>21</v>
      </c>
    </row>
    <row r="4203" spans="1:3" ht="15.75" customHeight="1" x14ac:dyDescent="0.2">
      <c r="A4203" t="s">
        <v>285</v>
      </c>
      <c r="B4203" t="s">
        <v>495</v>
      </c>
      <c r="C4203">
        <v>21</v>
      </c>
    </row>
    <row r="4204" spans="1:3" ht="15.75" customHeight="1" x14ac:dyDescent="0.2">
      <c r="A4204" t="s">
        <v>285</v>
      </c>
      <c r="B4204" t="s">
        <v>495</v>
      </c>
      <c r="C4204">
        <v>21</v>
      </c>
    </row>
    <row r="4205" spans="1:3" ht="15.75" customHeight="1" x14ac:dyDescent="0.2">
      <c r="A4205" t="s">
        <v>285</v>
      </c>
      <c r="B4205" t="s">
        <v>495</v>
      </c>
      <c r="C4205">
        <v>21</v>
      </c>
    </row>
    <row r="4206" spans="1:3" ht="15.75" customHeight="1" x14ac:dyDescent="0.2">
      <c r="A4206" t="s">
        <v>285</v>
      </c>
      <c r="B4206" t="s">
        <v>495</v>
      </c>
      <c r="C4206">
        <v>21</v>
      </c>
    </row>
    <row r="4207" spans="1:3" ht="15.75" customHeight="1" x14ac:dyDescent="0.2">
      <c r="A4207" t="s">
        <v>285</v>
      </c>
      <c r="B4207" t="s">
        <v>495</v>
      </c>
      <c r="C4207">
        <v>21</v>
      </c>
    </row>
    <row r="4208" spans="1:3" ht="15.75" customHeight="1" x14ac:dyDescent="0.2">
      <c r="A4208" t="s">
        <v>285</v>
      </c>
      <c r="B4208" t="s">
        <v>495</v>
      </c>
      <c r="C4208">
        <v>21</v>
      </c>
    </row>
    <row r="4209" spans="1:3" ht="15.75" customHeight="1" x14ac:dyDescent="0.2">
      <c r="A4209" t="s">
        <v>285</v>
      </c>
      <c r="B4209" t="s">
        <v>495</v>
      </c>
      <c r="C4209">
        <v>21</v>
      </c>
    </row>
    <row r="4210" spans="1:3" ht="15.75" customHeight="1" x14ac:dyDescent="0.2">
      <c r="A4210" t="s">
        <v>285</v>
      </c>
      <c r="B4210" t="s">
        <v>495</v>
      </c>
      <c r="C4210">
        <v>21</v>
      </c>
    </row>
    <row r="4211" spans="1:3" ht="15.75" customHeight="1" x14ac:dyDescent="0.2">
      <c r="A4211" t="s">
        <v>285</v>
      </c>
      <c r="B4211" t="s">
        <v>495</v>
      </c>
      <c r="C4211">
        <v>21</v>
      </c>
    </row>
    <row r="4212" spans="1:3" ht="15.75" customHeight="1" x14ac:dyDescent="0.2">
      <c r="A4212" t="s">
        <v>285</v>
      </c>
      <c r="B4212" t="s">
        <v>495</v>
      </c>
      <c r="C4212">
        <v>21</v>
      </c>
    </row>
    <row r="4213" spans="1:3" ht="15.75" customHeight="1" x14ac:dyDescent="0.2">
      <c r="A4213" t="s">
        <v>285</v>
      </c>
      <c r="B4213" t="s">
        <v>495</v>
      </c>
      <c r="C4213">
        <v>21</v>
      </c>
    </row>
    <row r="4214" spans="1:3" ht="15.75" customHeight="1" x14ac:dyDescent="0.2">
      <c r="A4214" t="s">
        <v>285</v>
      </c>
      <c r="B4214" t="s">
        <v>495</v>
      </c>
      <c r="C4214">
        <v>21</v>
      </c>
    </row>
    <row r="4215" spans="1:3" ht="15.75" customHeight="1" x14ac:dyDescent="0.2">
      <c r="A4215" t="s">
        <v>285</v>
      </c>
      <c r="B4215" t="s">
        <v>495</v>
      </c>
      <c r="C4215">
        <v>21</v>
      </c>
    </row>
    <row r="4216" spans="1:3" ht="15.75" customHeight="1" x14ac:dyDescent="0.2">
      <c r="A4216" t="s">
        <v>285</v>
      </c>
      <c r="B4216" t="s">
        <v>495</v>
      </c>
      <c r="C4216">
        <v>21</v>
      </c>
    </row>
    <row r="4217" spans="1:3" ht="15.75" customHeight="1" x14ac:dyDescent="0.2">
      <c r="A4217" t="s">
        <v>285</v>
      </c>
      <c r="B4217" t="s">
        <v>495</v>
      </c>
      <c r="C4217">
        <v>21</v>
      </c>
    </row>
    <row r="4218" spans="1:3" ht="15.75" customHeight="1" x14ac:dyDescent="0.2">
      <c r="A4218" t="s">
        <v>285</v>
      </c>
      <c r="B4218" t="s">
        <v>495</v>
      </c>
      <c r="C4218">
        <v>21</v>
      </c>
    </row>
    <row r="4219" spans="1:3" ht="15.75" customHeight="1" x14ac:dyDescent="0.2">
      <c r="A4219" t="s">
        <v>285</v>
      </c>
      <c r="B4219" t="s">
        <v>495</v>
      </c>
      <c r="C4219">
        <v>21</v>
      </c>
    </row>
    <row r="4220" spans="1:3" ht="15.75" customHeight="1" x14ac:dyDescent="0.2">
      <c r="A4220" t="s">
        <v>285</v>
      </c>
      <c r="B4220" t="s">
        <v>495</v>
      </c>
      <c r="C4220">
        <v>21</v>
      </c>
    </row>
    <row r="4221" spans="1:3" ht="15.75" customHeight="1" x14ac:dyDescent="0.2">
      <c r="A4221" t="s">
        <v>285</v>
      </c>
      <c r="B4221" t="s">
        <v>495</v>
      </c>
      <c r="C4221">
        <v>21</v>
      </c>
    </row>
    <row r="4222" spans="1:3" ht="15.75" customHeight="1" x14ac:dyDescent="0.2">
      <c r="A4222" t="s">
        <v>285</v>
      </c>
      <c r="B4222" t="s">
        <v>495</v>
      </c>
      <c r="C4222">
        <v>21</v>
      </c>
    </row>
    <row r="4223" spans="1:3" ht="15.75" customHeight="1" x14ac:dyDescent="0.2">
      <c r="A4223" t="s">
        <v>285</v>
      </c>
      <c r="B4223" t="s">
        <v>495</v>
      </c>
      <c r="C4223">
        <v>21</v>
      </c>
    </row>
    <row r="4224" spans="1:3" ht="15.75" customHeight="1" x14ac:dyDescent="0.2">
      <c r="A4224" t="s">
        <v>285</v>
      </c>
      <c r="B4224" t="s">
        <v>495</v>
      </c>
      <c r="C4224">
        <v>21</v>
      </c>
    </row>
    <row r="4225" spans="1:3" ht="15.75" customHeight="1" x14ac:dyDescent="0.2">
      <c r="A4225" t="s">
        <v>285</v>
      </c>
      <c r="B4225" t="s">
        <v>495</v>
      </c>
      <c r="C4225">
        <v>21</v>
      </c>
    </row>
    <row r="4226" spans="1:3" ht="15.75" customHeight="1" x14ac:dyDescent="0.2">
      <c r="A4226" t="s">
        <v>285</v>
      </c>
      <c r="B4226" t="s">
        <v>495</v>
      </c>
      <c r="C4226">
        <v>21</v>
      </c>
    </row>
    <row r="4227" spans="1:3" ht="15.75" customHeight="1" x14ac:dyDescent="0.2">
      <c r="A4227" t="s">
        <v>285</v>
      </c>
      <c r="B4227" t="s">
        <v>495</v>
      </c>
      <c r="C4227">
        <v>21</v>
      </c>
    </row>
    <row r="4228" spans="1:3" ht="15.75" customHeight="1" x14ac:dyDescent="0.2">
      <c r="A4228" t="s">
        <v>285</v>
      </c>
      <c r="B4228" t="s">
        <v>495</v>
      </c>
      <c r="C4228">
        <v>21</v>
      </c>
    </row>
    <row r="4229" spans="1:3" ht="15.75" customHeight="1" x14ac:dyDescent="0.2">
      <c r="A4229" t="s">
        <v>285</v>
      </c>
      <c r="B4229" t="s">
        <v>495</v>
      </c>
      <c r="C4229">
        <v>21</v>
      </c>
    </row>
    <row r="4230" spans="1:3" ht="15.75" customHeight="1" x14ac:dyDescent="0.2">
      <c r="A4230" t="s">
        <v>285</v>
      </c>
      <c r="B4230" t="s">
        <v>495</v>
      </c>
      <c r="C4230">
        <v>21</v>
      </c>
    </row>
    <row r="4231" spans="1:3" ht="15.75" customHeight="1" x14ac:dyDescent="0.2">
      <c r="A4231" t="s">
        <v>285</v>
      </c>
      <c r="B4231" t="s">
        <v>495</v>
      </c>
      <c r="C4231">
        <v>21</v>
      </c>
    </row>
    <row r="4232" spans="1:3" ht="15.75" customHeight="1" x14ac:dyDescent="0.2">
      <c r="A4232" t="s">
        <v>285</v>
      </c>
      <c r="B4232" t="s">
        <v>495</v>
      </c>
      <c r="C4232">
        <v>21</v>
      </c>
    </row>
    <row r="4233" spans="1:3" ht="15.75" customHeight="1" x14ac:dyDescent="0.2">
      <c r="A4233" t="s">
        <v>285</v>
      </c>
      <c r="B4233" t="s">
        <v>495</v>
      </c>
      <c r="C4233">
        <v>21</v>
      </c>
    </row>
    <row r="4234" spans="1:3" ht="15.75" customHeight="1" x14ac:dyDescent="0.2">
      <c r="A4234" t="s">
        <v>285</v>
      </c>
      <c r="B4234" t="s">
        <v>495</v>
      </c>
      <c r="C4234">
        <v>21</v>
      </c>
    </row>
    <row r="4235" spans="1:3" ht="15.75" customHeight="1" x14ac:dyDescent="0.2">
      <c r="A4235" t="s">
        <v>285</v>
      </c>
      <c r="B4235" t="s">
        <v>495</v>
      </c>
      <c r="C4235">
        <v>21</v>
      </c>
    </row>
    <row r="4236" spans="1:3" ht="15.75" customHeight="1" x14ac:dyDescent="0.2">
      <c r="A4236" t="s">
        <v>285</v>
      </c>
      <c r="B4236" t="s">
        <v>495</v>
      </c>
      <c r="C4236">
        <v>21</v>
      </c>
    </row>
    <row r="4237" spans="1:3" ht="15.75" customHeight="1" x14ac:dyDescent="0.2">
      <c r="A4237" t="s">
        <v>285</v>
      </c>
      <c r="B4237" t="s">
        <v>495</v>
      </c>
      <c r="C4237">
        <v>21</v>
      </c>
    </row>
    <row r="4238" spans="1:3" ht="15.75" customHeight="1" x14ac:dyDescent="0.2">
      <c r="A4238" t="s">
        <v>285</v>
      </c>
      <c r="B4238" t="s">
        <v>495</v>
      </c>
      <c r="C4238">
        <v>21</v>
      </c>
    </row>
    <row r="4239" spans="1:3" ht="15.75" customHeight="1" x14ac:dyDescent="0.2">
      <c r="A4239" t="s">
        <v>285</v>
      </c>
      <c r="B4239" t="s">
        <v>495</v>
      </c>
      <c r="C4239">
        <v>21</v>
      </c>
    </row>
    <row r="4240" spans="1:3" ht="15.75" customHeight="1" x14ac:dyDescent="0.2">
      <c r="A4240" t="s">
        <v>285</v>
      </c>
      <c r="B4240" t="s">
        <v>495</v>
      </c>
      <c r="C4240">
        <v>21</v>
      </c>
    </row>
    <row r="4241" spans="1:3" ht="15.75" customHeight="1" x14ac:dyDescent="0.2">
      <c r="A4241" t="s">
        <v>285</v>
      </c>
      <c r="B4241" t="s">
        <v>495</v>
      </c>
      <c r="C4241">
        <v>21</v>
      </c>
    </row>
    <row r="4242" spans="1:3" ht="15.75" customHeight="1" x14ac:dyDescent="0.2">
      <c r="A4242" t="s">
        <v>285</v>
      </c>
      <c r="B4242" t="s">
        <v>495</v>
      </c>
      <c r="C4242">
        <v>21</v>
      </c>
    </row>
    <row r="4243" spans="1:3" ht="15.75" customHeight="1" x14ac:dyDescent="0.2">
      <c r="A4243" t="s">
        <v>285</v>
      </c>
      <c r="B4243" t="s">
        <v>495</v>
      </c>
      <c r="C4243">
        <v>21</v>
      </c>
    </row>
    <row r="4244" spans="1:3" ht="15.75" customHeight="1" x14ac:dyDescent="0.2">
      <c r="A4244" t="s">
        <v>285</v>
      </c>
      <c r="B4244" t="s">
        <v>495</v>
      </c>
      <c r="C4244">
        <v>21</v>
      </c>
    </row>
    <row r="4245" spans="1:3" ht="15.75" customHeight="1" x14ac:dyDescent="0.2">
      <c r="A4245" t="s">
        <v>285</v>
      </c>
      <c r="B4245" t="s">
        <v>495</v>
      </c>
      <c r="C4245">
        <v>21</v>
      </c>
    </row>
    <row r="4246" spans="1:3" ht="15.75" customHeight="1" x14ac:dyDescent="0.2">
      <c r="A4246" t="s">
        <v>285</v>
      </c>
      <c r="B4246" t="s">
        <v>495</v>
      </c>
      <c r="C4246">
        <v>21</v>
      </c>
    </row>
    <row r="4247" spans="1:3" ht="15.75" customHeight="1" x14ac:dyDescent="0.2">
      <c r="A4247" t="s">
        <v>285</v>
      </c>
      <c r="B4247" t="s">
        <v>495</v>
      </c>
      <c r="C4247">
        <v>21</v>
      </c>
    </row>
    <row r="4248" spans="1:3" ht="15.75" customHeight="1" x14ac:dyDescent="0.2">
      <c r="A4248" t="s">
        <v>285</v>
      </c>
      <c r="B4248" t="s">
        <v>495</v>
      </c>
      <c r="C4248">
        <v>21</v>
      </c>
    </row>
    <row r="4249" spans="1:3" ht="15.75" customHeight="1" x14ac:dyDescent="0.2">
      <c r="A4249" t="s">
        <v>285</v>
      </c>
      <c r="B4249" t="s">
        <v>495</v>
      </c>
      <c r="C4249">
        <v>21</v>
      </c>
    </row>
    <row r="4250" spans="1:3" ht="15.75" customHeight="1" x14ac:dyDescent="0.2">
      <c r="A4250" t="s">
        <v>285</v>
      </c>
      <c r="B4250" t="s">
        <v>495</v>
      </c>
      <c r="C4250">
        <v>21</v>
      </c>
    </row>
    <row r="4251" spans="1:3" ht="15.75" customHeight="1" x14ac:dyDescent="0.2">
      <c r="A4251" t="s">
        <v>285</v>
      </c>
      <c r="B4251" t="s">
        <v>495</v>
      </c>
      <c r="C4251">
        <v>21</v>
      </c>
    </row>
    <row r="4252" spans="1:3" ht="15.75" customHeight="1" x14ac:dyDescent="0.2">
      <c r="A4252" t="s">
        <v>285</v>
      </c>
      <c r="B4252" t="s">
        <v>495</v>
      </c>
      <c r="C4252">
        <v>21</v>
      </c>
    </row>
    <row r="4253" spans="1:3" ht="15.75" customHeight="1" x14ac:dyDescent="0.2">
      <c r="A4253" t="s">
        <v>285</v>
      </c>
      <c r="B4253" t="s">
        <v>495</v>
      </c>
      <c r="C4253">
        <v>21</v>
      </c>
    </row>
    <row r="4254" spans="1:3" ht="15.75" customHeight="1" x14ac:dyDescent="0.2">
      <c r="A4254" t="s">
        <v>285</v>
      </c>
      <c r="B4254" t="s">
        <v>495</v>
      </c>
      <c r="C4254">
        <v>21</v>
      </c>
    </row>
    <row r="4255" spans="1:3" ht="15.75" customHeight="1" x14ac:dyDescent="0.2">
      <c r="A4255" t="s">
        <v>285</v>
      </c>
      <c r="B4255" t="s">
        <v>495</v>
      </c>
      <c r="C4255">
        <v>21</v>
      </c>
    </row>
    <row r="4256" spans="1:3" ht="15.75" customHeight="1" x14ac:dyDescent="0.2">
      <c r="A4256" t="s">
        <v>285</v>
      </c>
      <c r="B4256" t="s">
        <v>495</v>
      </c>
      <c r="C4256">
        <v>21</v>
      </c>
    </row>
    <row r="4257" spans="1:3" ht="15.75" customHeight="1" x14ac:dyDescent="0.2">
      <c r="A4257" t="s">
        <v>285</v>
      </c>
      <c r="B4257" t="s">
        <v>495</v>
      </c>
      <c r="C4257">
        <v>21</v>
      </c>
    </row>
    <row r="4258" spans="1:3" ht="15.75" customHeight="1" x14ac:dyDescent="0.2">
      <c r="A4258" t="s">
        <v>285</v>
      </c>
      <c r="B4258" t="s">
        <v>495</v>
      </c>
      <c r="C4258">
        <v>21</v>
      </c>
    </row>
    <row r="4259" spans="1:3" ht="15.75" customHeight="1" x14ac:dyDescent="0.2">
      <c r="A4259" t="s">
        <v>285</v>
      </c>
      <c r="B4259" t="s">
        <v>495</v>
      </c>
      <c r="C4259">
        <v>21</v>
      </c>
    </row>
    <row r="4260" spans="1:3" ht="15.75" customHeight="1" x14ac:dyDescent="0.2">
      <c r="A4260" t="s">
        <v>285</v>
      </c>
      <c r="B4260" t="s">
        <v>495</v>
      </c>
      <c r="C4260">
        <v>21</v>
      </c>
    </row>
    <row r="4261" spans="1:3" ht="15.75" customHeight="1" x14ac:dyDescent="0.2">
      <c r="A4261" t="s">
        <v>285</v>
      </c>
      <c r="B4261" t="s">
        <v>495</v>
      </c>
      <c r="C4261">
        <v>21</v>
      </c>
    </row>
    <row r="4262" spans="1:3" ht="15.75" customHeight="1" x14ac:dyDescent="0.2">
      <c r="A4262" t="s">
        <v>285</v>
      </c>
      <c r="B4262" t="s">
        <v>495</v>
      </c>
      <c r="C4262">
        <v>21</v>
      </c>
    </row>
    <row r="4263" spans="1:3" ht="15.75" customHeight="1" x14ac:dyDescent="0.2">
      <c r="A4263" t="s">
        <v>285</v>
      </c>
      <c r="B4263" t="s">
        <v>495</v>
      </c>
      <c r="C4263">
        <v>21</v>
      </c>
    </row>
    <row r="4264" spans="1:3" ht="15.75" customHeight="1" x14ac:dyDescent="0.2">
      <c r="A4264" t="s">
        <v>285</v>
      </c>
      <c r="B4264" t="s">
        <v>495</v>
      </c>
      <c r="C4264">
        <v>21</v>
      </c>
    </row>
    <row r="4265" spans="1:3" ht="15.75" customHeight="1" x14ac:dyDescent="0.2">
      <c r="A4265" t="s">
        <v>285</v>
      </c>
      <c r="B4265" t="s">
        <v>495</v>
      </c>
      <c r="C4265">
        <v>21</v>
      </c>
    </row>
    <row r="4266" spans="1:3" ht="15.75" customHeight="1" x14ac:dyDescent="0.2">
      <c r="A4266" t="s">
        <v>285</v>
      </c>
      <c r="B4266" t="s">
        <v>495</v>
      </c>
      <c r="C4266">
        <v>21</v>
      </c>
    </row>
    <row r="4267" spans="1:3" ht="15.75" customHeight="1" x14ac:dyDescent="0.2">
      <c r="A4267" t="s">
        <v>285</v>
      </c>
      <c r="B4267" t="s">
        <v>495</v>
      </c>
      <c r="C4267">
        <v>21</v>
      </c>
    </row>
    <row r="4268" spans="1:3" ht="15.75" customHeight="1" x14ac:dyDescent="0.2">
      <c r="A4268" t="s">
        <v>285</v>
      </c>
      <c r="B4268" t="s">
        <v>495</v>
      </c>
      <c r="C4268">
        <v>21</v>
      </c>
    </row>
    <row r="4269" spans="1:3" ht="15.75" customHeight="1" x14ac:dyDescent="0.2">
      <c r="A4269" t="s">
        <v>285</v>
      </c>
      <c r="B4269" t="s">
        <v>495</v>
      </c>
      <c r="C4269">
        <v>21</v>
      </c>
    </row>
    <row r="4270" spans="1:3" ht="15.75" customHeight="1" x14ac:dyDescent="0.2">
      <c r="A4270" t="s">
        <v>285</v>
      </c>
      <c r="B4270" t="s">
        <v>495</v>
      </c>
      <c r="C4270">
        <v>21</v>
      </c>
    </row>
    <row r="4271" spans="1:3" ht="15.75" customHeight="1" x14ac:dyDescent="0.2">
      <c r="A4271" t="s">
        <v>285</v>
      </c>
      <c r="B4271" t="s">
        <v>495</v>
      </c>
      <c r="C4271">
        <v>21</v>
      </c>
    </row>
    <row r="4272" spans="1:3" ht="15.75" customHeight="1" x14ac:dyDescent="0.2">
      <c r="A4272" t="s">
        <v>285</v>
      </c>
      <c r="B4272" t="s">
        <v>495</v>
      </c>
      <c r="C4272">
        <v>21</v>
      </c>
    </row>
    <row r="4273" spans="1:3" ht="15.75" customHeight="1" x14ac:dyDescent="0.2">
      <c r="A4273" t="s">
        <v>285</v>
      </c>
      <c r="B4273" t="s">
        <v>495</v>
      </c>
      <c r="C4273">
        <v>21</v>
      </c>
    </row>
    <row r="4274" spans="1:3" ht="15.75" customHeight="1" x14ac:dyDescent="0.2">
      <c r="A4274" t="s">
        <v>285</v>
      </c>
      <c r="B4274" t="s">
        <v>495</v>
      </c>
      <c r="C4274">
        <v>21</v>
      </c>
    </row>
    <row r="4275" spans="1:3" ht="15.75" customHeight="1" x14ac:dyDescent="0.2">
      <c r="A4275" t="s">
        <v>285</v>
      </c>
      <c r="B4275" t="s">
        <v>495</v>
      </c>
      <c r="C4275">
        <v>21</v>
      </c>
    </row>
    <row r="4276" spans="1:3" ht="15.75" customHeight="1" x14ac:dyDescent="0.2">
      <c r="A4276" t="s">
        <v>285</v>
      </c>
      <c r="B4276" t="s">
        <v>495</v>
      </c>
      <c r="C4276">
        <v>21</v>
      </c>
    </row>
    <row r="4277" spans="1:3" ht="15.75" customHeight="1" x14ac:dyDescent="0.2">
      <c r="A4277" t="s">
        <v>285</v>
      </c>
      <c r="B4277" t="s">
        <v>495</v>
      </c>
      <c r="C4277">
        <v>21</v>
      </c>
    </row>
    <row r="4278" spans="1:3" ht="15.75" customHeight="1" x14ac:dyDescent="0.2">
      <c r="A4278" t="s">
        <v>285</v>
      </c>
      <c r="B4278" t="s">
        <v>495</v>
      </c>
      <c r="C4278">
        <v>21</v>
      </c>
    </row>
    <row r="4279" spans="1:3" ht="15.75" customHeight="1" x14ac:dyDescent="0.2">
      <c r="A4279" t="s">
        <v>285</v>
      </c>
      <c r="B4279" t="s">
        <v>495</v>
      </c>
      <c r="C4279">
        <v>21</v>
      </c>
    </row>
    <row r="4280" spans="1:3" ht="15.75" customHeight="1" x14ac:dyDescent="0.2">
      <c r="A4280" t="s">
        <v>285</v>
      </c>
      <c r="B4280" t="s">
        <v>495</v>
      </c>
      <c r="C4280">
        <v>21</v>
      </c>
    </row>
    <row r="4281" spans="1:3" ht="15.75" customHeight="1" x14ac:dyDescent="0.2">
      <c r="A4281" t="s">
        <v>285</v>
      </c>
      <c r="B4281" t="s">
        <v>495</v>
      </c>
      <c r="C4281">
        <v>21</v>
      </c>
    </row>
    <row r="4282" spans="1:3" ht="15.75" customHeight="1" x14ac:dyDescent="0.2">
      <c r="A4282" t="s">
        <v>285</v>
      </c>
      <c r="B4282" t="s">
        <v>495</v>
      </c>
      <c r="C4282">
        <v>21</v>
      </c>
    </row>
    <row r="4283" spans="1:3" ht="15.75" customHeight="1" x14ac:dyDescent="0.2">
      <c r="A4283" t="s">
        <v>285</v>
      </c>
      <c r="B4283" t="s">
        <v>495</v>
      </c>
      <c r="C4283">
        <v>21</v>
      </c>
    </row>
    <row r="4284" spans="1:3" ht="15.75" customHeight="1" x14ac:dyDescent="0.2">
      <c r="A4284" t="s">
        <v>285</v>
      </c>
      <c r="B4284" t="s">
        <v>495</v>
      </c>
      <c r="C4284">
        <v>21</v>
      </c>
    </row>
    <row r="4285" spans="1:3" ht="15.75" customHeight="1" x14ac:dyDescent="0.2">
      <c r="A4285" t="s">
        <v>285</v>
      </c>
      <c r="B4285" t="s">
        <v>495</v>
      </c>
      <c r="C4285">
        <v>21</v>
      </c>
    </row>
    <row r="4286" spans="1:3" ht="15.75" customHeight="1" x14ac:dyDescent="0.2">
      <c r="A4286" t="s">
        <v>285</v>
      </c>
      <c r="B4286" t="s">
        <v>495</v>
      </c>
      <c r="C4286">
        <v>21</v>
      </c>
    </row>
    <row r="4287" spans="1:3" ht="15.75" customHeight="1" x14ac:dyDescent="0.2">
      <c r="A4287" t="s">
        <v>285</v>
      </c>
      <c r="B4287" t="s">
        <v>495</v>
      </c>
      <c r="C4287">
        <v>21</v>
      </c>
    </row>
    <row r="4288" spans="1:3" ht="15.75" customHeight="1" x14ac:dyDescent="0.2">
      <c r="A4288" t="s">
        <v>285</v>
      </c>
      <c r="B4288" t="s">
        <v>495</v>
      </c>
      <c r="C4288">
        <v>21</v>
      </c>
    </row>
    <row r="4289" spans="1:3" ht="15.75" customHeight="1" x14ac:dyDescent="0.2">
      <c r="A4289" t="s">
        <v>285</v>
      </c>
      <c r="B4289" t="s">
        <v>495</v>
      </c>
      <c r="C4289">
        <v>21</v>
      </c>
    </row>
    <row r="4290" spans="1:3" ht="15.75" customHeight="1" x14ac:dyDescent="0.2">
      <c r="A4290" t="s">
        <v>285</v>
      </c>
      <c r="B4290" t="s">
        <v>495</v>
      </c>
      <c r="C4290">
        <v>21</v>
      </c>
    </row>
    <row r="4291" spans="1:3" ht="15.75" customHeight="1" x14ac:dyDescent="0.2">
      <c r="A4291" t="s">
        <v>285</v>
      </c>
      <c r="B4291" t="s">
        <v>495</v>
      </c>
      <c r="C4291">
        <v>21</v>
      </c>
    </row>
    <row r="4292" spans="1:3" ht="15.75" customHeight="1" x14ac:dyDescent="0.2">
      <c r="A4292" t="s">
        <v>285</v>
      </c>
      <c r="B4292" t="s">
        <v>495</v>
      </c>
      <c r="C4292">
        <v>21</v>
      </c>
    </row>
    <row r="4293" spans="1:3" ht="15.75" customHeight="1" x14ac:dyDescent="0.2">
      <c r="A4293" t="s">
        <v>285</v>
      </c>
      <c r="B4293" t="s">
        <v>495</v>
      </c>
      <c r="C4293">
        <v>21</v>
      </c>
    </row>
    <row r="4294" spans="1:3" ht="15.75" customHeight="1" x14ac:dyDescent="0.2">
      <c r="A4294" t="s">
        <v>285</v>
      </c>
      <c r="B4294" t="s">
        <v>495</v>
      </c>
      <c r="C4294">
        <v>21</v>
      </c>
    </row>
    <row r="4295" spans="1:3" ht="15.75" customHeight="1" x14ac:dyDescent="0.2">
      <c r="A4295" t="s">
        <v>285</v>
      </c>
      <c r="B4295" t="s">
        <v>495</v>
      </c>
      <c r="C4295">
        <v>21</v>
      </c>
    </row>
    <row r="4296" spans="1:3" ht="15.75" customHeight="1" x14ac:dyDescent="0.2">
      <c r="A4296" t="s">
        <v>285</v>
      </c>
      <c r="B4296" t="s">
        <v>495</v>
      </c>
      <c r="C4296">
        <v>21</v>
      </c>
    </row>
    <row r="4297" spans="1:3" ht="15.75" customHeight="1" x14ac:dyDescent="0.2">
      <c r="A4297" t="s">
        <v>285</v>
      </c>
      <c r="B4297" t="s">
        <v>495</v>
      </c>
      <c r="C4297">
        <v>21</v>
      </c>
    </row>
    <row r="4298" spans="1:3" ht="15.75" customHeight="1" x14ac:dyDescent="0.2">
      <c r="A4298" t="s">
        <v>285</v>
      </c>
      <c r="B4298" t="s">
        <v>495</v>
      </c>
      <c r="C4298">
        <v>21</v>
      </c>
    </row>
    <row r="4299" spans="1:3" ht="15.75" customHeight="1" x14ac:dyDescent="0.2">
      <c r="A4299" t="s">
        <v>285</v>
      </c>
      <c r="B4299" t="s">
        <v>495</v>
      </c>
      <c r="C4299">
        <v>21</v>
      </c>
    </row>
    <row r="4300" spans="1:3" ht="15.75" customHeight="1" x14ac:dyDescent="0.2">
      <c r="A4300" t="s">
        <v>285</v>
      </c>
      <c r="B4300" t="s">
        <v>495</v>
      </c>
      <c r="C4300">
        <v>21</v>
      </c>
    </row>
    <row r="4301" spans="1:3" ht="15.75" customHeight="1" x14ac:dyDescent="0.2">
      <c r="A4301" t="s">
        <v>285</v>
      </c>
      <c r="B4301" t="s">
        <v>495</v>
      </c>
      <c r="C4301">
        <v>21</v>
      </c>
    </row>
    <row r="4302" spans="1:3" ht="15.75" customHeight="1" x14ac:dyDescent="0.2">
      <c r="A4302" t="s">
        <v>285</v>
      </c>
      <c r="B4302" t="s">
        <v>495</v>
      </c>
      <c r="C4302">
        <v>21</v>
      </c>
    </row>
    <row r="4303" spans="1:3" ht="15.75" customHeight="1" x14ac:dyDescent="0.2">
      <c r="A4303" t="s">
        <v>285</v>
      </c>
      <c r="B4303" t="s">
        <v>495</v>
      </c>
      <c r="C4303">
        <v>21</v>
      </c>
    </row>
    <row r="4304" spans="1:3" ht="15.75" customHeight="1" x14ac:dyDescent="0.2">
      <c r="A4304" t="s">
        <v>285</v>
      </c>
      <c r="B4304" t="s">
        <v>495</v>
      </c>
      <c r="C4304">
        <v>21</v>
      </c>
    </row>
    <row r="4305" spans="1:3" ht="15.75" customHeight="1" x14ac:dyDescent="0.2">
      <c r="A4305" t="s">
        <v>285</v>
      </c>
      <c r="B4305" t="s">
        <v>495</v>
      </c>
      <c r="C4305">
        <v>21</v>
      </c>
    </row>
    <row r="4306" spans="1:3" ht="15.75" customHeight="1" x14ac:dyDescent="0.2">
      <c r="A4306" t="s">
        <v>285</v>
      </c>
      <c r="B4306" t="s">
        <v>495</v>
      </c>
      <c r="C4306">
        <v>21</v>
      </c>
    </row>
    <row r="4307" spans="1:3" ht="15.75" customHeight="1" x14ac:dyDescent="0.2">
      <c r="A4307" t="s">
        <v>285</v>
      </c>
      <c r="B4307" t="s">
        <v>495</v>
      </c>
      <c r="C4307">
        <v>21</v>
      </c>
    </row>
    <row r="4308" spans="1:3" ht="15.75" customHeight="1" x14ac:dyDescent="0.2">
      <c r="A4308" t="s">
        <v>285</v>
      </c>
      <c r="B4308" t="s">
        <v>495</v>
      </c>
      <c r="C4308">
        <v>21</v>
      </c>
    </row>
    <row r="4309" spans="1:3" ht="15.75" customHeight="1" x14ac:dyDescent="0.2">
      <c r="A4309" t="s">
        <v>285</v>
      </c>
      <c r="B4309" t="s">
        <v>495</v>
      </c>
      <c r="C4309">
        <v>21</v>
      </c>
    </row>
    <row r="4310" spans="1:3" ht="15.75" customHeight="1" x14ac:dyDescent="0.2">
      <c r="A4310" t="s">
        <v>285</v>
      </c>
      <c r="B4310" t="s">
        <v>495</v>
      </c>
      <c r="C4310">
        <v>21</v>
      </c>
    </row>
    <row r="4311" spans="1:3" ht="15.75" customHeight="1" x14ac:dyDescent="0.2">
      <c r="A4311" t="s">
        <v>285</v>
      </c>
      <c r="B4311" t="s">
        <v>495</v>
      </c>
      <c r="C4311">
        <v>21</v>
      </c>
    </row>
    <row r="4312" spans="1:3" ht="15.75" customHeight="1" x14ac:dyDescent="0.2">
      <c r="A4312" t="s">
        <v>285</v>
      </c>
      <c r="B4312" t="s">
        <v>495</v>
      </c>
      <c r="C4312">
        <v>21</v>
      </c>
    </row>
    <row r="4313" spans="1:3" ht="15.75" customHeight="1" x14ac:dyDescent="0.2">
      <c r="A4313" t="s">
        <v>285</v>
      </c>
      <c r="B4313" t="s">
        <v>495</v>
      </c>
      <c r="C4313">
        <v>21</v>
      </c>
    </row>
    <row r="4314" spans="1:3" ht="15.75" customHeight="1" x14ac:dyDescent="0.2">
      <c r="A4314" t="s">
        <v>285</v>
      </c>
      <c r="B4314" t="s">
        <v>495</v>
      </c>
      <c r="C4314">
        <v>21</v>
      </c>
    </row>
    <row r="4315" spans="1:3" ht="15.75" customHeight="1" x14ac:dyDescent="0.2">
      <c r="A4315" t="s">
        <v>285</v>
      </c>
      <c r="B4315" t="s">
        <v>495</v>
      </c>
      <c r="C4315">
        <v>21</v>
      </c>
    </row>
    <row r="4316" spans="1:3" ht="15.75" customHeight="1" x14ac:dyDescent="0.2">
      <c r="A4316" t="s">
        <v>285</v>
      </c>
      <c r="B4316" t="s">
        <v>495</v>
      </c>
      <c r="C4316">
        <v>21</v>
      </c>
    </row>
    <row r="4317" spans="1:3" ht="15.75" customHeight="1" x14ac:dyDescent="0.2">
      <c r="A4317" t="s">
        <v>285</v>
      </c>
      <c r="B4317" t="s">
        <v>495</v>
      </c>
      <c r="C4317">
        <v>21</v>
      </c>
    </row>
    <row r="4318" spans="1:3" ht="15.75" customHeight="1" x14ac:dyDescent="0.2">
      <c r="A4318" t="s">
        <v>285</v>
      </c>
      <c r="B4318" t="s">
        <v>495</v>
      </c>
      <c r="C4318">
        <v>21</v>
      </c>
    </row>
    <row r="4319" spans="1:3" ht="15.75" customHeight="1" x14ac:dyDescent="0.2">
      <c r="A4319" t="s">
        <v>285</v>
      </c>
      <c r="B4319" t="s">
        <v>495</v>
      </c>
      <c r="C4319">
        <v>21</v>
      </c>
    </row>
    <row r="4320" spans="1:3" ht="15.75" customHeight="1" x14ac:dyDescent="0.2">
      <c r="A4320" t="s">
        <v>285</v>
      </c>
      <c r="B4320" t="s">
        <v>495</v>
      </c>
      <c r="C4320">
        <v>21</v>
      </c>
    </row>
    <row r="4321" spans="1:3" ht="15.75" customHeight="1" x14ac:dyDescent="0.2">
      <c r="A4321" t="s">
        <v>285</v>
      </c>
      <c r="B4321" t="s">
        <v>495</v>
      </c>
      <c r="C4321">
        <v>21</v>
      </c>
    </row>
    <row r="4322" spans="1:3" ht="15.75" customHeight="1" x14ac:dyDescent="0.2">
      <c r="A4322" t="s">
        <v>285</v>
      </c>
      <c r="B4322" t="s">
        <v>495</v>
      </c>
      <c r="C4322">
        <v>21</v>
      </c>
    </row>
    <row r="4323" spans="1:3" ht="15.75" customHeight="1" x14ac:dyDescent="0.2">
      <c r="A4323" t="s">
        <v>285</v>
      </c>
      <c r="B4323" t="s">
        <v>495</v>
      </c>
      <c r="C4323">
        <v>21</v>
      </c>
    </row>
    <row r="4324" spans="1:3" ht="15.75" customHeight="1" x14ac:dyDescent="0.2">
      <c r="A4324" t="s">
        <v>285</v>
      </c>
      <c r="B4324" t="s">
        <v>495</v>
      </c>
      <c r="C4324">
        <v>21</v>
      </c>
    </row>
    <row r="4325" spans="1:3" ht="15.75" customHeight="1" x14ac:dyDescent="0.2">
      <c r="A4325" t="s">
        <v>285</v>
      </c>
      <c r="B4325" t="s">
        <v>495</v>
      </c>
      <c r="C4325">
        <v>21</v>
      </c>
    </row>
    <row r="4326" spans="1:3" ht="15.75" customHeight="1" x14ac:dyDescent="0.2">
      <c r="A4326" t="s">
        <v>285</v>
      </c>
      <c r="B4326" t="s">
        <v>495</v>
      </c>
      <c r="C4326">
        <v>21</v>
      </c>
    </row>
    <row r="4327" spans="1:3" ht="15.75" customHeight="1" x14ac:dyDescent="0.2">
      <c r="A4327" t="s">
        <v>285</v>
      </c>
      <c r="B4327" t="s">
        <v>495</v>
      </c>
      <c r="C4327">
        <v>21</v>
      </c>
    </row>
    <row r="4328" spans="1:3" ht="15.75" customHeight="1" x14ac:dyDescent="0.2">
      <c r="A4328" t="s">
        <v>285</v>
      </c>
      <c r="B4328" t="s">
        <v>495</v>
      </c>
      <c r="C4328">
        <v>21</v>
      </c>
    </row>
    <row r="4329" spans="1:3" ht="15.75" customHeight="1" x14ac:dyDescent="0.2">
      <c r="A4329" t="s">
        <v>285</v>
      </c>
      <c r="B4329" t="s">
        <v>495</v>
      </c>
      <c r="C4329">
        <v>21</v>
      </c>
    </row>
    <row r="4330" spans="1:3" ht="15.75" customHeight="1" x14ac:dyDescent="0.2">
      <c r="A4330" t="s">
        <v>285</v>
      </c>
      <c r="B4330" t="s">
        <v>495</v>
      </c>
      <c r="C4330">
        <v>21</v>
      </c>
    </row>
    <row r="4331" spans="1:3" ht="15.75" customHeight="1" x14ac:dyDescent="0.2">
      <c r="A4331" t="s">
        <v>285</v>
      </c>
      <c r="B4331" t="s">
        <v>495</v>
      </c>
      <c r="C4331">
        <v>21</v>
      </c>
    </row>
    <row r="4332" spans="1:3" ht="15.75" customHeight="1" x14ac:dyDescent="0.2">
      <c r="A4332" t="s">
        <v>285</v>
      </c>
      <c r="B4332" t="s">
        <v>495</v>
      </c>
      <c r="C4332">
        <v>21</v>
      </c>
    </row>
    <row r="4333" spans="1:3" ht="15.75" customHeight="1" x14ac:dyDescent="0.2">
      <c r="A4333" t="s">
        <v>285</v>
      </c>
      <c r="B4333" t="s">
        <v>495</v>
      </c>
      <c r="C4333">
        <v>21</v>
      </c>
    </row>
    <row r="4334" spans="1:3" ht="15.75" customHeight="1" x14ac:dyDescent="0.2">
      <c r="A4334" t="s">
        <v>285</v>
      </c>
      <c r="B4334" t="s">
        <v>495</v>
      </c>
      <c r="C4334">
        <v>21</v>
      </c>
    </row>
    <row r="4335" spans="1:3" ht="15.75" customHeight="1" x14ac:dyDescent="0.2">
      <c r="A4335" t="s">
        <v>285</v>
      </c>
      <c r="B4335" t="s">
        <v>495</v>
      </c>
      <c r="C4335">
        <v>21</v>
      </c>
    </row>
    <row r="4336" spans="1:3" ht="15.75" customHeight="1" x14ac:dyDescent="0.2">
      <c r="A4336" t="s">
        <v>285</v>
      </c>
      <c r="B4336" t="s">
        <v>495</v>
      </c>
      <c r="C4336">
        <v>21</v>
      </c>
    </row>
    <row r="4337" spans="1:3" ht="15.75" customHeight="1" x14ac:dyDescent="0.2">
      <c r="A4337" t="s">
        <v>285</v>
      </c>
      <c r="B4337" t="s">
        <v>495</v>
      </c>
      <c r="C4337">
        <v>21</v>
      </c>
    </row>
    <row r="4338" spans="1:3" ht="15.75" customHeight="1" x14ac:dyDescent="0.2">
      <c r="A4338" t="s">
        <v>285</v>
      </c>
      <c r="B4338" t="s">
        <v>495</v>
      </c>
      <c r="C4338">
        <v>21</v>
      </c>
    </row>
    <row r="4339" spans="1:3" ht="15.75" customHeight="1" x14ac:dyDescent="0.2">
      <c r="A4339" t="s">
        <v>285</v>
      </c>
      <c r="B4339" t="s">
        <v>495</v>
      </c>
      <c r="C4339">
        <v>21</v>
      </c>
    </row>
    <row r="4340" spans="1:3" ht="15.75" customHeight="1" x14ac:dyDescent="0.2">
      <c r="A4340" t="s">
        <v>285</v>
      </c>
      <c r="B4340" t="s">
        <v>495</v>
      </c>
      <c r="C4340">
        <v>21</v>
      </c>
    </row>
    <row r="4341" spans="1:3" ht="15.75" customHeight="1" x14ac:dyDescent="0.2">
      <c r="A4341" t="s">
        <v>285</v>
      </c>
      <c r="B4341" t="s">
        <v>495</v>
      </c>
      <c r="C4341">
        <v>21</v>
      </c>
    </row>
    <row r="4342" spans="1:3" ht="15.75" customHeight="1" x14ac:dyDescent="0.2">
      <c r="A4342" t="s">
        <v>285</v>
      </c>
      <c r="B4342" t="s">
        <v>495</v>
      </c>
      <c r="C4342">
        <v>21</v>
      </c>
    </row>
    <row r="4343" spans="1:3" ht="15.75" customHeight="1" x14ac:dyDescent="0.2">
      <c r="A4343" t="s">
        <v>285</v>
      </c>
      <c r="B4343" t="s">
        <v>495</v>
      </c>
      <c r="C4343">
        <v>21</v>
      </c>
    </row>
    <row r="4344" spans="1:3" ht="15.75" customHeight="1" x14ac:dyDescent="0.2">
      <c r="A4344" t="s">
        <v>285</v>
      </c>
      <c r="B4344" t="s">
        <v>495</v>
      </c>
      <c r="C4344">
        <v>21</v>
      </c>
    </row>
    <row r="4345" spans="1:3" ht="15.75" customHeight="1" x14ac:dyDescent="0.2">
      <c r="A4345" t="s">
        <v>285</v>
      </c>
      <c r="B4345" t="s">
        <v>495</v>
      </c>
      <c r="C4345">
        <v>21</v>
      </c>
    </row>
    <row r="4346" spans="1:3" ht="15.75" customHeight="1" x14ac:dyDescent="0.2">
      <c r="A4346" t="s">
        <v>285</v>
      </c>
      <c r="B4346" t="s">
        <v>495</v>
      </c>
      <c r="C4346">
        <v>21</v>
      </c>
    </row>
    <row r="4347" spans="1:3" ht="15.75" customHeight="1" x14ac:dyDescent="0.2">
      <c r="A4347" t="s">
        <v>285</v>
      </c>
      <c r="B4347" t="s">
        <v>495</v>
      </c>
      <c r="C4347">
        <v>21</v>
      </c>
    </row>
    <row r="4348" spans="1:3" ht="15.75" customHeight="1" x14ac:dyDescent="0.2">
      <c r="A4348" t="s">
        <v>285</v>
      </c>
      <c r="B4348" t="s">
        <v>495</v>
      </c>
      <c r="C4348">
        <v>21</v>
      </c>
    </row>
    <row r="4349" spans="1:3" ht="15.75" customHeight="1" x14ac:dyDescent="0.2">
      <c r="A4349" t="s">
        <v>285</v>
      </c>
      <c r="B4349" t="s">
        <v>495</v>
      </c>
      <c r="C4349">
        <v>21</v>
      </c>
    </row>
    <row r="4350" spans="1:3" ht="15.75" customHeight="1" x14ac:dyDescent="0.2">
      <c r="A4350" t="s">
        <v>285</v>
      </c>
      <c r="B4350" t="s">
        <v>495</v>
      </c>
      <c r="C4350">
        <v>21</v>
      </c>
    </row>
    <row r="4351" spans="1:3" ht="15.75" customHeight="1" x14ac:dyDescent="0.2">
      <c r="A4351" t="s">
        <v>285</v>
      </c>
      <c r="B4351" t="s">
        <v>495</v>
      </c>
      <c r="C4351">
        <v>21</v>
      </c>
    </row>
    <row r="4352" spans="1:3" ht="15.75" customHeight="1" x14ac:dyDescent="0.2">
      <c r="A4352" t="s">
        <v>285</v>
      </c>
      <c r="B4352" t="s">
        <v>495</v>
      </c>
      <c r="C4352">
        <v>21</v>
      </c>
    </row>
    <row r="4353" spans="1:3" ht="15.75" customHeight="1" x14ac:dyDescent="0.2">
      <c r="A4353" t="s">
        <v>285</v>
      </c>
      <c r="B4353" t="s">
        <v>495</v>
      </c>
      <c r="C4353">
        <v>21</v>
      </c>
    </row>
    <row r="4354" spans="1:3" ht="15.75" customHeight="1" x14ac:dyDescent="0.2">
      <c r="A4354" t="s">
        <v>285</v>
      </c>
      <c r="B4354" t="s">
        <v>495</v>
      </c>
      <c r="C4354">
        <v>21</v>
      </c>
    </row>
    <row r="4355" spans="1:3" ht="15.75" customHeight="1" x14ac:dyDescent="0.2">
      <c r="A4355" t="s">
        <v>285</v>
      </c>
      <c r="B4355" t="s">
        <v>495</v>
      </c>
      <c r="C4355">
        <v>21</v>
      </c>
    </row>
    <row r="4356" spans="1:3" ht="15.75" customHeight="1" x14ac:dyDescent="0.2">
      <c r="A4356" t="s">
        <v>285</v>
      </c>
      <c r="B4356" t="s">
        <v>495</v>
      </c>
      <c r="C4356">
        <v>21</v>
      </c>
    </row>
    <row r="4357" spans="1:3" ht="15.75" customHeight="1" x14ac:dyDescent="0.2">
      <c r="A4357" t="s">
        <v>285</v>
      </c>
      <c r="B4357" t="s">
        <v>495</v>
      </c>
      <c r="C4357">
        <v>21</v>
      </c>
    </row>
    <row r="4358" spans="1:3" ht="15.75" customHeight="1" x14ac:dyDescent="0.2">
      <c r="A4358" t="s">
        <v>285</v>
      </c>
      <c r="B4358" t="s">
        <v>495</v>
      </c>
      <c r="C4358">
        <v>21</v>
      </c>
    </row>
    <row r="4359" spans="1:3" ht="15.75" customHeight="1" x14ac:dyDescent="0.2">
      <c r="A4359" t="s">
        <v>285</v>
      </c>
      <c r="B4359" t="s">
        <v>495</v>
      </c>
      <c r="C4359">
        <v>21</v>
      </c>
    </row>
    <row r="4360" spans="1:3" ht="15.75" customHeight="1" x14ac:dyDescent="0.2">
      <c r="A4360" t="s">
        <v>285</v>
      </c>
      <c r="B4360" t="s">
        <v>495</v>
      </c>
      <c r="C4360">
        <v>21</v>
      </c>
    </row>
    <row r="4361" spans="1:3" ht="15.75" customHeight="1" x14ac:dyDescent="0.2">
      <c r="A4361" t="s">
        <v>285</v>
      </c>
      <c r="B4361" t="s">
        <v>495</v>
      </c>
      <c r="C4361">
        <v>21</v>
      </c>
    </row>
    <row r="4362" spans="1:3" ht="15.75" customHeight="1" x14ac:dyDescent="0.2">
      <c r="A4362" t="s">
        <v>285</v>
      </c>
      <c r="B4362" t="s">
        <v>495</v>
      </c>
      <c r="C4362">
        <v>21</v>
      </c>
    </row>
    <row r="4363" spans="1:3" ht="15.75" customHeight="1" x14ac:dyDescent="0.2">
      <c r="A4363" t="s">
        <v>285</v>
      </c>
      <c r="B4363" t="s">
        <v>495</v>
      </c>
      <c r="C4363">
        <v>21</v>
      </c>
    </row>
    <row r="4364" spans="1:3" ht="15.75" customHeight="1" x14ac:dyDescent="0.2">
      <c r="A4364" t="s">
        <v>285</v>
      </c>
      <c r="B4364" t="s">
        <v>495</v>
      </c>
      <c r="C4364">
        <v>21</v>
      </c>
    </row>
    <row r="4365" spans="1:3" ht="15.75" customHeight="1" x14ac:dyDescent="0.2">
      <c r="A4365" t="s">
        <v>285</v>
      </c>
      <c r="B4365" t="s">
        <v>495</v>
      </c>
      <c r="C4365">
        <v>21</v>
      </c>
    </row>
    <row r="4366" spans="1:3" ht="15.75" customHeight="1" x14ac:dyDescent="0.2">
      <c r="A4366" t="s">
        <v>285</v>
      </c>
      <c r="B4366" t="s">
        <v>495</v>
      </c>
      <c r="C4366">
        <v>21</v>
      </c>
    </row>
    <row r="4367" spans="1:3" ht="15.75" customHeight="1" x14ac:dyDescent="0.2">
      <c r="A4367" t="s">
        <v>285</v>
      </c>
      <c r="B4367" t="s">
        <v>495</v>
      </c>
      <c r="C4367">
        <v>21</v>
      </c>
    </row>
    <row r="4368" spans="1:3" ht="15.75" customHeight="1" x14ac:dyDescent="0.2">
      <c r="A4368" t="s">
        <v>285</v>
      </c>
      <c r="B4368" t="s">
        <v>495</v>
      </c>
      <c r="C4368">
        <v>21</v>
      </c>
    </row>
    <row r="4369" spans="1:3" ht="15.75" customHeight="1" x14ac:dyDescent="0.2">
      <c r="A4369" t="s">
        <v>285</v>
      </c>
      <c r="B4369" t="s">
        <v>495</v>
      </c>
      <c r="C4369">
        <v>21</v>
      </c>
    </row>
    <row r="4370" spans="1:3" ht="15.75" customHeight="1" x14ac:dyDescent="0.2">
      <c r="A4370" t="s">
        <v>285</v>
      </c>
      <c r="B4370" t="s">
        <v>495</v>
      </c>
      <c r="C4370">
        <v>21</v>
      </c>
    </row>
    <row r="4371" spans="1:3" ht="15.75" customHeight="1" x14ac:dyDescent="0.2">
      <c r="A4371" t="s">
        <v>285</v>
      </c>
      <c r="B4371" t="s">
        <v>495</v>
      </c>
      <c r="C4371">
        <v>21</v>
      </c>
    </row>
    <row r="4372" spans="1:3" ht="15.75" customHeight="1" x14ac:dyDescent="0.2">
      <c r="A4372" t="s">
        <v>285</v>
      </c>
      <c r="B4372" t="s">
        <v>495</v>
      </c>
      <c r="C4372">
        <v>21</v>
      </c>
    </row>
    <row r="4373" spans="1:3" ht="15.75" customHeight="1" x14ac:dyDescent="0.2">
      <c r="A4373" t="s">
        <v>285</v>
      </c>
      <c r="B4373" t="s">
        <v>495</v>
      </c>
      <c r="C4373">
        <v>21</v>
      </c>
    </row>
    <row r="4374" spans="1:3" ht="15.75" customHeight="1" x14ac:dyDescent="0.2">
      <c r="A4374" t="s">
        <v>285</v>
      </c>
      <c r="B4374" t="s">
        <v>495</v>
      </c>
      <c r="C4374">
        <v>21</v>
      </c>
    </row>
    <row r="4375" spans="1:3" ht="15.75" customHeight="1" x14ac:dyDescent="0.2">
      <c r="A4375" t="s">
        <v>285</v>
      </c>
      <c r="B4375" t="s">
        <v>495</v>
      </c>
      <c r="C4375">
        <v>21</v>
      </c>
    </row>
    <row r="4376" spans="1:3" ht="15.75" customHeight="1" x14ac:dyDescent="0.2">
      <c r="A4376" t="s">
        <v>285</v>
      </c>
      <c r="B4376" t="s">
        <v>495</v>
      </c>
      <c r="C4376">
        <v>21</v>
      </c>
    </row>
    <row r="4377" spans="1:3" ht="15.75" customHeight="1" x14ac:dyDescent="0.2">
      <c r="A4377" t="s">
        <v>285</v>
      </c>
      <c r="B4377" t="s">
        <v>495</v>
      </c>
      <c r="C4377">
        <v>21</v>
      </c>
    </row>
    <row r="4378" spans="1:3" ht="15.75" customHeight="1" x14ac:dyDescent="0.2">
      <c r="A4378" t="s">
        <v>285</v>
      </c>
      <c r="B4378" t="s">
        <v>495</v>
      </c>
      <c r="C4378">
        <v>21</v>
      </c>
    </row>
    <row r="4379" spans="1:3" ht="15.75" customHeight="1" x14ac:dyDescent="0.2">
      <c r="A4379" t="s">
        <v>285</v>
      </c>
      <c r="B4379" t="s">
        <v>495</v>
      </c>
      <c r="C4379">
        <v>21</v>
      </c>
    </row>
    <row r="4380" spans="1:3" ht="15.75" customHeight="1" x14ac:dyDescent="0.2">
      <c r="A4380" t="s">
        <v>285</v>
      </c>
      <c r="B4380" t="s">
        <v>495</v>
      </c>
      <c r="C4380">
        <v>21</v>
      </c>
    </row>
    <row r="4381" spans="1:3" ht="15.75" customHeight="1" x14ac:dyDescent="0.2">
      <c r="A4381" t="s">
        <v>285</v>
      </c>
      <c r="B4381" t="s">
        <v>495</v>
      </c>
      <c r="C4381">
        <v>21</v>
      </c>
    </row>
    <row r="4382" spans="1:3" ht="15.75" customHeight="1" x14ac:dyDescent="0.2">
      <c r="A4382" t="s">
        <v>285</v>
      </c>
      <c r="B4382" t="s">
        <v>495</v>
      </c>
      <c r="C4382">
        <v>21</v>
      </c>
    </row>
    <row r="4383" spans="1:3" ht="15.75" customHeight="1" x14ac:dyDescent="0.2">
      <c r="A4383" t="s">
        <v>285</v>
      </c>
      <c r="B4383" t="s">
        <v>495</v>
      </c>
      <c r="C4383">
        <v>21</v>
      </c>
    </row>
    <row r="4384" spans="1:3" ht="15.75" customHeight="1" x14ac:dyDescent="0.2">
      <c r="A4384" t="s">
        <v>285</v>
      </c>
      <c r="B4384" t="s">
        <v>495</v>
      </c>
      <c r="C4384">
        <v>21</v>
      </c>
    </row>
    <row r="4385" spans="1:3" ht="15.75" customHeight="1" x14ac:dyDescent="0.2">
      <c r="A4385" t="s">
        <v>285</v>
      </c>
      <c r="B4385" t="s">
        <v>495</v>
      </c>
      <c r="C4385">
        <v>21</v>
      </c>
    </row>
    <row r="4386" spans="1:3" ht="15.75" customHeight="1" x14ac:dyDescent="0.2">
      <c r="A4386" t="s">
        <v>285</v>
      </c>
      <c r="B4386" t="s">
        <v>495</v>
      </c>
      <c r="C4386">
        <v>21</v>
      </c>
    </row>
    <row r="4387" spans="1:3" ht="15.75" customHeight="1" x14ac:dyDescent="0.2">
      <c r="A4387" t="s">
        <v>285</v>
      </c>
      <c r="B4387" t="s">
        <v>495</v>
      </c>
      <c r="C4387">
        <v>21</v>
      </c>
    </row>
    <row r="4388" spans="1:3" ht="15.75" customHeight="1" x14ac:dyDescent="0.2">
      <c r="A4388" t="s">
        <v>285</v>
      </c>
      <c r="B4388" t="s">
        <v>495</v>
      </c>
      <c r="C4388">
        <v>21</v>
      </c>
    </row>
    <row r="4389" spans="1:3" ht="15.75" customHeight="1" x14ac:dyDescent="0.2">
      <c r="A4389" t="s">
        <v>285</v>
      </c>
      <c r="B4389" t="s">
        <v>495</v>
      </c>
      <c r="C4389">
        <v>21</v>
      </c>
    </row>
    <row r="4390" spans="1:3" ht="15.75" customHeight="1" x14ac:dyDescent="0.2">
      <c r="A4390" t="s">
        <v>285</v>
      </c>
      <c r="B4390" t="s">
        <v>495</v>
      </c>
      <c r="C4390">
        <v>21</v>
      </c>
    </row>
    <row r="4391" spans="1:3" ht="15.75" customHeight="1" x14ac:dyDescent="0.2">
      <c r="A4391" t="s">
        <v>285</v>
      </c>
      <c r="B4391" t="s">
        <v>495</v>
      </c>
      <c r="C4391">
        <v>21</v>
      </c>
    </row>
    <row r="4392" spans="1:3" ht="15.75" customHeight="1" x14ac:dyDescent="0.2">
      <c r="A4392" t="s">
        <v>285</v>
      </c>
      <c r="B4392" t="s">
        <v>495</v>
      </c>
      <c r="C4392">
        <v>21</v>
      </c>
    </row>
    <row r="4393" spans="1:3" ht="15.75" customHeight="1" x14ac:dyDescent="0.2">
      <c r="A4393" t="s">
        <v>285</v>
      </c>
      <c r="B4393" t="s">
        <v>495</v>
      </c>
      <c r="C4393">
        <v>21</v>
      </c>
    </row>
    <row r="4394" spans="1:3" ht="15.75" customHeight="1" x14ac:dyDescent="0.2">
      <c r="A4394" t="s">
        <v>285</v>
      </c>
      <c r="B4394" t="s">
        <v>495</v>
      </c>
      <c r="C4394">
        <v>21</v>
      </c>
    </row>
    <row r="4395" spans="1:3" ht="15.75" customHeight="1" x14ac:dyDescent="0.2">
      <c r="A4395" t="s">
        <v>285</v>
      </c>
      <c r="B4395" t="s">
        <v>495</v>
      </c>
      <c r="C4395">
        <v>21</v>
      </c>
    </row>
    <row r="4396" spans="1:3" ht="15.75" customHeight="1" x14ac:dyDescent="0.2">
      <c r="A4396" t="s">
        <v>285</v>
      </c>
      <c r="B4396" t="s">
        <v>495</v>
      </c>
      <c r="C4396">
        <v>21</v>
      </c>
    </row>
    <row r="4397" spans="1:3" ht="15.75" customHeight="1" x14ac:dyDescent="0.2">
      <c r="A4397" t="s">
        <v>285</v>
      </c>
      <c r="B4397" t="s">
        <v>495</v>
      </c>
      <c r="C4397">
        <v>21</v>
      </c>
    </row>
    <row r="4398" spans="1:3" ht="15.75" customHeight="1" x14ac:dyDescent="0.2">
      <c r="A4398" t="s">
        <v>285</v>
      </c>
      <c r="B4398" t="s">
        <v>498</v>
      </c>
      <c r="C4398">
        <v>22</v>
      </c>
    </row>
    <row r="4399" spans="1:3" ht="15.75" customHeight="1" x14ac:dyDescent="0.2">
      <c r="A4399" t="s">
        <v>285</v>
      </c>
      <c r="B4399" t="s">
        <v>498</v>
      </c>
      <c r="C4399">
        <v>22</v>
      </c>
    </row>
    <row r="4400" spans="1:3" ht="15.75" customHeight="1" x14ac:dyDescent="0.2">
      <c r="A4400" t="s">
        <v>285</v>
      </c>
      <c r="B4400" t="s">
        <v>498</v>
      </c>
      <c r="C4400">
        <v>22</v>
      </c>
    </row>
    <row r="4401" spans="1:3" ht="15.75" customHeight="1" x14ac:dyDescent="0.2">
      <c r="A4401" t="s">
        <v>285</v>
      </c>
      <c r="B4401" t="s">
        <v>498</v>
      </c>
      <c r="C4401">
        <v>22</v>
      </c>
    </row>
    <row r="4402" spans="1:3" ht="15.75" customHeight="1" x14ac:dyDescent="0.2">
      <c r="A4402" t="s">
        <v>285</v>
      </c>
      <c r="B4402" t="s">
        <v>498</v>
      </c>
      <c r="C4402">
        <v>22</v>
      </c>
    </row>
    <row r="4403" spans="1:3" ht="15.75" customHeight="1" x14ac:dyDescent="0.2">
      <c r="A4403" t="s">
        <v>285</v>
      </c>
      <c r="B4403" t="s">
        <v>498</v>
      </c>
      <c r="C4403">
        <v>22</v>
      </c>
    </row>
    <row r="4404" spans="1:3" ht="15.75" customHeight="1" x14ac:dyDescent="0.2">
      <c r="A4404" t="s">
        <v>285</v>
      </c>
      <c r="B4404" t="s">
        <v>498</v>
      </c>
      <c r="C4404">
        <v>22</v>
      </c>
    </row>
    <row r="4405" spans="1:3" ht="15.75" customHeight="1" x14ac:dyDescent="0.2">
      <c r="A4405" t="s">
        <v>285</v>
      </c>
      <c r="B4405" t="s">
        <v>498</v>
      </c>
      <c r="C4405">
        <v>22</v>
      </c>
    </row>
    <row r="4406" spans="1:3" ht="15.75" customHeight="1" x14ac:dyDescent="0.2">
      <c r="A4406" t="s">
        <v>285</v>
      </c>
      <c r="B4406" t="s">
        <v>498</v>
      </c>
      <c r="C4406">
        <v>22</v>
      </c>
    </row>
    <row r="4407" spans="1:3" ht="15.75" customHeight="1" x14ac:dyDescent="0.2">
      <c r="A4407" t="s">
        <v>285</v>
      </c>
      <c r="B4407" t="s">
        <v>498</v>
      </c>
      <c r="C4407">
        <v>22</v>
      </c>
    </row>
    <row r="4408" spans="1:3" ht="15.75" customHeight="1" x14ac:dyDescent="0.2">
      <c r="A4408" t="s">
        <v>285</v>
      </c>
      <c r="B4408" t="s">
        <v>498</v>
      </c>
      <c r="C4408">
        <v>22</v>
      </c>
    </row>
    <row r="4409" spans="1:3" ht="15.75" customHeight="1" x14ac:dyDescent="0.2">
      <c r="A4409" t="s">
        <v>285</v>
      </c>
      <c r="B4409" t="s">
        <v>498</v>
      </c>
      <c r="C4409">
        <v>22</v>
      </c>
    </row>
    <row r="4410" spans="1:3" ht="15.75" customHeight="1" x14ac:dyDescent="0.2">
      <c r="A4410" t="s">
        <v>285</v>
      </c>
      <c r="B4410" t="s">
        <v>498</v>
      </c>
      <c r="C4410">
        <v>22</v>
      </c>
    </row>
    <row r="4411" spans="1:3" ht="15.75" customHeight="1" x14ac:dyDescent="0.2">
      <c r="A4411" t="s">
        <v>285</v>
      </c>
      <c r="B4411" t="s">
        <v>498</v>
      </c>
      <c r="C4411">
        <v>22</v>
      </c>
    </row>
    <row r="4412" spans="1:3" ht="15.75" customHeight="1" x14ac:dyDescent="0.2">
      <c r="A4412" t="s">
        <v>285</v>
      </c>
      <c r="B4412" t="s">
        <v>498</v>
      </c>
      <c r="C4412">
        <v>22</v>
      </c>
    </row>
    <row r="4413" spans="1:3" ht="15.75" customHeight="1" x14ac:dyDescent="0.2">
      <c r="A4413" t="s">
        <v>285</v>
      </c>
      <c r="B4413" t="s">
        <v>498</v>
      </c>
      <c r="C4413">
        <v>22</v>
      </c>
    </row>
    <row r="4414" spans="1:3" ht="15.75" customHeight="1" x14ac:dyDescent="0.2">
      <c r="A4414" t="s">
        <v>285</v>
      </c>
      <c r="B4414" t="s">
        <v>498</v>
      </c>
      <c r="C4414">
        <v>22</v>
      </c>
    </row>
    <row r="4415" spans="1:3" ht="15.75" customHeight="1" x14ac:dyDescent="0.2">
      <c r="A4415" t="s">
        <v>285</v>
      </c>
      <c r="B4415" t="s">
        <v>498</v>
      </c>
      <c r="C4415">
        <v>22</v>
      </c>
    </row>
    <row r="4416" spans="1:3" ht="15.75" customHeight="1" x14ac:dyDescent="0.2">
      <c r="A4416" t="s">
        <v>285</v>
      </c>
      <c r="B4416" t="s">
        <v>498</v>
      </c>
      <c r="C4416">
        <v>22</v>
      </c>
    </row>
    <row r="4417" spans="1:3" ht="15.75" customHeight="1" x14ac:dyDescent="0.2">
      <c r="A4417" t="s">
        <v>285</v>
      </c>
      <c r="B4417" t="s">
        <v>498</v>
      </c>
      <c r="C4417">
        <v>22</v>
      </c>
    </row>
    <row r="4418" spans="1:3" ht="15.75" customHeight="1" x14ac:dyDescent="0.2">
      <c r="A4418" t="s">
        <v>285</v>
      </c>
      <c r="B4418" t="s">
        <v>498</v>
      </c>
      <c r="C4418">
        <v>22</v>
      </c>
    </row>
    <row r="4419" spans="1:3" ht="15.75" customHeight="1" x14ac:dyDescent="0.2">
      <c r="A4419" t="s">
        <v>285</v>
      </c>
      <c r="B4419" t="s">
        <v>498</v>
      </c>
      <c r="C4419">
        <v>22</v>
      </c>
    </row>
    <row r="4420" spans="1:3" ht="15.75" customHeight="1" x14ac:dyDescent="0.2">
      <c r="A4420" t="s">
        <v>285</v>
      </c>
      <c r="B4420" t="s">
        <v>498</v>
      </c>
      <c r="C4420">
        <v>22</v>
      </c>
    </row>
    <row r="4421" spans="1:3" ht="15.75" customHeight="1" x14ac:dyDescent="0.2">
      <c r="A4421" t="s">
        <v>285</v>
      </c>
      <c r="B4421" t="s">
        <v>498</v>
      </c>
      <c r="C4421">
        <v>22</v>
      </c>
    </row>
    <row r="4422" spans="1:3" ht="15.75" customHeight="1" x14ac:dyDescent="0.2">
      <c r="A4422" t="s">
        <v>285</v>
      </c>
      <c r="B4422" t="s">
        <v>498</v>
      </c>
      <c r="C4422">
        <v>22</v>
      </c>
    </row>
    <row r="4423" spans="1:3" ht="15.75" customHeight="1" x14ac:dyDescent="0.2">
      <c r="A4423" t="s">
        <v>285</v>
      </c>
      <c r="B4423" t="s">
        <v>498</v>
      </c>
      <c r="C4423">
        <v>22</v>
      </c>
    </row>
    <row r="4424" spans="1:3" ht="15.75" customHeight="1" x14ac:dyDescent="0.2">
      <c r="A4424" t="s">
        <v>285</v>
      </c>
      <c r="B4424" t="s">
        <v>498</v>
      </c>
      <c r="C4424">
        <v>22</v>
      </c>
    </row>
    <row r="4425" spans="1:3" ht="15.75" customHeight="1" x14ac:dyDescent="0.2">
      <c r="A4425" t="s">
        <v>285</v>
      </c>
      <c r="B4425" t="s">
        <v>498</v>
      </c>
      <c r="C4425">
        <v>22</v>
      </c>
    </row>
    <row r="4426" spans="1:3" ht="15.75" customHeight="1" x14ac:dyDescent="0.2">
      <c r="A4426" t="s">
        <v>285</v>
      </c>
      <c r="B4426" t="s">
        <v>498</v>
      </c>
      <c r="C4426">
        <v>22</v>
      </c>
    </row>
    <row r="4427" spans="1:3" ht="15.75" customHeight="1" x14ac:dyDescent="0.2">
      <c r="A4427" t="s">
        <v>285</v>
      </c>
      <c r="B4427" t="s">
        <v>498</v>
      </c>
      <c r="C4427">
        <v>22</v>
      </c>
    </row>
    <row r="4428" spans="1:3" ht="15.75" customHeight="1" x14ac:dyDescent="0.2">
      <c r="A4428" t="s">
        <v>285</v>
      </c>
      <c r="B4428" t="s">
        <v>498</v>
      </c>
      <c r="C4428">
        <v>22</v>
      </c>
    </row>
    <row r="4429" spans="1:3" ht="15.75" customHeight="1" x14ac:dyDescent="0.2">
      <c r="A4429" t="s">
        <v>285</v>
      </c>
      <c r="B4429" t="s">
        <v>498</v>
      </c>
      <c r="C4429">
        <v>22</v>
      </c>
    </row>
    <row r="4430" spans="1:3" ht="15.75" customHeight="1" x14ac:dyDescent="0.2">
      <c r="A4430" t="s">
        <v>285</v>
      </c>
      <c r="B4430" t="s">
        <v>498</v>
      </c>
      <c r="C4430">
        <v>22</v>
      </c>
    </row>
    <row r="4431" spans="1:3" ht="15.75" customHeight="1" x14ac:dyDescent="0.2">
      <c r="A4431" t="s">
        <v>285</v>
      </c>
      <c r="B4431" t="s">
        <v>498</v>
      </c>
      <c r="C4431">
        <v>22</v>
      </c>
    </row>
    <row r="4432" spans="1:3" ht="15.75" customHeight="1" x14ac:dyDescent="0.2">
      <c r="A4432" t="s">
        <v>285</v>
      </c>
      <c r="B4432" t="s">
        <v>498</v>
      </c>
      <c r="C4432">
        <v>22</v>
      </c>
    </row>
    <row r="4433" spans="1:3" ht="15.75" customHeight="1" x14ac:dyDescent="0.2">
      <c r="A4433" t="s">
        <v>285</v>
      </c>
      <c r="B4433" t="s">
        <v>498</v>
      </c>
      <c r="C4433">
        <v>22</v>
      </c>
    </row>
    <row r="4434" spans="1:3" ht="15.75" customHeight="1" x14ac:dyDescent="0.2">
      <c r="A4434" t="s">
        <v>285</v>
      </c>
      <c r="B4434" t="s">
        <v>498</v>
      </c>
      <c r="C4434">
        <v>22</v>
      </c>
    </row>
    <row r="4435" spans="1:3" ht="15.75" customHeight="1" x14ac:dyDescent="0.2">
      <c r="A4435" t="s">
        <v>285</v>
      </c>
      <c r="B4435" t="s">
        <v>498</v>
      </c>
      <c r="C4435">
        <v>22</v>
      </c>
    </row>
    <row r="4436" spans="1:3" ht="15.75" customHeight="1" x14ac:dyDescent="0.2">
      <c r="A4436" t="s">
        <v>285</v>
      </c>
      <c r="B4436" t="s">
        <v>498</v>
      </c>
      <c r="C4436">
        <v>22</v>
      </c>
    </row>
    <row r="4437" spans="1:3" ht="15.75" customHeight="1" x14ac:dyDescent="0.2">
      <c r="A4437" t="s">
        <v>285</v>
      </c>
      <c r="B4437" t="s">
        <v>498</v>
      </c>
      <c r="C4437">
        <v>22</v>
      </c>
    </row>
    <row r="4438" spans="1:3" ht="15.75" customHeight="1" x14ac:dyDescent="0.2">
      <c r="A4438" t="s">
        <v>285</v>
      </c>
      <c r="B4438" t="s">
        <v>498</v>
      </c>
      <c r="C4438">
        <v>22</v>
      </c>
    </row>
    <row r="4439" spans="1:3" ht="15.75" customHeight="1" x14ac:dyDescent="0.2">
      <c r="A4439" t="s">
        <v>285</v>
      </c>
      <c r="B4439" t="s">
        <v>498</v>
      </c>
      <c r="C4439">
        <v>22</v>
      </c>
    </row>
    <row r="4440" spans="1:3" ht="15.75" customHeight="1" x14ac:dyDescent="0.2">
      <c r="A4440" t="s">
        <v>285</v>
      </c>
      <c r="B4440" t="s">
        <v>498</v>
      </c>
      <c r="C4440">
        <v>22</v>
      </c>
    </row>
    <row r="4441" spans="1:3" ht="15.75" customHeight="1" x14ac:dyDescent="0.2">
      <c r="A4441" t="s">
        <v>285</v>
      </c>
      <c r="B4441" t="s">
        <v>498</v>
      </c>
      <c r="C4441">
        <v>22</v>
      </c>
    </row>
    <row r="4442" spans="1:3" ht="15.75" customHeight="1" x14ac:dyDescent="0.2">
      <c r="A4442" t="s">
        <v>285</v>
      </c>
      <c r="B4442" t="s">
        <v>498</v>
      </c>
      <c r="C4442">
        <v>22</v>
      </c>
    </row>
    <row r="4443" spans="1:3" ht="15.75" customHeight="1" x14ac:dyDescent="0.2">
      <c r="A4443" t="s">
        <v>285</v>
      </c>
      <c r="B4443" t="s">
        <v>498</v>
      </c>
      <c r="C4443">
        <v>22</v>
      </c>
    </row>
    <row r="4444" spans="1:3" ht="15.75" customHeight="1" x14ac:dyDescent="0.2">
      <c r="A4444" t="s">
        <v>285</v>
      </c>
      <c r="B4444" t="s">
        <v>498</v>
      </c>
      <c r="C4444">
        <v>22</v>
      </c>
    </row>
    <row r="4445" spans="1:3" ht="15.75" customHeight="1" x14ac:dyDescent="0.2">
      <c r="A4445" t="s">
        <v>285</v>
      </c>
      <c r="B4445" t="s">
        <v>498</v>
      </c>
      <c r="C4445">
        <v>22</v>
      </c>
    </row>
    <row r="4446" spans="1:3" ht="15.75" customHeight="1" x14ac:dyDescent="0.2">
      <c r="A4446" t="s">
        <v>285</v>
      </c>
      <c r="B4446" t="s">
        <v>498</v>
      </c>
      <c r="C4446">
        <v>22</v>
      </c>
    </row>
    <row r="4447" spans="1:3" ht="15.75" customHeight="1" x14ac:dyDescent="0.2">
      <c r="A4447" t="s">
        <v>285</v>
      </c>
      <c r="B4447" t="s">
        <v>498</v>
      </c>
      <c r="C4447">
        <v>22</v>
      </c>
    </row>
    <row r="4448" spans="1:3" ht="15.75" customHeight="1" x14ac:dyDescent="0.2">
      <c r="A4448" t="s">
        <v>285</v>
      </c>
      <c r="B4448" t="s">
        <v>498</v>
      </c>
      <c r="C4448">
        <v>22</v>
      </c>
    </row>
    <row r="4449" spans="1:3" ht="15.75" customHeight="1" x14ac:dyDescent="0.2">
      <c r="A4449" t="s">
        <v>285</v>
      </c>
      <c r="B4449" t="s">
        <v>498</v>
      </c>
      <c r="C4449">
        <v>22</v>
      </c>
    </row>
    <row r="4450" spans="1:3" ht="15.75" customHeight="1" x14ac:dyDescent="0.2">
      <c r="A4450" t="s">
        <v>285</v>
      </c>
      <c r="B4450" t="s">
        <v>498</v>
      </c>
      <c r="C4450">
        <v>22</v>
      </c>
    </row>
    <row r="4451" spans="1:3" ht="15.75" customHeight="1" x14ac:dyDescent="0.2">
      <c r="A4451" t="s">
        <v>285</v>
      </c>
      <c r="B4451" t="s">
        <v>498</v>
      </c>
      <c r="C4451">
        <v>22</v>
      </c>
    </row>
    <row r="4452" spans="1:3" ht="15.75" customHeight="1" x14ac:dyDescent="0.2">
      <c r="A4452" t="s">
        <v>285</v>
      </c>
      <c r="B4452" t="s">
        <v>498</v>
      </c>
      <c r="C4452">
        <v>22</v>
      </c>
    </row>
    <row r="4453" spans="1:3" ht="15.75" customHeight="1" x14ac:dyDescent="0.2">
      <c r="A4453" t="s">
        <v>285</v>
      </c>
      <c r="B4453" t="s">
        <v>498</v>
      </c>
      <c r="C4453">
        <v>22</v>
      </c>
    </row>
    <row r="4454" spans="1:3" ht="15.75" customHeight="1" x14ac:dyDescent="0.2">
      <c r="A4454" t="s">
        <v>285</v>
      </c>
      <c r="B4454" t="s">
        <v>498</v>
      </c>
      <c r="C4454">
        <v>22</v>
      </c>
    </row>
    <row r="4455" spans="1:3" ht="15.75" customHeight="1" x14ac:dyDescent="0.2">
      <c r="A4455" t="s">
        <v>285</v>
      </c>
      <c r="B4455" t="s">
        <v>498</v>
      </c>
      <c r="C4455">
        <v>22</v>
      </c>
    </row>
    <row r="4456" spans="1:3" ht="15.75" customHeight="1" x14ac:dyDescent="0.2">
      <c r="A4456" t="s">
        <v>285</v>
      </c>
      <c r="B4456" t="s">
        <v>498</v>
      </c>
      <c r="C4456">
        <v>22</v>
      </c>
    </row>
    <row r="4457" spans="1:3" ht="15.75" customHeight="1" x14ac:dyDescent="0.2">
      <c r="A4457" t="s">
        <v>285</v>
      </c>
      <c r="B4457" t="s">
        <v>498</v>
      </c>
      <c r="C4457">
        <v>22</v>
      </c>
    </row>
    <row r="4458" spans="1:3" ht="15.75" customHeight="1" x14ac:dyDescent="0.2">
      <c r="A4458" t="s">
        <v>285</v>
      </c>
      <c r="B4458" t="s">
        <v>498</v>
      </c>
      <c r="C4458">
        <v>22</v>
      </c>
    </row>
    <row r="4459" spans="1:3" ht="15.75" customHeight="1" x14ac:dyDescent="0.2">
      <c r="A4459" t="s">
        <v>285</v>
      </c>
      <c r="B4459" t="s">
        <v>498</v>
      </c>
      <c r="C4459">
        <v>22</v>
      </c>
    </row>
    <row r="4460" spans="1:3" ht="15.75" customHeight="1" x14ac:dyDescent="0.2">
      <c r="A4460" t="s">
        <v>285</v>
      </c>
      <c r="B4460" t="s">
        <v>498</v>
      </c>
      <c r="C4460">
        <v>22</v>
      </c>
    </row>
    <row r="4461" spans="1:3" ht="15.75" customHeight="1" x14ac:dyDescent="0.2">
      <c r="A4461" t="s">
        <v>285</v>
      </c>
      <c r="B4461" t="s">
        <v>498</v>
      </c>
      <c r="C4461">
        <v>22</v>
      </c>
    </row>
    <row r="4462" spans="1:3" ht="15.75" customHeight="1" x14ac:dyDescent="0.2">
      <c r="A4462" t="s">
        <v>285</v>
      </c>
      <c r="B4462" t="s">
        <v>498</v>
      </c>
      <c r="C4462">
        <v>22</v>
      </c>
    </row>
    <row r="4463" spans="1:3" ht="15.75" customHeight="1" x14ac:dyDescent="0.2">
      <c r="A4463" t="s">
        <v>285</v>
      </c>
      <c r="B4463" t="s">
        <v>498</v>
      </c>
      <c r="C4463">
        <v>22</v>
      </c>
    </row>
    <row r="4464" spans="1:3" ht="15.75" customHeight="1" x14ac:dyDescent="0.2">
      <c r="A4464" t="s">
        <v>285</v>
      </c>
      <c r="B4464" t="s">
        <v>498</v>
      </c>
      <c r="C4464">
        <v>22</v>
      </c>
    </row>
    <row r="4465" spans="1:3" ht="15.75" customHeight="1" x14ac:dyDescent="0.2">
      <c r="A4465" t="s">
        <v>285</v>
      </c>
      <c r="B4465" t="s">
        <v>498</v>
      </c>
      <c r="C4465">
        <v>22</v>
      </c>
    </row>
    <row r="4466" spans="1:3" ht="15.75" customHeight="1" x14ac:dyDescent="0.2">
      <c r="A4466" t="s">
        <v>285</v>
      </c>
      <c r="B4466" t="s">
        <v>498</v>
      </c>
      <c r="C4466">
        <v>22</v>
      </c>
    </row>
    <row r="4467" spans="1:3" ht="15.75" customHeight="1" x14ac:dyDescent="0.2">
      <c r="A4467" t="s">
        <v>285</v>
      </c>
      <c r="B4467" t="s">
        <v>498</v>
      </c>
      <c r="C4467">
        <v>22</v>
      </c>
    </row>
    <row r="4468" spans="1:3" ht="15.75" customHeight="1" x14ac:dyDescent="0.2">
      <c r="A4468" t="s">
        <v>285</v>
      </c>
      <c r="B4468" t="s">
        <v>498</v>
      </c>
      <c r="C4468">
        <v>22</v>
      </c>
    </row>
    <row r="4469" spans="1:3" ht="15.75" customHeight="1" x14ac:dyDescent="0.2">
      <c r="A4469" t="s">
        <v>285</v>
      </c>
      <c r="B4469" t="s">
        <v>498</v>
      </c>
      <c r="C4469">
        <v>22</v>
      </c>
    </row>
    <row r="4470" spans="1:3" ht="15.75" customHeight="1" x14ac:dyDescent="0.2">
      <c r="A4470" t="s">
        <v>285</v>
      </c>
      <c r="B4470" t="s">
        <v>498</v>
      </c>
      <c r="C4470">
        <v>22</v>
      </c>
    </row>
    <row r="4471" spans="1:3" ht="15.75" customHeight="1" x14ac:dyDescent="0.2">
      <c r="A4471" t="s">
        <v>285</v>
      </c>
      <c r="B4471" t="s">
        <v>498</v>
      </c>
      <c r="C4471">
        <v>22</v>
      </c>
    </row>
    <row r="4472" spans="1:3" ht="15.75" customHeight="1" x14ac:dyDescent="0.2">
      <c r="A4472" t="s">
        <v>285</v>
      </c>
      <c r="B4472" t="s">
        <v>498</v>
      </c>
      <c r="C4472">
        <v>22</v>
      </c>
    </row>
    <row r="4473" spans="1:3" ht="15.75" customHeight="1" x14ac:dyDescent="0.2">
      <c r="A4473" t="s">
        <v>285</v>
      </c>
      <c r="B4473" t="s">
        <v>498</v>
      </c>
      <c r="C4473">
        <v>22</v>
      </c>
    </row>
    <row r="4474" spans="1:3" ht="15.75" customHeight="1" x14ac:dyDescent="0.2">
      <c r="A4474" t="s">
        <v>285</v>
      </c>
      <c r="B4474" t="s">
        <v>498</v>
      </c>
      <c r="C4474">
        <v>22</v>
      </c>
    </row>
    <row r="4475" spans="1:3" ht="15.75" customHeight="1" x14ac:dyDescent="0.2">
      <c r="A4475" t="s">
        <v>285</v>
      </c>
      <c r="B4475" t="s">
        <v>498</v>
      </c>
      <c r="C4475">
        <v>22</v>
      </c>
    </row>
    <row r="4476" spans="1:3" ht="15.75" customHeight="1" x14ac:dyDescent="0.2">
      <c r="A4476" t="s">
        <v>285</v>
      </c>
      <c r="B4476" t="s">
        <v>498</v>
      </c>
      <c r="C4476">
        <v>22</v>
      </c>
    </row>
    <row r="4477" spans="1:3" ht="15.75" customHeight="1" x14ac:dyDescent="0.2">
      <c r="A4477" t="s">
        <v>285</v>
      </c>
      <c r="B4477" t="s">
        <v>498</v>
      </c>
      <c r="C4477">
        <v>22</v>
      </c>
    </row>
    <row r="4478" spans="1:3" ht="15.75" customHeight="1" x14ac:dyDescent="0.2">
      <c r="A4478" t="s">
        <v>285</v>
      </c>
      <c r="B4478" t="s">
        <v>498</v>
      </c>
      <c r="C4478">
        <v>22</v>
      </c>
    </row>
    <row r="4479" spans="1:3" ht="15.75" customHeight="1" x14ac:dyDescent="0.2">
      <c r="A4479" t="s">
        <v>285</v>
      </c>
      <c r="B4479" t="s">
        <v>498</v>
      </c>
      <c r="C4479">
        <v>22</v>
      </c>
    </row>
    <row r="4480" spans="1:3" ht="15.75" customHeight="1" x14ac:dyDescent="0.2">
      <c r="A4480" t="s">
        <v>285</v>
      </c>
      <c r="B4480" t="s">
        <v>498</v>
      </c>
      <c r="C4480">
        <v>22</v>
      </c>
    </row>
    <row r="4481" spans="1:3" ht="15.75" customHeight="1" x14ac:dyDescent="0.2">
      <c r="A4481" t="s">
        <v>285</v>
      </c>
      <c r="B4481" t="s">
        <v>498</v>
      </c>
      <c r="C4481">
        <v>22</v>
      </c>
    </row>
    <row r="4482" spans="1:3" ht="15.75" customHeight="1" x14ac:dyDescent="0.2">
      <c r="A4482" t="s">
        <v>285</v>
      </c>
      <c r="B4482" t="s">
        <v>498</v>
      </c>
      <c r="C4482">
        <v>22</v>
      </c>
    </row>
    <row r="4483" spans="1:3" ht="15.75" customHeight="1" x14ac:dyDescent="0.2">
      <c r="A4483" t="s">
        <v>285</v>
      </c>
      <c r="B4483" t="s">
        <v>498</v>
      </c>
      <c r="C4483">
        <v>22</v>
      </c>
    </row>
    <row r="4484" spans="1:3" ht="15.75" customHeight="1" x14ac:dyDescent="0.2">
      <c r="A4484" t="s">
        <v>285</v>
      </c>
      <c r="B4484" t="s">
        <v>498</v>
      </c>
      <c r="C4484">
        <v>22</v>
      </c>
    </row>
    <row r="4485" spans="1:3" ht="15.75" customHeight="1" x14ac:dyDescent="0.2">
      <c r="A4485" t="s">
        <v>285</v>
      </c>
      <c r="B4485" t="s">
        <v>498</v>
      </c>
      <c r="C4485">
        <v>22</v>
      </c>
    </row>
    <row r="4486" spans="1:3" ht="15.75" customHeight="1" x14ac:dyDescent="0.2">
      <c r="A4486" t="s">
        <v>285</v>
      </c>
      <c r="B4486" t="s">
        <v>498</v>
      </c>
      <c r="C4486">
        <v>22</v>
      </c>
    </row>
    <row r="4487" spans="1:3" ht="15.75" customHeight="1" x14ac:dyDescent="0.2">
      <c r="A4487" t="s">
        <v>285</v>
      </c>
      <c r="B4487" t="s">
        <v>498</v>
      </c>
      <c r="C4487">
        <v>22</v>
      </c>
    </row>
    <row r="4488" spans="1:3" ht="15.75" customHeight="1" x14ac:dyDescent="0.2">
      <c r="A4488" t="s">
        <v>285</v>
      </c>
      <c r="B4488" t="s">
        <v>498</v>
      </c>
      <c r="C4488">
        <v>22</v>
      </c>
    </row>
    <row r="4489" spans="1:3" ht="15.75" customHeight="1" x14ac:dyDescent="0.2">
      <c r="A4489" t="s">
        <v>285</v>
      </c>
      <c r="B4489" t="s">
        <v>498</v>
      </c>
      <c r="C4489">
        <v>22</v>
      </c>
    </row>
    <row r="4490" spans="1:3" ht="15.75" customHeight="1" x14ac:dyDescent="0.2">
      <c r="A4490" t="s">
        <v>285</v>
      </c>
      <c r="B4490" t="s">
        <v>498</v>
      </c>
      <c r="C4490">
        <v>22</v>
      </c>
    </row>
    <row r="4491" spans="1:3" ht="15.75" customHeight="1" x14ac:dyDescent="0.2">
      <c r="A4491" t="s">
        <v>285</v>
      </c>
      <c r="B4491" t="s">
        <v>498</v>
      </c>
      <c r="C4491">
        <v>22</v>
      </c>
    </row>
    <row r="4492" spans="1:3" ht="15.75" customHeight="1" x14ac:dyDescent="0.2">
      <c r="A4492" t="s">
        <v>285</v>
      </c>
      <c r="B4492" t="s">
        <v>498</v>
      </c>
      <c r="C4492">
        <v>22</v>
      </c>
    </row>
    <row r="4493" spans="1:3" ht="15.75" customHeight="1" x14ac:dyDescent="0.2">
      <c r="A4493" t="s">
        <v>285</v>
      </c>
      <c r="B4493" t="s">
        <v>498</v>
      </c>
      <c r="C4493">
        <v>22</v>
      </c>
    </row>
    <row r="4494" spans="1:3" ht="15.75" customHeight="1" x14ac:dyDescent="0.2">
      <c r="A4494" t="s">
        <v>285</v>
      </c>
      <c r="B4494" t="s">
        <v>498</v>
      </c>
      <c r="C4494">
        <v>22</v>
      </c>
    </row>
    <row r="4495" spans="1:3" ht="15.75" customHeight="1" x14ac:dyDescent="0.2">
      <c r="A4495" t="s">
        <v>285</v>
      </c>
      <c r="B4495" t="s">
        <v>498</v>
      </c>
      <c r="C4495">
        <v>22</v>
      </c>
    </row>
    <row r="4496" spans="1:3" ht="15.75" customHeight="1" x14ac:dyDescent="0.2">
      <c r="A4496" t="s">
        <v>285</v>
      </c>
      <c r="B4496" t="s">
        <v>498</v>
      </c>
      <c r="C4496">
        <v>22</v>
      </c>
    </row>
    <row r="4497" spans="1:3" ht="15.75" customHeight="1" x14ac:dyDescent="0.2">
      <c r="A4497" t="s">
        <v>285</v>
      </c>
      <c r="B4497" t="s">
        <v>498</v>
      </c>
      <c r="C4497">
        <v>22</v>
      </c>
    </row>
    <row r="4498" spans="1:3" ht="15.75" customHeight="1" x14ac:dyDescent="0.2">
      <c r="A4498" t="s">
        <v>285</v>
      </c>
      <c r="B4498" t="s">
        <v>498</v>
      </c>
      <c r="C4498">
        <v>22</v>
      </c>
    </row>
    <row r="4499" spans="1:3" ht="15.75" customHeight="1" x14ac:dyDescent="0.2">
      <c r="A4499" t="s">
        <v>285</v>
      </c>
      <c r="B4499" t="s">
        <v>498</v>
      </c>
      <c r="C4499">
        <v>22</v>
      </c>
    </row>
    <row r="4500" spans="1:3" ht="15.75" customHeight="1" x14ac:dyDescent="0.2">
      <c r="A4500" t="s">
        <v>285</v>
      </c>
      <c r="B4500" t="s">
        <v>498</v>
      </c>
      <c r="C4500">
        <v>22</v>
      </c>
    </row>
    <row r="4501" spans="1:3" ht="15.75" customHeight="1" x14ac:dyDescent="0.2">
      <c r="A4501" t="s">
        <v>285</v>
      </c>
      <c r="B4501" t="s">
        <v>498</v>
      </c>
      <c r="C4501">
        <v>22</v>
      </c>
    </row>
    <row r="4502" spans="1:3" ht="15.75" customHeight="1" x14ac:dyDescent="0.2">
      <c r="A4502" t="s">
        <v>285</v>
      </c>
      <c r="B4502" t="s">
        <v>498</v>
      </c>
      <c r="C4502">
        <v>22</v>
      </c>
    </row>
    <row r="4503" spans="1:3" ht="15.75" customHeight="1" x14ac:dyDescent="0.2">
      <c r="A4503" t="s">
        <v>285</v>
      </c>
      <c r="B4503" t="s">
        <v>498</v>
      </c>
      <c r="C4503">
        <v>22</v>
      </c>
    </row>
    <row r="4504" spans="1:3" ht="15.75" customHeight="1" x14ac:dyDescent="0.2">
      <c r="A4504" t="s">
        <v>285</v>
      </c>
      <c r="B4504" t="s">
        <v>498</v>
      </c>
      <c r="C4504">
        <v>22</v>
      </c>
    </row>
    <row r="4505" spans="1:3" ht="15.75" customHeight="1" x14ac:dyDescent="0.2">
      <c r="A4505" t="s">
        <v>285</v>
      </c>
      <c r="B4505" t="s">
        <v>498</v>
      </c>
      <c r="C4505">
        <v>22</v>
      </c>
    </row>
    <row r="4506" spans="1:3" ht="15.75" customHeight="1" x14ac:dyDescent="0.2">
      <c r="A4506" t="s">
        <v>285</v>
      </c>
      <c r="B4506" t="s">
        <v>498</v>
      </c>
      <c r="C4506">
        <v>22</v>
      </c>
    </row>
    <row r="4507" spans="1:3" ht="15.75" customHeight="1" x14ac:dyDescent="0.2">
      <c r="A4507" t="s">
        <v>285</v>
      </c>
      <c r="B4507" t="s">
        <v>498</v>
      </c>
      <c r="C4507">
        <v>22</v>
      </c>
    </row>
    <row r="4508" spans="1:3" ht="15.75" customHeight="1" x14ac:dyDescent="0.2">
      <c r="A4508" t="s">
        <v>285</v>
      </c>
      <c r="B4508" t="s">
        <v>498</v>
      </c>
      <c r="C4508">
        <v>22</v>
      </c>
    </row>
    <row r="4509" spans="1:3" ht="15.75" customHeight="1" x14ac:dyDescent="0.2">
      <c r="A4509" t="s">
        <v>285</v>
      </c>
      <c r="B4509" t="s">
        <v>498</v>
      </c>
      <c r="C4509">
        <v>22</v>
      </c>
    </row>
    <row r="4510" spans="1:3" ht="15.75" customHeight="1" x14ac:dyDescent="0.2">
      <c r="A4510" t="s">
        <v>285</v>
      </c>
      <c r="B4510" t="s">
        <v>498</v>
      </c>
      <c r="C4510">
        <v>22</v>
      </c>
    </row>
    <row r="4511" spans="1:3" ht="15.75" customHeight="1" x14ac:dyDescent="0.2">
      <c r="A4511" t="s">
        <v>285</v>
      </c>
      <c r="B4511" t="s">
        <v>498</v>
      </c>
      <c r="C4511">
        <v>22</v>
      </c>
    </row>
    <row r="4512" spans="1:3" ht="15.75" customHeight="1" x14ac:dyDescent="0.2">
      <c r="A4512" t="s">
        <v>285</v>
      </c>
      <c r="B4512" t="s">
        <v>498</v>
      </c>
      <c r="C4512">
        <v>22</v>
      </c>
    </row>
    <row r="4513" spans="1:3" ht="15.75" customHeight="1" x14ac:dyDescent="0.2">
      <c r="A4513" t="s">
        <v>285</v>
      </c>
      <c r="B4513" t="s">
        <v>498</v>
      </c>
      <c r="C4513">
        <v>22</v>
      </c>
    </row>
    <row r="4514" spans="1:3" ht="15.75" customHeight="1" x14ac:dyDescent="0.2">
      <c r="A4514" t="s">
        <v>285</v>
      </c>
      <c r="B4514" t="s">
        <v>498</v>
      </c>
      <c r="C4514">
        <v>22</v>
      </c>
    </row>
    <row r="4515" spans="1:3" ht="15.75" customHeight="1" x14ac:dyDescent="0.2">
      <c r="A4515" t="s">
        <v>285</v>
      </c>
      <c r="B4515" t="s">
        <v>498</v>
      </c>
      <c r="C4515">
        <v>22</v>
      </c>
    </row>
    <row r="4516" spans="1:3" ht="15.75" customHeight="1" x14ac:dyDescent="0.2">
      <c r="A4516" t="s">
        <v>285</v>
      </c>
      <c r="B4516" t="s">
        <v>498</v>
      </c>
      <c r="C4516">
        <v>22</v>
      </c>
    </row>
    <row r="4517" spans="1:3" ht="15.75" customHeight="1" x14ac:dyDescent="0.2">
      <c r="A4517" t="s">
        <v>285</v>
      </c>
      <c r="B4517" t="s">
        <v>498</v>
      </c>
      <c r="C4517">
        <v>22</v>
      </c>
    </row>
    <row r="4518" spans="1:3" ht="15.75" customHeight="1" x14ac:dyDescent="0.2">
      <c r="A4518" t="s">
        <v>285</v>
      </c>
      <c r="B4518" t="s">
        <v>498</v>
      </c>
      <c r="C4518">
        <v>22</v>
      </c>
    </row>
    <row r="4519" spans="1:3" ht="15.75" customHeight="1" x14ac:dyDescent="0.2">
      <c r="A4519" t="s">
        <v>285</v>
      </c>
      <c r="B4519" t="s">
        <v>498</v>
      </c>
      <c r="C4519">
        <v>22</v>
      </c>
    </row>
    <row r="4520" spans="1:3" ht="15.75" customHeight="1" x14ac:dyDescent="0.2">
      <c r="A4520" t="s">
        <v>285</v>
      </c>
      <c r="B4520" t="s">
        <v>498</v>
      </c>
      <c r="C4520">
        <v>22</v>
      </c>
    </row>
    <row r="4521" spans="1:3" ht="15.75" customHeight="1" x14ac:dyDescent="0.2">
      <c r="A4521" t="s">
        <v>285</v>
      </c>
      <c r="B4521" t="s">
        <v>498</v>
      </c>
      <c r="C4521">
        <v>22</v>
      </c>
    </row>
    <row r="4522" spans="1:3" ht="15.75" customHeight="1" x14ac:dyDescent="0.2">
      <c r="A4522" t="s">
        <v>285</v>
      </c>
      <c r="B4522" t="s">
        <v>498</v>
      </c>
      <c r="C4522">
        <v>22</v>
      </c>
    </row>
    <row r="4523" spans="1:3" ht="15.75" customHeight="1" x14ac:dyDescent="0.2">
      <c r="A4523" t="s">
        <v>285</v>
      </c>
      <c r="B4523" t="s">
        <v>498</v>
      </c>
      <c r="C4523">
        <v>22</v>
      </c>
    </row>
    <row r="4524" spans="1:3" ht="15.75" customHeight="1" x14ac:dyDescent="0.2">
      <c r="A4524" t="s">
        <v>285</v>
      </c>
      <c r="B4524" t="s">
        <v>498</v>
      </c>
      <c r="C4524">
        <v>22</v>
      </c>
    </row>
    <row r="4525" spans="1:3" ht="15.75" customHeight="1" x14ac:dyDescent="0.2">
      <c r="A4525" t="s">
        <v>285</v>
      </c>
      <c r="B4525" t="s">
        <v>498</v>
      </c>
      <c r="C4525">
        <v>22</v>
      </c>
    </row>
    <row r="4526" spans="1:3" ht="15.75" customHeight="1" x14ac:dyDescent="0.2">
      <c r="A4526" t="s">
        <v>285</v>
      </c>
      <c r="B4526" t="s">
        <v>498</v>
      </c>
      <c r="C4526">
        <v>22</v>
      </c>
    </row>
    <row r="4527" spans="1:3" ht="15.75" customHeight="1" x14ac:dyDescent="0.2">
      <c r="A4527" t="s">
        <v>285</v>
      </c>
      <c r="B4527" t="s">
        <v>498</v>
      </c>
      <c r="C4527">
        <v>22</v>
      </c>
    </row>
    <row r="4528" spans="1:3" ht="15.75" customHeight="1" x14ac:dyDescent="0.2">
      <c r="A4528" t="s">
        <v>285</v>
      </c>
      <c r="B4528" t="s">
        <v>498</v>
      </c>
      <c r="C4528">
        <v>22</v>
      </c>
    </row>
    <row r="4529" spans="1:3" ht="15.75" customHeight="1" x14ac:dyDescent="0.2">
      <c r="A4529" t="s">
        <v>285</v>
      </c>
      <c r="B4529" t="s">
        <v>498</v>
      </c>
      <c r="C4529">
        <v>22</v>
      </c>
    </row>
    <row r="4530" spans="1:3" ht="15.75" customHeight="1" x14ac:dyDescent="0.2">
      <c r="A4530" t="s">
        <v>285</v>
      </c>
      <c r="B4530" t="s">
        <v>498</v>
      </c>
      <c r="C4530">
        <v>22</v>
      </c>
    </row>
    <row r="4531" spans="1:3" ht="15.75" customHeight="1" x14ac:dyDescent="0.2">
      <c r="A4531" t="s">
        <v>285</v>
      </c>
      <c r="B4531" t="s">
        <v>498</v>
      </c>
      <c r="C4531">
        <v>22</v>
      </c>
    </row>
    <row r="4532" spans="1:3" ht="15.75" customHeight="1" x14ac:dyDescent="0.2">
      <c r="A4532" t="s">
        <v>285</v>
      </c>
      <c r="B4532" t="s">
        <v>498</v>
      </c>
      <c r="C4532">
        <v>22</v>
      </c>
    </row>
    <row r="4533" spans="1:3" ht="15.75" customHeight="1" x14ac:dyDescent="0.2">
      <c r="A4533" t="s">
        <v>285</v>
      </c>
      <c r="B4533" t="s">
        <v>498</v>
      </c>
      <c r="C4533">
        <v>22</v>
      </c>
    </row>
    <row r="4534" spans="1:3" ht="15.75" customHeight="1" x14ac:dyDescent="0.2">
      <c r="A4534" t="s">
        <v>285</v>
      </c>
      <c r="B4534" t="s">
        <v>498</v>
      </c>
      <c r="C4534">
        <v>22</v>
      </c>
    </row>
    <row r="4535" spans="1:3" ht="15.75" customHeight="1" x14ac:dyDescent="0.2">
      <c r="A4535" t="s">
        <v>285</v>
      </c>
      <c r="B4535" t="s">
        <v>498</v>
      </c>
      <c r="C4535">
        <v>22</v>
      </c>
    </row>
    <row r="4536" spans="1:3" ht="15.75" customHeight="1" x14ac:dyDescent="0.2">
      <c r="A4536" t="s">
        <v>285</v>
      </c>
      <c r="B4536" t="s">
        <v>498</v>
      </c>
      <c r="C4536">
        <v>22</v>
      </c>
    </row>
    <row r="4537" spans="1:3" ht="15.75" customHeight="1" x14ac:dyDescent="0.2">
      <c r="A4537" t="s">
        <v>285</v>
      </c>
      <c r="B4537" t="s">
        <v>498</v>
      </c>
      <c r="C4537">
        <v>22</v>
      </c>
    </row>
    <row r="4538" spans="1:3" ht="15.75" customHeight="1" x14ac:dyDescent="0.2">
      <c r="A4538" t="s">
        <v>285</v>
      </c>
      <c r="B4538" t="s">
        <v>498</v>
      </c>
      <c r="C4538">
        <v>22</v>
      </c>
    </row>
    <row r="4539" spans="1:3" ht="15.75" customHeight="1" x14ac:dyDescent="0.2">
      <c r="A4539" t="s">
        <v>285</v>
      </c>
      <c r="B4539" t="s">
        <v>498</v>
      </c>
      <c r="C4539">
        <v>22</v>
      </c>
    </row>
    <row r="4540" spans="1:3" ht="15.75" customHeight="1" x14ac:dyDescent="0.2">
      <c r="A4540" t="s">
        <v>285</v>
      </c>
      <c r="B4540" t="s">
        <v>498</v>
      </c>
      <c r="C4540">
        <v>22</v>
      </c>
    </row>
    <row r="4541" spans="1:3" ht="15.75" customHeight="1" x14ac:dyDescent="0.2">
      <c r="A4541" t="s">
        <v>285</v>
      </c>
      <c r="B4541" t="s">
        <v>498</v>
      </c>
      <c r="C4541">
        <v>22</v>
      </c>
    </row>
    <row r="4542" spans="1:3" ht="15.75" customHeight="1" x14ac:dyDescent="0.2">
      <c r="A4542" t="s">
        <v>285</v>
      </c>
      <c r="B4542" t="s">
        <v>498</v>
      </c>
      <c r="C4542">
        <v>22</v>
      </c>
    </row>
    <row r="4543" spans="1:3" ht="15.75" customHeight="1" x14ac:dyDescent="0.2">
      <c r="A4543" t="s">
        <v>285</v>
      </c>
      <c r="B4543" t="s">
        <v>498</v>
      </c>
      <c r="C4543">
        <v>22</v>
      </c>
    </row>
    <row r="4544" spans="1:3" ht="15.75" customHeight="1" x14ac:dyDescent="0.2">
      <c r="A4544" t="s">
        <v>285</v>
      </c>
      <c r="B4544" t="s">
        <v>498</v>
      </c>
      <c r="C4544">
        <v>22</v>
      </c>
    </row>
    <row r="4545" spans="1:3" ht="15.75" customHeight="1" x14ac:dyDescent="0.2">
      <c r="A4545" t="s">
        <v>285</v>
      </c>
      <c r="B4545" t="s">
        <v>498</v>
      </c>
      <c r="C4545">
        <v>22</v>
      </c>
    </row>
    <row r="4546" spans="1:3" ht="15.75" customHeight="1" x14ac:dyDescent="0.2">
      <c r="A4546" t="s">
        <v>285</v>
      </c>
      <c r="B4546" t="s">
        <v>498</v>
      </c>
      <c r="C4546">
        <v>22</v>
      </c>
    </row>
    <row r="4547" spans="1:3" ht="15.75" customHeight="1" x14ac:dyDescent="0.2">
      <c r="A4547" t="s">
        <v>285</v>
      </c>
      <c r="B4547" t="s">
        <v>498</v>
      </c>
      <c r="C4547">
        <v>22</v>
      </c>
    </row>
    <row r="4548" spans="1:3" ht="15.75" customHeight="1" x14ac:dyDescent="0.2">
      <c r="A4548" t="s">
        <v>285</v>
      </c>
      <c r="B4548" t="s">
        <v>498</v>
      </c>
      <c r="C4548">
        <v>22</v>
      </c>
    </row>
    <row r="4549" spans="1:3" ht="15.75" customHeight="1" x14ac:dyDescent="0.2">
      <c r="A4549" t="s">
        <v>285</v>
      </c>
      <c r="B4549" t="s">
        <v>498</v>
      </c>
      <c r="C4549">
        <v>22</v>
      </c>
    </row>
    <row r="4550" spans="1:3" ht="15.75" customHeight="1" x14ac:dyDescent="0.2">
      <c r="A4550" t="s">
        <v>285</v>
      </c>
      <c r="B4550" t="s">
        <v>498</v>
      </c>
      <c r="C4550">
        <v>22</v>
      </c>
    </row>
    <row r="4551" spans="1:3" ht="15.75" customHeight="1" x14ac:dyDescent="0.2">
      <c r="A4551" t="s">
        <v>285</v>
      </c>
      <c r="B4551" t="s">
        <v>498</v>
      </c>
      <c r="C4551">
        <v>22</v>
      </c>
    </row>
    <row r="4552" spans="1:3" ht="15.75" customHeight="1" x14ac:dyDescent="0.2">
      <c r="A4552" t="s">
        <v>285</v>
      </c>
      <c r="B4552" t="s">
        <v>498</v>
      </c>
      <c r="C4552">
        <v>22</v>
      </c>
    </row>
    <row r="4553" spans="1:3" ht="15.75" customHeight="1" x14ac:dyDescent="0.2">
      <c r="A4553" t="s">
        <v>285</v>
      </c>
      <c r="B4553" t="s">
        <v>498</v>
      </c>
      <c r="C4553">
        <v>22</v>
      </c>
    </row>
    <row r="4554" spans="1:3" ht="15.75" customHeight="1" x14ac:dyDescent="0.2">
      <c r="A4554" t="s">
        <v>285</v>
      </c>
      <c r="B4554" t="s">
        <v>498</v>
      </c>
      <c r="C4554">
        <v>22</v>
      </c>
    </row>
    <row r="4555" spans="1:3" ht="15.75" customHeight="1" x14ac:dyDescent="0.2">
      <c r="A4555" t="s">
        <v>285</v>
      </c>
      <c r="B4555" t="s">
        <v>498</v>
      </c>
      <c r="C4555">
        <v>22</v>
      </c>
    </row>
    <row r="4556" spans="1:3" ht="15.75" customHeight="1" x14ac:dyDescent="0.2">
      <c r="A4556" t="s">
        <v>285</v>
      </c>
      <c r="B4556" t="s">
        <v>498</v>
      </c>
      <c r="C4556">
        <v>22</v>
      </c>
    </row>
    <row r="4557" spans="1:3" ht="15.75" customHeight="1" x14ac:dyDescent="0.2">
      <c r="A4557" t="s">
        <v>285</v>
      </c>
      <c r="B4557" t="s">
        <v>498</v>
      </c>
      <c r="C4557">
        <v>22</v>
      </c>
    </row>
    <row r="4558" spans="1:3" ht="15.75" customHeight="1" x14ac:dyDescent="0.2">
      <c r="A4558" t="s">
        <v>285</v>
      </c>
      <c r="B4558" t="s">
        <v>498</v>
      </c>
      <c r="C4558">
        <v>22</v>
      </c>
    </row>
    <row r="4559" spans="1:3" ht="15.75" customHeight="1" x14ac:dyDescent="0.2">
      <c r="A4559" t="s">
        <v>285</v>
      </c>
      <c r="B4559" t="s">
        <v>498</v>
      </c>
      <c r="C4559">
        <v>22</v>
      </c>
    </row>
    <row r="4560" spans="1:3" ht="15.75" customHeight="1" x14ac:dyDescent="0.2">
      <c r="A4560" t="s">
        <v>285</v>
      </c>
      <c r="B4560" t="s">
        <v>498</v>
      </c>
      <c r="C4560">
        <v>22</v>
      </c>
    </row>
    <row r="4561" spans="1:3" ht="15.75" customHeight="1" x14ac:dyDescent="0.2">
      <c r="A4561" t="s">
        <v>285</v>
      </c>
      <c r="B4561" t="s">
        <v>498</v>
      </c>
      <c r="C4561">
        <v>22</v>
      </c>
    </row>
    <row r="4562" spans="1:3" ht="15.75" customHeight="1" x14ac:dyDescent="0.2">
      <c r="A4562" t="s">
        <v>285</v>
      </c>
      <c r="B4562" t="s">
        <v>498</v>
      </c>
      <c r="C4562">
        <v>22</v>
      </c>
    </row>
    <row r="4563" spans="1:3" ht="15.75" customHeight="1" x14ac:dyDescent="0.2">
      <c r="A4563" t="s">
        <v>285</v>
      </c>
      <c r="B4563" t="s">
        <v>498</v>
      </c>
      <c r="C4563">
        <v>22</v>
      </c>
    </row>
    <row r="4564" spans="1:3" ht="15.75" customHeight="1" x14ac:dyDescent="0.2">
      <c r="A4564" t="s">
        <v>285</v>
      </c>
      <c r="B4564" t="s">
        <v>498</v>
      </c>
      <c r="C4564">
        <v>22</v>
      </c>
    </row>
    <row r="4565" spans="1:3" ht="15.75" customHeight="1" x14ac:dyDescent="0.2">
      <c r="A4565" t="s">
        <v>285</v>
      </c>
      <c r="B4565" t="s">
        <v>498</v>
      </c>
      <c r="C4565">
        <v>22</v>
      </c>
    </row>
    <row r="4566" spans="1:3" ht="15.75" customHeight="1" x14ac:dyDescent="0.2">
      <c r="A4566" t="s">
        <v>285</v>
      </c>
      <c r="B4566" t="s">
        <v>498</v>
      </c>
      <c r="C4566">
        <v>22</v>
      </c>
    </row>
    <row r="4567" spans="1:3" ht="15.75" customHeight="1" x14ac:dyDescent="0.2">
      <c r="A4567" t="s">
        <v>285</v>
      </c>
    </row>
    <row r="4568" spans="1:3" ht="15.75" customHeight="1" x14ac:dyDescent="0.2">
      <c r="A4568" t="s">
        <v>285</v>
      </c>
    </row>
    <row r="4569" spans="1:3" ht="15.75" customHeight="1" x14ac:dyDescent="0.2">
      <c r="A4569" t="s">
        <v>285</v>
      </c>
    </row>
    <row r="4570" spans="1:3" ht="15.75" customHeight="1" x14ac:dyDescent="0.2">
      <c r="A4570" t="s">
        <v>285</v>
      </c>
    </row>
    <row r="4571" spans="1:3" ht="15.75" customHeight="1" x14ac:dyDescent="0.2">
      <c r="A4571" t="s">
        <v>285</v>
      </c>
    </row>
    <row r="4572" spans="1:3" ht="15.75" customHeight="1" x14ac:dyDescent="0.2">
      <c r="A4572" t="s">
        <v>285</v>
      </c>
    </row>
    <row r="4573" spans="1:3" ht="15.75" customHeight="1" x14ac:dyDescent="0.2">
      <c r="A4573" t="s">
        <v>285</v>
      </c>
    </row>
    <row r="4574" spans="1:3" ht="15.75" customHeight="1" x14ac:dyDescent="0.2">
      <c r="A4574" t="s">
        <v>285</v>
      </c>
    </row>
    <row r="4575" spans="1:3" ht="15.75" customHeight="1" x14ac:dyDescent="0.2">
      <c r="A4575" t="s">
        <v>285</v>
      </c>
    </row>
    <row r="4576" spans="1:3" ht="15.75" customHeight="1" x14ac:dyDescent="0.2">
      <c r="A4576" t="s">
        <v>285</v>
      </c>
    </row>
    <row r="4577" spans="1:1" ht="15.75" customHeight="1" x14ac:dyDescent="0.2">
      <c r="A4577" t="s">
        <v>285</v>
      </c>
    </row>
    <row r="4578" spans="1:1" ht="15.75" customHeight="1" x14ac:dyDescent="0.2">
      <c r="A4578" t="s">
        <v>285</v>
      </c>
    </row>
    <row r="4579" spans="1:1" ht="15.75" customHeight="1" x14ac:dyDescent="0.2">
      <c r="A4579" t="s">
        <v>285</v>
      </c>
    </row>
    <row r="4580" spans="1:1" ht="15.75" customHeight="1" x14ac:dyDescent="0.2">
      <c r="A4580" t="s">
        <v>285</v>
      </c>
    </row>
    <row r="4581" spans="1:1" ht="15.75" customHeight="1" x14ac:dyDescent="0.2">
      <c r="A4581" t="s">
        <v>285</v>
      </c>
    </row>
    <row r="4582" spans="1:1" ht="15.75" customHeight="1" x14ac:dyDescent="0.2">
      <c r="A4582" t="s">
        <v>285</v>
      </c>
    </row>
    <row r="4583" spans="1:1" ht="15.75" customHeight="1" x14ac:dyDescent="0.2">
      <c r="A4583" t="s">
        <v>285</v>
      </c>
    </row>
    <row r="4584" spans="1:1" ht="15.75" customHeight="1" x14ac:dyDescent="0.2">
      <c r="A4584" t="s">
        <v>285</v>
      </c>
    </row>
    <row r="4585" spans="1:1" ht="15.75" customHeight="1" x14ac:dyDescent="0.2">
      <c r="A4585" t="s">
        <v>285</v>
      </c>
    </row>
    <row r="4586" spans="1:1" ht="15.75" customHeight="1" x14ac:dyDescent="0.2">
      <c r="A4586" t="s">
        <v>285</v>
      </c>
    </row>
    <row r="4587" spans="1:1" ht="15.75" customHeight="1" x14ac:dyDescent="0.2">
      <c r="A4587" t="s">
        <v>285</v>
      </c>
    </row>
    <row r="4588" spans="1:1" ht="15.75" customHeight="1" x14ac:dyDescent="0.2">
      <c r="A4588" t="s">
        <v>285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92"/>
  <sheetViews>
    <sheetView zoomScaleNormal="100" workbookViewId="0"/>
  </sheetViews>
  <sheetFormatPr baseColWidth="10" defaultColWidth="10.5" defaultRowHeight="16" x14ac:dyDescent="0.2"/>
  <cols>
    <col min="1" max="1" width="43.5" customWidth="1"/>
    <col min="2" max="2" width="39.6640625" customWidth="1"/>
    <col min="3" max="3" width="61" customWidth="1"/>
    <col min="4" max="4" width="56.1640625" customWidth="1"/>
  </cols>
  <sheetData>
    <row r="1" spans="1:4" ht="15.75" customHeight="1" x14ac:dyDescent="0.2">
      <c r="A1" s="5" t="s">
        <v>214</v>
      </c>
      <c r="B1" s="5" t="s">
        <v>215</v>
      </c>
      <c r="C1" s="5" t="s">
        <v>216</v>
      </c>
      <c r="D1" s="5" t="s">
        <v>217</v>
      </c>
    </row>
    <row r="1930" spans="1:4" ht="15.75" customHeight="1" x14ac:dyDescent="0.2">
      <c r="A1930" t="s">
        <v>434</v>
      </c>
      <c r="B1930">
        <v>1</v>
      </c>
      <c r="C1930" t="s">
        <v>288</v>
      </c>
      <c r="D1930" t="s">
        <v>2</v>
      </c>
    </row>
    <row r="1931" spans="1:4" ht="15.75" customHeight="1" x14ac:dyDescent="0.2">
      <c r="A1931" t="s">
        <v>434</v>
      </c>
      <c r="B1931">
        <v>1</v>
      </c>
      <c r="C1931" t="s">
        <v>289</v>
      </c>
      <c r="D1931" t="s">
        <v>5</v>
      </c>
    </row>
    <row r="1932" spans="1:4" ht="15.75" customHeight="1" x14ac:dyDescent="0.2">
      <c r="A1932" t="s">
        <v>434</v>
      </c>
      <c r="B1932">
        <v>1</v>
      </c>
      <c r="C1932" t="s">
        <v>290</v>
      </c>
      <c r="D1932" t="s">
        <v>3</v>
      </c>
    </row>
    <row r="1933" spans="1:4" ht="15.75" customHeight="1" x14ac:dyDescent="0.2">
      <c r="A1933" t="s">
        <v>434</v>
      </c>
      <c r="B1933">
        <v>1</v>
      </c>
      <c r="C1933" t="s">
        <v>291</v>
      </c>
      <c r="D1933" t="s">
        <v>4</v>
      </c>
    </row>
    <row r="1934" spans="1:4" ht="15.75" customHeight="1" x14ac:dyDescent="0.2">
      <c r="A1934" t="s">
        <v>434</v>
      </c>
      <c r="B1934">
        <v>1</v>
      </c>
      <c r="C1934" t="s">
        <v>292</v>
      </c>
      <c r="D1934" t="s">
        <v>6</v>
      </c>
    </row>
    <row r="1935" spans="1:4" ht="15.75" customHeight="1" x14ac:dyDescent="0.2">
      <c r="A1935" t="s">
        <v>434</v>
      </c>
      <c r="B1935">
        <v>1</v>
      </c>
      <c r="C1935" t="s">
        <v>243</v>
      </c>
      <c r="D1935" t="s">
        <v>7</v>
      </c>
    </row>
    <row r="1936" spans="1:4" ht="15.75" customHeight="1" x14ac:dyDescent="0.2">
      <c r="A1936" t="s">
        <v>434</v>
      </c>
      <c r="B1936">
        <v>1</v>
      </c>
      <c r="C1936" t="s">
        <v>245</v>
      </c>
      <c r="D1936" t="s">
        <v>8</v>
      </c>
    </row>
    <row r="1937" spans="1:4" ht="15.75" customHeight="1" x14ac:dyDescent="0.2">
      <c r="A1937" t="s">
        <v>434</v>
      </c>
      <c r="B1937">
        <v>1</v>
      </c>
      <c r="C1937" t="s">
        <v>247</v>
      </c>
      <c r="D1937" t="s">
        <v>9</v>
      </c>
    </row>
    <row r="1938" spans="1:4" ht="15.75" customHeight="1" x14ac:dyDescent="0.2">
      <c r="A1938" t="s">
        <v>434</v>
      </c>
      <c r="B1938">
        <v>1</v>
      </c>
      <c r="C1938" t="s">
        <v>249</v>
      </c>
      <c r="D1938" t="s">
        <v>10</v>
      </c>
    </row>
    <row r="1939" spans="1:4" ht="15.75" customHeight="1" x14ac:dyDescent="0.2">
      <c r="A1939" t="s">
        <v>434</v>
      </c>
      <c r="B1939">
        <v>1</v>
      </c>
      <c r="C1939" t="s">
        <v>251</v>
      </c>
      <c r="D1939" t="s">
        <v>11</v>
      </c>
    </row>
    <row r="1940" spans="1:4" ht="15.75" customHeight="1" x14ac:dyDescent="0.2">
      <c r="A1940" t="s">
        <v>434</v>
      </c>
      <c r="B1940">
        <v>1</v>
      </c>
      <c r="C1940" t="s">
        <v>253</v>
      </c>
      <c r="D1940" t="s">
        <v>12</v>
      </c>
    </row>
    <row r="1941" spans="1:4" ht="15.75" customHeight="1" x14ac:dyDescent="0.2">
      <c r="A1941" t="s">
        <v>434</v>
      </c>
      <c r="B1941">
        <v>1</v>
      </c>
      <c r="C1941" t="s">
        <v>255</v>
      </c>
      <c r="D1941" t="s">
        <v>15</v>
      </c>
    </row>
    <row r="1942" spans="1:4" ht="15.75" customHeight="1" x14ac:dyDescent="0.2">
      <c r="A1942" t="s">
        <v>434</v>
      </c>
      <c r="B1942">
        <v>1</v>
      </c>
      <c r="C1942" t="s">
        <v>293</v>
      </c>
      <c r="D1942" t="s">
        <v>13</v>
      </c>
    </row>
    <row r="1943" spans="1:4" ht="15.75" customHeight="1" x14ac:dyDescent="0.2">
      <c r="A1943" t="s">
        <v>434</v>
      </c>
      <c r="B1943">
        <v>1</v>
      </c>
      <c r="C1943" t="s">
        <v>294</v>
      </c>
      <c r="D1943" t="s">
        <v>14</v>
      </c>
    </row>
    <row r="1944" spans="1:4" ht="15.75" customHeight="1" x14ac:dyDescent="0.2">
      <c r="A1944" t="s">
        <v>434</v>
      </c>
      <c r="B1944">
        <v>1</v>
      </c>
      <c r="C1944" t="s">
        <v>257</v>
      </c>
      <c r="D1944" t="s">
        <v>16</v>
      </c>
    </row>
    <row r="1945" spans="1:4" ht="15.75" customHeight="1" x14ac:dyDescent="0.2">
      <c r="A1945" t="s">
        <v>434</v>
      </c>
      <c r="B1945">
        <v>1</v>
      </c>
      <c r="C1945" t="s">
        <v>295</v>
      </c>
      <c r="D1945" t="s">
        <v>17</v>
      </c>
    </row>
    <row r="1946" spans="1:4" ht="15.75" customHeight="1" x14ac:dyDescent="0.2">
      <c r="A1946" t="s">
        <v>434</v>
      </c>
      <c r="B1946">
        <v>1</v>
      </c>
      <c r="C1946" t="s">
        <v>296</v>
      </c>
      <c r="D1946" t="s">
        <v>1</v>
      </c>
    </row>
    <row r="1947" spans="1:4" ht="15.75" customHeight="1" x14ac:dyDescent="0.2">
      <c r="A1947" t="s">
        <v>434</v>
      </c>
      <c r="B1947">
        <v>1</v>
      </c>
      <c r="C1947" t="s">
        <v>297</v>
      </c>
      <c r="D1947" t="s">
        <v>18</v>
      </c>
    </row>
    <row r="1948" spans="1:4" ht="15.75" customHeight="1" x14ac:dyDescent="0.2">
      <c r="A1948" t="s">
        <v>434</v>
      </c>
      <c r="B1948">
        <v>1</v>
      </c>
      <c r="C1948" t="s">
        <v>298</v>
      </c>
      <c r="D1948" t="s">
        <v>19</v>
      </c>
    </row>
    <row r="1949" spans="1:4" ht="15.75" customHeight="1" x14ac:dyDescent="0.2">
      <c r="A1949" t="s">
        <v>434</v>
      </c>
      <c r="B1949">
        <v>1</v>
      </c>
      <c r="C1949" t="s">
        <v>299</v>
      </c>
      <c r="D1949" t="s">
        <v>20</v>
      </c>
    </row>
    <row r="1950" spans="1:4" ht="15.75" customHeight="1" x14ac:dyDescent="0.2">
      <c r="A1950" t="s">
        <v>435</v>
      </c>
      <c r="B1950">
        <v>2</v>
      </c>
      <c r="C1950" t="s">
        <v>288</v>
      </c>
      <c r="D1950" t="s">
        <v>2</v>
      </c>
    </row>
    <row r="1951" spans="1:4" ht="15.75" customHeight="1" x14ac:dyDescent="0.2">
      <c r="A1951" t="s">
        <v>435</v>
      </c>
      <c r="B1951">
        <v>2</v>
      </c>
      <c r="C1951" t="s">
        <v>289</v>
      </c>
      <c r="D1951" t="s">
        <v>5</v>
      </c>
    </row>
    <row r="1952" spans="1:4" ht="15.75" customHeight="1" x14ac:dyDescent="0.2">
      <c r="A1952" t="s">
        <v>435</v>
      </c>
      <c r="B1952">
        <v>2</v>
      </c>
      <c r="C1952" t="s">
        <v>290</v>
      </c>
      <c r="D1952" t="s">
        <v>3</v>
      </c>
    </row>
    <row r="1953" spans="1:4" ht="15.75" customHeight="1" x14ac:dyDescent="0.2">
      <c r="A1953" t="s">
        <v>435</v>
      </c>
      <c r="B1953">
        <v>2</v>
      </c>
      <c r="C1953" t="s">
        <v>291</v>
      </c>
      <c r="D1953" t="s">
        <v>4</v>
      </c>
    </row>
    <row r="1954" spans="1:4" ht="15.75" customHeight="1" x14ac:dyDescent="0.2">
      <c r="A1954" t="s">
        <v>435</v>
      </c>
      <c r="B1954">
        <v>2</v>
      </c>
      <c r="C1954" t="s">
        <v>292</v>
      </c>
      <c r="D1954" t="s">
        <v>6</v>
      </c>
    </row>
    <row r="1955" spans="1:4" ht="15.75" customHeight="1" x14ac:dyDescent="0.2">
      <c r="A1955" t="s">
        <v>435</v>
      </c>
      <c r="B1955">
        <v>2</v>
      </c>
      <c r="C1955" t="s">
        <v>243</v>
      </c>
      <c r="D1955" t="s">
        <v>7</v>
      </c>
    </row>
    <row r="1956" spans="1:4" ht="15.75" customHeight="1" x14ac:dyDescent="0.2">
      <c r="A1956" t="s">
        <v>435</v>
      </c>
      <c r="B1956">
        <v>2</v>
      </c>
      <c r="C1956" t="s">
        <v>245</v>
      </c>
      <c r="D1956" t="s">
        <v>8</v>
      </c>
    </row>
    <row r="1957" spans="1:4" ht="15.75" customHeight="1" x14ac:dyDescent="0.2">
      <c r="A1957" t="s">
        <v>435</v>
      </c>
      <c r="B1957">
        <v>2</v>
      </c>
      <c r="C1957" t="s">
        <v>247</v>
      </c>
      <c r="D1957" t="s">
        <v>9</v>
      </c>
    </row>
    <row r="1958" spans="1:4" ht="15.75" customHeight="1" x14ac:dyDescent="0.2">
      <c r="A1958" t="s">
        <v>435</v>
      </c>
      <c r="B1958">
        <v>2</v>
      </c>
      <c r="C1958" t="s">
        <v>249</v>
      </c>
      <c r="D1958" t="s">
        <v>10</v>
      </c>
    </row>
    <row r="1959" spans="1:4" ht="15.75" customHeight="1" x14ac:dyDescent="0.2">
      <c r="A1959" t="s">
        <v>435</v>
      </c>
      <c r="B1959">
        <v>2</v>
      </c>
      <c r="C1959" t="s">
        <v>251</v>
      </c>
      <c r="D1959" t="s">
        <v>11</v>
      </c>
    </row>
    <row r="1960" spans="1:4" ht="15.75" customHeight="1" x14ac:dyDescent="0.2">
      <c r="A1960" t="s">
        <v>435</v>
      </c>
      <c r="B1960">
        <v>2</v>
      </c>
      <c r="C1960" t="s">
        <v>253</v>
      </c>
      <c r="D1960" t="s">
        <v>12</v>
      </c>
    </row>
    <row r="1961" spans="1:4" ht="15.75" customHeight="1" x14ac:dyDescent="0.2">
      <c r="A1961" t="s">
        <v>435</v>
      </c>
      <c r="B1961">
        <v>2</v>
      </c>
      <c r="C1961" t="s">
        <v>255</v>
      </c>
      <c r="D1961" t="s">
        <v>15</v>
      </c>
    </row>
    <row r="1962" spans="1:4" ht="15.75" customHeight="1" x14ac:dyDescent="0.2">
      <c r="A1962" t="s">
        <v>435</v>
      </c>
      <c r="B1962">
        <v>2</v>
      </c>
      <c r="C1962" t="s">
        <v>293</v>
      </c>
      <c r="D1962" t="s">
        <v>13</v>
      </c>
    </row>
    <row r="1963" spans="1:4" ht="15.75" customHeight="1" x14ac:dyDescent="0.2">
      <c r="A1963" t="s">
        <v>435</v>
      </c>
      <c r="B1963">
        <v>2</v>
      </c>
      <c r="C1963" t="s">
        <v>294</v>
      </c>
      <c r="D1963" t="s">
        <v>14</v>
      </c>
    </row>
    <row r="1964" spans="1:4" ht="15.75" customHeight="1" x14ac:dyDescent="0.2">
      <c r="A1964" t="s">
        <v>435</v>
      </c>
      <c r="B1964">
        <v>2</v>
      </c>
      <c r="C1964" t="s">
        <v>257</v>
      </c>
      <c r="D1964" t="s">
        <v>16</v>
      </c>
    </row>
    <row r="1965" spans="1:4" ht="15.75" customHeight="1" x14ac:dyDescent="0.2">
      <c r="A1965" t="s">
        <v>435</v>
      </c>
      <c r="B1965">
        <v>2</v>
      </c>
      <c r="C1965" t="s">
        <v>295</v>
      </c>
      <c r="D1965" t="s">
        <v>17</v>
      </c>
    </row>
    <row r="1966" spans="1:4" ht="15.75" customHeight="1" x14ac:dyDescent="0.2">
      <c r="A1966" t="s">
        <v>435</v>
      </c>
      <c r="B1966">
        <v>2</v>
      </c>
      <c r="C1966" t="s">
        <v>296</v>
      </c>
      <c r="D1966" t="s">
        <v>1</v>
      </c>
    </row>
    <row r="1967" spans="1:4" ht="15.75" customHeight="1" x14ac:dyDescent="0.2">
      <c r="A1967" t="s">
        <v>435</v>
      </c>
      <c r="B1967">
        <v>2</v>
      </c>
      <c r="C1967" t="s">
        <v>297</v>
      </c>
      <c r="D1967" t="s">
        <v>18</v>
      </c>
    </row>
    <row r="1968" spans="1:4" ht="15.75" customHeight="1" x14ac:dyDescent="0.2">
      <c r="A1968" t="s">
        <v>435</v>
      </c>
      <c r="B1968">
        <v>2</v>
      </c>
      <c r="C1968" t="s">
        <v>298</v>
      </c>
      <c r="D1968" t="s">
        <v>19</v>
      </c>
    </row>
    <row r="1969" spans="1:4" ht="15.75" customHeight="1" x14ac:dyDescent="0.2">
      <c r="A1969" t="s">
        <v>435</v>
      </c>
      <c r="B1969">
        <v>2</v>
      </c>
      <c r="C1969" t="s">
        <v>299</v>
      </c>
      <c r="D1969" t="s">
        <v>20</v>
      </c>
    </row>
    <row r="1970" spans="1:4" ht="15.75" customHeight="1" x14ac:dyDescent="0.2">
      <c r="A1970" t="s">
        <v>436</v>
      </c>
      <c r="B1970">
        <v>3</v>
      </c>
      <c r="C1970" t="s">
        <v>288</v>
      </c>
      <c r="D1970" t="s">
        <v>2</v>
      </c>
    </row>
    <row r="1971" spans="1:4" ht="15.75" customHeight="1" x14ac:dyDescent="0.2">
      <c r="A1971" t="s">
        <v>436</v>
      </c>
      <c r="B1971">
        <v>3</v>
      </c>
      <c r="C1971" t="s">
        <v>289</v>
      </c>
      <c r="D1971" t="s">
        <v>5</v>
      </c>
    </row>
    <row r="1972" spans="1:4" ht="15.75" customHeight="1" x14ac:dyDescent="0.2">
      <c r="A1972" t="s">
        <v>436</v>
      </c>
      <c r="B1972">
        <v>3</v>
      </c>
      <c r="C1972" t="s">
        <v>290</v>
      </c>
      <c r="D1972" t="s">
        <v>3</v>
      </c>
    </row>
    <row r="1973" spans="1:4" ht="15.75" customHeight="1" x14ac:dyDescent="0.2">
      <c r="A1973" t="s">
        <v>436</v>
      </c>
      <c r="B1973">
        <v>3</v>
      </c>
      <c r="C1973" t="s">
        <v>291</v>
      </c>
      <c r="D1973" t="s">
        <v>4</v>
      </c>
    </row>
    <row r="1974" spans="1:4" ht="15.75" customHeight="1" x14ac:dyDescent="0.2">
      <c r="A1974" t="s">
        <v>436</v>
      </c>
      <c r="B1974">
        <v>3</v>
      </c>
      <c r="C1974" t="s">
        <v>292</v>
      </c>
      <c r="D1974" t="s">
        <v>6</v>
      </c>
    </row>
    <row r="1975" spans="1:4" ht="15.75" customHeight="1" x14ac:dyDescent="0.2">
      <c r="A1975" t="s">
        <v>436</v>
      </c>
      <c r="B1975">
        <v>3</v>
      </c>
      <c r="C1975" t="s">
        <v>243</v>
      </c>
      <c r="D1975" t="s">
        <v>7</v>
      </c>
    </row>
    <row r="1976" spans="1:4" ht="15.75" customHeight="1" x14ac:dyDescent="0.2">
      <c r="A1976" t="s">
        <v>436</v>
      </c>
      <c r="B1976">
        <v>3</v>
      </c>
      <c r="C1976" t="s">
        <v>245</v>
      </c>
      <c r="D1976" t="s">
        <v>8</v>
      </c>
    </row>
    <row r="1977" spans="1:4" ht="15.75" customHeight="1" x14ac:dyDescent="0.2">
      <c r="A1977" t="s">
        <v>436</v>
      </c>
      <c r="B1977">
        <v>3</v>
      </c>
      <c r="C1977" t="s">
        <v>247</v>
      </c>
      <c r="D1977" t="s">
        <v>9</v>
      </c>
    </row>
    <row r="1978" spans="1:4" ht="15.75" customHeight="1" x14ac:dyDescent="0.2">
      <c r="A1978" t="s">
        <v>436</v>
      </c>
      <c r="B1978">
        <v>3</v>
      </c>
      <c r="C1978" t="s">
        <v>249</v>
      </c>
      <c r="D1978" t="s">
        <v>10</v>
      </c>
    </row>
    <row r="1979" spans="1:4" ht="15.75" customHeight="1" x14ac:dyDescent="0.2">
      <c r="A1979" t="s">
        <v>436</v>
      </c>
      <c r="B1979">
        <v>3</v>
      </c>
      <c r="C1979" t="s">
        <v>251</v>
      </c>
      <c r="D1979" t="s">
        <v>11</v>
      </c>
    </row>
    <row r="1980" spans="1:4" ht="15.75" customHeight="1" x14ac:dyDescent="0.2">
      <c r="A1980" t="s">
        <v>436</v>
      </c>
      <c r="B1980">
        <v>3</v>
      </c>
      <c r="C1980" t="s">
        <v>253</v>
      </c>
      <c r="D1980" t="s">
        <v>12</v>
      </c>
    </row>
    <row r="1981" spans="1:4" ht="15.75" customHeight="1" x14ac:dyDescent="0.2">
      <c r="A1981" t="s">
        <v>436</v>
      </c>
      <c r="B1981">
        <v>3</v>
      </c>
      <c r="C1981" t="s">
        <v>255</v>
      </c>
      <c r="D1981" t="s">
        <v>15</v>
      </c>
    </row>
    <row r="1982" spans="1:4" ht="15.75" customHeight="1" x14ac:dyDescent="0.2">
      <c r="A1982" t="s">
        <v>436</v>
      </c>
      <c r="B1982">
        <v>3</v>
      </c>
      <c r="C1982" t="s">
        <v>293</v>
      </c>
      <c r="D1982" t="s">
        <v>13</v>
      </c>
    </row>
    <row r="1983" spans="1:4" ht="15.75" customHeight="1" x14ac:dyDescent="0.2">
      <c r="A1983" t="s">
        <v>436</v>
      </c>
      <c r="B1983">
        <v>3</v>
      </c>
      <c r="C1983" t="s">
        <v>294</v>
      </c>
      <c r="D1983" t="s">
        <v>14</v>
      </c>
    </row>
    <row r="1984" spans="1:4" ht="15.75" customHeight="1" x14ac:dyDescent="0.2">
      <c r="A1984" t="s">
        <v>436</v>
      </c>
      <c r="B1984">
        <v>3</v>
      </c>
      <c r="C1984" t="s">
        <v>257</v>
      </c>
      <c r="D1984" t="s">
        <v>16</v>
      </c>
    </row>
    <row r="1985" spans="1:4" ht="15.75" customHeight="1" x14ac:dyDescent="0.2">
      <c r="A1985" t="s">
        <v>436</v>
      </c>
      <c r="B1985">
        <v>3</v>
      </c>
      <c r="C1985" t="s">
        <v>295</v>
      </c>
      <c r="D1985" t="s">
        <v>17</v>
      </c>
    </row>
    <row r="1986" spans="1:4" ht="15.75" customHeight="1" x14ac:dyDescent="0.2">
      <c r="A1986" t="s">
        <v>436</v>
      </c>
      <c r="B1986">
        <v>3</v>
      </c>
      <c r="C1986" t="s">
        <v>296</v>
      </c>
      <c r="D1986" t="s">
        <v>1</v>
      </c>
    </row>
    <row r="1987" spans="1:4" ht="15.75" customHeight="1" x14ac:dyDescent="0.2">
      <c r="A1987" t="s">
        <v>436</v>
      </c>
      <c r="B1987">
        <v>3</v>
      </c>
      <c r="C1987" t="s">
        <v>297</v>
      </c>
      <c r="D1987" t="s">
        <v>18</v>
      </c>
    </row>
    <row r="1988" spans="1:4" ht="15.75" customHeight="1" x14ac:dyDescent="0.2">
      <c r="A1988" t="s">
        <v>436</v>
      </c>
      <c r="B1988">
        <v>3</v>
      </c>
      <c r="C1988" t="s">
        <v>298</v>
      </c>
      <c r="D1988" t="s">
        <v>19</v>
      </c>
    </row>
    <row r="1989" spans="1:4" ht="15.75" customHeight="1" x14ac:dyDescent="0.2">
      <c r="A1989" t="s">
        <v>436</v>
      </c>
      <c r="B1989">
        <v>3</v>
      </c>
      <c r="C1989" t="s">
        <v>299</v>
      </c>
      <c r="D1989" t="s">
        <v>20</v>
      </c>
    </row>
    <row r="1990" spans="1:4" ht="15.75" customHeight="1" x14ac:dyDescent="0.2">
      <c r="A1990" t="s">
        <v>437</v>
      </c>
      <c r="B1990">
        <v>4</v>
      </c>
      <c r="C1990" t="s">
        <v>288</v>
      </c>
      <c r="D1990" t="s">
        <v>2</v>
      </c>
    </row>
    <row r="1991" spans="1:4" ht="15.75" customHeight="1" x14ac:dyDescent="0.2">
      <c r="A1991" t="s">
        <v>437</v>
      </c>
      <c r="B1991">
        <v>4</v>
      </c>
      <c r="C1991" t="s">
        <v>289</v>
      </c>
      <c r="D1991" t="s">
        <v>5</v>
      </c>
    </row>
    <row r="1992" spans="1:4" ht="15.75" customHeight="1" x14ac:dyDescent="0.2">
      <c r="A1992" t="s">
        <v>437</v>
      </c>
      <c r="B1992">
        <v>4</v>
      </c>
      <c r="C1992" t="s">
        <v>290</v>
      </c>
      <c r="D1992" t="s">
        <v>3</v>
      </c>
    </row>
    <row r="1993" spans="1:4" ht="15.75" customHeight="1" x14ac:dyDescent="0.2">
      <c r="A1993" t="s">
        <v>437</v>
      </c>
      <c r="B1993">
        <v>4</v>
      </c>
      <c r="C1993" t="s">
        <v>291</v>
      </c>
      <c r="D1993" t="s">
        <v>4</v>
      </c>
    </row>
    <row r="1994" spans="1:4" ht="15.75" customHeight="1" x14ac:dyDescent="0.2">
      <c r="A1994" t="s">
        <v>437</v>
      </c>
      <c r="B1994">
        <v>4</v>
      </c>
      <c r="C1994" t="s">
        <v>292</v>
      </c>
      <c r="D1994" t="s">
        <v>6</v>
      </c>
    </row>
    <row r="1995" spans="1:4" ht="15.75" customHeight="1" x14ac:dyDescent="0.2">
      <c r="A1995" t="s">
        <v>437</v>
      </c>
      <c r="B1995">
        <v>4</v>
      </c>
      <c r="C1995" t="s">
        <v>243</v>
      </c>
      <c r="D1995" t="s">
        <v>7</v>
      </c>
    </row>
    <row r="1996" spans="1:4" ht="15.75" customHeight="1" x14ac:dyDescent="0.2">
      <c r="A1996" t="s">
        <v>437</v>
      </c>
      <c r="B1996">
        <v>4</v>
      </c>
      <c r="C1996" t="s">
        <v>245</v>
      </c>
      <c r="D1996" t="s">
        <v>8</v>
      </c>
    </row>
    <row r="1997" spans="1:4" ht="15.75" customHeight="1" x14ac:dyDescent="0.2">
      <c r="A1997" t="s">
        <v>437</v>
      </c>
      <c r="B1997">
        <v>4</v>
      </c>
      <c r="C1997" t="s">
        <v>247</v>
      </c>
      <c r="D1997" t="s">
        <v>9</v>
      </c>
    </row>
    <row r="1998" spans="1:4" ht="15.75" customHeight="1" x14ac:dyDescent="0.2">
      <c r="A1998" t="s">
        <v>437</v>
      </c>
      <c r="B1998">
        <v>4</v>
      </c>
      <c r="C1998" t="s">
        <v>249</v>
      </c>
      <c r="D1998" t="s">
        <v>10</v>
      </c>
    </row>
    <row r="1999" spans="1:4" ht="15.75" customHeight="1" x14ac:dyDescent="0.2">
      <c r="A1999" t="s">
        <v>437</v>
      </c>
      <c r="B1999">
        <v>4</v>
      </c>
      <c r="C1999" t="s">
        <v>251</v>
      </c>
      <c r="D1999" t="s">
        <v>11</v>
      </c>
    </row>
    <row r="2000" spans="1:4" ht="15.75" customHeight="1" x14ac:dyDescent="0.2">
      <c r="A2000" t="s">
        <v>437</v>
      </c>
      <c r="B2000">
        <v>4</v>
      </c>
      <c r="C2000" t="s">
        <v>253</v>
      </c>
      <c r="D2000" t="s">
        <v>12</v>
      </c>
    </row>
    <row r="2001" spans="1:4" ht="15.75" customHeight="1" x14ac:dyDescent="0.2">
      <c r="A2001" t="s">
        <v>437</v>
      </c>
      <c r="B2001">
        <v>4</v>
      </c>
      <c r="C2001" t="s">
        <v>255</v>
      </c>
      <c r="D2001" t="s">
        <v>15</v>
      </c>
    </row>
    <row r="2002" spans="1:4" ht="15.75" customHeight="1" x14ac:dyDescent="0.2">
      <c r="A2002" t="s">
        <v>437</v>
      </c>
      <c r="B2002">
        <v>4</v>
      </c>
      <c r="C2002" t="s">
        <v>293</v>
      </c>
      <c r="D2002" t="s">
        <v>13</v>
      </c>
    </row>
    <row r="2003" spans="1:4" ht="15.75" customHeight="1" x14ac:dyDescent="0.2">
      <c r="A2003" t="s">
        <v>437</v>
      </c>
      <c r="B2003">
        <v>4</v>
      </c>
      <c r="C2003" t="s">
        <v>294</v>
      </c>
      <c r="D2003" t="s">
        <v>14</v>
      </c>
    </row>
    <row r="2004" spans="1:4" ht="15.75" customHeight="1" x14ac:dyDescent="0.2">
      <c r="A2004" t="s">
        <v>437</v>
      </c>
      <c r="B2004">
        <v>4</v>
      </c>
      <c r="C2004" t="s">
        <v>257</v>
      </c>
      <c r="D2004" t="s">
        <v>16</v>
      </c>
    </row>
    <row r="2005" spans="1:4" ht="15.75" customHeight="1" x14ac:dyDescent="0.2">
      <c r="A2005" t="s">
        <v>437</v>
      </c>
      <c r="B2005">
        <v>4</v>
      </c>
      <c r="C2005" t="s">
        <v>295</v>
      </c>
      <c r="D2005" t="s">
        <v>17</v>
      </c>
    </row>
    <row r="2006" spans="1:4" ht="15.75" customHeight="1" x14ac:dyDescent="0.2">
      <c r="A2006" t="s">
        <v>437</v>
      </c>
      <c r="B2006">
        <v>4</v>
      </c>
      <c r="C2006" t="s">
        <v>296</v>
      </c>
      <c r="D2006" t="s">
        <v>1</v>
      </c>
    </row>
    <row r="2007" spans="1:4" ht="15.75" customHeight="1" x14ac:dyDescent="0.2">
      <c r="A2007" t="s">
        <v>437</v>
      </c>
      <c r="B2007">
        <v>4</v>
      </c>
      <c r="C2007" t="s">
        <v>297</v>
      </c>
      <c r="D2007" t="s">
        <v>18</v>
      </c>
    </row>
    <row r="2008" spans="1:4" ht="15.75" customHeight="1" x14ac:dyDescent="0.2">
      <c r="A2008" t="s">
        <v>437</v>
      </c>
      <c r="B2008">
        <v>4</v>
      </c>
      <c r="C2008" t="s">
        <v>298</v>
      </c>
      <c r="D2008" t="s">
        <v>19</v>
      </c>
    </row>
    <row r="2009" spans="1:4" ht="15.75" customHeight="1" x14ac:dyDescent="0.2">
      <c r="A2009" t="s">
        <v>437</v>
      </c>
      <c r="B2009">
        <v>4</v>
      </c>
      <c r="C2009" t="s">
        <v>299</v>
      </c>
      <c r="D2009" t="s">
        <v>20</v>
      </c>
    </row>
    <row r="2010" spans="1:4" ht="15.75" customHeight="1" x14ac:dyDescent="0.2">
      <c r="A2010" t="s">
        <v>438</v>
      </c>
      <c r="B2010">
        <v>5</v>
      </c>
      <c r="C2010" t="s">
        <v>288</v>
      </c>
      <c r="D2010" t="s">
        <v>2</v>
      </c>
    </row>
    <row r="2011" spans="1:4" ht="15.75" customHeight="1" x14ac:dyDescent="0.2">
      <c r="A2011" t="s">
        <v>438</v>
      </c>
      <c r="B2011">
        <v>5</v>
      </c>
      <c r="C2011" t="s">
        <v>289</v>
      </c>
      <c r="D2011" t="s">
        <v>5</v>
      </c>
    </row>
    <row r="2012" spans="1:4" ht="15.75" customHeight="1" x14ac:dyDescent="0.2">
      <c r="A2012" t="s">
        <v>438</v>
      </c>
      <c r="B2012">
        <v>5</v>
      </c>
      <c r="C2012" t="s">
        <v>290</v>
      </c>
      <c r="D2012" t="s">
        <v>3</v>
      </c>
    </row>
    <row r="2013" spans="1:4" ht="15.75" customHeight="1" x14ac:dyDescent="0.2">
      <c r="A2013" t="s">
        <v>438</v>
      </c>
      <c r="B2013">
        <v>5</v>
      </c>
      <c r="C2013" t="s">
        <v>291</v>
      </c>
      <c r="D2013" t="s">
        <v>4</v>
      </c>
    </row>
    <row r="2014" spans="1:4" ht="15.75" customHeight="1" x14ac:dyDescent="0.2">
      <c r="A2014" t="s">
        <v>438</v>
      </c>
      <c r="B2014">
        <v>5</v>
      </c>
      <c r="C2014" t="s">
        <v>292</v>
      </c>
      <c r="D2014" t="s">
        <v>6</v>
      </c>
    </row>
    <row r="2015" spans="1:4" ht="15.75" customHeight="1" x14ac:dyDescent="0.2">
      <c r="A2015" t="s">
        <v>438</v>
      </c>
      <c r="B2015">
        <v>5</v>
      </c>
      <c r="C2015" t="s">
        <v>243</v>
      </c>
      <c r="D2015" t="s">
        <v>7</v>
      </c>
    </row>
    <row r="2016" spans="1:4" ht="15.75" customHeight="1" x14ac:dyDescent="0.2">
      <c r="A2016" t="s">
        <v>438</v>
      </c>
      <c r="B2016">
        <v>5</v>
      </c>
      <c r="C2016" t="s">
        <v>245</v>
      </c>
      <c r="D2016" t="s">
        <v>8</v>
      </c>
    </row>
    <row r="2017" spans="1:4" ht="15.75" customHeight="1" x14ac:dyDescent="0.2">
      <c r="A2017" t="s">
        <v>438</v>
      </c>
      <c r="B2017">
        <v>5</v>
      </c>
      <c r="C2017" t="s">
        <v>247</v>
      </c>
      <c r="D2017" t="s">
        <v>9</v>
      </c>
    </row>
    <row r="2018" spans="1:4" ht="15.75" customHeight="1" x14ac:dyDescent="0.2">
      <c r="A2018" t="s">
        <v>438</v>
      </c>
      <c r="B2018">
        <v>5</v>
      </c>
      <c r="C2018" t="s">
        <v>249</v>
      </c>
      <c r="D2018" t="s">
        <v>10</v>
      </c>
    </row>
    <row r="2019" spans="1:4" ht="15.75" customHeight="1" x14ac:dyDescent="0.2">
      <c r="A2019" t="s">
        <v>438</v>
      </c>
      <c r="B2019">
        <v>5</v>
      </c>
      <c r="C2019" t="s">
        <v>251</v>
      </c>
      <c r="D2019" t="s">
        <v>11</v>
      </c>
    </row>
    <row r="2020" spans="1:4" ht="15.75" customHeight="1" x14ac:dyDescent="0.2">
      <c r="A2020" t="s">
        <v>438</v>
      </c>
      <c r="B2020">
        <v>5</v>
      </c>
      <c r="C2020" t="s">
        <v>253</v>
      </c>
      <c r="D2020" t="s">
        <v>12</v>
      </c>
    </row>
    <row r="2021" spans="1:4" ht="15.75" customHeight="1" x14ac:dyDescent="0.2">
      <c r="A2021" t="s">
        <v>438</v>
      </c>
      <c r="B2021">
        <v>5</v>
      </c>
      <c r="C2021" t="s">
        <v>255</v>
      </c>
      <c r="D2021" t="s">
        <v>15</v>
      </c>
    </row>
    <row r="2022" spans="1:4" ht="15.75" customHeight="1" x14ac:dyDescent="0.2">
      <c r="A2022" t="s">
        <v>438</v>
      </c>
      <c r="B2022">
        <v>5</v>
      </c>
      <c r="C2022" t="s">
        <v>293</v>
      </c>
      <c r="D2022" t="s">
        <v>13</v>
      </c>
    </row>
    <row r="2023" spans="1:4" ht="15.75" customHeight="1" x14ac:dyDescent="0.2">
      <c r="A2023" t="s">
        <v>438</v>
      </c>
      <c r="B2023">
        <v>5</v>
      </c>
      <c r="C2023" t="s">
        <v>294</v>
      </c>
      <c r="D2023" t="s">
        <v>14</v>
      </c>
    </row>
    <row r="2024" spans="1:4" ht="15.75" customHeight="1" x14ac:dyDescent="0.2">
      <c r="A2024" t="s">
        <v>438</v>
      </c>
      <c r="B2024">
        <v>5</v>
      </c>
      <c r="C2024" t="s">
        <v>257</v>
      </c>
      <c r="D2024" t="s">
        <v>16</v>
      </c>
    </row>
    <row r="2025" spans="1:4" ht="15.75" customHeight="1" x14ac:dyDescent="0.2">
      <c r="A2025" t="s">
        <v>438</v>
      </c>
      <c r="B2025">
        <v>5</v>
      </c>
      <c r="C2025" t="s">
        <v>295</v>
      </c>
      <c r="D2025" t="s">
        <v>17</v>
      </c>
    </row>
    <row r="2026" spans="1:4" ht="15.75" customHeight="1" x14ac:dyDescent="0.2">
      <c r="A2026" t="s">
        <v>438</v>
      </c>
      <c r="B2026">
        <v>5</v>
      </c>
      <c r="C2026" t="s">
        <v>296</v>
      </c>
      <c r="D2026" t="s">
        <v>1</v>
      </c>
    </row>
    <row r="2027" spans="1:4" ht="15.75" customHeight="1" x14ac:dyDescent="0.2">
      <c r="A2027" t="s">
        <v>438</v>
      </c>
      <c r="B2027">
        <v>5</v>
      </c>
      <c r="C2027" t="s">
        <v>297</v>
      </c>
      <c r="D2027" t="s">
        <v>18</v>
      </c>
    </row>
    <row r="2028" spans="1:4" ht="15.75" customHeight="1" x14ac:dyDescent="0.2">
      <c r="A2028" t="s">
        <v>438</v>
      </c>
      <c r="B2028">
        <v>5</v>
      </c>
      <c r="C2028" t="s">
        <v>298</v>
      </c>
      <c r="D2028" t="s">
        <v>19</v>
      </c>
    </row>
    <row r="2029" spans="1:4" ht="15.75" customHeight="1" x14ac:dyDescent="0.2">
      <c r="A2029" t="s">
        <v>438</v>
      </c>
      <c r="B2029">
        <v>5</v>
      </c>
      <c r="C2029" t="s">
        <v>299</v>
      </c>
      <c r="D2029" t="s">
        <v>20</v>
      </c>
    </row>
    <row r="3373" spans="1:4" ht="15.75" customHeight="1" x14ac:dyDescent="0.2">
      <c r="A3373" t="s">
        <v>481</v>
      </c>
      <c r="B3373">
        <v>6</v>
      </c>
      <c r="C3373" t="s">
        <v>288</v>
      </c>
      <c r="D3373" t="s">
        <v>2</v>
      </c>
    </row>
    <row r="3374" spans="1:4" ht="15.75" customHeight="1" x14ac:dyDescent="0.2">
      <c r="A3374" t="s">
        <v>481</v>
      </c>
      <c r="B3374">
        <v>6</v>
      </c>
      <c r="C3374" t="s">
        <v>289</v>
      </c>
      <c r="D3374" t="s">
        <v>5</v>
      </c>
    </row>
    <row r="3375" spans="1:4" ht="15.75" customHeight="1" x14ac:dyDescent="0.2">
      <c r="A3375" t="s">
        <v>481</v>
      </c>
      <c r="B3375">
        <v>6</v>
      </c>
      <c r="C3375" t="s">
        <v>290</v>
      </c>
      <c r="D3375" t="s">
        <v>3</v>
      </c>
    </row>
    <row r="3376" spans="1:4" ht="15.75" customHeight="1" x14ac:dyDescent="0.2">
      <c r="A3376" t="s">
        <v>481</v>
      </c>
      <c r="B3376">
        <v>6</v>
      </c>
      <c r="C3376" t="s">
        <v>291</v>
      </c>
      <c r="D3376" t="s">
        <v>4</v>
      </c>
    </row>
    <row r="3377" spans="1:4" ht="15.75" customHeight="1" x14ac:dyDescent="0.2">
      <c r="A3377" t="s">
        <v>481</v>
      </c>
      <c r="B3377">
        <v>6</v>
      </c>
      <c r="C3377" t="s">
        <v>292</v>
      </c>
      <c r="D3377" t="s">
        <v>6</v>
      </c>
    </row>
    <row r="3378" spans="1:4" ht="15.75" customHeight="1" x14ac:dyDescent="0.2">
      <c r="A3378" t="s">
        <v>481</v>
      </c>
      <c r="B3378">
        <v>6</v>
      </c>
      <c r="C3378" t="s">
        <v>243</v>
      </c>
      <c r="D3378" t="s">
        <v>7</v>
      </c>
    </row>
    <row r="3379" spans="1:4" ht="15.75" customHeight="1" x14ac:dyDescent="0.2">
      <c r="A3379" t="s">
        <v>481</v>
      </c>
      <c r="B3379">
        <v>6</v>
      </c>
      <c r="C3379" t="s">
        <v>245</v>
      </c>
      <c r="D3379" t="s">
        <v>8</v>
      </c>
    </row>
    <row r="3380" spans="1:4" ht="15.75" customHeight="1" x14ac:dyDescent="0.2">
      <c r="A3380" t="s">
        <v>481</v>
      </c>
      <c r="B3380">
        <v>6</v>
      </c>
      <c r="C3380" t="s">
        <v>247</v>
      </c>
      <c r="D3380" t="s">
        <v>9</v>
      </c>
    </row>
    <row r="3381" spans="1:4" ht="15.75" customHeight="1" x14ac:dyDescent="0.2">
      <c r="A3381" t="s">
        <v>481</v>
      </c>
      <c r="B3381">
        <v>6</v>
      </c>
      <c r="C3381" t="s">
        <v>249</v>
      </c>
      <c r="D3381" t="s">
        <v>10</v>
      </c>
    </row>
    <row r="3382" spans="1:4" ht="15.75" customHeight="1" x14ac:dyDescent="0.2">
      <c r="A3382" t="s">
        <v>481</v>
      </c>
      <c r="B3382">
        <v>6</v>
      </c>
      <c r="C3382" t="s">
        <v>251</v>
      </c>
      <c r="D3382" t="s">
        <v>11</v>
      </c>
    </row>
    <row r="3383" spans="1:4" ht="15.75" customHeight="1" x14ac:dyDescent="0.2">
      <c r="A3383" t="s">
        <v>481</v>
      </c>
      <c r="B3383">
        <v>6</v>
      </c>
      <c r="C3383" t="s">
        <v>253</v>
      </c>
      <c r="D3383" t="s">
        <v>12</v>
      </c>
    </row>
    <row r="3384" spans="1:4" ht="15.75" customHeight="1" x14ac:dyDescent="0.2">
      <c r="A3384" t="s">
        <v>481</v>
      </c>
      <c r="B3384">
        <v>6</v>
      </c>
      <c r="C3384" t="s">
        <v>255</v>
      </c>
      <c r="D3384" t="s">
        <v>15</v>
      </c>
    </row>
    <row r="3385" spans="1:4" ht="15.75" customHeight="1" x14ac:dyDescent="0.2">
      <c r="A3385" t="s">
        <v>481</v>
      </c>
      <c r="B3385">
        <v>6</v>
      </c>
      <c r="C3385" t="s">
        <v>293</v>
      </c>
      <c r="D3385" t="s">
        <v>13</v>
      </c>
    </row>
    <row r="3386" spans="1:4" ht="15.75" customHeight="1" x14ac:dyDescent="0.2">
      <c r="A3386" t="s">
        <v>481</v>
      </c>
      <c r="B3386">
        <v>6</v>
      </c>
      <c r="C3386" t="s">
        <v>294</v>
      </c>
      <c r="D3386" t="s">
        <v>14</v>
      </c>
    </row>
    <row r="3387" spans="1:4" ht="15.75" customHeight="1" x14ac:dyDescent="0.2">
      <c r="A3387" t="s">
        <v>481</v>
      </c>
      <c r="B3387">
        <v>6</v>
      </c>
      <c r="C3387" t="s">
        <v>257</v>
      </c>
      <c r="D3387" t="s">
        <v>16</v>
      </c>
    </row>
    <row r="3388" spans="1:4" ht="15.75" customHeight="1" x14ac:dyDescent="0.2">
      <c r="A3388" t="s">
        <v>481</v>
      </c>
      <c r="B3388">
        <v>6</v>
      </c>
      <c r="C3388" t="s">
        <v>295</v>
      </c>
      <c r="D3388" t="s">
        <v>17</v>
      </c>
    </row>
    <row r="3389" spans="1:4" ht="15.75" customHeight="1" x14ac:dyDescent="0.2">
      <c r="A3389" t="s">
        <v>481</v>
      </c>
      <c r="B3389">
        <v>6</v>
      </c>
      <c r="C3389" t="s">
        <v>296</v>
      </c>
      <c r="D3389" t="s">
        <v>1</v>
      </c>
    </row>
    <row r="3390" spans="1:4" ht="15.75" customHeight="1" x14ac:dyDescent="0.2">
      <c r="A3390" t="s">
        <v>481</v>
      </c>
      <c r="B3390">
        <v>6</v>
      </c>
      <c r="C3390" t="s">
        <v>297</v>
      </c>
      <c r="D3390" t="s">
        <v>18</v>
      </c>
    </row>
    <row r="3391" spans="1:4" ht="15.75" customHeight="1" x14ac:dyDescent="0.2">
      <c r="A3391" t="s">
        <v>481</v>
      </c>
      <c r="B3391">
        <v>6</v>
      </c>
      <c r="C3391" t="s">
        <v>298</v>
      </c>
      <c r="D3391" t="s">
        <v>19</v>
      </c>
    </row>
    <row r="3392" spans="1:4" ht="15.75" customHeight="1" x14ac:dyDescent="0.2">
      <c r="A3392" t="s">
        <v>481</v>
      </c>
      <c r="B3392">
        <v>6</v>
      </c>
      <c r="C3392" t="s">
        <v>299</v>
      </c>
      <c r="D339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88"/>
  <sheetViews>
    <sheetView topLeftCell="A2" zoomScaleNormal="100" workbookViewId="0"/>
  </sheetViews>
  <sheetFormatPr baseColWidth="10" defaultColWidth="10.5" defaultRowHeight="16" x14ac:dyDescent="0.2"/>
  <cols>
    <col min="1" max="1" width="59" customWidth="1"/>
    <col min="2" max="2" width="57.1640625" customWidth="1"/>
    <col min="3" max="3" width="52.33203125" customWidth="1"/>
    <col min="4" max="4" width="52" customWidth="1"/>
    <col min="5" max="5" width="52.6640625" customWidth="1"/>
    <col min="6" max="6" width="36.5" customWidth="1"/>
    <col min="7" max="7" width="58.5" customWidth="1"/>
    <col min="8" max="8" width="53.6640625" customWidth="1"/>
    <col min="9" max="9" width="53.33203125" customWidth="1"/>
    <col min="10" max="10" width="51.5" customWidth="1"/>
    <col min="11" max="11" width="46.6640625" customWidth="1"/>
    <col min="12" max="12" width="46.33203125" customWidth="1"/>
    <col min="13" max="13" width="45.83203125" customWidth="1"/>
    <col min="14" max="14" width="41" customWidth="1"/>
    <col min="15" max="15" width="40.6640625" customWidth="1"/>
  </cols>
  <sheetData>
    <row r="1" spans="1:15" ht="15.75" customHeight="1" x14ac:dyDescent="0.2">
      <c r="A1" s="5" t="s">
        <v>218</v>
      </c>
      <c r="B1" s="5" t="s">
        <v>219</v>
      </c>
      <c r="C1" s="5" t="s">
        <v>220</v>
      </c>
      <c r="D1" s="5" t="s">
        <v>221</v>
      </c>
      <c r="E1" s="5" t="s">
        <v>222</v>
      </c>
      <c r="F1" s="5" t="s">
        <v>223</v>
      </c>
      <c r="G1" s="5" t="s">
        <v>224</v>
      </c>
      <c r="H1" s="5" t="s">
        <v>225</v>
      </c>
      <c r="I1" s="5" t="s">
        <v>226</v>
      </c>
      <c r="J1" s="5" t="s">
        <v>227</v>
      </c>
      <c r="K1" s="5" t="s">
        <v>228</v>
      </c>
      <c r="L1" s="5" t="s">
        <v>229</v>
      </c>
      <c r="M1" s="5" t="s">
        <v>230</v>
      </c>
      <c r="N1" s="5" t="s">
        <v>231</v>
      </c>
      <c r="O1" s="5" t="s">
        <v>232</v>
      </c>
    </row>
    <row r="2" spans="1:15" ht="15.75" customHeight="1" x14ac:dyDescent="0.2">
      <c r="E2" t="s">
        <v>443</v>
      </c>
      <c r="F2">
        <v>135</v>
      </c>
      <c r="G2" t="s">
        <v>255</v>
      </c>
      <c r="H2" t="s">
        <v>15</v>
      </c>
      <c r="I2">
        <v>132</v>
      </c>
    </row>
    <row r="3" spans="1:15" ht="15.75" customHeight="1" x14ac:dyDescent="0.2">
      <c r="E3" t="s">
        <v>501</v>
      </c>
      <c r="F3">
        <v>182</v>
      </c>
      <c r="G3" t="s">
        <v>255</v>
      </c>
      <c r="H3" t="s">
        <v>15</v>
      </c>
      <c r="I3">
        <v>122</v>
      </c>
    </row>
    <row r="4" spans="1:15" ht="15.75" hidden="1" customHeight="1" x14ac:dyDescent="0.2">
      <c r="E4" t="s">
        <v>411</v>
      </c>
      <c r="F4">
        <v>54</v>
      </c>
      <c r="G4" t="s">
        <v>296</v>
      </c>
      <c r="H4">
        <v>0</v>
      </c>
      <c r="I4">
        <v>20</v>
      </c>
    </row>
    <row r="5" spans="1:15" ht="15.75" customHeight="1" x14ac:dyDescent="0.2">
      <c r="E5" t="s">
        <v>484</v>
      </c>
      <c r="F5">
        <v>139</v>
      </c>
      <c r="G5" t="s">
        <v>255</v>
      </c>
      <c r="H5" t="s">
        <v>15</v>
      </c>
      <c r="I5">
        <v>71</v>
      </c>
    </row>
    <row r="6" spans="1:15" ht="15.75" customHeight="1" x14ac:dyDescent="0.2">
      <c r="E6" t="s">
        <v>411</v>
      </c>
      <c r="F6">
        <v>54</v>
      </c>
      <c r="G6" t="s">
        <v>255</v>
      </c>
      <c r="H6" t="s">
        <v>15</v>
      </c>
      <c r="I6">
        <v>70</v>
      </c>
    </row>
    <row r="7" spans="1:15" ht="15.75" customHeight="1" x14ac:dyDescent="0.2">
      <c r="E7" t="s">
        <v>417</v>
      </c>
      <c r="F7">
        <v>60</v>
      </c>
      <c r="G7" t="s">
        <v>255</v>
      </c>
      <c r="H7" t="s">
        <v>15</v>
      </c>
      <c r="I7">
        <v>52</v>
      </c>
    </row>
    <row r="8" spans="1:15" ht="15.75" customHeight="1" x14ac:dyDescent="0.2">
      <c r="E8" t="s">
        <v>416</v>
      </c>
      <c r="F8">
        <v>59</v>
      </c>
      <c r="G8" t="s">
        <v>255</v>
      </c>
      <c r="H8" t="s">
        <v>15</v>
      </c>
      <c r="I8">
        <v>50</v>
      </c>
    </row>
    <row r="9" spans="1:15" ht="15.75" customHeight="1" x14ac:dyDescent="0.2">
      <c r="E9" t="s">
        <v>414</v>
      </c>
      <c r="F9">
        <v>57</v>
      </c>
      <c r="G9" t="s">
        <v>255</v>
      </c>
      <c r="H9" t="s">
        <v>15</v>
      </c>
      <c r="I9">
        <v>46</v>
      </c>
    </row>
    <row r="10" spans="1:15" ht="15.75" customHeight="1" x14ac:dyDescent="0.2">
      <c r="E10" t="s">
        <v>491</v>
      </c>
      <c r="F10">
        <v>157</v>
      </c>
      <c r="G10" t="s">
        <v>255</v>
      </c>
      <c r="H10" t="s">
        <v>15</v>
      </c>
      <c r="I10">
        <v>44</v>
      </c>
    </row>
    <row r="11" spans="1:15" ht="15.75" customHeight="1" x14ac:dyDescent="0.2">
      <c r="E11" t="s">
        <v>351</v>
      </c>
      <c r="F11">
        <v>3</v>
      </c>
      <c r="G11" t="s">
        <v>255</v>
      </c>
      <c r="H11" t="s">
        <v>15</v>
      </c>
      <c r="I11">
        <v>43</v>
      </c>
    </row>
    <row r="12" spans="1:15" ht="15.75" customHeight="1" x14ac:dyDescent="0.2">
      <c r="E12" t="s">
        <v>394</v>
      </c>
      <c r="F12">
        <v>36</v>
      </c>
      <c r="G12" t="s">
        <v>255</v>
      </c>
      <c r="H12" t="s">
        <v>15</v>
      </c>
      <c r="I12">
        <v>43</v>
      </c>
    </row>
    <row r="13" spans="1:15" ht="15.75" customHeight="1" x14ac:dyDescent="0.2">
      <c r="E13" t="s">
        <v>415</v>
      </c>
      <c r="F13">
        <v>58</v>
      </c>
      <c r="G13" t="s">
        <v>255</v>
      </c>
      <c r="H13" t="s">
        <v>15</v>
      </c>
      <c r="I13">
        <v>42</v>
      </c>
    </row>
    <row r="14" spans="1:15" ht="15.75" customHeight="1" x14ac:dyDescent="0.2">
      <c r="E14" t="s">
        <v>443</v>
      </c>
      <c r="F14">
        <v>135</v>
      </c>
      <c r="G14" t="s">
        <v>296</v>
      </c>
      <c r="H14" t="s">
        <v>1</v>
      </c>
      <c r="I14">
        <v>38</v>
      </c>
    </row>
    <row r="15" spans="1:15" ht="15.75" customHeight="1" x14ac:dyDescent="0.2">
      <c r="E15" t="s">
        <v>407</v>
      </c>
      <c r="F15">
        <v>50</v>
      </c>
      <c r="G15" t="s">
        <v>255</v>
      </c>
      <c r="H15" t="s">
        <v>15</v>
      </c>
      <c r="I15">
        <v>38</v>
      </c>
    </row>
    <row r="16" spans="1:15" ht="15.75" customHeight="1" x14ac:dyDescent="0.2">
      <c r="E16" t="s">
        <v>497</v>
      </c>
      <c r="F16">
        <v>162</v>
      </c>
      <c r="G16" t="s">
        <v>255</v>
      </c>
      <c r="H16" t="s">
        <v>15</v>
      </c>
      <c r="I16">
        <v>36</v>
      </c>
    </row>
    <row r="17" spans="5:9" ht="15.75" customHeight="1" x14ac:dyDescent="0.2">
      <c r="E17" t="s">
        <v>483</v>
      </c>
      <c r="F17">
        <v>138</v>
      </c>
      <c r="G17" t="s">
        <v>255</v>
      </c>
      <c r="H17" t="s">
        <v>15</v>
      </c>
      <c r="I17">
        <v>34</v>
      </c>
    </row>
    <row r="18" spans="5:9" ht="15.75" customHeight="1" x14ac:dyDescent="0.2">
      <c r="E18" t="s">
        <v>397</v>
      </c>
      <c r="F18">
        <v>39</v>
      </c>
      <c r="G18" t="s">
        <v>255</v>
      </c>
      <c r="H18" t="s">
        <v>15</v>
      </c>
      <c r="I18">
        <v>33</v>
      </c>
    </row>
    <row r="19" spans="5:9" ht="15.75" customHeight="1" x14ac:dyDescent="0.2">
      <c r="E19" t="s">
        <v>446</v>
      </c>
      <c r="F19">
        <v>142</v>
      </c>
      <c r="G19" t="s">
        <v>255</v>
      </c>
      <c r="H19" t="s">
        <v>15</v>
      </c>
      <c r="I19">
        <v>31</v>
      </c>
    </row>
    <row r="20" spans="5:9" ht="15.75" customHeight="1" x14ac:dyDescent="0.2">
      <c r="E20" t="s">
        <v>352</v>
      </c>
      <c r="F20">
        <v>4</v>
      </c>
      <c r="G20" t="s">
        <v>255</v>
      </c>
      <c r="H20" t="s">
        <v>15</v>
      </c>
      <c r="I20">
        <v>30</v>
      </c>
    </row>
    <row r="21" spans="5:9" ht="15.75" customHeight="1" x14ac:dyDescent="0.2">
      <c r="E21" t="s">
        <v>395</v>
      </c>
      <c r="F21">
        <v>37</v>
      </c>
      <c r="G21" t="s">
        <v>255</v>
      </c>
      <c r="H21" t="s">
        <v>15</v>
      </c>
      <c r="I21">
        <v>30</v>
      </c>
    </row>
    <row r="22" spans="5:9" ht="15.75" customHeight="1" x14ac:dyDescent="0.2">
      <c r="E22" t="s">
        <v>501</v>
      </c>
      <c r="F22">
        <v>182</v>
      </c>
      <c r="G22" t="s">
        <v>296</v>
      </c>
      <c r="H22" t="s">
        <v>1</v>
      </c>
      <c r="I22">
        <v>29</v>
      </c>
    </row>
    <row r="23" spans="5:9" ht="15.75" customHeight="1" x14ac:dyDescent="0.2">
      <c r="E23" t="s">
        <v>359</v>
      </c>
      <c r="F23">
        <v>8</v>
      </c>
      <c r="G23" t="s">
        <v>255</v>
      </c>
      <c r="H23" t="s">
        <v>15</v>
      </c>
      <c r="I23">
        <v>28</v>
      </c>
    </row>
    <row r="24" spans="5:9" ht="15.75" customHeight="1" x14ac:dyDescent="0.2">
      <c r="E24" t="s">
        <v>408</v>
      </c>
      <c r="F24">
        <v>51</v>
      </c>
      <c r="G24" t="s">
        <v>255</v>
      </c>
      <c r="H24" t="s">
        <v>15</v>
      </c>
      <c r="I24">
        <v>28</v>
      </c>
    </row>
    <row r="25" spans="5:9" ht="15.75" customHeight="1" x14ac:dyDescent="0.2">
      <c r="E25" t="s">
        <v>503</v>
      </c>
      <c r="F25">
        <v>184</v>
      </c>
      <c r="G25" t="s">
        <v>255</v>
      </c>
      <c r="H25" t="s">
        <v>15</v>
      </c>
      <c r="I25">
        <v>28</v>
      </c>
    </row>
    <row r="26" spans="5:9" ht="15.75" customHeight="1" x14ac:dyDescent="0.2">
      <c r="E26" t="s">
        <v>354</v>
      </c>
      <c r="F26">
        <v>5</v>
      </c>
      <c r="G26" t="s">
        <v>255</v>
      </c>
      <c r="H26" t="s">
        <v>15</v>
      </c>
      <c r="I26">
        <v>27</v>
      </c>
    </row>
    <row r="27" spans="5:9" ht="15.75" customHeight="1" x14ac:dyDescent="0.2">
      <c r="E27" t="s">
        <v>356</v>
      </c>
      <c r="F27">
        <v>6</v>
      </c>
      <c r="G27" t="s">
        <v>255</v>
      </c>
      <c r="H27" t="s">
        <v>15</v>
      </c>
      <c r="I27">
        <v>27</v>
      </c>
    </row>
    <row r="28" spans="5:9" ht="15.75" customHeight="1" x14ac:dyDescent="0.2">
      <c r="E28" t="s">
        <v>372</v>
      </c>
      <c r="F28">
        <v>17</v>
      </c>
      <c r="G28" t="s">
        <v>255</v>
      </c>
      <c r="H28" t="s">
        <v>15</v>
      </c>
      <c r="I28">
        <v>27</v>
      </c>
    </row>
    <row r="29" spans="5:9" ht="15.75" customHeight="1" x14ac:dyDescent="0.2">
      <c r="E29" t="s">
        <v>385</v>
      </c>
      <c r="F29">
        <v>29</v>
      </c>
      <c r="G29" t="s">
        <v>255</v>
      </c>
      <c r="H29" t="s">
        <v>15</v>
      </c>
      <c r="I29">
        <v>27</v>
      </c>
    </row>
    <row r="30" spans="5:9" ht="15.75" customHeight="1" x14ac:dyDescent="0.2">
      <c r="E30" t="s">
        <v>500</v>
      </c>
      <c r="F30">
        <v>181</v>
      </c>
      <c r="G30" t="s">
        <v>255</v>
      </c>
      <c r="H30" t="s">
        <v>15</v>
      </c>
      <c r="I30">
        <v>25</v>
      </c>
    </row>
    <row r="31" spans="5:9" ht="15.75" customHeight="1" x14ac:dyDescent="0.2">
      <c r="E31" t="s">
        <v>370</v>
      </c>
      <c r="F31">
        <v>15</v>
      </c>
      <c r="G31" t="s">
        <v>255</v>
      </c>
      <c r="H31" t="s">
        <v>15</v>
      </c>
      <c r="I31">
        <v>23</v>
      </c>
    </row>
    <row r="32" spans="5:9" ht="15.75" customHeight="1" x14ac:dyDescent="0.2">
      <c r="E32" t="s">
        <v>387</v>
      </c>
      <c r="F32">
        <v>30</v>
      </c>
      <c r="G32" t="s">
        <v>255</v>
      </c>
      <c r="H32" t="s">
        <v>15</v>
      </c>
      <c r="I32">
        <v>23</v>
      </c>
    </row>
    <row r="33" spans="5:9" ht="15.75" customHeight="1" x14ac:dyDescent="0.2">
      <c r="E33" t="s">
        <v>396</v>
      </c>
      <c r="F33">
        <v>38</v>
      </c>
      <c r="G33" t="s">
        <v>255</v>
      </c>
      <c r="H33" t="s">
        <v>15</v>
      </c>
      <c r="I33">
        <v>22</v>
      </c>
    </row>
    <row r="34" spans="5:9" ht="15.75" customHeight="1" x14ac:dyDescent="0.2">
      <c r="E34" t="s">
        <v>375</v>
      </c>
      <c r="F34">
        <v>20</v>
      </c>
      <c r="G34" t="s">
        <v>255</v>
      </c>
      <c r="H34" t="s">
        <v>15</v>
      </c>
      <c r="I34">
        <v>21</v>
      </c>
    </row>
    <row r="35" spans="5:9" ht="15.75" customHeight="1" x14ac:dyDescent="0.2">
      <c r="E35" t="s">
        <v>470</v>
      </c>
      <c r="F35">
        <v>174</v>
      </c>
      <c r="G35" t="s">
        <v>255</v>
      </c>
      <c r="H35" t="s">
        <v>15</v>
      </c>
      <c r="I35">
        <v>21</v>
      </c>
    </row>
    <row r="36" spans="5:9" ht="15.75" customHeight="1" x14ac:dyDescent="0.2">
      <c r="E36" t="s">
        <v>474</v>
      </c>
      <c r="F36">
        <v>179</v>
      </c>
      <c r="G36" t="s">
        <v>255</v>
      </c>
      <c r="H36" t="s">
        <v>15</v>
      </c>
      <c r="I36">
        <v>21</v>
      </c>
    </row>
    <row r="37" spans="5:9" ht="15.75" customHeight="1" x14ac:dyDescent="0.2">
      <c r="E37" t="s">
        <v>383</v>
      </c>
      <c r="F37">
        <v>28</v>
      </c>
      <c r="G37" t="s">
        <v>255</v>
      </c>
      <c r="H37" t="s">
        <v>15</v>
      </c>
      <c r="I37">
        <v>20</v>
      </c>
    </row>
    <row r="38" spans="5:9" ht="15.75" customHeight="1" x14ac:dyDescent="0.2">
      <c r="E38" t="s">
        <v>469</v>
      </c>
      <c r="F38">
        <v>173</v>
      </c>
      <c r="G38" t="s">
        <v>255</v>
      </c>
      <c r="H38" t="s">
        <v>15</v>
      </c>
      <c r="I38">
        <v>20</v>
      </c>
    </row>
    <row r="39" spans="5:9" ht="15.75" customHeight="1" x14ac:dyDescent="0.2">
      <c r="E39" t="s">
        <v>473</v>
      </c>
      <c r="F39">
        <v>178</v>
      </c>
      <c r="G39" t="s">
        <v>255</v>
      </c>
      <c r="H39" t="s">
        <v>15</v>
      </c>
      <c r="I39">
        <v>20</v>
      </c>
    </row>
    <row r="40" spans="5:9" ht="15.75" customHeight="1" x14ac:dyDescent="0.2">
      <c r="E40" t="s">
        <v>373</v>
      </c>
      <c r="F40">
        <v>18</v>
      </c>
      <c r="G40" t="s">
        <v>255</v>
      </c>
      <c r="H40" t="s">
        <v>15</v>
      </c>
      <c r="I40">
        <v>19</v>
      </c>
    </row>
    <row r="41" spans="5:9" ht="15.75" customHeight="1" x14ac:dyDescent="0.2">
      <c r="E41" t="s">
        <v>376</v>
      </c>
      <c r="F41">
        <v>21</v>
      </c>
      <c r="G41" t="s">
        <v>255</v>
      </c>
      <c r="H41" t="s">
        <v>15</v>
      </c>
      <c r="I41">
        <v>19</v>
      </c>
    </row>
    <row r="42" spans="5:9" ht="15.75" customHeight="1" x14ac:dyDescent="0.2">
      <c r="E42" t="s">
        <v>398</v>
      </c>
      <c r="F42">
        <v>40</v>
      </c>
      <c r="G42" t="s">
        <v>255</v>
      </c>
      <c r="H42" t="s">
        <v>15</v>
      </c>
      <c r="I42">
        <v>19</v>
      </c>
    </row>
    <row r="43" spans="5:9" ht="15.75" customHeight="1" x14ac:dyDescent="0.2">
      <c r="E43" t="s">
        <v>496</v>
      </c>
      <c r="F43">
        <v>161</v>
      </c>
      <c r="G43" t="s">
        <v>255</v>
      </c>
      <c r="H43" t="s">
        <v>15</v>
      </c>
      <c r="I43">
        <v>19</v>
      </c>
    </row>
    <row r="44" spans="5:9" ht="15.75" customHeight="1" x14ac:dyDescent="0.2">
      <c r="E44" t="s">
        <v>459</v>
      </c>
      <c r="F44">
        <v>163</v>
      </c>
      <c r="G44" t="s">
        <v>255</v>
      </c>
      <c r="H44" t="s">
        <v>15</v>
      </c>
      <c r="I44">
        <v>19</v>
      </c>
    </row>
    <row r="45" spans="5:9" ht="15.75" customHeight="1" x14ac:dyDescent="0.2">
      <c r="E45" t="s">
        <v>461</v>
      </c>
      <c r="F45">
        <v>165</v>
      </c>
      <c r="G45" t="s">
        <v>255</v>
      </c>
      <c r="H45" t="s">
        <v>15</v>
      </c>
      <c r="I45">
        <v>19</v>
      </c>
    </row>
    <row r="46" spans="5:9" ht="15.75" customHeight="1" x14ac:dyDescent="0.2">
      <c r="E46" t="s">
        <v>463</v>
      </c>
      <c r="F46">
        <v>167</v>
      </c>
      <c r="G46" t="s">
        <v>255</v>
      </c>
      <c r="H46" t="s">
        <v>15</v>
      </c>
      <c r="I46">
        <v>19</v>
      </c>
    </row>
    <row r="47" spans="5:9" ht="15.75" customHeight="1" x14ac:dyDescent="0.2">
      <c r="E47" t="s">
        <v>466</v>
      </c>
      <c r="F47">
        <v>170</v>
      </c>
      <c r="G47" t="s">
        <v>255</v>
      </c>
      <c r="H47" t="s">
        <v>15</v>
      </c>
      <c r="I47">
        <v>19</v>
      </c>
    </row>
    <row r="48" spans="5:9" ht="15.75" customHeight="1" x14ac:dyDescent="0.2">
      <c r="E48" t="s">
        <v>468</v>
      </c>
      <c r="F48">
        <v>172</v>
      </c>
      <c r="G48" t="s">
        <v>255</v>
      </c>
      <c r="H48" t="s">
        <v>15</v>
      </c>
      <c r="I48">
        <v>19</v>
      </c>
    </row>
    <row r="49" spans="5:9" ht="15.75" customHeight="1" x14ac:dyDescent="0.2">
      <c r="E49" t="s">
        <v>499</v>
      </c>
      <c r="F49">
        <v>180</v>
      </c>
      <c r="G49" t="s">
        <v>255</v>
      </c>
      <c r="H49" t="s">
        <v>15</v>
      </c>
      <c r="I49">
        <v>19</v>
      </c>
    </row>
    <row r="50" spans="5:9" ht="15.75" customHeight="1" x14ac:dyDescent="0.2">
      <c r="E50" t="s">
        <v>502</v>
      </c>
      <c r="F50">
        <v>183</v>
      </c>
      <c r="G50" t="s">
        <v>255</v>
      </c>
      <c r="H50" t="s">
        <v>15</v>
      </c>
      <c r="I50">
        <v>19</v>
      </c>
    </row>
    <row r="51" spans="5:9" ht="15.75" customHeight="1" x14ac:dyDescent="0.2">
      <c r="E51" t="s">
        <v>394</v>
      </c>
      <c r="F51">
        <v>36</v>
      </c>
      <c r="G51" t="s">
        <v>296</v>
      </c>
      <c r="H51" t="s">
        <v>1</v>
      </c>
      <c r="I51">
        <v>18</v>
      </c>
    </row>
    <row r="52" spans="5:9" ht="15.75" customHeight="1" x14ac:dyDescent="0.2">
      <c r="E52" t="s">
        <v>447</v>
      </c>
      <c r="F52">
        <v>143</v>
      </c>
      <c r="G52" t="s">
        <v>255</v>
      </c>
      <c r="H52" t="s">
        <v>15</v>
      </c>
      <c r="I52">
        <v>18</v>
      </c>
    </row>
    <row r="53" spans="5:9" ht="15.75" customHeight="1" x14ac:dyDescent="0.2">
      <c r="E53" t="s">
        <v>472</v>
      </c>
      <c r="F53">
        <v>176</v>
      </c>
      <c r="G53" t="s">
        <v>255</v>
      </c>
      <c r="H53" t="s">
        <v>15</v>
      </c>
      <c r="I53">
        <v>18</v>
      </c>
    </row>
    <row r="54" spans="5:9" ht="15.75" customHeight="1" x14ac:dyDescent="0.2">
      <c r="E54" t="s">
        <v>492</v>
      </c>
      <c r="F54">
        <v>158</v>
      </c>
      <c r="G54" t="s">
        <v>255</v>
      </c>
      <c r="H54" t="s">
        <v>15</v>
      </c>
      <c r="I54">
        <v>17</v>
      </c>
    </row>
    <row r="55" spans="5:9" ht="15.75" customHeight="1" x14ac:dyDescent="0.2">
      <c r="E55" t="s">
        <v>494</v>
      </c>
      <c r="F55">
        <v>160</v>
      </c>
      <c r="G55" t="s">
        <v>255</v>
      </c>
      <c r="H55" t="s">
        <v>15</v>
      </c>
      <c r="I55">
        <v>17</v>
      </c>
    </row>
    <row r="56" spans="5:9" ht="15.75" customHeight="1" x14ac:dyDescent="0.2">
      <c r="E56" t="s">
        <v>371</v>
      </c>
      <c r="F56">
        <v>16</v>
      </c>
      <c r="G56" t="s">
        <v>255</v>
      </c>
      <c r="H56" t="s">
        <v>15</v>
      </c>
      <c r="I56">
        <v>16</v>
      </c>
    </row>
    <row r="57" spans="5:9" ht="15.75" customHeight="1" x14ac:dyDescent="0.2">
      <c r="E57" t="s">
        <v>493</v>
      </c>
      <c r="F57">
        <v>159</v>
      </c>
      <c r="G57" t="s">
        <v>255</v>
      </c>
      <c r="H57" t="s">
        <v>15</v>
      </c>
      <c r="I57">
        <v>15</v>
      </c>
    </row>
    <row r="58" spans="5:9" ht="15.75" customHeight="1" x14ac:dyDescent="0.2">
      <c r="E58" t="s">
        <v>460</v>
      </c>
      <c r="F58">
        <v>164</v>
      </c>
      <c r="G58" t="s">
        <v>255</v>
      </c>
      <c r="H58" t="s">
        <v>15</v>
      </c>
      <c r="I58">
        <v>15</v>
      </c>
    </row>
    <row r="59" spans="5:9" ht="15.75" customHeight="1" x14ac:dyDescent="0.2">
      <c r="E59" t="s">
        <v>462</v>
      </c>
      <c r="F59">
        <v>166</v>
      </c>
      <c r="G59" t="s">
        <v>255</v>
      </c>
      <c r="H59" t="s">
        <v>15</v>
      </c>
      <c r="I59">
        <v>15</v>
      </c>
    </row>
    <row r="60" spans="5:9" ht="15.75" customHeight="1" x14ac:dyDescent="0.2">
      <c r="E60" t="s">
        <v>464</v>
      </c>
      <c r="F60">
        <v>168</v>
      </c>
      <c r="G60" t="s">
        <v>255</v>
      </c>
      <c r="H60" t="s">
        <v>15</v>
      </c>
      <c r="I60">
        <v>15</v>
      </c>
    </row>
    <row r="61" spans="5:9" ht="15.75" customHeight="1" x14ac:dyDescent="0.2">
      <c r="E61" t="s">
        <v>382</v>
      </c>
      <c r="F61">
        <v>27</v>
      </c>
      <c r="G61" t="s">
        <v>255</v>
      </c>
      <c r="H61" t="s">
        <v>15</v>
      </c>
      <c r="I61">
        <v>14</v>
      </c>
    </row>
    <row r="62" spans="5:9" ht="15.75" customHeight="1" x14ac:dyDescent="0.2">
      <c r="E62" t="s">
        <v>393</v>
      </c>
      <c r="F62">
        <v>35</v>
      </c>
      <c r="G62" t="s">
        <v>255</v>
      </c>
      <c r="H62" t="s">
        <v>15</v>
      </c>
      <c r="I62">
        <v>14</v>
      </c>
    </row>
    <row r="63" spans="5:9" ht="15.75" customHeight="1" x14ac:dyDescent="0.2">
      <c r="E63" t="s">
        <v>419</v>
      </c>
      <c r="F63">
        <v>62</v>
      </c>
      <c r="G63" t="s">
        <v>255</v>
      </c>
      <c r="H63" t="s">
        <v>15</v>
      </c>
      <c r="I63">
        <v>14</v>
      </c>
    </row>
    <row r="64" spans="5:9" ht="15.75" customHeight="1" x14ac:dyDescent="0.2">
      <c r="E64" t="s">
        <v>505</v>
      </c>
      <c r="F64">
        <v>186</v>
      </c>
      <c r="G64" t="s">
        <v>255</v>
      </c>
      <c r="H64" t="s">
        <v>15</v>
      </c>
      <c r="I64">
        <v>14</v>
      </c>
    </row>
    <row r="65" spans="5:9" ht="15.75" customHeight="1" x14ac:dyDescent="0.2">
      <c r="E65" t="s">
        <v>390</v>
      </c>
      <c r="F65">
        <v>33</v>
      </c>
      <c r="G65" t="s">
        <v>255</v>
      </c>
      <c r="H65" t="s">
        <v>15</v>
      </c>
      <c r="I65">
        <v>13</v>
      </c>
    </row>
    <row r="66" spans="5:9" ht="15.75" customHeight="1" x14ac:dyDescent="0.2">
      <c r="E66" t="s">
        <v>422</v>
      </c>
      <c r="F66">
        <v>64</v>
      </c>
      <c r="G66" t="s">
        <v>255</v>
      </c>
      <c r="H66" t="s">
        <v>15</v>
      </c>
      <c r="I66">
        <v>13</v>
      </c>
    </row>
    <row r="67" spans="5:9" ht="15.75" customHeight="1" x14ac:dyDescent="0.2">
      <c r="E67" t="s">
        <v>482</v>
      </c>
      <c r="F67">
        <v>137</v>
      </c>
      <c r="G67" t="s">
        <v>255</v>
      </c>
      <c r="H67" t="s">
        <v>15</v>
      </c>
      <c r="I67">
        <v>13</v>
      </c>
    </row>
    <row r="68" spans="5:9" ht="15.75" customHeight="1" x14ac:dyDescent="0.2">
      <c r="E68" t="s">
        <v>486</v>
      </c>
      <c r="F68">
        <v>140</v>
      </c>
      <c r="G68" t="s">
        <v>255</v>
      </c>
      <c r="H68" t="s">
        <v>15</v>
      </c>
      <c r="I68">
        <v>13</v>
      </c>
    </row>
    <row r="69" spans="5:9" ht="15.75" customHeight="1" x14ac:dyDescent="0.2">
      <c r="E69" t="s">
        <v>487</v>
      </c>
      <c r="F69">
        <v>141</v>
      </c>
      <c r="G69" t="s">
        <v>255</v>
      </c>
      <c r="H69" t="s">
        <v>15</v>
      </c>
      <c r="I69">
        <v>13</v>
      </c>
    </row>
    <row r="70" spans="5:9" ht="15.75" customHeight="1" x14ac:dyDescent="0.2">
      <c r="E70" t="s">
        <v>471</v>
      </c>
      <c r="F70">
        <v>175</v>
      </c>
      <c r="G70" t="s">
        <v>255</v>
      </c>
      <c r="H70" t="s">
        <v>15</v>
      </c>
      <c r="I70">
        <v>13</v>
      </c>
    </row>
    <row r="71" spans="5:9" ht="15.75" customHeight="1" x14ac:dyDescent="0.2">
      <c r="E71" t="s">
        <v>416</v>
      </c>
      <c r="F71">
        <v>59</v>
      </c>
      <c r="G71" t="s">
        <v>296</v>
      </c>
      <c r="H71" t="s">
        <v>1</v>
      </c>
      <c r="I71">
        <v>12</v>
      </c>
    </row>
    <row r="72" spans="5:9" ht="15.75" customHeight="1" x14ac:dyDescent="0.2">
      <c r="E72" t="s">
        <v>417</v>
      </c>
      <c r="F72">
        <v>60</v>
      </c>
      <c r="G72" t="s">
        <v>296</v>
      </c>
      <c r="H72" t="s">
        <v>1</v>
      </c>
      <c r="I72">
        <v>12</v>
      </c>
    </row>
    <row r="73" spans="5:9" ht="15.75" customHeight="1" x14ac:dyDescent="0.2">
      <c r="E73" t="s">
        <v>377</v>
      </c>
      <c r="F73">
        <v>22</v>
      </c>
      <c r="G73" t="s">
        <v>255</v>
      </c>
      <c r="H73" t="s">
        <v>15</v>
      </c>
      <c r="I73">
        <v>12</v>
      </c>
    </row>
    <row r="74" spans="5:9" ht="15.75" customHeight="1" x14ac:dyDescent="0.2">
      <c r="E74" t="s">
        <v>388</v>
      </c>
      <c r="F74">
        <v>31</v>
      </c>
      <c r="G74" t="s">
        <v>255</v>
      </c>
      <c r="H74" t="s">
        <v>15</v>
      </c>
      <c r="I74">
        <v>12</v>
      </c>
    </row>
    <row r="75" spans="5:9" ht="15.75" customHeight="1" x14ac:dyDescent="0.2">
      <c r="E75" t="s">
        <v>389</v>
      </c>
      <c r="F75">
        <v>32</v>
      </c>
      <c r="G75" t="s">
        <v>255</v>
      </c>
      <c r="H75" t="s">
        <v>15</v>
      </c>
      <c r="I75">
        <v>12</v>
      </c>
    </row>
    <row r="76" spans="5:9" ht="15.75" customHeight="1" x14ac:dyDescent="0.2">
      <c r="E76" t="s">
        <v>391</v>
      </c>
      <c r="F76">
        <v>34</v>
      </c>
      <c r="G76" t="s">
        <v>255</v>
      </c>
      <c r="H76" t="s">
        <v>15</v>
      </c>
      <c r="I76">
        <v>12</v>
      </c>
    </row>
    <row r="77" spans="5:9" ht="15.75" customHeight="1" x14ac:dyDescent="0.2">
      <c r="E77" t="s">
        <v>504</v>
      </c>
      <c r="F77">
        <v>185</v>
      </c>
      <c r="G77" t="s">
        <v>255</v>
      </c>
      <c r="H77" t="s">
        <v>15</v>
      </c>
      <c r="I77">
        <v>12</v>
      </c>
    </row>
    <row r="78" spans="5:9" ht="15.75" customHeight="1" x14ac:dyDescent="0.2">
      <c r="E78" t="s">
        <v>287</v>
      </c>
      <c r="F78">
        <v>1</v>
      </c>
      <c r="G78" t="s">
        <v>255</v>
      </c>
      <c r="H78" t="s">
        <v>15</v>
      </c>
      <c r="I78">
        <v>11</v>
      </c>
    </row>
    <row r="79" spans="5:9" ht="15.75" customHeight="1" x14ac:dyDescent="0.2">
      <c r="E79" t="s">
        <v>380</v>
      </c>
      <c r="F79">
        <v>25</v>
      </c>
      <c r="G79" t="s">
        <v>255</v>
      </c>
      <c r="H79" t="s">
        <v>15</v>
      </c>
      <c r="I79">
        <v>11</v>
      </c>
    </row>
    <row r="80" spans="5:9" ht="15.75" customHeight="1" x14ac:dyDescent="0.2">
      <c r="E80" t="s">
        <v>381</v>
      </c>
      <c r="F80">
        <v>26</v>
      </c>
      <c r="G80" t="s">
        <v>255</v>
      </c>
      <c r="H80" t="s">
        <v>15</v>
      </c>
      <c r="I80">
        <v>11</v>
      </c>
    </row>
    <row r="81" spans="5:9" ht="15.75" customHeight="1" x14ac:dyDescent="0.2">
      <c r="E81" t="s">
        <v>412</v>
      </c>
      <c r="F81">
        <v>55</v>
      </c>
      <c r="G81" t="s">
        <v>255</v>
      </c>
      <c r="H81" t="s">
        <v>15</v>
      </c>
      <c r="I81">
        <v>11</v>
      </c>
    </row>
    <row r="82" spans="5:9" ht="15.75" customHeight="1" x14ac:dyDescent="0.2">
      <c r="E82" t="s">
        <v>452</v>
      </c>
      <c r="F82">
        <v>149</v>
      </c>
      <c r="G82" t="s">
        <v>255</v>
      </c>
      <c r="H82" t="s">
        <v>15</v>
      </c>
      <c r="I82">
        <v>11</v>
      </c>
    </row>
    <row r="83" spans="5:9" ht="15.75" customHeight="1" x14ac:dyDescent="0.2">
      <c r="E83" t="s">
        <v>362</v>
      </c>
      <c r="F83">
        <v>156</v>
      </c>
      <c r="G83" t="s">
        <v>255</v>
      </c>
      <c r="H83" t="s">
        <v>15</v>
      </c>
      <c r="I83">
        <v>11</v>
      </c>
    </row>
    <row r="84" spans="5:9" ht="15.75" customHeight="1" x14ac:dyDescent="0.2">
      <c r="E84" t="s">
        <v>351</v>
      </c>
      <c r="F84">
        <v>3</v>
      </c>
      <c r="G84" t="s">
        <v>296</v>
      </c>
      <c r="H84" t="s">
        <v>1</v>
      </c>
      <c r="I84">
        <v>10</v>
      </c>
    </row>
    <row r="85" spans="5:9" ht="15.75" customHeight="1" x14ac:dyDescent="0.2">
      <c r="E85" t="s">
        <v>414</v>
      </c>
      <c r="F85">
        <v>57</v>
      </c>
      <c r="G85" t="s">
        <v>296</v>
      </c>
      <c r="H85" t="s">
        <v>1</v>
      </c>
      <c r="I85">
        <v>10</v>
      </c>
    </row>
    <row r="86" spans="5:9" ht="15.75" customHeight="1" x14ac:dyDescent="0.2">
      <c r="E86" t="s">
        <v>415</v>
      </c>
      <c r="F86">
        <v>58</v>
      </c>
      <c r="G86" t="s">
        <v>296</v>
      </c>
      <c r="H86" t="s">
        <v>1</v>
      </c>
      <c r="I86">
        <v>10</v>
      </c>
    </row>
    <row r="87" spans="5:9" ht="15.75" customHeight="1" x14ac:dyDescent="0.2">
      <c r="E87" t="s">
        <v>361</v>
      </c>
      <c r="F87">
        <v>10</v>
      </c>
      <c r="G87" t="s">
        <v>255</v>
      </c>
      <c r="H87" t="s">
        <v>15</v>
      </c>
      <c r="I87">
        <v>10</v>
      </c>
    </row>
    <row r="88" spans="5:9" ht="15.75" customHeight="1" x14ac:dyDescent="0.2">
      <c r="E88" t="s">
        <v>362</v>
      </c>
      <c r="F88">
        <v>11</v>
      </c>
      <c r="G88" t="s">
        <v>255</v>
      </c>
      <c r="H88" t="s">
        <v>15</v>
      </c>
      <c r="I88">
        <v>10</v>
      </c>
    </row>
    <row r="89" spans="5:9" ht="15.75" customHeight="1" x14ac:dyDescent="0.2">
      <c r="E89" t="s">
        <v>374</v>
      </c>
      <c r="F89">
        <v>19</v>
      </c>
      <c r="G89" t="s">
        <v>255</v>
      </c>
      <c r="H89" t="s">
        <v>15</v>
      </c>
      <c r="I89">
        <v>10</v>
      </c>
    </row>
    <row r="90" spans="5:9" ht="15.75" customHeight="1" x14ac:dyDescent="0.2">
      <c r="E90" t="s">
        <v>444</v>
      </c>
      <c r="F90">
        <v>100</v>
      </c>
      <c r="G90" t="s">
        <v>255</v>
      </c>
      <c r="H90" t="s">
        <v>15</v>
      </c>
      <c r="I90">
        <v>10</v>
      </c>
    </row>
    <row r="91" spans="5:9" ht="15.75" customHeight="1" x14ac:dyDescent="0.2">
      <c r="E91" t="s">
        <v>476</v>
      </c>
      <c r="F91">
        <v>130</v>
      </c>
      <c r="G91" t="s">
        <v>255</v>
      </c>
      <c r="H91" t="s">
        <v>15</v>
      </c>
      <c r="I91">
        <v>10</v>
      </c>
    </row>
    <row r="92" spans="5:9" ht="15.75" customHeight="1" x14ac:dyDescent="0.2">
      <c r="E92" t="s">
        <v>454</v>
      </c>
      <c r="F92">
        <v>151</v>
      </c>
      <c r="G92" t="s">
        <v>255</v>
      </c>
      <c r="H92" t="s">
        <v>15</v>
      </c>
      <c r="I92">
        <v>10</v>
      </c>
    </row>
    <row r="93" spans="5:9" ht="15.75" customHeight="1" x14ac:dyDescent="0.2">
      <c r="E93" t="s">
        <v>362</v>
      </c>
      <c r="F93">
        <v>177</v>
      </c>
      <c r="G93" t="s">
        <v>255</v>
      </c>
      <c r="H93" t="s">
        <v>15</v>
      </c>
      <c r="I93">
        <v>10</v>
      </c>
    </row>
    <row r="94" spans="5:9" ht="15.75" customHeight="1" x14ac:dyDescent="0.2">
      <c r="E94" t="s">
        <v>354</v>
      </c>
      <c r="F94">
        <v>5</v>
      </c>
      <c r="G94" t="s">
        <v>296</v>
      </c>
      <c r="H94" t="s">
        <v>1</v>
      </c>
      <c r="I94">
        <v>9</v>
      </c>
    </row>
    <row r="95" spans="5:9" ht="15.75" customHeight="1" x14ac:dyDescent="0.2">
      <c r="E95" t="s">
        <v>356</v>
      </c>
      <c r="F95">
        <v>6</v>
      </c>
      <c r="G95" t="s">
        <v>296</v>
      </c>
      <c r="H95" t="s">
        <v>1</v>
      </c>
      <c r="I95">
        <v>9</v>
      </c>
    </row>
    <row r="96" spans="5:9" ht="15.75" customHeight="1" x14ac:dyDescent="0.2">
      <c r="E96" t="s">
        <v>385</v>
      </c>
      <c r="F96">
        <v>29</v>
      </c>
      <c r="G96" t="s">
        <v>296</v>
      </c>
      <c r="H96" t="s">
        <v>1</v>
      </c>
      <c r="I96">
        <v>9</v>
      </c>
    </row>
    <row r="97" spans="5:9" ht="15.75" customHeight="1" x14ac:dyDescent="0.2">
      <c r="E97" t="s">
        <v>484</v>
      </c>
      <c r="F97">
        <v>139</v>
      </c>
      <c r="G97" t="s">
        <v>296</v>
      </c>
      <c r="H97" t="s">
        <v>1</v>
      </c>
      <c r="I97">
        <v>9</v>
      </c>
    </row>
    <row r="98" spans="5:9" ht="15.75" customHeight="1" x14ac:dyDescent="0.2">
      <c r="E98" t="s">
        <v>358</v>
      </c>
      <c r="F98">
        <v>7</v>
      </c>
      <c r="G98" t="s">
        <v>255</v>
      </c>
      <c r="H98" t="s">
        <v>15</v>
      </c>
      <c r="I98">
        <v>9</v>
      </c>
    </row>
    <row r="99" spans="5:9" ht="15.75" customHeight="1" x14ac:dyDescent="0.2">
      <c r="E99" t="s">
        <v>360</v>
      </c>
      <c r="F99">
        <v>9</v>
      </c>
      <c r="G99" t="s">
        <v>255</v>
      </c>
      <c r="H99" t="s">
        <v>15</v>
      </c>
      <c r="I99">
        <v>9</v>
      </c>
    </row>
    <row r="100" spans="5:9" ht="15.75" customHeight="1" x14ac:dyDescent="0.2">
      <c r="E100" t="s">
        <v>450</v>
      </c>
      <c r="F100">
        <v>146</v>
      </c>
      <c r="G100" t="s">
        <v>255</v>
      </c>
      <c r="H100" t="s">
        <v>15</v>
      </c>
      <c r="I100">
        <v>9</v>
      </c>
    </row>
    <row r="101" spans="5:9" ht="15.75" customHeight="1" x14ac:dyDescent="0.2">
      <c r="E101" t="s">
        <v>451</v>
      </c>
      <c r="F101">
        <v>147</v>
      </c>
      <c r="G101" t="s">
        <v>255</v>
      </c>
      <c r="H101" t="s">
        <v>15</v>
      </c>
      <c r="I101">
        <v>9</v>
      </c>
    </row>
    <row r="102" spans="5:9" ht="15.75" customHeight="1" x14ac:dyDescent="0.2">
      <c r="E102" t="s">
        <v>488</v>
      </c>
      <c r="F102">
        <v>148</v>
      </c>
      <c r="G102" t="s">
        <v>255</v>
      </c>
      <c r="H102" t="s">
        <v>15</v>
      </c>
      <c r="I102">
        <v>9</v>
      </c>
    </row>
    <row r="103" spans="5:9" ht="15.75" customHeight="1" x14ac:dyDescent="0.2">
      <c r="E103" t="s">
        <v>453</v>
      </c>
      <c r="F103">
        <v>150</v>
      </c>
      <c r="G103" t="s">
        <v>255</v>
      </c>
      <c r="H103" t="s">
        <v>15</v>
      </c>
      <c r="I103">
        <v>9</v>
      </c>
    </row>
    <row r="104" spans="5:9" ht="15.75" customHeight="1" x14ac:dyDescent="0.2">
      <c r="E104" t="s">
        <v>455</v>
      </c>
      <c r="F104">
        <v>152</v>
      </c>
      <c r="G104" t="s">
        <v>255</v>
      </c>
      <c r="H104" t="s">
        <v>15</v>
      </c>
      <c r="I104">
        <v>9</v>
      </c>
    </row>
    <row r="105" spans="5:9" ht="15.75" customHeight="1" x14ac:dyDescent="0.2">
      <c r="E105" t="s">
        <v>465</v>
      </c>
      <c r="F105">
        <v>169</v>
      </c>
      <c r="G105" t="s">
        <v>255</v>
      </c>
      <c r="H105" t="s">
        <v>15</v>
      </c>
      <c r="I105">
        <v>9</v>
      </c>
    </row>
    <row r="106" spans="5:9" ht="15.75" customHeight="1" x14ac:dyDescent="0.2">
      <c r="E106" t="s">
        <v>467</v>
      </c>
      <c r="F106">
        <v>171</v>
      </c>
      <c r="G106" t="s">
        <v>255</v>
      </c>
      <c r="H106" t="s">
        <v>15</v>
      </c>
      <c r="I106">
        <v>9</v>
      </c>
    </row>
    <row r="107" spans="5:9" ht="15.75" customHeight="1" x14ac:dyDescent="0.2">
      <c r="E107" t="s">
        <v>503</v>
      </c>
      <c r="F107">
        <v>184</v>
      </c>
      <c r="G107" t="s">
        <v>296</v>
      </c>
      <c r="H107" t="s">
        <v>1</v>
      </c>
      <c r="I107">
        <v>8</v>
      </c>
    </row>
    <row r="108" spans="5:9" ht="15.75" customHeight="1" x14ac:dyDescent="0.2">
      <c r="E108" t="s">
        <v>418</v>
      </c>
      <c r="F108">
        <v>61</v>
      </c>
      <c r="G108" t="s">
        <v>255</v>
      </c>
      <c r="H108" t="s">
        <v>15</v>
      </c>
      <c r="I108">
        <v>8</v>
      </c>
    </row>
    <row r="109" spans="5:9" ht="15.75" customHeight="1" x14ac:dyDescent="0.2">
      <c r="E109" t="s">
        <v>362</v>
      </c>
      <c r="F109">
        <v>136</v>
      </c>
      <c r="G109" t="s">
        <v>255</v>
      </c>
      <c r="H109" t="s">
        <v>15</v>
      </c>
      <c r="I109">
        <v>8</v>
      </c>
    </row>
    <row r="110" spans="5:9" ht="15.75" customHeight="1" x14ac:dyDescent="0.2">
      <c r="E110" t="s">
        <v>448</v>
      </c>
      <c r="F110">
        <v>144</v>
      </c>
      <c r="G110" t="s">
        <v>255</v>
      </c>
      <c r="H110" t="s">
        <v>15</v>
      </c>
      <c r="I110">
        <v>8</v>
      </c>
    </row>
    <row r="111" spans="5:9" ht="15.75" customHeight="1" x14ac:dyDescent="0.2">
      <c r="E111" t="s">
        <v>449</v>
      </c>
      <c r="F111">
        <v>145</v>
      </c>
      <c r="G111" t="s">
        <v>255</v>
      </c>
      <c r="H111" t="s">
        <v>15</v>
      </c>
      <c r="I111">
        <v>8</v>
      </c>
    </row>
    <row r="112" spans="5:9" ht="15.75" customHeight="1" x14ac:dyDescent="0.2">
      <c r="E112" t="s">
        <v>497</v>
      </c>
      <c r="F112">
        <v>162</v>
      </c>
      <c r="G112" t="s">
        <v>296</v>
      </c>
      <c r="H112" t="s">
        <v>1</v>
      </c>
      <c r="I112">
        <v>7</v>
      </c>
    </row>
    <row r="113" spans="5:9" ht="15.75" customHeight="1" x14ac:dyDescent="0.2">
      <c r="E113" t="s">
        <v>369</v>
      </c>
      <c r="F113">
        <v>14</v>
      </c>
      <c r="G113" t="s">
        <v>255</v>
      </c>
      <c r="H113" t="s">
        <v>15</v>
      </c>
      <c r="I113">
        <v>7</v>
      </c>
    </row>
    <row r="114" spans="5:9" ht="15.75" customHeight="1" x14ac:dyDescent="0.2">
      <c r="E114" t="s">
        <v>378</v>
      </c>
      <c r="F114">
        <v>23</v>
      </c>
      <c r="G114" t="s">
        <v>255</v>
      </c>
      <c r="H114" t="s">
        <v>15</v>
      </c>
      <c r="I114">
        <v>7</v>
      </c>
    </row>
    <row r="115" spans="5:9" ht="15.75" customHeight="1" x14ac:dyDescent="0.2">
      <c r="E115" t="s">
        <v>379</v>
      </c>
      <c r="F115">
        <v>24</v>
      </c>
      <c r="G115" t="s">
        <v>255</v>
      </c>
      <c r="H115" t="s">
        <v>15</v>
      </c>
      <c r="I115">
        <v>7</v>
      </c>
    </row>
    <row r="116" spans="5:9" ht="15.75" customHeight="1" x14ac:dyDescent="0.2">
      <c r="E116" t="s">
        <v>409</v>
      </c>
      <c r="F116">
        <v>52</v>
      </c>
      <c r="G116" t="s">
        <v>255</v>
      </c>
      <c r="H116" t="s">
        <v>15</v>
      </c>
      <c r="I116">
        <v>7</v>
      </c>
    </row>
    <row r="117" spans="5:9" ht="15.75" customHeight="1" x14ac:dyDescent="0.2">
      <c r="E117" t="s">
        <v>410</v>
      </c>
      <c r="F117">
        <v>53</v>
      </c>
      <c r="G117" t="s">
        <v>255</v>
      </c>
      <c r="H117" t="s">
        <v>15</v>
      </c>
      <c r="I117">
        <v>7</v>
      </c>
    </row>
    <row r="118" spans="5:9" ht="15.75" customHeight="1" x14ac:dyDescent="0.2">
      <c r="E118" t="s">
        <v>413</v>
      </c>
      <c r="F118">
        <v>56</v>
      </c>
      <c r="G118" t="s">
        <v>255</v>
      </c>
      <c r="H118" t="s">
        <v>15</v>
      </c>
      <c r="I118">
        <v>7</v>
      </c>
    </row>
    <row r="119" spans="5:9" ht="15.75" customHeight="1" x14ac:dyDescent="0.2">
      <c r="E119" t="s">
        <v>456</v>
      </c>
      <c r="F119">
        <v>153</v>
      </c>
      <c r="G119" t="s">
        <v>255</v>
      </c>
      <c r="H119" t="s">
        <v>15</v>
      </c>
      <c r="I119">
        <v>7</v>
      </c>
    </row>
    <row r="120" spans="5:9" ht="15.75" customHeight="1" x14ac:dyDescent="0.2">
      <c r="E120" t="s">
        <v>489</v>
      </c>
      <c r="F120">
        <v>154</v>
      </c>
      <c r="G120" t="s">
        <v>255</v>
      </c>
      <c r="H120" t="s">
        <v>15</v>
      </c>
      <c r="I120">
        <v>7</v>
      </c>
    </row>
    <row r="121" spans="5:9" ht="15.75" customHeight="1" x14ac:dyDescent="0.2">
      <c r="E121" t="s">
        <v>457</v>
      </c>
      <c r="F121">
        <v>155</v>
      </c>
      <c r="G121" t="s">
        <v>255</v>
      </c>
      <c r="H121" t="s">
        <v>15</v>
      </c>
      <c r="I121">
        <v>7</v>
      </c>
    </row>
    <row r="122" spans="5:9" ht="15.75" customHeight="1" x14ac:dyDescent="0.2">
      <c r="E122" t="s">
        <v>359</v>
      </c>
      <c r="F122">
        <v>8</v>
      </c>
      <c r="G122" t="s">
        <v>296</v>
      </c>
      <c r="H122" t="s">
        <v>1</v>
      </c>
      <c r="I122">
        <v>6</v>
      </c>
    </row>
    <row r="123" spans="5:9" ht="15.75" customHeight="1" x14ac:dyDescent="0.2">
      <c r="E123" t="s">
        <v>397</v>
      </c>
      <c r="F123">
        <v>39</v>
      </c>
      <c r="G123" t="s">
        <v>296</v>
      </c>
      <c r="H123" t="s">
        <v>1</v>
      </c>
      <c r="I123">
        <v>6</v>
      </c>
    </row>
    <row r="124" spans="5:9" ht="15.75" customHeight="1" x14ac:dyDescent="0.2">
      <c r="E124" t="s">
        <v>408</v>
      </c>
      <c r="F124">
        <v>51</v>
      </c>
      <c r="G124" t="s">
        <v>296</v>
      </c>
      <c r="H124" t="s">
        <v>1</v>
      </c>
      <c r="I124">
        <v>6</v>
      </c>
    </row>
    <row r="125" spans="5:9" ht="15.75" customHeight="1" x14ac:dyDescent="0.2">
      <c r="E125" t="s">
        <v>350</v>
      </c>
      <c r="F125">
        <v>2</v>
      </c>
      <c r="G125" t="s">
        <v>255</v>
      </c>
      <c r="H125" t="s">
        <v>15</v>
      </c>
      <c r="I125">
        <v>6</v>
      </c>
    </row>
    <row r="126" spans="5:9" ht="15.75" customHeight="1" x14ac:dyDescent="0.2">
      <c r="E126" t="s">
        <v>405</v>
      </c>
      <c r="F126">
        <v>47</v>
      </c>
      <c r="G126" t="s">
        <v>255</v>
      </c>
      <c r="H126" t="s">
        <v>15</v>
      </c>
      <c r="I126">
        <v>6</v>
      </c>
    </row>
    <row r="127" spans="5:9" ht="15.75" customHeight="1" x14ac:dyDescent="0.2">
      <c r="E127" t="s">
        <v>478</v>
      </c>
      <c r="F127">
        <v>131</v>
      </c>
      <c r="G127" t="s">
        <v>255</v>
      </c>
      <c r="H127" t="s">
        <v>15</v>
      </c>
      <c r="I127">
        <v>6</v>
      </c>
    </row>
    <row r="128" spans="5:9" ht="15.75" customHeight="1" x14ac:dyDescent="0.2">
      <c r="E128" t="s">
        <v>387</v>
      </c>
      <c r="F128">
        <v>30</v>
      </c>
      <c r="G128" t="s">
        <v>296</v>
      </c>
      <c r="H128" t="s">
        <v>1</v>
      </c>
      <c r="I128">
        <v>5</v>
      </c>
    </row>
    <row r="129" spans="5:9" ht="15.75" customHeight="1" x14ac:dyDescent="0.2">
      <c r="E129" t="s">
        <v>398</v>
      </c>
      <c r="F129">
        <v>40</v>
      </c>
      <c r="G129" t="s">
        <v>296</v>
      </c>
      <c r="H129" t="s">
        <v>1</v>
      </c>
      <c r="I129">
        <v>5</v>
      </c>
    </row>
    <row r="130" spans="5:9" ht="15.75" customHeight="1" x14ac:dyDescent="0.2">
      <c r="E130" t="s">
        <v>491</v>
      </c>
      <c r="F130">
        <v>157</v>
      </c>
      <c r="G130" t="s">
        <v>296</v>
      </c>
      <c r="H130" t="s">
        <v>1</v>
      </c>
      <c r="I130">
        <v>5</v>
      </c>
    </row>
    <row r="131" spans="5:9" ht="15.75" customHeight="1" x14ac:dyDescent="0.2">
      <c r="E131" t="s">
        <v>459</v>
      </c>
      <c r="F131">
        <v>163</v>
      </c>
      <c r="G131" t="s">
        <v>296</v>
      </c>
      <c r="H131" t="s">
        <v>1</v>
      </c>
      <c r="I131">
        <v>5</v>
      </c>
    </row>
    <row r="132" spans="5:9" ht="15.75" customHeight="1" x14ac:dyDescent="0.2">
      <c r="E132" t="s">
        <v>399</v>
      </c>
      <c r="F132">
        <v>41</v>
      </c>
      <c r="G132" t="s">
        <v>255</v>
      </c>
      <c r="H132" t="s">
        <v>15</v>
      </c>
      <c r="I132">
        <v>5</v>
      </c>
    </row>
    <row r="133" spans="5:9" ht="15.75" customHeight="1" x14ac:dyDescent="0.2">
      <c r="E133" t="s">
        <v>400</v>
      </c>
      <c r="F133">
        <v>42</v>
      </c>
      <c r="G133" t="s">
        <v>255</v>
      </c>
      <c r="H133" t="s">
        <v>15</v>
      </c>
      <c r="I133">
        <v>5</v>
      </c>
    </row>
    <row r="134" spans="5:9" ht="15.75" customHeight="1" x14ac:dyDescent="0.2">
      <c r="E134" t="s">
        <v>401</v>
      </c>
      <c r="F134">
        <v>43</v>
      </c>
      <c r="G134" t="s">
        <v>255</v>
      </c>
      <c r="H134" t="s">
        <v>15</v>
      </c>
      <c r="I134">
        <v>5</v>
      </c>
    </row>
    <row r="135" spans="5:9" ht="15.75" customHeight="1" x14ac:dyDescent="0.2">
      <c r="E135" t="s">
        <v>402</v>
      </c>
      <c r="F135">
        <v>44</v>
      </c>
      <c r="G135" t="s">
        <v>255</v>
      </c>
      <c r="H135" t="s">
        <v>15</v>
      </c>
      <c r="I135">
        <v>5</v>
      </c>
    </row>
    <row r="136" spans="5:9" ht="15.75" customHeight="1" x14ac:dyDescent="0.2">
      <c r="E136" t="s">
        <v>403</v>
      </c>
      <c r="F136">
        <v>45</v>
      </c>
      <c r="G136" t="s">
        <v>255</v>
      </c>
      <c r="H136" t="s">
        <v>15</v>
      </c>
      <c r="I136">
        <v>5</v>
      </c>
    </row>
    <row r="137" spans="5:9" ht="15.75" customHeight="1" x14ac:dyDescent="0.2">
      <c r="E137" t="s">
        <v>404</v>
      </c>
      <c r="F137">
        <v>46</v>
      </c>
      <c r="G137" t="s">
        <v>255</v>
      </c>
      <c r="H137" t="s">
        <v>15</v>
      </c>
      <c r="I137">
        <v>5</v>
      </c>
    </row>
    <row r="138" spans="5:9" ht="15.75" customHeight="1" x14ac:dyDescent="0.2">
      <c r="E138" t="s">
        <v>406</v>
      </c>
      <c r="F138">
        <v>48</v>
      </c>
      <c r="G138" t="s">
        <v>255</v>
      </c>
      <c r="H138" t="s">
        <v>15</v>
      </c>
      <c r="I138">
        <v>5</v>
      </c>
    </row>
    <row r="139" spans="5:9" ht="15.75" customHeight="1" x14ac:dyDescent="0.2">
      <c r="E139" t="s">
        <v>376</v>
      </c>
      <c r="F139">
        <v>49</v>
      </c>
      <c r="G139" t="s">
        <v>255</v>
      </c>
      <c r="H139" t="s">
        <v>15</v>
      </c>
      <c r="I139">
        <v>5</v>
      </c>
    </row>
    <row r="140" spans="5:9" ht="15.75" customHeight="1" x14ac:dyDescent="0.2">
      <c r="E140" t="s">
        <v>370</v>
      </c>
      <c r="F140">
        <v>15</v>
      </c>
      <c r="G140" t="s">
        <v>296</v>
      </c>
      <c r="H140" t="s">
        <v>1</v>
      </c>
      <c r="I140">
        <v>4</v>
      </c>
    </row>
    <row r="141" spans="5:9" ht="15.75" customHeight="1" x14ac:dyDescent="0.2">
      <c r="E141" t="s">
        <v>372</v>
      </c>
      <c r="F141">
        <v>17</v>
      </c>
      <c r="G141" t="s">
        <v>296</v>
      </c>
      <c r="H141" t="s">
        <v>1</v>
      </c>
      <c r="I141">
        <v>4</v>
      </c>
    </row>
    <row r="142" spans="5:9" ht="15.75" customHeight="1" x14ac:dyDescent="0.2">
      <c r="E142" t="s">
        <v>377</v>
      </c>
      <c r="F142">
        <v>22</v>
      </c>
      <c r="G142" t="s">
        <v>296</v>
      </c>
      <c r="H142" t="s">
        <v>1</v>
      </c>
      <c r="I142">
        <v>4</v>
      </c>
    </row>
    <row r="143" spans="5:9" ht="15.75" customHeight="1" x14ac:dyDescent="0.2">
      <c r="E143" t="s">
        <v>447</v>
      </c>
      <c r="F143">
        <v>143</v>
      </c>
      <c r="G143" t="s">
        <v>296</v>
      </c>
      <c r="H143" t="s">
        <v>1</v>
      </c>
      <c r="I143">
        <v>4</v>
      </c>
    </row>
    <row r="144" spans="5:9" ht="15.75" customHeight="1" x14ac:dyDescent="0.2">
      <c r="E144" t="s">
        <v>454</v>
      </c>
      <c r="F144">
        <v>151</v>
      </c>
      <c r="G144" t="s">
        <v>296</v>
      </c>
      <c r="H144" t="s">
        <v>1</v>
      </c>
      <c r="I144">
        <v>4</v>
      </c>
    </row>
    <row r="145" spans="5:9" ht="15.75" customHeight="1" x14ac:dyDescent="0.2">
      <c r="E145" t="s">
        <v>500</v>
      </c>
      <c r="F145">
        <v>181</v>
      </c>
      <c r="G145" t="s">
        <v>296</v>
      </c>
      <c r="H145" t="s">
        <v>1</v>
      </c>
      <c r="I145">
        <v>4</v>
      </c>
    </row>
    <row r="146" spans="5:9" ht="15.75" customHeight="1" x14ac:dyDescent="0.2">
      <c r="E146" t="s">
        <v>440</v>
      </c>
      <c r="F146">
        <v>132</v>
      </c>
      <c r="G146" t="s">
        <v>255</v>
      </c>
      <c r="H146" t="s">
        <v>15</v>
      </c>
      <c r="I146">
        <v>4</v>
      </c>
    </row>
    <row r="147" spans="5:9" ht="15.75" customHeight="1" x14ac:dyDescent="0.2">
      <c r="E147" t="s">
        <v>441</v>
      </c>
      <c r="F147">
        <v>133</v>
      </c>
      <c r="G147" t="s">
        <v>255</v>
      </c>
      <c r="H147" t="s">
        <v>15</v>
      </c>
      <c r="I147">
        <v>4</v>
      </c>
    </row>
    <row r="148" spans="5:9" ht="15.75" customHeight="1" x14ac:dyDescent="0.2">
      <c r="E148" t="s">
        <v>442</v>
      </c>
      <c r="F148">
        <v>134</v>
      </c>
      <c r="G148" t="s">
        <v>255</v>
      </c>
      <c r="H148" t="s">
        <v>15</v>
      </c>
      <c r="I148">
        <v>4</v>
      </c>
    </row>
    <row r="149" spans="5:9" ht="15.75" customHeight="1" x14ac:dyDescent="0.2">
      <c r="E149" t="s">
        <v>352</v>
      </c>
      <c r="F149">
        <v>4</v>
      </c>
      <c r="G149" t="s">
        <v>299</v>
      </c>
      <c r="H149" t="s">
        <v>20</v>
      </c>
      <c r="I149">
        <v>4</v>
      </c>
    </row>
    <row r="150" spans="5:9" ht="15.75" customHeight="1" x14ac:dyDescent="0.2">
      <c r="E150" t="s">
        <v>394</v>
      </c>
      <c r="F150">
        <v>36</v>
      </c>
      <c r="G150" t="s">
        <v>299</v>
      </c>
      <c r="H150" t="s">
        <v>20</v>
      </c>
      <c r="I150">
        <v>4</v>
      </c>
    </row>
    <row r="151" spans="5:9" ht="15.75" customHeight="1" x14ac:dyDescent="0.2">
      <c r="E151" t="s">
        <v>411</v>
      </c>
      <c r="F151">
        <v>54</v>
      </c>
      <c r="G151" t="s">
        <v>299</v>
      </c>
      <c r="H151" t="s">
        <v>20</v>
      </c>
      <c r="I151">
        <v>4</v>
      </c>
    </row>
    <row r="152" spans="5:9" ht="15.75" customHeight="1" x14ac:dyDescent="0.2">
      <c r="E152" t="s">
        <v>484</v>
      </c>
      <c r="F152">
        <v>139</v>
      </c>
      <c r="G152" t="s">
        <v>299</v>
      </c>
      <c r="H152" t="s">
        <v>20</v>
      </c>
      <c r="I152">
        <v>4</v>
      </c>
    </row>
    <row r="153" spans="5:9" ht="15.75" customHeight="1" x14ac:dyDescent="0.2">
      <c r="E153" t="s">
        <v>496</v>
      </c>
      <c r="F153">
        <v>161</v>
      </c>
      <c r="G153" t="s">
        <v>299</v>
      </c>
      <c r="H153" t="s">
        <v>20</v>
      </c>
      <c r="I153">
        <v>4</v>
      </c>
    </row>
    <row r="154" spans="5:9" ht="15.75" customHeight="1" x14ac:dyDescent="0.2">
      <c r="E154" t="s">
        <v>371</v>
      </c>
      <c r="F154">
        <v>16</v>
      </c>
      <c r="G154" t="s">
        <v>296</v>
      </c>
      <c r="H154" t="s">
        <v>1</v>
      </c>
      <c r="I154">
        <v>3</v>
      </c>
    </row>
    <row r="155" spans="5:9" ht="15.75" customHeight="1" x14ac:dyDescent="0.2">
      <c r="E155" t="s">
        <v>373</v>
      </c>
      <c r="F155">
        <v>18</v>
      </c>
      <c r="G155" t="s">
        <v>296</v>
      </c>
      <c r="H155" t="s">
        <v>1</v>
      </c>
      <c r="I155">
        <v>3</v>
      </c>
    </row>
    <row r="156" spans="5:9" ht="15.75" customHeight="1" x14ac:dyDescent="0.2">
      <c r="E156" t="s">
        <v>375</v>
      </c>
      <c r="F156">
        <v>20</v>
      </c>
      <c r="G156" t="s">
        <v>296</v>
      </c>
      <c r="H156" t="s">
        <v>1</v>
      </c>
      <c r="I156">
        <v>3</v>
      </c>
    </row>
    <row r="157" spans="5:9" ht="15.75" customHeight="1" x14ac:dyDescent="0.2">
      <c r="E157" t="s">
        <v>376</v>
      </c>
      <c r="F157">
        <v>21</v>
      </c>
      <c r="G157" t="s">
        <v>296</v>
      </c>
      <c r="H157" t="s">
        <v>1</v>
      </c>
      <c r="I157">
        <v>3</v>
      </c>
    </row>
    <row r="158" spans="5:9" ht="15.75" customHeight="1" x14ac:dyDescent="0.2">
      <c r="E158" t="s">
        <v>383</v>
      </c>
      <c r="F158">
        <v>28</v>
      </c>
      <c r="G158" t="s">
        <v>296</v>
      </c>
      <c r="H158" t="s">
        <v>1</v>
      </c>
      <c r="I158">
        <v>3</v>
      </c>
    </row>
    <row r="159" spans="5:9" ht="15.75" customHeight="1" x14ac:dyDescent="0.2">
      <c r="E159" t="s">
        <v>390</v>
      </c>
      <c r="F159">
        <v>33</v>
      </c>
      <c r="G159" t="s">
        <v>296</v>
      </c>
      <c r="H159" t="s">
        <v>1</v>
      </c>
      <c r="I159">
        <v>3</v>
      </c>
    </row>
    <row r="160" spans="5:9" ht="15.75" customHeight="1" x14ac:dyDescent="0.2">
      <c r="E160" t="s">
        <v>395</v>
      </c>
      <c r="F160">
        <v>37</v>
      </c>
      <c r="G160" t="s">
        <v>296</v>
      </c>
      <c r="H160" t="s">
        <v>1</v>
      </c>
      <c r="I160">
        <v>3</v>
      </c>
    </row>
    <row r="161" spans="5:9" ht="15.75" customHeight="1" x14ac:dyDescent="0.2">
      <c r="E161" t="s">
        <v>396</v>
      </c>
      <c r="F161">
        <v>38</v>
      </c>
      <c r="G161" t="s">
        <v>296</v>
      </c>
      <c r="H161" t="s">
        <v>1</v>
      </c>
      <c r="I161">
        <v>3</v>
      </c>
    </row>
    <row r="162" spans="5:9" ht="15.75" customHeight="1" x14ac:dyDescent="0.2">
      <c r="E162" t="s">
        <v>407</v>
      </c>
      <c r="F162">
        <v>50</v>
      </c>
      <c r="G162" t="s">
        <v>296</v>
      </c>
      <c r="H162" t="s">
        <v>1</v>
      </c>
      <c r="I162">
        <v>3</v>
      </c>
    </row>
    <row r="163" spans="5:9" ht="15.75" customHeight="1" x14ac:dyDescent="0.2">
      <c r="E163" t="s">
        <v>412</v>
      </c>
      <c r="F163">
        <v>55</v>
      </c>
      <c r="G163" t="s">
        <v>296</v>
      </c>
      <c r="H163" t="s">
        <v>1</v>
      </c>
      <c r="I163">
        <v>3</v>
      </c>
    </row>
    <row r="164" spans="5:9" ht="15.75" customHeight="1" x14ac:dyDescent="0.2">
      <c r="E164" t="s">
        <v>418</v>
      </c>
      <c r="F164">
        <v>61</v>
      </c>
      <c r="G164" t="s">
        <v>296</v>
      </c>
      <c r="H164" t="s">
        <v>1</v>
      </c>
      <c r="I164">
        <v>3</v>
      </c>
    </row>
    <row r="165" spans="5:9" ht="15.75" customHeight="1" x14ac:dyDescent="0.2">
      <c r="E165" t="s">
        <v>419</v>
      </c>
      <c r="F165">
        <v>62</v>
      </c>
      <c r="G165" t="s">
        <v>296</v>
      </c>
      <c r="H165" t="s">
        <v>1</v>
      </c>
      <c r="I165">
        <v>3</v>
      </c>
    </row>
    <row r="166" spans="5:9" ht="15.75" customHeight="1" x14ac:dyDescent="0.2">
      <c r="E166" t="s">
        <v>446</v>
      </c>
      <c r="F166">
        <v>142</v>
      </c>
      <c r="G166" t="s">
        <v>296</v>
      </c>
      <c r="H166" t="s">
        <v>1</v>
      </c>
      <c r="I166">
        <v>3</v>
      </c>
    </row>
    <row r="167" spans="5:9" ht="15.75" customHeight="1" x14ac:dyDescent="0.2">
      <c r="E167" t="s">
        <v>492</v>
      </c>
      <c r="F167">
        <v>158</v>
      </c>
      <c r="G167" t="s">
        <v>296</v>
      </c>
      <c r="H167" t="s">
        <v>1</v>
      </c>
      <c r="I167">
        <v>3</v>
      </c>
    </row>
    <row r="168" spans="5:9" ht="15.75" customHeight="1" x14ac:dyDescent="0.2">
      <c r="E168" t="s">
        <v>493</v>
      </c>
      <c r="F168">
        <v>159</v>
      </c>
      <c r="G168" t="s">
        <v>296</v>
      </c>
      <c r="H168" t="s">
        <v>1</v>
      </c>
      <c r="I168">
        <v>3</v>
      </c>
    </row>
    <row r="169" spans="5:9" ht="15.75" customHeight="1" x14ac:dyDescent="0.2">
      <c r="E169" t="s">
        <v>461</v>
      </c>
      <c r="F169">
        <v>165</v>
      </c>
      <c r="G169" t="s">
        <v>296</v>
      </c>
      <c r="H169" t="s">
        <v>1</v>
      </c>
      <c r="I169">
        <v>3</v>
      </c>
    </row>
    <row r="170" spans="5:9" ht="15.75" customHeight="1" x14ac:dyDescent="0.2">
      <c r="E170" t="s">
        <v>463</v>
      </c>
      <c r="F170">
        <v>167</v>
      </c>
      <c r="G170" t="s">
        <v>296</v>
      </c>
      <c r="H170" t="s">
        <v>1</v>
      </c>
      <c r="I170">
        <v>3</v>
      </c>
    </row>
    <row r="171" spans="5:9" ht="15.75" customHeight="1" x14ac:dyDescent="0.2">
      <c r="E171" t="s">
        <v>466</v>
      </c>
      <c r="F171">
        <v>170</v>
      </c>
      <c r="G171" t="s">
        <v>296</v>
      </c>
      <c r="H171" t="s">
        <v>1</v>
      </c>
      <c r="I171">
        <v>3</v>
      </c>
    </row>
    <row r="172" spans="5:9" ht="15.75" customHeight="1" x14ac:dyDescent="0.2">
      <c r="E172" t="s">
        <v>468</v>
      </c>
      <c r="F172">
        <v>172</v>
      </c>
      <c r="G172" t="s">
        <v>296</v>
      </c>
      <c r="H172" t="s">
        <v>1</v>
      </c>
      <c r="I172">
        <v>3</v>
      </c>
    </row>
    <row r="173" spans="5:9" ht="15.75" customHeight="1" x14ac:dyDescent="0.2">
      <c r="E173" t="s">
        <v>469</v>
      </c>
      <c r="F173">
        <v>173</v>
      </c>
      <c r="G173" t="s">
        <v>296</v>
      </c>
      <c r="H173" t="s">
        <v>1</v>
      </c>
      <c r="I173">
        <v>3</v>
      </c>
    </row>
    <row r="174" spans="5:9" ht="15.75" customHeight="1" x14ac:dyDescent="0.2">
      <c r="E174" t="s">
        <v>470</v>
      </c>
      <c r="F174">
        <v>174</v>
      </c>
      <c r="G174" t="s">
        <v>296</v>
      </c>
      <c r="H174" t="s">
        <v>1</v>
      </c>
      <c r="I174">
        <v>3</v>
      </c>
    </row>
    <row r="175" spans="5:9" ht="15.75" customHeight="1" x14ac:dyDescent="0.2">
      <c r="E175" t="s">
        <v>472</v>
      </c>
      <c r="F175">
        <v>176</v>
      </c>
      <c r="G175" t="s">
        <v>296</v>
      </c>
      <c r="H175" t="s">
        <v>1</v>
      </c>
      <c r="I175">
        <v>3</v>
      </c>
    </row>
    <row r="176" spans="5:9" ht="15.75" customHeight="1" x14ac:dyDescent="0.2">
      <c r="E176" t="s">
        <v>473</v>
      </c>
      <c r="F176">
        <v>178</v>
      </c>
      <c r="G176" t="s">
        <v>296</v>
      </c>
      <c r="H176" t="s">
        <v>1</v>
      </c>
      <c r="I176">
        <v>3</v>
      </c>
    </row>
    <row r="177" spans="5:9" ht="15.75" customHeight="1" x14ac:dyDescent="0.2">
      <c r="E177" t="s">
        <v>474</v>
      </c>
      <c r="F177">
        <v>179</v>
      </c>
      <c r="G177" t="s">
        <v>296</v>
      </c>
      <c r="H177" t="s">
        <v>1</v>
      </c>
      <c r="I177">
        <v>3</v>
      </c>
    </row>
    <row r="178" spans="5:9" ht="15.75" customHeight="1" x14ac:dyDescent="0.2">
      <c r="E178" t="s">
        <v>499</v>
      </c>
      <c r="F178">
        <v>180</v>
      </c>
      <c r="G178" t="s">
        <v>296</v>
      </c>
      <c r="H178" t="s">
        <v>1</v>
      </c>
      <c r="I178">
        <v>3</v>
      </c>
    </row>
    <row r="179" spans="5:9" ht="15.75" customHeight="1" x14ac:dyDescent="0.2">
      <c r="E179" t="s">
        <v>421</v>
      </c>
      <c r="F179">
        <v>63</v>
      </c>
      <c r="G179" t="s">
        <v>255</v>
      </c>
      <c r="H179" t="s">
        <v>15</v>
      </c>
      <c r="I179">
        <v>3</v>
      </c>
    </row>
    <row r="180" spans="5:9" ht="15.75" customHeight="1" x14ac:dyDescent="0.2">
      <c r="E180" t="s">
        <v>422</v>
      </c>
      <c r="F180">
        <v>64</v>
      </c>
      <c r="G180" t="s">
        <v>299</v>
      </c>
      <c r="H180" t="s">
        <v>20</v>
      </c>
      <c r="I180">
        <v>3</v>
      </c>
    </row>
    <row r="181" spans="5:9" ht="15.75" customHeight="1" x14ac:dyDescent="0.2">
      <c r="E181" t="s">
        <v>478</v>
      </c>
      <c r="F181">
        <v>131</v>
      </c>
      <c r="G181" t="s">
        <v>299</v>
      </c>
      <c r="H181" t="s">
        <v>20</v>
      </c>
      <c r="I181">
        <v>3</v>
      </c>
    </row>
    <row r="182" spans="5:9" ht="15.75" customHeight="1" x14ac:dyDescent="0.2">
      <c r="E182" t="s">
        <v>482</v>
      </c>
      <c r="F182">
        <v>137</v>
      </c>
      <c r="G182" t="s">
        <v>299</v>
      </c>
      <c r="H182" t="s">
        <v>20</v>
      </c>
      <c r="I182">
        <v>3</v>
      </c>
    </row>
    <row r="183" spans="5:9" ht="15.75" customHeight="1" x14ac:dyDescent="0.2">
      <c r="E183" t="s">
        <v>497</v>
      </c>
      <c r="F183">
        <v>162</v>
      </c>
      <c r="G183" t="s">
        <v>299</v>
      </c>
      <c r="H183" t="s">
        <v>20</v>
      </c>
      <c r="I183">
        <v>3</v>
      </c>
    </row>
    <row r="184" spans="5:9" ht="15.75" customHeight="1" x14ac:dyDescent="0.2">
      <c r="E184" t="s">
        <v>350</v>
      </c>
      <c r="F184">
        <v>2</v>
      </c>
      <c r="G184" t="s">
        <v>296</v>
      </c>
      <c r="H184" t="s">
        <v>1</v>
      </c>
      <c r="I184">
        <v>2</v>
      </c>
    </row>
    <row r="185" spans="5:9" ht="15.75" customHeight="1" x14ac:dyDescent="0.2">
      <c r="E185" t="s">
        <v>352</v>
      </c>
      <c r="F185">
        <v>4</v>
      </c>
      <c r="G185" t="s">
        <v>296</v>
      </c>
      <c r="H185" t="s">
        <v>1</v>
      </c>
      <c r="I185">
        <v>2</v>
      </c>
    </row>
    <row r="186" spans="5:9" ht="15.75" customHeight="1" x14ac:dyDescent="0.2">
      <c r="E186" t="s">
        <v>380</v>
      </c>
      <c r="F186">
        <v>25</v>
      </c>
      <c r="G186" t="s">
        <v>296</v>
      </c>
      <c r="H186" t="s">
        <v>1</v>
      </c>
      <c r="I186">
        <v>2</v>
      </c>
    </row>
    <row r="187" spans="5:9" ht="15.75" customHeight="1" x14ac:dyDescent="0.2">
      <c r="E187" t="s">
        <v>388</v>
      </c>
      <c r="F187">
        <v>31</v>
      </c>
      <c r="G187" t="s">
        <v>296</v>
      </c>
      <c r="H187" t="s">
        <v>1</v>
      </c>
      <c r="I187">
        <v>2</v>
      </c>
    </row>
    <row r="188" spans="5:9" ht="15.75" hidden="1" customHeight="1" x14ac:dyDescent="0.2">
      <c r="E188" t="s">
        <v>287</v>
      </c>
      <c r="F188">
        <v>1</v>
      </c>
      <c r="G188" t="s">
        <v>288</v>
      </c>
      <c r="H188" t="s">
        <v>2</v>
      </c>
      <c r="I188">
        <v>0</v>
      </c>
    </row>
    <row r="189" spans="5:9" ht="15.75" hidden="1" customHeight="1" x14ac:dyDescent="0.2">
      <c r="E189" t="s">
        <v>350</v>
      </c>
      <c r="F189">
        <v>2</v>
      </c>
      <c r="G189" t="s">
        <v>288</v>
      </c>
      <c r="H189" t="s">
        <v>2</v>
      </c>
      <c r="I189">
        <v>1</v>
      </c>
    </row>
    <row r="190" spans="5:9" ht="15.75" hidden="1" customHeight="1" x14ac:dyDescent="0.2">
      <c r="E190" t="s">
        <v>351</v>
      </c>
      <c r="F190">
        <v>3</v>
      </c>
      <c r="G190" t="s">
        <v>288</v>
      </c>
      <c r="H190" t="s">
        <v>2</v>
      </c>
      <c r="I190">
        <v>10</v>
      </c>
    </row>
    <row r="191" spans="5:9" ht="15.75" hidden="1" customHeight="1" x14ac:dyDescent="0.2">
      <c r="E191" t="s">
        <v>352</v>
      </c>
      <c r="F191">
        <v>4</v>
      </c>
      <c r="G191" t="s">
        <v>288</v>
      </c>
      <c r="H191" t="s">
        <v>2</v>
      </c>
      <c r="I191">
        <v>1</v>
      </c>
    </row>
    <row r="192" spans="5:9" ht="15.75" hidden="1" customHeight="1" x14ac:dyDescent="0.2">
      <c r="E192" t="s">
        <v>354</v>
      </c>
      <c r="F192">
        <v>5</v>
      </c>
      <c r="G192" t="s">
        <v>288</v>
      </c>
      <c r="H192" t="s">
        <v>2</v>
      </c>
      <c r="I192">
        <v>5</v>
      </c>
    </row>
    <row r="193" spans="5:9" ht="15.75" hidden="1" customHeight="1" x14ac:dyDescent="0.2">
      <c r="E193" t="s">
        <v>356</v>
      </c>
      <c r="F193">
        <v>6</v>
      </c>
      <c r="G193" t="s">
        <v>288</v>
      </c>
      <c r="H193" t="s">
        <v>2</v>
      </c>
      <c r="I193">
        <v>5</v>
      </c>
    </row>
    <row r="194" spans="5:9" ht="15.75" hidden="1" customHeight="1" x14ac:dyDescent="0.2">
      <c r="E194" t="s">
        <v>358</v>
      </c>
      <c r="F194">
        <v>7</v>
      </c>
      <c r="G194" t="s">
        <v>288</v>
      </c>
      <c r="H194" t="s">
        <v>2</v>
      </c>
      <c r="I194">
        <v>0</v>
      </c>
    </row>
    <row r="195" spans="5:9" ht="15.75" hidden="1" customHeight="1" x14ac:dyDescent="0.2">
      <c r="E195" t="s">
        <v>359</v>
      </c>
      <c r="F195">
        <v>8</v>
      </c>
      <c r="G195" t="s">
        <v>288</v>
      </c>
      <c r="H195" t="s">
        <v>2</v>
      </c>
      <c r="I195">
        <v>1</v>
      </c>
    </row>
    <row r="196" spans="5:9" ht="15.75" hidden="1" customHeight="1" x14ac:dyDescent="0.2">
      <c r="E196" t="s">
        <v>360</v>
      </c>
      <c r="F196">
        <v>9</v>
      </c>
      <c r="G196" t="s">
        <v>288</v>
      </c>
      <c r="H196" t="s">
        <v>2</v>
      </c>
      <c r="I196">
        <v>0</v>
      </c>
    </row>
    <row r="197" spans="5:9" ht="15.75" hidden="1" customHeight="1" x14ac:dyDescent="0.2">
      <c r="E197" t="s">
        <v>361</v>
      </c>
      <c r="F197">
        <v>10</v>
      </c>
      <c r="G197" t="s">
        <v>288</v>
      </c>
      <c r="H197" t="s">
        <v>2</v>
      </c>
      <c r="I197">
        <v>0</v>
      </c>
    </row>
    <row r="198" spans="5:9" ht="15.75" hidden="1" customHeight="1" x14ac:dyDescent="0.2">
      <c r="E198" t="s">
        <v>362</v>
      </c>
      <c r="F198">
        <v>11</v>
      </c>
      <c r="G198" t="s">
        <v>288</v>
      </c>
      <c r="H198" t="s">
        <v>2</v>
      </c>
      <c r="I198">
        <v>0</v>
      </c>
    </row>
    <row r="199" spans="5:9" ht="15.75" hidden="1" customHeight="1" x14ac:dyDescent="0.2">
      <c r="E199" t="s">
        <v>363</v>
      </c>
      <c r="F199">
        <v>12</v>
      </c>
      <c r="G199" t="s">
        <v>288</v>
      </c>
      <c r="H199" t="s">
        <v>2</v>
      </c>
      <c r="I199">
        <v>0</v>
      </c>
    </row>
    <row r="200" spans="5:9" ht="15.75" hidden="1" customHeight="1" x14ac:dyDescent="0.2">
      <c r="E200" t="s">
        <v>365</v>
      </c>
      <c r="F200">
        <v>13</v>
      </c>
      <c r="G200" t="s">
        <v>288</v>
      </c>
      <c r="H200" t="s">
        <v>2</v>
      </c>
      <c r="I200">
        <v>0</v>
      </c>
    </row>
    <row r="201" spans="5:9" ht="15.75" hidden="1" customHeight="1" x14ac:dyDescent="0.2">
      <c r="E201" t="s">
        <v>369</v>
      </c>
      <c r="F201">
        <v>14</v>
      </c>
      <c r="G201" t="s">
        <v>288</v>
      </c>
      <c r="H201" t="s">
        <v>2</v>
      </c>
      <c r="I201">
        <v>0</v>
      </c>
    </row>
    <row r="202" spans="5:9" ht="15.75" hidden="1" customHeight="1" x14ac:dyDescent="0.2">
      <c r="E202" t="s">
        <v>370</v>
      </c>
      <c r="F202">
        <v>15</v>
      </c>
      <c r="G202" t="s">
        <v>288</v>
      </c>
      <c r="H202" t="s">
        <v>2</v>
      </c>
      <c r="I202">
        <v>3</v>
      </c>
    </row>
    <row r="203" spans="5:9" ht="15.75" hidden="1" customHeight="1" x14ac:dyDescent="0.2">
      <c r="E203" t="s">
        <v>371</v>
      </c>
      <c r="F203">
        <v>16</v>
      </c>
      <c r="G203" t="s">
        <v>288</v>
      </c>
      <c r="H203" t="s">
        <v>2</v>
      </c>
      <c r="I203">
        <v>2</v>
      </c>
    </row>
    <row r="204" spans="5:9" ht="15.75" hidden="1" customHeight="1" x14ac:dyDescent="0.2">
      <c r="E204" t="s">
        <v>372</v>
      </c>
      <c r="F204">
        <v>17</v>
      </c>
      <c r="G204" t="s">
        <v>288</v>
      </c>
      <c r="H204" t="s">
        <v>2</v>
      </c>
      <c r="I204">
        <v>3</v>
      </c>
    </row>
    <row r="205" spans="5:9" ht="15.75" hidden="1" customHeight="1" x14ac:dyDescent="0.2">
      <c r="E205" t="s">
        <v>373</v>
      </c>
      <c r="F205">
        <v>18</v>
      </c>
      <c r="G205" t="s">
        <v>288</v>
      </c>
      <c r="H205" t="s">
        <v>2</v>
      </c>
      <c r="I205">
        <v>2</v>
      </c>
    </row>
    <row r="206" spans="5:9" ht="15.75" hidden="1" customHeight="1" x14ac:dyDescent="0.2">
      <c r="E206" t="s">
        <v>374</v>
      </c>
      <c r="F206">
        <v>19</v>
      </c>
      <c r="G206" t="s">
        <v>288</v>
      </c>
      <c r="H206" t="s">
        <v>2</v>
      </c>
      <c r="I206">
        <v>0</v>
      </c>
    </row>
    <row r="207" spans="5:9" ht="15.75" hidden="1" customHeight="1" x14ac:dyDescent="0.2">
      <c r="E207" t="s">
        <v>375</v>
      </c>
      <c r="F207">
        <v>20</v>
      </c>
      <c r="G207" t="s">
        <v>288</v>
      </c>
      <c r="H207" t="s">
        <v>2</v>
      </c>
      <c r="I207">
        <v>2</v>
      </c>
    </row>
    <row r="208" spans="5:9" ht="15.75" hidden="1" customHeight="1" x14ac:dyDescent="0.2">
      <c r="E208" t="s">
        <v>376</v>
      </c>
      <c r="F208">
        <v>21</v>
      </c>
      <c r="G208" t="s">
        <v>288</v>
      </c>
      <c r="H208" t="s">
        <v>2</v>
      </c>
      <c r="I208">
        <v>2</v>
      </c>
    </row>
    <row r="209" spans="5:9" ht="15.75" hidden="1" customHeight="1" x14ac:dyDescent="0.2">
      <c r="E209" t="s">
        <v>377</v>
      </c>
      <c r="F209">
        <v>22</v>
      </c>
      <c r="G209" t="s">
        <v>288</v>
      </c>
      <c r="H209" t="s">
        <v>2</v>
      </c>
      <c r="I209">
        <v>0</v>
      </c>
    </row>
    <row r="210" spans="5:9" ht="15.75" hidden="1" customHeight="1" x14ac:dyDescent="0.2">
      <c r="E210" t="s">
        <v>378</v>
      </c>
      <c r="F210">
        <v>23</v>
      </c>
      <c r="G210" t="s">
        <v>288</v>
      </c>
      <c r="H210" t="s">
        <v>2</v>
      </c>
      <c r="I210">
        <v>0</v>
      </c>
    </row>
    <row r="211" spans="5:9" ht="15.75" hidden="1" customHeight="1" x14ac:dyDescent="0.2">
      <c r="E211" t="s">
        <v>379</v>
      </c>
      <c r="F211">
        <v>24</v>
      </c>
      <c r="G211" t="s">
        <v>288</v>
      </c>
      <c r="H211" t="s">
        <v>2</v>
      </c>
      <c r="I211">
        <v>0</v>
      </c>
    </row>
    <row r="212" spans="5:9" ht="15.75" hidden="1" customHeight="1" x14ac:dyDescent="0.2">
      <c r="E212" t="s">
        <v>380</v>
      </c>
      <c r="F212">
        <v>25</v>
      </c>
      <c r="G212" t="s">
        <v>288</v>
      </c>
      <c r="H212" t="s">
        <v>2</v>
      </c>
      <c r="I212">
        <v>1</v>
      </c>
    </row>
    <row r="213" spans="5:9" ht="15.75" hidden="1" customHeight="1" x14ac:dyDescent="0.2">
      <c r="E213" t="s">
        <v>381</v>
      </c>
      <c r="F213">
        <v>26</v>
      </c>
      <c r="G213" t="s">
        <v>288</v>
      </c>
      <c r="H213" t="s">
        <v>2</v>
      </c>
      <c r="I213">
        <v>0</v>
      </c>
    </row>
    <row r="214" spans="5:9" ht="15.75" hidden="1" customHeight="1" x14ac:dyDescent="0.2">
      <c r="E214" t="s">
        <v>382</v>
      </c>
      <c r="F214">
        <v>27</v>
      </c>
      <c r="G214" t="s">
        <v>288</v>
      </c>
      <c r="H214" t="s">
        <v>2</v>
      </c>
      <c r="I214">
        <v>0</v>
      </c>
    </row>
    <row r="215" spans="5:9" ht="15.75" hidden="1" customHeight="1" x14ac:dyDescent="0.2">
      <c r="E215" t="s">
        <v>383</v>
      </c>
      <c r="F215">
        <v>28</v>
      </c>
      <c r="G215" t="s">
        <v>288</v>
      </c>
      <c r="H215" t="s">
        <v>2</v>
      </c>
      <c r="I215">
        <v>2</v>
      </c>
    </row>
    <row r="216" spans="5:9" ht="15.75" hidden="1" customHeight="1" x14ac:dyDescent="0.2">
      <c r="E216" t="s">
        <v>385</v>
      </c>
      <c r="F216">
        <v>29</v>
      </c>
      <c r="G216" t="s">
        <v>288</v>
      </c>
      <c r="H216" t="s">
        <v>2</v>
      </c>
      <c r="I216">
        <v>5</v>
      </c>
    </row>
    <row r="217" spans="5:9" ht="15.75" hidden="1" customHeight="1" x14ac:dyDescent="0.2">
      <c r="E217" t="s">
        <v>387</v>
      </c>
      <c r="F217">
        <v>30</v>
      </c>
      <c r="G217" t="s">
        <v>288</v>
      </c>
      <c r="H217" t="s">
        <v>2</v>
      </c>
      <c r="I217">
        <v>1</v>
      </c>
    </row>
    <row r="218" spans="5:9" ht="15.75" hidden="1" customHeight="1" x14ac:dyDescent="0.2">
      <c r="E218" t="s">
        <v>388</v>
      </c>
      <c r="F218">
        <v>31</v>
      </c>
      <c r="G218" t="s">
        <v>288</v>
      </c>
      <c r="H218" t="s">
        <v>2</v>
      </c>
      <c r="I218">
        <v>1</v>
      </c>
    </row>
    <row r="219" spans="5:9" ht="15.75" hidden="1" customHeight="1" x14ac:dyDescent="0.2">
      <c r="E219" t="s">
        <v>389</v>
      </c>
      <c r="F219">
        <v>32</v>
      </c>
      <c r="G219" t="s">
        <v>288</v>
      </c>
      <c r="H219" t="s">
        <v>2</v>
      </c>
      <c r="I219">
        <v>1</v>
      </c>
    </row>
    <row r="220" spans="5:9" ht="15.75" hidden="1" customHeight="1" x14ac:dyDescent="0.2">
      <c r="E220" t="s">
        <v>390</v>
      </c>
      <c r="F220">
        <v>33</v>
      </c>
      <c r="G220" t="s">
        <v>288</v>
      </c>
      <c r="H220" t="s">
        <v>2</v>
      </c>
      <c r="I220">
        <v>2</v>
      </c>
    </row>
    <row r="221" spans="5:9" ht="15.75" hidden="1" customHeight="1" x14ac:dyDescent="0.2">
      <c r="E221" t="s">
        <v>391</v>
      </c>
      <c r="F221">
        <v>34</v>
      </c>
      <c r="G221" t="s">
        <v>288</v>
      </c>
      <c r="H221" t="s">
        <v>2</v>
      </c>
      <c r="I221">
        <v>1</v>
      </c>
    </row>
    <row r="222" spans="5:9" ht="15.75" hidden="1" customHeight="1" x14ac:dyDescent="0.2">
      <c r="E222" t="s">
        <v>393</v>
      </c>
      <c r="F222">
        <v>35</v>
      </c>
      <c r="G222" t="s">
        <v>288</v>
      </c>
      <c r="H222" t="s">
        <v>2</v>
      </c>
      <c r="I222">
        <v>0</v>
      </c>
    </row>
    <row r="223" spans="5:9" ht="15.75" hidden="1" customHeight="1" x14ac:dyDescent="0.2">
      <c r="E223" t="s">
        <v>394</v>
      </c>
      <c r="F223">
        <v>36</v>
      </c>
      <c r="G223" t="s">
        <v>288</v>
      </c>
      <c r="H223" t="s">
        <v>2</v>
      </c>
      <c r="I223">
        <v>17</v>
      </c>
    </row>
    <row r="224" spans="5:9" ht="15.75" hidden="1" customHeight="1" x14ac:dyDescent="0.2">
      <c r="E224" t="s">
        <v>395</v>
      </c>
      <c r="F224">
        <v>37</v>
      </c>
      <c r="G224" t="s">
        <v>288</v>
      </c>
      <c r="H224" t="s">
        <v>2</v>
      </c>
      <c r="I224">
        <v>2</v>
      </c>
    </row>
    <row r="225" spans="5:9" ht="15.75" hidden="1" customHeight="1" x14ac:dyDescent="0.2">
      <c r="E225" t="s">
        <v>396</v>
      </c>
      <c r="F225">
        <v>38</v>
      </c>
      <c r="G225" t="s">
        <v>288</v>
      </c>
      <c r="H225" t="s">
        <v>2</v>
      </c>
      <c r="I225">
        <v>2</v>
      </c>
    </row>
    <row r="226" spans="5:9" ht="15.75" hidden="1" customHeight="1" x14ac:dyDescent="0.2">
      <c r="E226" t="s">
        <v>397</v>
      </c>
      <c r="F226">
        <v>39</v>
      </c>
      <c r="G226" t="s">
        <v>288</v>
      </c>
      <c r="H226" t="s">
        <v>2</v>
      </c>
      <c r="I226">
        <v>6</v>
      </c>
    </row>
    <row r="227" spans="5:9" ht="15.75" hidden="1" customHeight="1" x14ac:dyDescent="0.2">
      <c r="E227" t="s">
        <v>398</v>
      </c>
      <c r="F227">
        <v>40</v>
      </c>
      <c r="G227" t="s">
        <v>288</v>
      </c>
      <c r="H227" t="s">
        <v>2</v>
      </c>
      <c r="I227">
        <v>4</v>
      </c>
    </row>
    <row r="228" spans="5:9" ht="15.75" hidden="1" customHeight="1" x14ac:dyDescent="0.2">
      <c r="E228" t="s">
        <v>399</v>
      </c>
      <c r="F228">
        <v>41</v>
      </c>
      <c r="G228" t="s">
        <v>288</v>
      </c>
      <c r="H228" t="s">
        <v>2</v>
      </c>
      <c r="I228">
        <v>0</v>
      </c>
    </row>
    <row r="229" spans="5:9" ht="15.75" hidden="1" customHeight="1" x14ac:dyDescent="0.2">
      <c r="E229" t="s">
        <v>400</v>
      </c>
      <c r="F229">
        <v>42</v>
      </c>
      <c r="G229" t="s">
        <v>288</v>
      </c>
      <c r="H229" t="s">
        <v>2</v>
      </c>
      <c r="I229">
        <v>0</v>
      </c>
    </row>
    <row r="230" spans="5:9" ht="15.75" hidden="1" customHeight="1" x14ac:dyDescent="0.2">
      <c r="E230" t="s">
        <v>401</v>
      </c>
      <c r="F230">
        <v>43</v>
      </c>
      <c r="G230" t="s">
        <v>288</v>
      </c>
      <c r="H230" t="s">
        <v>2</v>
      </c>
      <c r="I230">
        <v>0</v>
      </c>
    </row>
    <row r="231" spans="5:9" ht="15.75" hidden="1" customHeight="1" x14ac:dyDescent="0.2">
      <c r="E231" t="s">
        <v>402</v>
      </c>
      <c r="F231">
        <v>44</v>
      </c>
      <c r="G231" t="s">
        <v>288</v>
      </c>
      <c r="H231" t="s">
        <v>2</v>
      </c>
      <c r="I231">
        <v>0</v>
      </c>
    </row>
    <row r="232" spans="5:9" ht="15.75" hidden="1" customHeight="1" x14ac:dyDescent="0.2">
      <c r="E232" t="s">
        <v>403</v>
      </c>
      <c r="F232">
        <v>45</v>
      </c>
      <c r="G232" t="s">
        <v>288</v>
      </c>
      <c r="H232" t="s">
        <v>2</v>
      </c>
      <c r="I232">
        <v>0</v>
      </c>
    </row>
    <row r="233" spans="5:9" ht="15.75" hidden="1" customHeight="1" x14ac:dyDescent="0.2">
      <c r="E233" t="s">
        <v>404</v>
      </c>
      <c r="F233">
        <v>46</v>
      </c>
      <c r="G233" t="s">
        <v>288</v>
      </c>
      <c r="H233" t="s">
        <v>2</v>
      </c>
      <c r="I233">
        <v>0</v>
      </c>
    </row>
    <row r="234" spans="5:9" ht="15.75" hidden="1" customHeight="1" x14ac:dyDescent="0.2">
      <c r="E234" t="s">
        <v>405</v>
      </c>
      <c r="F234">
        <v>47</v>
      </c>
      <c r="G234" t="s">
        <v>288</v>
      </c>
      <c r="H234" t="s">
        <v>2</v>
      </c>
      <c r="I234">
        <v>0</v>
      </c>
    </row>
    <row r="235" spans="5:9" ht="15.75" hidden="1" customHeight="1" x14ac:dyDescent="0.2">
      <c r="E235" t="s">
        <v>406</v>
      </c>
      <c r="F235">
        <v>48</v>
      </c>
      <c r="G235" t="s">
        <v>288</v>
      </c>
      <c r="H235" t="s">
        <v>2</v>
      </c>
      <c r="I235">
        <v>0</v>
      </c>
    </row>
    <row r="236" spans="5:9" ht="15.75" hidden="1" customHeight="1" x14ac:dyDescent="0.2">
      <c r="E236" t="s">
        <v>376</v>
      </c>
      <c r="F236">
        <v>49</v>
      </c>
      <c r="G236" t="s">
        <v>288</v>
      </c>
      <c r="H236" t="s">
        <v>2</v>
      </c>
      <c r="I236">
        <v>0</v>
      </c>
    </row>
    <row r="237" spans="5:9" ht="15.75" hidden="1" customHeight="1" x14ac:dyDescent="0.2">
      <c r="E237" t="s">
        <v>407</v>
      </c>
      <c r="F237">
        <v>50</v>
      </c>
      <c r="G237" t="s">
        <v>288</v>
      </c>
      <c r="H237" t="s">
        <v>2</v>
      </c>
      <c r="I237">
        <v>2</v>
      </c>
    </row>
    <row r="238" spans="5:9" ht="15.75" hidden="1" customHeight="1" x14ac:dyDescent="0.2">
      <c r="E238" t="s">
        <v>408</v>
      </c>
      <c r="F238">
        <v>51</v>
      </c>
      <c r="G238" t="s">
        <v>288</v>
      </c>
      <c r="H238" t="s">
        <v>2</v>
      </c>
      <c r="I238">
        <v>5</v>
      </c>
    </row>
    <row r="239" spans="5:9" ht="15.75" hidden="1" customHeight="1" x14ac:dyDescent="0.2">
      <c r="E239" t="s">
        <v>409</v>
      </c>
      <c r="F239">
        <v>52</v>
      </c>
      <c r="G239" t="s">
        <v>288</v>
      </c>
      <c r="H239" t="s">
        <v>2</v>
      </c>
      <c r="I239">
        <v>0</v>
      </c>
    </row>
    <row r="240" spans="5:9" ht="15.75" hidden="1" customHeight="1" x14ac:dyDescent="0.2">
      <c r="E240" t="s">
        <v>410</v>
      </c>
      <c r="F240">
        <v>53</v>
      </c>
      <c r="G240" t="s">
        <v>288</v>
      </c>
      <c r="H240" t="s">
        <v>2</v>
      </c>
      <c r="I240">
        <v>0</v>
      </c>
    </row>
    <row r="241" spans="5:9" ht="15.75" hidden="1" customHeight="1" x14ac:dyDescent="0.2">
      <c r="E241" t="s">
        <v>411</v>
      </c>
      <c r="F241">
        <v>54</v>
      </c>
      <c r="G241" t="s">
        <v>288</v>
      </c>
      <c r="H241" t="s">
        <v>2</v>
      </c>
      <c r="I241">
        <v>19</v>
      </c>
    </row>
    <row r="242" spans="5:9" ht="15.75" hidden="1" customHeight="1" x14ac:dyDescent="0.2">
      <c r="E242" t="s">
        <v>412</v>
      </c>
      <c r="F242">
        <v>55</v>
      </c>
      <c r="G242" t="s">
        <v>288</v>
      </c>
      <c r="H242" t="s">
        <v>2</v>
      </c>
      <c r="I242">
        <v>2</v>
      </c>
    </row>
    <row r="243" spans="5:9" ht="15.75" hidden="1" customHeight="1" x14ac:dyDescent="0.2">
      <c r="E243" t="s">
        <v>413</v>
      </c>
      <c r="F243">
        <v>56</v>
      </c>
      <c r="G243" t="s">
        <v>288</v>
      </c>
      <c r="H243" t="s">
        <v>2</v>
      </c>
      <c r="I243">
        <v>0</v>
      </c>
    </row>
    <row r="244" spans="5:9" ht="15.75" hidden="1" customHeight="1" x14ac:dyDescent="0.2">
      <c r="E244" t="s">
        <v>414</v>
      </c>
      <c r="F244">
        <v>57</v>
      </c>
      <c r="G244" t="s">
        <v>288</v>
      </c>
      <c r="H244" t="s">
        <v>2</v>
      </c>
      <c r="I244">
        <v>10</v>
      </c>
    </row>
    <row r="245" spans="5:9" ht="15.75" hidden="1" customHeight="1" x14ac:dyDescent="0.2">
      <c r="E245" t="s">
        <v>415</v>
      </c>
      <c r="F245">
        <v>58</v>
      </c>
      <c r="G245" t="s">
        <v>288</v>
      </c>
      <c r="H245" t="s">
        <v>2</v>
      </c>
      <c r="I245">
        <v>10</v>
      </c>
    </row>
    <row r="246" spans="5:9" ht="15.75" hidden="1" customHeight="1" x14ac:dyDescent="0.2">
      <c r="E246" t="s">
        <v>416</v>
      </c>
      <c r="F246">
        <v>59</v>
      </c>
      <c r="G246" t="s">
        <v>288</v>
      </c>
      <c r="H246" t="s">
        <v>2</v>
      </c>
      <c r="I246">
        <v>13</v>
      </c>
    </row>
    <row r="247" spans="5:9" ht="15.75" hidden="1" customHeight="1" x14ac:dyDescent="0.2">
      <c r="E247" t="s">
        <v>417</v>
      </c>
      <c r="F247">
        <v>60</v>
      </c>
      <c r="G247" t="s">
        <v>288</v>
      </c>
      <c r="H247" t="s">
        <v>2</v>
      </c>
      <c r="I247">
        <v>13</v>
      </c>
    </row>
    <row r="248" spans="5:9" ht="15.75" hidden="1" customHeight="1" x14ac:dyDescent="0.2">
      <c r="E248" t="s">
        <v>418</v>
      </c>
      <c r="F248">
        <v>61</v>
      </c>
      <c r="G248" t="s">
        <v>288</v>
      </c>
      <c r="H248" t="s">
        <v>2</v>
      </c>
      <c r="I248">
        <v>2</v>
      </c>
    </row>
    <row r="249" spans="5:9" ht="15.75" hidden="1" customHeight="1" x14ac:dyDescent="0.2">
      <c r="E249" t="s">
        <v>419</v>
      </c>
      <c r="F249">
        <v>62</v>
      </c>
      <c r="G249" t="s">
        <v>288</v>
      </c>
      <c r="H249" t="s">
        <v>2</v>
      </c>
      <c r="I249">
        <v>2</v>
      </c>
    </row>
    <row r="250" spans="5:9" ht="15.75" hidden="1" customHeight="1" x14ac:dyDescent="0.2">
      <c r="E250" t="s">
        <v>421</v>
      </c>
      <c r="F250">
        <v>63</v>
      </c>
      <c r="G250" t="s">
        <v>288</v>
      </c>
      <c r="H250" t="s">
        <v>2</v>
      </c>
      <c r="I250">
        <v>0</v>
      </c>
    </row>
    <row r="251" spans="5:9" ht="15.75" hidden="1" customHeight="1" x14ac:dyDescent="0.2">
      <c r="E251" t="s">
        <v>422</v>
      </c>
      <c r="F251">
        <v>64</v>
      </c>
      <c r="G251" t="s">
        <v>288</v>
      </c>
      <c r="H251" t="s">
        <v>2</v>
      </c>
      <c r="I251">
        <v>0</v>
      </c>
    </row>
    <row r="252" spans="5:9" ht="15.75" hidden="1" customHeight="1" x14ac:dyDescent="0.2">
      <c r="E252" t="s">
        <v>423</v>
      </c>
      <c r="F252">
        <v>65</v>
      </c>
      <c r="G252" t="s">
        <v>288</v>
      </c>
      <c r="H252" t="s">
        <v>2</v>
      </c>
      <c r="I252">
        <v>0</v>
      </c>
    </row>
    <row r="253" spans="5:9" ht="15.75" hidden="1" customHeight="1" x14ac:dyDescent="0.2">
      <c r="E253" t="s">
        <v>424</v>
      </c>
      <c r="F253">
        <v>66</v>
      </c>
      <c r="G253" t="s">
        <v>288</v>
      </c>
      <c r="H253" t="s">
        <v>2</v>
      </c>
      <c r="I253">
        <v>0</v>
      </c>
    </row>
    <row r="254" spans="5:9" ht="15.75" hidden="1" customHeight="1" x14ac:dyDescent="0.2">
      <c r="E254" t="s">
        <v>425</v>
      </c>
      <c r="F254">
        <v>67</v>
      </c>
      <c r="G254" t="s">
        <v>288</v>
      </c>
      <c r="H254" t="s">
        <v>2</v>
      </c>
      <c r="I254">
        <v>0</v>
      </c>
    </row>
    <row r="255" spans="5:9" ht="15.75" hidden="1" customHeight="1" x14ac:dyDescent="0.2">
      <c r="E255" t="s">
        <v>426</v>
      </c>
      <c r="F255">
        <v>68</v>
      </c>
      <c r="G255" t="s">
        <v>288</v>
      </c>
      <c r="H255" t="s">
        <v>2</v>
      </c>
      <c r="I255">
        <v>0</v>
      </c>
    </row>
    <row r="256" spans="5:9" ht="15.75" hidden="1" customHeight="1" x14ac:dyDescent="0.2">
      <c r="E256" t="s">
        <v>427</v>
      </c>
      <c r="F256">
        <v>69</v>
      </c>
      <c r="G256" t="s">
        <v>288</v>
      </c>
      <c r="H256" t="s">
        <v>2</v>
      </c>
      <c r="I256">
        <v>0</v>
      </c>
    </row>
    <row r="257" spans="5:9" ht="15.75" hidden="1" customHeight="1" x14ac:dyDescent="0.2">
      <c r="E257" t="s">
        <v>428</v>
      </c>
      <c r="F257">
        <v>70</v>
      </c>
      <c r="G257" t="s">
        <v>288</v>
      </c>
      <c r="H257" t="s">
        <v>2</v>
      </c>
      <c r="I257">
        <v>0</v>
      </c>
    </row>
    <row r="258" spans="5:9" ht="15.75" hidden="1" customHeight="1" x14ac:dyDescent="0.2">
      <c r="E258" t="s">
        <v>429</v>
      </c>
      <c r="F258">
        <v>71</v>
      </c>
      <c r="G258" t="s">
        <v>288</v>
      </c>
      <c r="H258" t="s">
        <v>2</v>
      </c>
      <c r="I258">
        <v>0</v>
      </c>
    </row>
    <row r="259" spans="5:9" ht="15.75" hidden="1" customHeight="1" x14ac:dyDescent="0.2">
      <c r="E259" t="s">
        <v>430</v>
      </c>
      <c r="F259">
        <v>72</v>
      </c>
      <c r="G259" t="s">
        <v>288</v>
      </c>
      <c r="H259" t="s">
        <v>2</v>
      </c>
      <c r="I259">
        <v>0</v>
      </c>
    </row>
    <row r="260" spans="5:9" ht="15.75" hidden="1" customHeight="1" x14ac:dyDescent="0.2">
      <c r="E260" t="s">
        <v>370</v>
      </c>
      <c r="F260">
        <v>73</v>
      </c>
      <c r="G260" t="s">
        <v>288</v>
      </c>
      <c r="H260" t="s">
        <v>2</v>
      </c>
      <c r="I260">
        <v>0</v>
      </c>
    </row>
    <row r="261" spans="5:9" ht="15.75" hidden="1" customHeight="1" x14ac:dyDescent="0.2">
      <c r="E261" t="s">
        <v>373</v>
      </c>
      <c r="F261">
        <v>74</v>
      </c>
      <c r="G261" t="s">
        <v>288</v>
      </c>
      <c r="H261" t="s">
        <v>2</v>
      </c>
      <c r="I261">
        <v>0</v>
      </c>
    </row>
    <row r="262" spans="5:9" ht="15.75" hidden="1" customHeight="1" x14ac:dyDescent="0.2">
      <c r="E262" t="s">
        <v>374</v>
      </c>
      <c r="F262">
        <v>75</v>
      </c>
      <c r="G262" t="s">
        <v>288</v>
      </c>
      <c r="H262" t="s">
        <v>2</v>
      </c>
      <c r="I262">
        <v>0</v>
      </c>
    </row>
    <row r="263" spans="5:9" ht="15.75" hidden="1" customHeight="1" x14ac:dyDescent="0.2">
      <c r="E263" t="s">
        <v>375</v>
      </c>
      <c r="F263">
        <v>76</v>
      </c>
      <c r="G263" t="s">
        <v>288</v>
      </c>
      <c r="H263" t="s">
        <v>2</v>
      </c>
      <c r="I263">
        <v>0</v>
      </c>
    </row>
    <row r="264" spans="5:9" ht="15.75" hidden="1" customHeight="1" x14ac:dyDescent="0.2">
      <c r="E264" t="s">
        <v>376</v>
      </c>
      <c r="F264">
        <v>77</v>
      </c>
      <c r="G264" t="s">
        <v>288</v>
      </c>
      <c r="H264" t="s">
        <v>2</v>
      </c>
      <c r="I264">
        <v>0</v>
      </c>
    </row>
    <row r="265" spans="5:9" ht="15.75" hidden="1" customHeight="1" x14ac:dyDescent="0.2">
      <c r="E265" t="s">
        <v>382</v>
      </c>
      <c r="F265">
        <v>78</v>
      </c>
      <c r="G265" t="s">
        <v>288</v>
      </c>
      <c r="H265" t="s">
        <v>2</v>
      </c>
      <c r="I265">
        <v>0</v>
      </c>
    </row>
    <row r="266" spans="5:9" ht="15.75" hidden="1" customHeight="1" x14ac:dyDescent="0.2">
      <c r="E266" t="s">
        <v>383</v>
      </c>
      <c r="F266">
        <v>79</v>
      </c>
      <c r="G266" t="s">
        <v>288</v>
      </c>
      <c r="H266" t="s">
        <v>2</v>
      </c>
      <c r="I266">
        <v>0</v>
      </c>
    </row>
    <row r="267" spans="5:9" ht="15.75" hidden="1" customHeight="1" x14ac:dyDescent="0.2">
      <c r="E267" t="s">
        <v>395</v>
      </c>
      <c r="F267">
        <v>80</v>
      </c>
      <c r="G267" t="s">
        <v>288</v>
      </c>
      <c r="H267" t="s">
        <v>2</v>
      </c>
      <c r="I267">
        <v>0</v>
      </c>
    </row>
    <row r="268" spans="5:9" ht="15.75" hidden="1" customHeight="1" x14ac:dyDescent="0.2">
      <c r="E268" t="s">
        <v>397</v>
      </c>
      <c r="F268">
        <v>81</v>
      </c>
      <c r="G268" t="s">
        <v>288</v>
      </c>
      <c r="H268" t="s">
        <v>2</v>
      </c>
      <c r="I268">
        <v>0</v>
      </c>
    </row>
    <row r="269" spans="5:9" ht="15.75" hidden="1" customHeight="1" x14ac:dyDescent="0.2">
      <c r="E269" t="s">
        <v>399</v>
      </c>
      <c r="F269">
        <v>82</v>
      </c>
      <c r="G269" t="s">
        <v>288</v>
      </c>
      <c r="H269" t="s">
        <v>2</v>
      </c>
      <c r="I269">
        <v>0</v>
      </c>
    </row>
    <row r="270" spans="5:9" ht="15.75" hidden="1" customHeight="1" x14ac:dyDescent="0.2">
      <c r="E270" t="s">
        <v>400</v>
      </c>
      <c r="F270">
        <v>83</v>
      </c>
      <c r="G270" t="s">
        <v>288</v>
      </c>
      <c r="H270" t="s">
        <v>2</v>
      </c>
      <c r="I270">
        <v>0</v>
      </c>
    </row>
    <row r="271" spans="5:9" ht="15.75" hidden="1" customHeight="1" x14ac:dyDescent="0.2">
      <c r="E271" t="s">
        <v>401</v>
      </c>
      <c r="F271">
        <v>84</v>
      </c>
      <c r="G271" t="s">
        <v>288</v>
      </c>
      <c r="H271" t="s">
        <v>2</v>
      </c>
      <c r="I271">
        <v>0</v>
      </c>
    </row>
    <row r="272" spans="5:9" ht="15.75" hidden="1" customHeight="1" x14ac:dyDescent="0.2">
      <c r="E272" t="s">
        <v>402</v>
      </c>
      <c r="F272">
        <v>85</v>
      </c>
      <c r="G272" t="s">
        <v>288</v>
      </c>
      <c r="H272" t="s">
        <v>2</v>
      </c>
      <c r="I272">
        <v>0</v>
      </c>
    </row>
    <row r="273" spans="5:9" ht="15.75" hidden="1" customHeight="1" x14ac:dyDescent="0.2">
      <c r="E273" t="s">
        <v>403</v>
      </c>
      <c r="F273">
        <v>86</v>
      </c>
      <c r="G273" t="s">
        <v>288</v>
      </c>
      <c r="H273" t="s">
        <v>2</v>
      </c>
      <c r="I273">
        <v>0</v>
      </c>
    </row>
    <row r="274" spans="5:9" ht="15.75" hidden="1" customHeight="1" x14ac:dyDescent="0.2">
      <c r="E274" t="s">
        <v>404</v>
      </c>
      <c r="F274">
        <v>87</v>
      </c>
      <c r="G274" t="s">
        <v>288</v>
      </c>
      <c r="H274" t="s">
        <v>2</v>
      </c>
      <c r="I274">
        <v>0</v>
      </c>
    </row>
    <row r="275" spans="5:9" ht="15.75" hidden="1" customHeight="1" x14ac:dyDescent="0.2">
      <c r="E275" t="s">
        <v>405</v>
      </c>
      <c r="F275">
        <v>88</v>
      </c>
      <c r="G275" t="s">
        <v>288</v>
      </c>
      <c r="H275" t="s">
        <v>2</v>
      </c>
      <c r="I275">
        <v>0</v>
      </c>
    </row>
    <row r="276" spans="5:9" ht="15.75" hidden="1" customHeight="1" x14ac:dyDescent="0.2">
      <c r="E276" t="s">
        <v>406</v>
      </c>
      <c r="F276">
        <v>89</v>
      </c>
      <c r="G276" t="s">
        <v>288</v>
      </c>
      <c r="H276" t="s">
        <v>2</v>
      </c>
      <c r="I276">
        <v>0</v>
      </c>
    </row>
    <row r="277" spans="5:9" ht="15.75" hidden="1" customHeight="1" x14ac:dyDescent="0.2">
      <c r="E277" t="s">
        <v>376</v>
      </c>
      <c r="F277">
        <v>90</v>
      </c>
      <c r="G277" t="s">
        <v>288</v>
      </c>
      <c r="H277" t="s">
        <v>2</v>
      </c>
      <c r="I277">
        <v>0</v>
      </c>
    </row>
    <row r="278" spans="5:9" ht="15.75" hidden="1" customHeight="1" x14ac:dyDescent="0.2">
      <c r="E278" t="s">
        <v>409</v>
      </c>
      <c r="F278">
        <v>91</v>
      </c>
      <c r="G278" t="s">
        <v>288</v>
      </c>
      <c r="H278" t="s">
        <v>2</v>
      </c>
      <c r="I278">
        <v>0</v>
      </c>
    </row>
    <row r="279" spans="5:9" ht="15.75" hidden="1" customHeight="1" x14ac:dyDescent="0.2">
      <c r="E279" t="s">
        <v>410</v>
      </c>
      <c r="F279">
        <v>92</v>
      </c>
      <c r="G279" t="s">
        <v>288</v>
      </c>
      <c r="H279" t="s">
        <v>2</v>
      </c>
      <c r="I279">
        <v>0</v>
      </c>
    </row>
    <row r="280" spans="5:9" ht="15.75" hidden="1" customHeight="1" x14ac:dyDescent="0.2">
      <c r="E280" t="s">
        <v>413</v>
      </c>
      <c r="F280">
        <v>93</v>
      </c>
      <c r="G280" t="s">
        <v>288</v>
      </c>
      <c r="H280" t="s">
        <v>2</v>
      </c>
      <c r="I280">
        <v>0</v>
      </c>
    </row>
    <row r="281" spans="5:9" ht="15.75" hidden="1" customHeight="1" x14ac:dyDescent="0.2">
      <c r="E281" t="s">
        <v>414</v>
      </c>
      <c r="F281">
        <v>94</v>
      </c>
      <c r="G281" t="s">
        <v>288</v>
      </c>
      <c r="H281" t="s">
        <v>2</v>
      </c>
      <c r="I281">
        <v>0</v>
      </c>
    </row>
    <row r="282" spans="5:9" ht="15.75" hidden="1" customHeight="1" x14ac:dyDescent="0.2">
      <c r="E282" t="s">
        <v>417</v>
      </c>
      <c r="F282">
        <v>95</v>
      </c>
      <c r="G282" t="s">
        <v>288</v>
      </c>
      <c r="H282" t="s">
        <v>2</v>
      </c>
      <c r="I282">
        <v>0</v>
      </c>
    </row>
    <row r="283" spans="5:9" ht="15.75" hidden="1" customHeight="1" x14ac:dyDescent="0.2">
      <c r="E283" t="s">
        <v>440</v>
      </c>
      <c r="F283">
        <v>96</v>
      </c>
      <c r="G283" t="s">
        <v>288</v>
      </c>
      <c r="H283" t="s">
        <v>2</v>
      </c>
      <c r="I283">
        <v>0</v>
      </c>
    </row>
    <row r="284" spans="5:9" ht="15.75" hidden="1" customHeight="1" x14ac:dyDescent="0.2">
      <c r="E284" t="s">
        <v>441</v>
      </c>
      <c r="F284">
        <v>97</v>
      </c>
      <c r="G284" t="s">
        <v>288</v>
      </c>
      <c r="H284" t="s">
        <v>2</v>
      </c>
      <c r="I284">
        <v>0</v>
      </c>
    </row>
    <row r="285" spans="5:9" ht="15.75" hidden="1" customHeight="1" x14ac:dyDescent="0.2">
      <c r="E285" t="s">
        <v>442</v>
      </c>
      <c r="F285">
        <v>98</v>
      </c>
      <c r="G285" t="s">
        <v>288</v>
      </c>
      <c r="H285" t="s">
        <v>2</v>
      </c>
      <c r="I285">
        <v>0</v>
      </c>
    </row>
    <row r="286" spans="5:9" ht="15.75" hidden="1" customHeight="1" x14ac:dyDescent="0.2">
      <c r="E286" t="s">
        <v>443</v>
      </c>
      <c r="F286">
        <v>99</v>
      </c>
      <c r="G286" t="s">
        <v>288</v>
      </c>
      <c r="H286" t="s">
        <v>2</v>
      </c>
      <c r="I286">
        <v>0</v>
      </c>
    </row>
    <row r="287" spans="5:9" ht="15.75" hidden="1" customHeight="1" x14ac:dyDescent="0.2">
      <c r="E287" t="s">
        <v>444</v>
      </c>
      <c r="F287">
        <v>100</v>
      </c>
      <c r="G287" t="s">
        <v>288</v>
      </c>
      <c r="H287" t="s">
        <v>2</v>
      </c>
      <c r="I287">
        <v>1</v>
      </c>
    </row>
    <row r="288" spans="5:9" ht="15.75" hidden="1" customHeight="1" x14ac:dyDescent="0.2">
      <c r="E288" t="s">
        <v>362</v>
      </c>
      <c r="F288">
        <v>101</v>
      </c>
      <c r="G288" t="s">
        <v>288</v>
      </c>
      <c r="H288" t="s">
        <v>2</v>
      </c>
      <c r="I288">
        <v>0</v>
      </c>
    </row>
    <row r="289" spans="5:9" ht="15.75" hidden="1" customHeight="1" x14ac:dyDescent="0.2">
      <c r="E289" t="s">
        <v>446</v>
      </c>
      <c r="F289">
        <v>102</v>
      </c>
      <c r="G289" t="s">
        <v>288</v>
      </c>
      <c r="H289" t="s">
        <v>2</v>
      </c>
      <c r="I289">
        <v>0</v>
      </c>
    </row>
    <row r="290" spans="5:9" ht="15.75" hidden="1" customHeight="1" x14ac:dyDescent="0.2">
      <c r="E290" t="s">
        <v>447</v>
      </c>
      <c r="F290">
        <v>103</v>
      </c>
      <c r="G290" t="s">
        <v>288</v>
      </c>
      <c r="H290" t="s">
        <v>2</v>
      </c>
      <c r="I290">
        <v>0</v>
      </c>
    </row>
    <row r="291" spans="5:9" ht="15.75" hidden="1" customHeight="1" x14ac:dyDescent="0.2">
      <c r="E291" t="s">
        <v>448</v>
      </c>
      <c r="F291">
        <v>104</v>
      </c>
      <c r="G291" t="s">
        <v>288</v>
      </c>
      <c r="H291" t="s">
        <v>2</v>
      </c>
      <c r="I291">
        <v>0</v>
      </c>
    </row>
    <row r="292" spans="5:9" ht="15.75" hidden="1" customHeight="1" x14ac:dyDescent="0.2">
      <c r="E292" t="s">
        <v>449</v>
      </c>
      <c r="F292">
        <v>105</v>
      </c>
      <c r="G292" t="s">
        <v>288</v>
      </c>
      <c r="H292" t="s">
        <v>2</v>
      </c>
      <c r="I292">
        <v>0</v>
      </c>
    </row>
    <row r="293" spans="5:9" ht="15.75" hidden="1" customHeight="1" x14ac:dyDescent="0.2">
      <c r="E293" t="s">
        <v>450</v>
      </c>
      <c r="F293">
        <v>106</v>
      </c>
      <c r="G293" t="s">
        <v>288</v>
      </c>
      <c r="H293" t="s">
        <v>2</v>
      </c>
      <c r="I293">
        <v>0</v>
      </c>
    </row>
    <row r="294" spans="5:9" ht="15.75" hidden="1" customHeight="1" x14ac:dyDescent="0.2">
      <c r="E294" t="s">
        <v>451</v>
      </c>
      <c r="F294">
        <v>107</v>
      </c>
      <c r="G294" t="s">
        <v>288</v>
      </c>
      <c r="H294" t="s">
        <v>2</v>
      </c>
      <c r="I294">
        <v>0</v>
      </c>
    </row>
    <row r="295" spans="5:9" ht="15.75" hidden="1" customHeight="1" x14ac:dyDescent="0.2">
      <c r="E295" t="s">
        <v>452</v>
      </c>
      <c r="F295">
        <v>108</v>
      </c>
      <c r="G295" t="s">
        <v>288</v>
      </c>
      <c r="H295" t="s">
        <v>2</v>
      </c>
      <c r="I295">
        <v>0</v>
      </c>
    </row>
    <row r="296" spans="5:9" ht="15.75" hidden="1" customHeight="1" x14ac:dyDescent="0.2">
      <c r="E296" t="s">
        <v>453</v>
      </c>
      <c r="F296">
        <v>109</v>
      </c>
      <c r="G296" t="s">
        <v>288</v>
      </c>
      <c r="H296" t="s">
        <v>2</v>
      </c>
      <c r="I296">
        <v>0</v>
      </c>
    </row>
    <row r="297" spans="5:9" ht="15.75" hidden="1" customHeight="1" x14ac:dyDescent="0.2">
      <c r="E297" t="s">
        <v>454</v>
      </c>
      <c r="F297">
        <v>110</v>
      </c>
      <c r="G297" t="s">
        <v>288</v>
      </c>
      <c r="H297" t="s">
        <v>2</v>
      </c>
      <c r="I297">
        <v>0</v>
      </c>
    </row>
    <row r="298" spans="5:9" ht="15.75" hidden="1" customHeight="1" x14ac:dyDescent="0.2">
      <c r="E298" t="s">
        <v>455</v>
      </c>
      <c r="F298">
        <v>111</v>
      </c>
      <c r="G298" t="s">
        <v>288</v>
      </c>
      <c r="H298" t="s">
        <v>2</v>
      </c>
      <c r="I298">
        <v>0</v>
      </c>
    </row>
    <row r="299" spans="5:9" ht="15.75" hidden="1" customHeight="1" x14ac:dyDescent="0.2">
      <c r="E299" t="s">
        <v>456</v>
      </c>
      <c r="F299">
        <v>112</v>
      </c>
      <c r="G299" t="s">
        <v>288</v>
      </c>
      <c r="H299" t="s">
        <v>2</v>
      </c>
      <c r="I299">
        <v>0</v>
      </c>
    </row>
    <row r="300" spans="5:9" ht="15.75" hidden="1" customHeight="1" x14ac:dyDescent="0.2">
      <c r="E300" t="s">
        <v>457</v>
      </c>
      <c r="F300">
        <v>113</v>
      </c>
      <c r="G300" t="s">
        <v>288</v>
      </c>
      <c r="H300" t="s">
        <v>2</v>
      </c>
      <c r="I300">
        <v>0</v>
      </c>
    </row>
    <row r="301" spans="5:9" ht="15.75" hidden="1" customHeight="1" x14ac:dyDescent="0.2">
      <c r="E301" t="s">
        <v>459</v>
      </c>
      <c r="F301">
        <v>114</v>
      </c>
      <c r="G301" t="s">
        <v>288</v>
      </c>
      <c r="H301" t="s">
        <v>2</v>
      </c>
      <c r="I301">
        <v>0</v>
      </c>
    </row>
    <row r="302" spans="5:9" ht="15.75" hidden="1" customHeight="1" x14ac:dyDescent="0.2">
      <c r="E302" t="s">
        <v>460</v>
      </c>
      <c r="F302">
        <v>115</v>
      </c>
      <c r="G302" t="s">
        <v>288</v>
      </c>
      <c r="H302" t="s">
        <v>2</v>
      </c>
      <c r="I302">
        <v>0</v>
      </c>
    </row>
    <row r="303" spans="5:9" ht="15.75" hidden="1" customHeight="1" x14ac:dyDescent="0.2">
      <c r="E303" t="s">
        <v>461</v>
      </c>
      <c r="F303">
        <v>116</v>
      </c>
      <c r="G303" t="s">
        <v>288</v>
      </c>
      <c r="H303" t="s">
        <v>2</v>
      </c>
      <c r="I303">
        <v>0</v>
      </c>
    </row>
    <row r="304" spans="5:9" ht="15.75" hidden="1" customHeight="1" x14ac:dyDescent="0.2">
      <c r="E304" t="s">
        <v>462</v>
      </c>
      <c r="F304">
        <v>117</v>
      </c>
      <c r="G304" t="s">
        <v>288</v>
      </c>
      <c r="H304" t="s">
        <v>2</v>
      </c>
      <c r="I304">
        <v>0</v>
      </c>
    </row>
    <row r="305" spans="5:9" ht="15.75" hidden="1" customHeight="1" x14ac:dyDescent="0.2">
      <c r="E305" t="s">
        <v>463</v>
      </c>
      <c r="F305">
        <v>118</v>
      </c>
      <c r="G305" t="s">
        <v>288</v>
      </c>
      <c r="H305" t="s">
        <v>2</v>
      </c>
      <c r="I305">
        <v>0</v>
      </c>
    </row>
    <row r="306" spans="5:9" ht="15.75" hidden="1" customHeight="1" x14ac:dyDescent="0.2">
      <c r="E306" t="s">
        <v>464</v>
      </c>
      <c r="F306">
        <v>119</v>
      </c>
      <c r="G306" t="s">
        <v>288</v>
      </c>
      <c r="H306" t="s">
        <v>2</v>
      </c>
      <c r="I306">
        <v>0</v>
      </c>
    </row>
    <row r="307" spans="5:9" ht="15.75" hidden="1" customHeight="1" x14ac:dyDescent="0.2">
      <c r="E307" t="s">
        <v>465</v>
      </c>
      <c r="F307">
        <v>120</v>
      </c>
      <c r="G307" t="s">
        <v>288</v>
      </c>
      <c r="H307" t="s">
        <v>2</v>
      </c>
      <c r="I307">
        <v>0</v>
      </c>
    </row>
    <row r="308" spans="5:9" ht="15.75" hidden="1" customHeight="1" x14ac:dyDescent="0.2">
      <c r="E308" t="s">
        <v>466</v>
      </c>
      <c r="F308">
        <v>121</v>
      </c>
      <c r="G308" t="s">
        <v>288</v>
      </c>
      <c r="H308" t="s">
        <v>2</v>
      </c>
      <c r="I308">
        <v>0</v>
      </c>
    </row>
    <row r="309" spans="5:9" ht="15.75" hidden="1" customHeight="1" x14ac:dyDescent="0.2">
      <c r="E309" t="s">
        <v>467</v>
      </c>
      <c r="F309">
        <v>122</v>
      </c>
      <c r="G309" t="s">
        <v>288</v>
      </c>
      <c r="H309" t="s">
        <v>2</v>
      </c>
      <c r="I309">
        <v>0</v>
      </c>
    </row>
    <row r="310" spans="5:9" ht="15.75" hidden="1" customHeight="1" x14ac:dyDescent="0.2">
      <c r="E310" t="s">
        <v>468</v>
      </c>
      <c r="F310">
        <v>123</v>
      </c>
      <c r="G310" t="s">
        <v>288</v>
      </c>
      <c r="H310" t="s">
        <v>2</v>
      </c>
      <c r="I310">
        <v>0</v>
      </c>
    </row>
    <row r="311" spans="5:9" ht="15.75" hidden="1" customHeight="1" x14ac:dyDescent="0.2">
      <c r="E311" t="s">
        <v>469</v>
      </c>
      <c r="F311">
        <v>124</v>
      </c>
      <c r="G311" t="s">
        <v>288</v>
      </c>
      <c r="H311" t="s">
        <v>2</v>
      </c>
      <c r="I311">
        <v>0</v>
      </c>
    </row>
    <row r="312" spans="5:9" ht="15.75" hidden="1" customHeight="1" x14ac:dyDescent="0.2">
      <c r="E312" t="s">
        <v>470</v>
      </c>
      <c r="F312">
        <v>125</v>
      </c>
      <c r="G312" t="s">
        <v>288</v>
      </c>
      <c r="H312" t="s">
        <v>2</v>
      </c>
      <c r="I312">
        <v>0</v>
      </c>
    </row>
    <row r="313" spans="5:9" ht="15.75" hidden="1" customHeight="1" x14ac:dyDescent="0.2">
      <c r="E313" t="s">
        <v>471</v>
      </c>
      <c r="F313">
        <v>126</v>
      </c>
      <c r="G313" t="s">
        <v>288</v>
      </c>
      <c r="H313" t="s">
        <v>2</v>
      </c>
      <c r="I313">
        <v>0</v>
      </c>
    </row>
    <row r="314" spans="5:9" ht="15.75" hidden="1" customHeight="1" x14ac:dyDescent="0.2">
      <c r="E314" t="s">
        <v>472</v>
      </c>
      <c r="F314">
        <v>127</v>
      </c>
      <c r="G314" t="s">
        <v>288</v>
      </c>
      <c r="H314" t="s">
        <v>2</v>
      </c>
      <c r="I314">
        <v>0</v>
      </c>
    </row>
    <row r="315" spans="5:9" ht="15.75" hidden="1" customHeight="1" x14ac:dyDescent="0.2">
      <c r="E315" t="s">
        <v>473</v>
      </c>
      <c r="F315">
        <v>128</v>
      </c>
      <c r="G315" t="s">
        <v>288</v>
      </c>
      <c r="H315" t="s">
        <v>2</v>
      </c>
      <c r="I315">
        <v>0</v>
      </c>
    </row>
    <row r="316" spans="5:9" ht="15.75" hidden="1" customHeight="1" x14ac:dyDescent="0.2">
      <c r="E316" t="s">
        <v>474</v>
      </c>
      <c r="F316">
        <v>129</v>
      </c>
      <c r="G316" t="s">
        <v>288</v>
      </c>
      <c r="H316" t="s">
        <v>2</v>
      </c>
      <c r="I316">
        <v>0</v>
      </c>
    </row>
    <row r="317" spans="5:9" ht="15.75" hidden="1" customHeight="1" x14ac:dyDescent="0.2">
      <c r="E317" t="s">
        <v>476</v>
      </c>
      <c r="F317">
        <v>130</v>
      </c>
      <c r="G317" t="s">
        <v>288</v>
      </c>
      <c r="H317" t="s">
        <v>2</v>
      </c>
      <c r="I317">
        <v>0</v>
      </c>
    </row>
    <row r="318" spans="5:9" ht="15.75" hidden="1" customHeight="1" x14ac:dyDescent="0.2">
      <c r="E318" t="s">
        <v>478</v>
      </c>
      <c r="F318">
        <v>131</v>
      </c>
      <c r="G318" t="s">
        <v>288</v>
      </c>
      <c r="H318" t="s">
        <v>2</v>
      </c>
      <c r="I318">
        <v>0</v>
      </c>
    </row>
    <row r="319" spans="5:9" ht="15.75" hidden="1" customHeight="1" x14ac:dyDescent="0.2">
      <c r="E319" t="s">
        <v>440</v>
      </c>
      <c r="F319">
        <v>132</v>
      </c>
      <c r="G319" t="s">
        <v>288</v>
      </c>
      <c r="H319" t="s">
        <v>2</v>
      </c>
      <c r="I319">
        <v>0</v>
      </c>
    </row>
    <row r="320" spans="5:9" ht="15.75" hidden="1" customHeight="1" x14ac:dyDescent="0.2">
      <c r="E320" t="s">
        <v>441</v>
      </c>
      <c r="F320">
        <v>133</v>
      </c>
      <c r="G320" t="s">
        <v>288</v>
      </c>
      <c r="H320" t="s">
        <v>2</v>
      </c>
      <c r="I320">
        <v>0</v>
      </c>
    </row>
    <row r="321" spans="5:9" ht="15.75" hidden="1" customHeight="1" x14ac:dyDescent="0.2">
      <c r="E321" t="s">
        <v>442</v>
      </c>
      <c r="F321">
        <v>134</v>
      </c>
      <c r="G321" t="s">
        <v>288</v>
      </c>
      <c r="H321" t="s">
        <v>2</v>
      </c>
      <c r="I321">
        <v>0</v>
      </c>
    </row>
    <row r="322" spans="5:9" ht="15.75" hidden="1" customHeight="1" x14ac:dyDescent="0.2">
      <c r="E322" t="s">
        <v>443</v>
      </c>
      <c r="F322">
        <v>135</v>
      </c>
      <c r="G322" t="s">
        <v>288</v>
      </c>
      <c r="H322" t="s">
        <v>2</v>
      </c>
      <c r="I322">
        <v>40</v>
      </c>
    </row>
    <row r="323" spans="5:9" ht="15.75" hidden="1" customHeight="1" x14ac:dyDescent="0.2">
      <c r="E323" t="s">
        <v>362</v>
      </c>
      <c r="F323">
        <v>136</v>
      </c>
      <c r="G323" t="s">
        <v>288</v>
      </c>
      <c r="H323" t="s">
        <v>2</v>
      </c>
      <c r="I323">
        <v>0</v>
      </c>
    </row>
    <row r="324" spans="5:9" ht="15.75" hidden="1" customHeight="1" x14ac:dyDescent="0.2">
      <c r="E324" t="s">
        <v>482</v>
      </c>
      <c r="F324">
        <v>137</v>
      </c>
      <c r="G324" t="s">
        <v>288</v>
      </c>
      <c r="H324" t="s">
        <v>2</v>
      </c>
      <c r="I324">
        <v>1</v>
      </c>
    </row>
    <row r="325" spans="5:9" ht="15.75" hidden="1" customHeight="1" x14ac:dyDescent="0.2">
      <c r="E325" t="s">
        <v>483</v>
      </c>
      <c r="F325">
        <v>138</v>
      </c>
      <c r="G325" t="s">
        <v>288</v>
      </c>
      <c r="H325" t="s">
        <v>2</v>
      </c>
      <c r="I325">
        <v>1</v>
      </c>
    </row>
    <row r="326" spans="5:9" ht="15.75" hidden="1" customHeight="1" x14ac:dyDescent="0.2">
      <c r="E326" t="s">
        <v>484</v>
      </c>
      <c r="F326">
        <v>139</v>
      </c>
      <c r="G326" t="s">
        <v>288</v>
      </c>
      <c r="H326" t="s">
        <v>2</v>
      </c>
      <c r="I326">
        <v>9</v>
      </c>
    </row>
    <row r="327" spans="5:9" ht="15.75" hidden="1" customHeight="1" x14ac:dyDescent="0.2">
      <c r="E327" t="s">
        <v>486</v>
      </c>
      <c r="F327">
        <v>140</v>
      </c>
      <c r="G327" t="s">
        <v>288</v>
      </c>
      <c r="H327" t="s">
        <v>2</v>
      </c>
      <c r="I327">
        <v>0</v>
      </c>
    </row>
    <row r="328" spans="5:9" ht="15.75" hidden="1" customHeight="1" x14ac:dyDescent="0.2">
      <c r="E328" t="s">
        <v>487</v>
      </c>
      <c r="F328">
        <v>141</v>
      </c>
      <c r="G328" t="s">
        <v>288</v>
      </c>
      <c r="H328" t="s">
        <v>2</v>
      </c>
      <c r="I328">
        <v>0</v>
      </c>
    </row>
    <row r="329" spans="5:9" ht="15.75" hidden="1" customHeight="1" x14ac:dyDescent="0.2">
      <c r="E329" t="s">
        <v>446</v>
      </c>
      <c r="F329">
        <v>142</v>
      </c>
      <c r="G329" t="s">
        <v>288</v>
      </c>
      <c r="H329" t="s">
        <v>2</v>
      </c>
      <c r="I329">
        <v>2</v>
      </c>
    </row>
    <row r="330" spans="5:9" ht="15.75" hidden="1" customHeight="1" x14ac:dyDescent="0.2">
      <c r="E330" t="s">
        <v>447</v>
      </c>
      <c r="F330">
        <v>143</v>
      </c>
      <c r="G330" t="s">
        <v>288</v>
      </c>
      <c r="H330" t="s">
        <v>2</v>
      </c>
      <c r="I330">
        <v>3</v>
      </c>
    </row>
    <row r="331" spans="5:9" ht="15.75" hidden="1" customHeight="1" x14ac:dyDescent="0.2">
      <c r="E331" t="s">
        <v>448</v>
      </c>
      <c r="F331">
        <v>144</v>
      </c>
      <c r="G331" t="s">
        <v>288</v>
      </c>
      <c r="H331" t="s">
        <v>2</v>
      </c>
      <c r="I331">
        <v>0</v>
      </c>
    </row>
    <row r="332" spans="5:9" ht="15.75" hidden="1" customHeight="1" x14ac:dyDescent="0.2">
      <c r="E332" t="s">
        <v>449</v>
      </c>
      <c r="F332">
        <v>145</v>
      </c>
      <c r="G332" t="s">
        <v>288</v>
      </c>
      <c r="H332" t="s">
        <v>2</v>
      </c>
      <c r="I332">
        <v>0</v>
      </c>
    </row>
    <row r="333" spans="5:9" ht="15.75" hidden="1" customHeight="1" x14ac:dyDescent="0.2">
      <c r="E333" t="s">
        <v>450</v>
      </c>
      <c r="F333">
        <v>146</v>
      </c>
      <c r="G333" t="s">
        <v>288</v>
      </c>
      <c r="H333" t="s">
        <v>2</v>
      </c>
      <c r="I333">
        <v>0</v>
      </c>
    </row>
    <row r="334" spans="5:9" ht="15.75" hidden="1" customHeight="1" x14ac:dyDescent="0.2">
      <c r="E334" t="s">
        <v>451</v>
      </c>
      <c r="F334">
        <v>147</v>
      </c>
      <c r="G334" t="s">
        <v>288</v>
      </c>
      <c r="H334" t="s">
        <v>2</v>
      </c>
      <c r="I334">
        <v>0</v>
      </c>
    </row>
    <row r="335" spans="5:9" ht="15.75" hidden="1" customHeight="1" x14ac:dyDescent="0.2">
      <c r="E335" t="s">
        <v>488</v>
      </c>
      <c r="F335">
        <v>148</v>
      </c>
      <c r="G335" t="s">
        <v>288</v>
      </c>
      <c r="H335" t="s">
        <v>2</v>
      </c>
      <c r="I335">
        <v>0</v>
      </c>
    </row>
    <row r="336" spans="5:9" ht="15.75" hidden="1" customHeight="1" x14ac:dyDescent="0.2">
      <c r="E336" t="s">
        <v>452</v>
      </c>
      <c r="F336">
        <v>149</v>
      </c>
      <c r="G336" t="s">
        <v>288</v>
      </c>
      <c r="H336" t="s">
        <v>2</v>
      </c>
      <c r="I336">
        <v>1</v>
      </c>
    </row>
    <row r="337" spans="5:9" ht="15.75" hidden="1" customHeight="1" x14ac:dyDescent="0.2">
      <c r="E337" t="s">
        <v>453</v>
      </c>
      <c r="F337">
        <v>150</v>
      </c>
      <c r="G337" t="s">
        <v>288</v>
      </c>
      <c r="H337" t="s">
        <v>2</v>
      </c>
      <c r="I337">
        <v>0</v>
      </c>
    </row>
    <row r="338" spans="5:9" ht="15.75" hidden="1" customHeight="1" x14ac:dyDescent="0.2">
      <c r="E338" t="s">
        <v>454</v>
      </c>
      <c r="F338">
        <v>151</v>
      </c>
      <c r="G338" t="s">
        <v>288</v>
      </c>
      <c r="H338" t="s">
        <v>2</v>
      </c>
      <c r="I338">
        <v>1</v>
      </c>
    </row>
    <row r="339" spans="5:9" ht="15.75" hidden="1" customHeight="1" x14ac:dyDescent="0.2">
      <c r="E339" t="s">
        <v>455</v>
      </c>
      <c r="F339">
        <v>152</v>
      </c>
      <c r="G339" t="s">
        <v>288</v>
      </c>
      <c r="H339" t="s">
        <v>2</v>
      </c>
      <c r="I339">
        <v>0</v>
      </c>
    </row>
    <row r="340" spans="5:9" ht="15.75" hidden="1" customHeight="1" x14ac:dyDescent="0.2">
      <c r="E340" t="s">
        <v>456</v>
      </c>
      <c r="F340">
        <v>153</v>
      </c>
      <c r="G340" t="s">
        <v>288</v>
      </c>
      <c r="H340" t="s">
        <v>2</v>
      </c>
      <c r="I340">
        <v>0</v>
      </c>
    </row>
    <row r="341" spans="5:9" ht="15.75" hidden="1" customHeight="1" x14ac:dyDescent="0.2">
      <c r="E341" t="s">
        <v>489</v>
      </c>
      <c r="F341">
        <v>154</v>
      </c>
      <c r="G341" t="s">
        <v>288</v>
      </c>
      <c r="H341" t="s">
        <v>2</v>
      </c>
      <c r="I341">
        <v>0</v>
      </c>
    </row>
    <row r="342" spans="5:9" ht="15.75" hidden="1" customHeight="1" x14ac:dyDescent="0.2">
      <c r="E342" t="s">
        <v>457</v>
      </c>
      <c r="F342">
        <v>155</v>
      </c>
      <c r="G342" t="s">
        <v>288</v>
      </c>
      <c r="H342" t="s">
        <v>2</v>
      </c>
      <c r="I342">
        <v>0</v>
      </c>
    </row>
    <row r="343" spans="5:9" ht="15.75" hidden="1" customHeight="1" x14ac:dyDescent="0.2">
      <c r="E343" t="s">
        <v>362</v>
      </c>
      <c r="F343">
        <v>156</v>
      </c>
      <c r="G343" t="s">
        <v>288</v>
      </c>
      <c r="H343" t="s">
        <v>2</v>
      </c>
      <c r="I343">
        <v>0</v>
      </c>
    </row>
    <row r="344" spans="5:9" ht="15.75" hidden="1" customHeight="1" x14ac:dyDescent="0.2">
      <c r="E344" t="s">
        <v>491</v>
      </c>
      <c r="F344">
        <v>157</v>
      </c>
      <c r="G344" t="s">
        <v>288</v>
      </c>
      <c r="H344" t="s">
        <v>2</v>
      </c>
      <c r="I344">
        <v>5</v>
      </c>
    </row>
    <row r="345" spans="5:9" ht="15.75" hidden="1" customHeight="1" x14ac:dyDescent="0.2">
      <c r="E345" t="s">
        <v>492</v>
      </c>
      <c r="F345">
        <v>158</v>
      </c>
      <c r="G345" t="s">
        <v>288</v>
      </c>
      <c r="H345" t="s">
        <v>2</v>
      </c>
      <c r="I345">
        <v>2</v>
      </c>
    </row>
    <row r="346" spans="5:9" ht="15.75" hidden="1" customHeight="1" x14ac:dyDescent="0.2">
      <c r="E346" t="s">
        <v>493</v>
      </c>
      <c r="F346">
        <v>159</v>
      </c>
      <c r="G346" t="s">
        <v>288</v>
      </c>
      <c r="H346" t="s">
        <v>2</v>
      </c>
      <c r="I346">
        <v>2</v>
      </c>
    </row>
    <row r="347" spans="5:9" ht="15.75" hidden="1" customHeight="1" x14ac:dyDescent="0.2">
      <c r="E347" t="s">
        <v>494</v>
      </c>
      <c r="F347">
        <v>160</v>
      </c>
      <c r="G347" t="s">
        <v>288</v>
      </c>
      <c r="H347" t="s">
        <v>2</v>
      </c>
      <c r="I347">
        <v>1</v>
      </c>
    </row>
    <row r="348" spans="5:9" ht="15.75" hidden="1" customHeight="1" x14ac:dyDescent="0.2">
      <c r="E348" t="s">
        <v>496</v>
      </c>
      <c r="F348">
        <v>161</v>
      </c>
      <c r="G348" t="s">
        <v>288</v>
      </c>
      <c r="H348" t="s">
        <v>2</v>
      </c>
      <c r="I348">
        <v>0</v>
      </c>
    </row>
    <row r="349" spans="5:9" ht="15.75" hidden="1" customHeight="1" x14ac:dyDescent="0.2">
      <c r="E349" t="s">
        <v>497</v>
      </c>
      <c r="F349">
        <v>162</v>
      </c>
      <c r="G349" t="s">
        <v>288</v>
      </c>
      <c r="H349" t="s">
        <v>2</v>
      </c>
      <c r="I349">
        <v>1</v>
      </c>
    </row>
    <row r="350" spans="5:9" ht="15.75" hidden="1" customHeight="1" x14ac:dyDescent="0.2">
      <c r="E350" t="s">
        <v>459</v>
      </c>
      <c r="F350">
        <v>163</v>
      </c>
      <c r="G350" t="s">
        <v>288</v>
      </c>
      <c r="H350" t="s">
        <v>2</v>
      </c>
      <c r="I350">
        <v>4</v>
      </c>
    </row>
    <row r="351" spans="5:9" ht="15.75" hidden="1" customHeight="1" x14ac:dyDescent="0.2">
      <c r="E351" t="s">
        <v>460</v>
      </c>
      <c r="F351">
        <v>164</v>
      </c>
      <c r="G351" t="s">
        <v>288</v>
      </c>
      <c r="H351" t="s">
        <v>2</v>
      </c>
      <c r="I351">
        <v>0</v>
      </c>
    </row>
    <row r="352" spans="5:9" ht="15.75" hidden="1" customHeight="1" x14ac:dyDescent="0.2">
      <c r="E352" t="s">
        <v>461</v>
      </c>
      <c r="F352">
        <v>165</v>
      </c>
      <c r="G352" t="s">
        <v>288</v>
      </c>
      <c r="H352" t="s">
        <v>2</v>
      </c>
      <c r="I352">
        <v>2</v>
      </c>
    </row>
    <row r="353" spans="5:9" ht="15.75" hidden="1" customHeight="1" x14ac:dyDescent="0.2">
      <c r="E353" t="s">
        <v>462</v>
      </c>
      <c r="F353">
        <v>166</v>
      </c>
      <c r="G353" t="s">
        <v>288</v>
      </c>
      <c r="H353" t="s">
        <v>2</v>
      </c>
      <c r="I353">
        <v>0</v>
      </c>
    </row>
    <row r="354" spans="5:9" ht="15.75" hidden="1" customHeight="1" x14ac:dyDescent="0.2">
      <c r="E354" t="s">
        <v>463</v>
      </c>
      <c r="F354">
        <v>167</v>
      </c>
      <c r="G354" t="s">
        <v>288</v>
      </c>
      <c r="H354" t="s">
        <v>2</v>
      </c>
      <c r="I354">
        <v>2</v>
      </c>
    </row>
    <row r="355" spans="5:9" ht="15.75" hidden="1" customHeight="1" x14ac:dyDescent="0.2">
      <c r="E355" t="s">
        <v>464</v>
      </c>
      <c r="F355">
        <v>168</v>
      </c>
      <c r="G355" t="s">
        <v>288</v>
      </c>
      <c r="H355" t="s">
        <v>2</v>
      </c>
      <c r="I355">
        <v>0</v>
      </c>
    </row>
    <row r="356" spans="5:9" ht="15.75" hidden="1" customHeight="1" x14ac:dyDescent="0.2">
      <c r="E356" t="s">
        <v>465</v>
      </c>
      <c r="F356">
        <v>169</v>
      </c>
      <c r="G356" t="s">
        <v>288</v>
      </c>
      <c r="H356" t="s">
        <v>2</v>
      </c>
      <c r="I356">
        <v>0</v>
      </c>
    </row>
    <row r="357" spans="5:9" ht="15.75" hidden="1" customHeight="1" x14ac:dyDescent="0.2">
      <c r="E357" t="s">
        <v>466</v>
      </c>
      <c r="F357">
        <v>170</v>
      </c>
      <c r="G357" t="s">
        <v>288</v>
      </c>
      <c r="H357" t="s">
        <v>2</v>
      </c>
      <c r="I357">
        <v>2</v>
      </c>
    </row>
    <row r="358" spans="5:9" ht="15.75" hidden="1" customHeight="1" x14ac:dyDescent="0.2">
      <c r="E358" t="s">
        <v>467</v>
      </c>
      <c r="F358">
        <v>171</v>
      </c>
      <c r="G358" t="s">
        <v>288</v>
      </c>
      <c r="H358" t="s">
        <v>2</v>
      </c>
      <c r="I358">
        <v>0</v>
      </c>
    </row>
    <row r="359" spans="5:9" ht="15.75" hidden="1" customHeight="1" x14ac:dyDescent="0.2">
      <c r="E359" t="s">
        <v>468</v>
      </c>
      <c r="F359">
        <v>172</v>
      </c>
      <c r="G359" t="s">
        <v>288</v>
      </c>
      <c r="H359" t="s">
        <v>2</v>
      </c>
      <c r="I359">
        <v>2</v>
      </c>
    </row>
    <row r="360" spans="5:9" ht="15.75" hidden="1" customHeight="1" x14ac:dyDescent="0.2">
      <c r="E360" t="s">
        <v>469</v>
      </c>
      <c r="F360">
        <v>173</v>
      </c>
      <c r="G360" t="s">
        <v>288</v>
      </c>
      <c r="H360" t="s">
        <v>2</v>
      </c>
      <c r="I360">
        <v>2</v>
      </c>
    </row>
    <row r="361" spans="5:9" ht="15.75" hidden="1" customHeight="1" x14ac:dyDescent="0.2">
      <c r="E361" t="s">
        <v>470</v>
      </c>
      <c r="F361">
        <v>174</v>
      </c>
      <c r="G361" t="s">
        <v>288</v>
      </c>
      <c r="H361" t="s">
        <v>2</v>
      </c>
      <c r="I361">
        <v>2</v>
      </c>
    </row>
    <row r="362" spans="5:9" ht="15.75" hidden="1" customHeight="1" x14ac:dyDescent="0.2">
      <c r="E362" t="s">
        <v>471</v>
      </c>
      <c r="F362">
        <v>175</v>
      </c>
      <c r="G362" t="s">
        <v>288</v>
      </c>
      <c r="H362" t="s">
        <v>2</v>
      </c>
      <c r="I362">
        <v>1</v>
      </c>
    </row>
    <row r="363" spans="5:9" ht="15.75" hidden="1" customHeight="1" x14ac:dyDescent="0.2">
      <c r="E363" t="s">
        <v>472</v>
      </c>
      <c r="F363">
        <v>176</v>
      </c>
      <c r="G363" t="s">
        <v>288</v>
      </c>
      <c r="H363" t="s">
        <v>2</v>
      </c>
      <c r="I363">
        <v>2</v>
      </c>
    </row>
    <row r="364" spans="5:9" ht="15.75" hidden="1" customHeight="1" x14ac:dyDescent="0.2">
      <c r="E364" t="s">
        <v>362</v>
      </c>
      <c r="F364">
        <v>177</v>
      </c>
      <c r="G364" t="s">
        <v>288</v>
      </c>
      <c r="H364" t="s">
        <v>2</v>
      </c>
      <c r="I364">
        <v>0</v>
      </c>
    </row>
    <row r="365" spans="5:9" ht="15.75" hidden="1" customHeight="1" x14ac:dyDescent="0.2">
      <c r="E365" t="s">
        <v>473</v>
      </c>
      <c r="F365">
        <v>178</v>
      </c>
      <c r="G365" t="s">
        <v>288</v>
      </c>
      <c r="H365" t="s">
        <v>2</v>
      </c>
      <c r="I365">
        <v>2</v>
      </c>
    </row>
    <row r="366" spans="5:9" ht="15.75" hidden="1" customHeight="1" x14ac:dyDescent="0.2">
      <c r="E366" t="s">
        <v>474</v>
      </c>
      <c r="F366">
        <v>179</v>
      </c>
      <c r="G366" t="s">
        <v>288</v>
      </c>
      <c r="H366" t="s">
        <v>2</v>
      </c>
      <c r="I366">
        <v>3</v>
      </c>
    </row>
    <row r="367" spans="5:9" ht="15.75" hidden="1" customHeight="1" x14ac:dyDescent="0.2">
      <c r="E367" t="s">
        <v>499</v>
      </c>
      <c r="F367">
        <v>180</v>
      </c>
      <c r="G367" t="s">
        <v>288</v>
      </c>
      <c r="H367" t="s">
        <v>2</v>
      </c>
      <c r="I367">
        <v>2</v>
      </c>
    </row>
    <row r="368" spans="5:9" ht="15.75" hidden="1" customHeight="1" x14ac:dyDescent="0.2">
      <c r="E368" t="s">
        <v>500</v>
      </c>
      <c r="F368">
        <v>181</v>
      </c>
      <c r="G368" t="s">
        <v>288</v>
      </c>
      <c r="H368" t="s">
        <v>2</v>
      </c>
      <c r="I368">
        <v>5</v>
      </c>
    </row>
    <row r="369" spans="5:9" ht="15.75" hidden="1" customHeight="1" x14ac:dyDescent="0.2">
      <c r="E369" t="s">
        <v>501</v>
      </c>
      <c r="F369">
        <v>182</v>
      </c>
      <c r="G369" t="s">
        <v>288</v>
      </c>
      <c r="H369" t="s">
        <v>2</v>
      </c>
      <c r="I369">
        <v>19</v>
      </c>
    </row>
    <row r="370" spans="5:9" ht="15.75" hidden="1" customHeight="1" x14ac:dyDescent="0.2">
      <c r="E370" t="s">
        <v>502</v>
      </c>
      <c r="F370">
        <v>183</v>
      </c>
      <c r="G370" t="s">
        <v>288</v>
      </c>
      <c r="H370" t="s">
        <v>2</v>
      </c>
      <c r="I370">
        <v>0</v>
      </c>
    </row>
    <row r="371" spans="5:9" ht="15.75" hidden="1" customHeight="1" x14ac:dyDescent="0.2">
      <c r="E371" t="s">
        <v>503</v>
      </c>
      <c r="F371">
        <v>184</v>
      </c>
      <c r="G371" t="s">
        <v>288</v>
      </c>
      <c r="H371" t="s">
        <v>2</v>
      </c>
      <c r="I371">
        <v>7</v>
      </c>
    </row>
    <row r="372" spans="5:9" ht="15.75" hidden="1" customHeight="1" x14ac:dyDescent="0.2">
      <c r="E372" t="s">
        <v>504</v>
      </c>
      <c r="F372">
        <v>185</v>
      </c>
      <c r="G372" t="s">
        <v>288</v>
      </c>
      <c r="H372" t="s">
        <v>2</v>
      </c>
      <c r="I372">
        <v>0</v>
      </c>
    </row>
    <row r="373" spans="5:9" ht="15.75" hidden="1" customHeight="1" x14ac:dyDescent="0.2">
      <c r="E373" t="s">
        <v>505</v>
      </c>
      <c r="F373">
        <v>186</v>
      </c>
      <c r="G373" t="s">
        <v>288</v>
      </c>
      <c r="H373" t="s">
        <v>2</v>
      </c>
      <c r="I373">
        <v>0</v>
      </c>
    </row>
    <row r="374" spans="5:9" ht="15.75" hidden="1" customHeight="1" x14ac:dyDescent="0.2">
      <c r="E374" t="s">
        <v>287</v>
      </c>
      <c r="F374">
        <v>1</v>
      </c>
      <c r="G374" t="s">
        <v>290</v>
      </c>
      <c r="H374" t="s">
        <v>3</v>
      </c>
      <c r="I374">
        <v>0.6</v>
      </c>
    </row>
    <row r="375" spans="5:9" ht="15.75" hidden="1" customHeight="1" x14ac:dyDescent="0.2">
      <c r="E375" t="s">
        <v>350</v>
      </c>
      <c r="F375">
        <v>2</v>
      </c>
      <c r="G375" t="s">
        <v>290</v>
      </c>
      <c r="H375" t="s">
        <v>3</v>
      </c>
      <c r="I375">
        <v>1</v>
      </c>
    </row>
    <row r="376" spans="5:9" ht="15.75" hidden="1" customHeight="1" x14ac:dyDescent="0.2">
      <c r="E376" t="s">
        <v>351</v>
      </c>
      <c r="F376">
        <v>3</v>
      </c>
      <c r="G376" t="s">
        <v>290</v>
      </c>
      <c r="H376" t="s">
        <v>3</v>
      </c>
      <c r="I376">
        <v>0.5</v>
      </c>
    </row>
    <row r="377" spans="5:9" ht="15.75" hidden="1" customHeight="1" x14ac:dyDescent="0.2">
      <c r="E377" t="s">
        <v>352</v>
      </c>
      <c r="F377">
        <v>4</v>
      </c>
      <c r="G377" t="s">
        <v>290</v>
      </c>
      <c r="H377" t="s">
        <v>3</v>
      </c>
      <c r="I377">
        <v>0.45450000000000002</v>
      </c>
    </row>
    <row r="378" spans="5:9" ht="15.75" hidden="1" customHeight="1" x14ac:dyDescent="0.2">
      <c r="E378" t="s">
        <v>354</v>
      </c>
      <c r="F378">
        <v>5</v>
      </c>
      <c r="G378" t="s">
        <v>290</v>
      </c>
      <c r="H378" t="s">
        <v>3</v>
      </c>
      <c r="I378">
        <v>0.5</v>
      </c>
    </row>
    <row r="379" spans="5:9" ht="15.75" hidden="1" customHeight="1" x14ac:dyDescent="0.2">
      <c r="E379" t="s">
        <v>356</v>
      </c>
      <c r="F379">
        <v>6</v>
      </c>
      <c r="G379" t="s">
        <v>290</v>
      </c>
      <c r="H379" t="s">
        <v>3</v>
      </c>
      <c r="I379">
        <v>0.5</v>
      </c>
    </row>
    <row r="380" spans="5:9" ht="15.75" hidden="1" customHeight="1" x14ac:dyDescent="0.2">
      <c r="E380" t="s">
        <v>358</v>
      </c>
      <c r="F380">
        <v>7</v>
      </c>
      <c r="G380" t="s">
        <v>290</v>
      </c>
      <c r="H380" t="s">
        <v>3</v>
      </c>
      <c r="I380">
        <v>0</v>
      </c>
    </row>
    <row r="381" spans="5:9" ht="15.75" hidden="1" customHeight="1" x14ac:dyDescent="0.2">
      <c r="E381" t="s">
        <v>359</v>
      </c>
      <c r="F381">
        <v>8</v>
      </c>
      <c r="G381" t="s">
        <v>290</v>
      </c>
      <c r="H381" t="s">
        <v>3</v>
      </c>
      <c r="I381">
        <v>0</v>
      </c>
    </row>
    <row r="382" spans="5:9" ht="15.75" hidden="1" customHeight="1" x14ac:dyDescent="0.2">
      <c r="E382" t="s">
        <v>360</v>
      </c>
      <c r="F382">
        <v>9</v>
      </c>
      <c r="G382" t="s">
        <v>290</v>
      </c>
      <c r="H382" t="s">
        <v>3</v>
      </c>
      <c r="I382">
        <v>0</v>
      </c>
    </row>
    <row r="383" spans="5:9" ht="15.75" hidden="1" customHeight="1" x14ac:dyDescent="0.2">
      <c r="E383" t="s">
        <v>361</v>
      </c>
      <c r="F383">
        <v>10</v>
      </c>
      <c r="G383" t="s">
        <v>290</v>
      </c>
      <c r="H383" t="s">
        <v>3</v>
      </c>
      <c r="I383">
        <v>0.5</v>
      </c>
    </row>
    <row r="384" spans="5:9" ht="15.75" hidden="1" customHeight="1" x14ac:dyDescent="0.2">
      <c r="E384" t="s">
        <v>362</v>
      </c>
      <c r="F384">
        <v>11</v>
      </c>
      <c r="G384" t="s">
        <v>290</v>
      </c>
      <c r="H384" t="s">
        <v>3</v>
      </c>
      <c r="I384">
        <v>0</v>
      </c>
    </row>
    <row r="385" spans="5:9" ht="15.75" hidden="1" customHeight="1" x14ac:dyDescent="0.2">
      <c r="E385" t="s">
        <v>363</v>
      </c>
      <c r="F385">
        <v>12</v>
      </c>
      <c r="G385" t="s">
        <v>290</v>
      </c>
      <c r="H385" t="s">
        <v>3</v>
      </c>
      <c r="I385">
        <v>0</v>
      </c>
    </row>
    <row r="386" spans="5:9" ht="15.75" hidden="1" customHeight="1" x14ac:dyDescent="0.2">
      <c r="E386" t="s">
        <v>365</v>
      </c>
      <c r="F386">
        <v>13</v>
      </c>
      <c r="G386" t="s">
        <v>290</v>
      </c>
      <c r="H386" t="s">
        <v>3</v>
      </c>
      <c r="I386">
        <v>0</v>
      </c>
    </row>
    <row r="387" spans="5:9" ht="15.75" hidden="1" customHeight="1" x14ac:dyDescent="0.2">
      <c r="E387" t="s">
        <v>369</v>
      </c>
      <c r="F387">
        <v>14</v>
      </c>
      <c r="G387" t="s">
        <v>290</v>
      </c>
      <c r="H387" t="s">
        <v>3</v>
      </c>
      <c r="I387">
        <v>0</v>
      </c>
    </row>
    <row r="388" spans="5:9" ht="15.75" hidden="1" customHeight="1" x14ac:dyDescent="0.2">
      <c r="E388" t="s">
        <v>370</v>
      </c>
      <c r="F388">
        <v>15</v>
      </c>
      <c r="G388" t="s">
        <v>290</v>
      </c>
      <c r="H388" t="s">
        <v>3</v>
      </c>
      <c r="I388">
        <v>0.25</v>
      </c>
    </row>
    <row r="389" spans="5:9" ht="15.75" hidden="1" customHeight="1" x14ac:dyDescent="0.2">
      <c r="E389" t="s">
        <v>371</v>
      </c>
      <c r="F389">
        <v>16</v>
      </c>
      <c r="G389" t="s">
        <v>290</v>
      </c>
      <c r="H389" t="s">
        <v>3</v>
      </c>
      <c r="I389">
        <v>0.66669999999999996</v>
      </c>
    </row>
    <row r="390" spans="5:9" ht="15.75" hidden="1" customHeight="1" x14ac:dyDescent="0.2">
      <c r="E390" t="s">
        <v>372</v>
      </c>
      <c r="F390">
        <v>17</v>
      </c>
      <c r="G390" t="s">
        <v>290</v>
      </c>
      <c r="H390" t="s">
        <v>3</v>
      </c>
      <c r="I390">
        <v>0.75</v>
      </c>
    </row>
    <row r="391" spans="5:9" ht="15.75" hidden="1" customHeight="1" x14ac:dyDescent="0.2">
      <c r="E391" t="s">
        <v>373</v>
      </c>
      <c r="F391">
        <v>18</v>
      </c>
      <c r="G391" t="s">
        <v>290</v>
      </c>
      <c r="H391" t="s">
        <v>3</v>
      </c>
      <c r="I391">
        <v>1</v>
      </c>
    </row>
    <row r="392" spans="5:9" ht="15.75" hidden="1" customHeight="1" x14ac:dyDescent="0.2">
      <c r="E392" t="s">
        <v>374</v>
      </c>
      <c r="F392">
        <v>19</v>
      </c>
      <c r="G392" t="s">
        <v>290</v>
      </c>
      <c r="H392" t="s">
        <v>3</v>
      </c>
      <c r="I392">
        <v>0</v>
      </c>
    </row>
    <row r="393" spans="5:9" ht="15.75" hidden="1" customHeight="1" x14ac:dyDescent="0.2">
      <c r="E393" t="s">
        <v>375</v>
      </c>
      <c r="F393">
        <v>20</v>
      </c>
      <c r="G393" t="s">
        <v>290</v>
      </c>
      <c r="H393" t="s">
        <v>3</v>
      </c>
      <c r="I393">
        <v>1</v>
      </c>
    </row>
    <row r="394" spans="5:9" ht="15.75" hidden="1" customHeight="1" x14ac:dyDescent="0.2">
      <c r="E394" t="s">
        <v>376</v>
      </c>
      <c r="F394">
        <v>21</v>
      </c>
      <c r="G394" t="s">
        <v>290</v>
      </c>
      <c r="H394" t="s">
        <v>3</v>
      </c>
      <c r="I394">
        <v>1</v>
      </c>
    </row>
    <row r="395" spans="5:9" ht="15.75" hidden="1" customHeight="1" x14ac:dyDescent="0.2">
      <c r="E395" t="s">
        <v>377</v>
      </c>
      <c r="F395">
        <v>22</v>
      </c>
      <c r="G395" t="s">
        <v>290</v>
      </c>
      <c r="H395" t="s">
        <v>3</v>
      </c>
      <c r="I395">
        <v>0.25</v>
      </c>
    </row>
    <row r="396" spans="5:9" ht="15.75" hidden="1" customHeight="1" x14ac:dyDescent="0.2">
      <c r="E396" t="s">
        <v>378</v>
      </c>
      <c r="F396">
        <v>23</v>
      </c>
      <c r="G396" t="s">
        <v>290</v>
      </c>
      <c r="H396" t="s">
        <v>3</v>
      </c>
      <c r="I396">
        <v>0</v>
      </c>
    </row>
    <row r="397" spans="5:9" ht="15.75" hidden="1" customHeight="1" x14ac:dyDescent="0.2">
      <c r="E397" t="s">
        <v>379</v>
      </c>
      <c r="F397">
        <v>24</v>
      </c>
      <c r="G397" t="s">
        <v>290</v>
      </c>
      <c r="H397" t="s">
        <v>3</v>
      </c>
      <c r="I397">
        <v>0</v>
      </c>
    </row>
    <row r="398" spans="5:9" ht="15.75" hidden="1" customHeight="1" x14ac:dyDescent="0.2">
      <c r="E398" t="s">
        <v>380</v>
      </c>
      <c r="F398">
        <v>25</v>
      </c>
      <c r="G398" t="s">
        <v>290</v>
      </c>
      <c r="H398" t="s">
        <v>3</v>
      </c>
      <c r="I398">
        <v>1</v>
      </c>
    </row>
    <row r="399" spans="5:9" ht="15.75" hidden="1" customHeight="1" x14ac:dyDescent="0.2">
      <c r="E399" t="s">
        <v>381</v>
      </c>
      <c r="F399">
        <v>26</v>
      </c>
      <c r="G399" t="s">
        <v>290</v>
      </c>
      <c r="H399" t="s">
        <v>3</v>
      </c>
      <c r="I399">
        <v>0</v>
      </c>
    </row>
    <row r="400" spans="5:9" ht="15.75" hidden="1" customHeight="1" x14ac:dyDescent="0.2">
      <c r="E400" t="s">
        <v>382</v>
      </c>
      <c r="F400">
        <v>27</v>
      </c>
      <c r="G400" t="s">
        <v>290</v>
      </c>
      <c r="H400" t="s">
        <v>3</v>
      </c>
      <c r="I400">
        <v>0.5</v>
      </c>
    </row>
    <row r="401" spans="5:9" ht="15.75" hidden="1" customHeight="1" x14ac:dyDescent="0.2">
      <c r="E401" t="s">
        <v>383</v>
      </c>
      <c r="F401">
        <v>28</v>
      </c>
      <c r="G401" t="s">
        <v>290</v>
      </c>
      <c r="H401" t="s">
        <v>3</v>
      </c>
      <c r="I401">
        <v>1</v>
      </c>
    </row>
    <row r="402" spans="5:9" ht="15.75" hidden="1" customHeight="1" x14ac:dyDescent="0.2">
      <c r="E402" t="s">
        <v>385</v>
      </c>
      <c r="F402">
        <v>29</v>
      </c>
      <c r="G402" t="s">
        <v>290</v>
      </c>
      <c r="H402" t="s">
        <v>3</v>
      </c>
      <c r="I402">
        <v>0.5</v>
      </c>
    </row>
    <row r="403" spans="5:9" ht="15.75" hidden="1" customHeight="1" x14ac:dyDescent="0.2">
      <c r="E403" t="s">
        <v>387</v>
      </c>
      <c r="F403">
        <v>30</v>
      </c>
      <c r="G403" t="s">
        <v>290</v>
      </c>
      <c r="H403" t="s">
        <v>3</v>
      </c>
      <c r="I403">
        <v>0.2</v>
      </c>
    </row>
    <row r="404" spans="5:9" ht="15.75" hidden="1" customHeight="1" x14ac:dyDescent="0.2">
      <c r="E404" t="s">
        <v>388</v>
      </c>
      <c r="F404">
        <v>31</v>
      </c>
      <c r="G404" t="s">
        <v>290</v>
      </c>
      <c r="H404" t="s">
        <v>3</v>
      </c>
      <c r="I404">
        <v>0.75</v>
      </c>
    </row>
    <row r="405" spans="5:9" ht="15.75" hidden="1" customHeight="1" x14ac:dyDescent="0.2">
      <c r="E405" t="s">
        <v>389</v>
      </c>
      <c r="F405">
        <v>32</v>
      </c>
      <c r="G405" t="s">
        <v>290</v>
      </c>
      <c r="H405" t="s">
        <v>3</v>
      </c>
      <c r="I405">
        <v>0.75</v>
      </c>
    </row>
    <row r="406" spans="5:9" ht="15.75" hidden="1" customHeight="1" x14ac:dyDescent="0.2">
      <c r="E406" t="s">
        <v>390</v>
      </c>
      <c r="F406">
        <v>33</v>
      </c>
      <c r="G406" t="s">
        <v>290</v>
      </c>
      <c r="H406" t="s">
        <v>3</v>
      </c>
      <c r="I406">
        <v>0.75</v>
      </c>
    </row>
    <row r="407" spans="5:9" ht="15.75" hidden="1" customHeight="1" x14ac:dyDescent="0.2">
      <c r="E407" t="s">
        <v>391</v>
      </c>
      <c r="F407">
        <v>34</v>
      </c>
      <c r="G407" t="s">
        <v>290</v>
      </c>
      <c r="H407" t="s">
        <v>3</v>
      </c>
      <c r="I407">
        <v>0.75</v>
      </c>
    </row>
    <row r="408" spans="5:9" ht="15.75" hidden="1" customHeight="1" x14ac:dyDescent="0.2">
      <c r="E408" t="s">
        <v>393</v>
      </c>
      <c r="F408">
        <v>35</v>
      </c>
      <c r="G408" t="s">
        <v>290</v>
      </c>
      <c r="H408" t="s">
        <v>3</v>
      </c>
      <c r="I408">
        <v>1</v>
      </c>
    </row>
    <row r="409" spans="5:9" ht="15.75" hidden="1" customHeight="1" x14ac:dyDescent="0.2">
      <c r="E409" t="s">
        <v>394</v>
      </c>
      <c r="F409">
        <v>36</v>
      </c>
      <c r="G409" t="s">
        <v>290</v>
      </c>
      <c r="H409" t="s">
        <v>3</v>
      </c>
      <c r="I409">
        <v>0.5</v>
      </c>
    </row>
    <row r="410" spans="5:9" ht="15.75" hidden="1" customHeight="1" x14ac:dyDescent="0.2">
      <c r="E410" t="s">
        <v>395</v>
      </c>
      <c r="F410">
        <v>37</v>
      </c>
      <c r="G410" t="s">
        <v>290</v>
      </c>
      <c r="H410" t="s">
        <v>3</v>
      </c>
      <c r="I410">
        <v>0.4</v>
      </c>
    </row>
    <row r="411" spans="5:9" ht="15.75" hidden="1" customHeight="1" x14ac:dyDescent="0.2">
      <c r="E411" t="s">
        <v>396</v>
      </c>
      <c r="F411">
        <v>38</v>
      </c>
      <c r="G411" t="s">
        <v>290</v>
      </c>
      <c r="H411" t="s">
        <v>3</v>
      </c>
      <c r="I411">
        <v>0.4</v>
      </c>
    </row>
    <row r="412" spans="5:9" ht="15.75" hidden="1" customHeight="1" x14ac:dyDescent="0.2">
      <c r="E412" t="s">
        <v>397</v>
      </c>
      <c r="F412">
        <v>39</v>
      </c>
      <c r="G412" t="s">
        <v>290</v>
      </c>
      <c r="H412" t="s">
        <v>3</v>
      </c>
      <c r="I412">
        <v>0.6</v>
      </c>
    </row>
    <row r="413" spans="5:9" ht="15.75" hidden="1" customHeight="1" x14ac:dyDescent="0.2">
      <c r="E413" t="s">
        <v>398</v>
      </c>
      <c r="F413">
        <v>40</v>
      </c>
      <c r="G413" t="s">
        <v>290</v>
      </c>
      <c r="H413" t="s">
        <v>3</v>
      </c>
      <c r="I413">
        <v>0.6</v>
      </c>
    </row>
    <row r="414" spans="5:9" ht="15.75" hidden="1" customHeight="1" x14ac:dyDescent="0.2">
      <c r="E414" t="s">
        <v>399</v>
      </c>
      <c r="F414">
        <v>41</v>
      </c>
      <c r="G414" t="s">
        <v>290</v>
      </c>
      <c r="H414" t="s">
        <v>3</v>
      </c>
      <c r="I414">
        <v>0</v>
      </c>
    </row>
    <row r="415" spans="5:9" ht="15.75" hidden="1" customHeight="1" x14ac:dyDescent="0.2">
      <c r="E415" t="s">
        <v>400</v>
      </c>
      <c r="F415">
        <v>42</v>
      </c>
      <c r="G415" t="s">
        <v>290</v>
      </c>
      <c r="H415" t="s">
        <v>3</v>
      </c>
      <c r="I415">
        <v>0</v>
      </c>
    </row>
    <row r="416" spans="5:9" ht="15.75" hidden="1" customHeight="1" x14ac:dyDescent="0.2">
      <c r="E416" t="s">
        <v>401</v>
      </c>
      <c r="F416">
        <v>43</v>
      </c>
      <c r="G416" t="s">
        <v>290</v>
      </c>
      <c r="H416" t="s">
        <v>3</v>
      </c>
      <c r="I416">
        <v>0</v>
      </c>
    </row>
    <row r="417" spans="5:9" ht="15.75" hidden="1" customHeight="1" x14ac:dyDescent="0.2">
      <c r="E417" t="s">
        <v>402</v>
      </c>
      <c r="F417">
        <v>44</v>
      </c>
      <c r="G417" t="s">
        <v>290</v>
      </c>
      <c r="H417" t="s">
        <v>3</v>
      </c>
      <c r="I417">
        <v>0</v>
      </c>
    </row>
    <row r="418" spans="5:9" ht="15.75" hidden="1" customHeight="1" x14ac:dyDescent="0.2">
      <c r="E418" t="s">
        <v>403</v>
      </c>
      <c r="F418">
        <v>45</v>
      </c>
      <c r="G418" t="s">
        <v>290</v>
      </c>
      <c r="H418" t="s">
        <v>3</v>
      </c>
      <c r="I418">
        <v>0</v>
      </c>
    </row>
    <row r="419" spans="5:9" ht="15.75" hidden="1" customHeight="1" x14ac:dyDescent="0.2">
      <c r="E419" t="s">
        <v>404</v>
      </c>
      <c r="F419">
        <v>46</v>
      </c>
      <c r="G419" t="s">
        <v>290</v>
      </c>
      <c r="H419" t="s">
        <v>3</v>
      </c>
      <c r="I419">
        <v>0</v>
      </c>
    </row>
    <row r="420" spans="5:9" ht="15.75" hidden="1" customHeight="1" x14ac:dyDescent="0.2">
      <c r="E420" t="s">
        <v>405</v>
      </c>
      <c r="F420">
        <v>47</v>
      </c>
      <c r="G420" t="s">
        <v>290</v>
      </c>
      <c r="H420" t="s">
        <v>3</v>
      </c>
      <c r="I420">
        <v>1</v>
      </c>
    </row>
    <row r="421" spans="5:9" ht="15.75" hidden="1" customHeight="1" x14ac:dyDescent="0.2">
      <c r="E421" t="s">
        <v>406</v>
      </c>
      <c r="F421">
        <v>48</v>
      </c>
      <c r="G421" t="s">
        <v>290</v>
      </c>
      <c r="H421" t="s">
        <v>3</v>
      </c>
      <c r="I421">
        <v>0</v>
      </c>
    </row>
    <row r="422" spans="5:9" ht="15.75" hidden="1" customHeight="1" x14ac:dyDescent="0.2">
      <c r="E422" t="s">
        <v>376</v>
      </c>
      <c r="F422">
        <v>49</v>
      </c>
      <c r="G422" t="s">
        <v>290</v>
      </c>
      <c r="H422" t="s">
        <v>3</v>
      </c>
      <c r="I422">
        <v>0</v>
      </c>
    </row>
    <row r="423" spans="5:9" ht="15.75" hidden="1" customHeight="1" x14ac:dyDescent="0.2">
      <c r="E423" t="s">
        <v>407</v>
      </c>
      <c r="F423">
        <v>50</v>
      </c>
      <c r="G423" t="s">
        <v>290</v>
      </c>
      <c r="H423" t="s">
        <v>3</v>
      </c>
      <c r="I423">
        <v>0.71430000000000005</v>
      </c>
    </row>
    <row r="424" spans="5:9" ht="15.75" hidden="1" customHeight="1" x14ac:dyDescent="0.2">
      <c r="E424" t="s">
        <v>408</v>
      </c>
      <c r="F424">
        <v>51</v>
      </c>
      <c r="G424" t="s">
        <v>290</v>
      </c>
      <c r="H424" t="s">
        <v>3</v>
      </c>
      <c r="I424">
        <v>0.44440000000000002</v>
      </c>
    </row>
    <row r="425" spans="5:9" ht="15.75" hidden="1" customHeight="1" x14ac:dyDescent="0.2">
      <c r="E425" t="s">
        <v>409</v>
      </c>
      <c r="F425">
        <v>52</v>
      </c>
      <c r="G425" t="s">
        <v>290</v>
      </c>
      <c r="H425" t="s">
        <v>3</v>
      </c>
      <c r="I425">
        <v>0.66669999999999996</v>
      </c>
    </row>
    <row r="426" spans="5:9" ht="15.75" hidden="1" customHeight="1" x14ac:dyDescent="0.2">
      <c r="E426" t="s">
        <v>410</v>
      </c>
      <c r="F426">
        <v>53</v>
      </c>
      <c r="G426" t="s">
        <v>290</v>
      </c>
      <c r="H426" t="s">
        <v>3</v>
      </c>
      <c r="I426">
        <v>0.33329999999999999</v>
      </c>
    </row>
    <row r="427" spans="5:9" ht="15.75" hidden="1" customHeight="1" x14ac:dyDescent="0.2">
      <c r="E427" t="s">
        <v>411</v>
      </c>
      <c r="F427">
        <v>54</v>
      </c>
      <c r="G427" t="s">
        <v>290</v>
      </c>
      <c r="H427" t="s">
        <v>3</v>
      </c>
      <c r="I427">
        <v>0.5</v>
      </c>
    </row>
    <row r="428" spans="5:9" ht="15.75" hidden="1" customHeight="1" x14ac:dyDescent="0.2">
      <c r="E428" t="s">
        <v>412</v>
      </c>
      <c r="F428">
        <v>55</v>
      </c>
      <c r="G428" t="s">
        <v>290</v>
      </c>
      <c r="H428" t="s">
        <v>3</v>
      </c>
      <c r="I428">
        <v>0.5</v>
      </c>
    </row>
    <row r="429" spans="5:9" ht="15.75" hidden="1" customHeight="1" x14ac:dyDescent="0.2">
      <c r="E429" t="s">
        <v>413</v>
      </c>
      <c r="F429">
        <v>56</v>
      </c>
      <c r="G429" t="s">
        <v>290</v>
      </c>
      <c r="H429" t="s">
        <v>3</v>
      </c>
      <c r="I429">
        <v>0.33329999999999999</v>
      </c>
    </row>
    <row r="430" spans="5:9" ht="15.75" hidden="1" customHeight="1" x14ac:dyDescent="0.2">
      <c r="E430" t="s">
        <v>414</v>
      </c>
      <c r="F430">
        <v>57</v>
      </c>
      <c r="G430" t="s">
        <v>290</v>
      </c>
      <c r="H430" t="s">
        <v>3</v>
      </c>
      <c r="I430">
        <v>0.5625</v>
      </c>
    </row>
    <row r="431" spans="5:9" ht="15.75" hidden="1" customHeight="1" x14ac:dyDescent="0.2">
      <c r="E431" t="s">
        <v>415</v>
      </c>
      <c r="F431">
        <v>58</v>
      </c>
      <c r="G431" t="s">
        <v>290</v>
      </c>
      <c r="H431" t="s">
        <v>3</v>
      </c>
      <c r="I431">
        <v>0.5625</v>
      </c>
    </row>
    <row r="432" spans="5:9" ht="15.75" hidden="1" customHeight="1" x14ac:dyDescent="0.2">
      <c r="E432" t="s">
        <v>416</v>
      </c>
      <c r="F432">
        <v>59</v>
      </c>
      <c r="G432" t="s">
        <v>290</v>
      </c>
      <c r="H432" t="s">
        <v>3</v>
      </c>
      <c r="I432">
        <v>0.1905</v>
      </c>
    </row>
    <row r="433" spans="5:9" ht="15.75" hidden="1" customHeight="1" x14ac:dyDescent="0.2">
      <c r="E433" t="s">
        <v>417</v>
      </c>
      <c r="F433">
        <v>60</v>
      </c>
      <c r="G433" t="s">
        <v>290</v>
      </c>
      <c r="H433" t="s">
        <v>3</v>
      </c>
      <c r="I433">
        <v>0.1905</v>
      </c>
    </row>
    <row r="434" spans="5:9" ht="15.75" hidden="1" customHeight="1" x14ac:dyDescent="0.2">
      <c r="E434" t="s">
        <v>418</v>
      </c>
      <c r="F434">
        <v>61</v>
      </c>
      <c r="G434" t="s">
        <v>290</v>
      </c>
      <c r="H434" t="s">
        <v>3</v>
      </c>
      <c r="I434">
        <v>1</v>
      </c>
    </row>
    <row r="435" spans="5:9" ht="15.75" hidden="1" customHeight="1" x14ac:dyDescent="0.2">
      <c r="E435" t="s">
        <v>419</v>
      </c>
      <c r="F435">
        <v>62</v>
      </c>
      <c r="G435" t="s">
        <v>290</v>
      </c>
      <c r="H435" t="s">
        <v>3</v>
      </c>
      <c r="I435">
        <v>1</v>
      </c>
    </row>
    <row r="436" spans="5:9" ht="15.75" hidden="1" customHeight="1" x14ac:dyDescent="0.2">
      <c r="E436" t="s">
        <v>421</v>
      </c>
      <c r="F436">
        <v>63</v>
      </c>
      <c r="G436" t="s">
        <v>290</v>
      </c>
      <c r="H436" t="s">
        <v>3</v>
      </c>
      <c r="I436">
        <v>0</v>
      </c>
    </row>
    <row r="437" spans="5:9" ht="15.75" hidden="1" customHeight="1" x14ac:dyDescent="0.2">
      <c r="E437" t="s">
        <v>422</v>
      </c>
      <c r="F437">
        <v>64</v>
      </c>
      <c r="G437" t="s">
        <v>290</v>
      </c>
      <c r="H437" t="s">
        <v>3</v>
      </c>
      <c r="I437">
        <v>1</v>
      </c>
    </row>
    <row r="438" spans="5:9" ht="15.75" hidden="1" customHeight="1" x14ac:dyDescent="0.2">
      <c r="E438" t="s">
        <v>423</v>
      </c>
      <c r="F438">
        <v>65</v>
      </c>
      <c r="G438" t="s">
        <v>290</v>
      </c>
      <c r="H438" t="s">
        <v>3</v>
      </c>
      <c r="I438">
        <v>0</v>
      </c>
    </row>
    <row r="439" spans="5:9" ht="15.75" hidden="1" customHeight="1" x14ac:dyDescent="0.2">
      <c r="E439" t="s">
        <v>424</v>
      </c>
      <c r="F439">
        <v>66</v>
      </c>
      <c r="G439" t="s">
        <v>290</v>
      </c>
      <c r="H439" t="s">
        <v>3</v>
      </c>
      <c r="I439">
        <v>0</v>
      </c>
    </row>
    <row r="440" spans="5:9" ht="15.75" hidden="1" customHeight="1" x14ac:dyDescent="0.2">
      <c r="E440" t="s">
        <v>425</v>
      </c>
      <c r="F440">
        <v>67</v>
      </c>
      <c r="G440" t="s">
        <v>290</v>
      </c>
      <c r="H440" t="s">
        <v>3</v>
      </c>
      <c r="I440">
        <v>0</v>
      </c>
    </row>
    <row r="441" spans="5:9" ht="15.75" hidden="1" customHeight="1" x14ac:dyDescent="0.2">
      <c r="E441" t="s">
        <v>426</v>
      </c>
      <c r="F441">
        <v>68</v>
      </c>
      <c r="G441" t="s">
        <v>290</v>
      </c>
      <c r="H441" t="s">
        <v>3</v>
      </c>
      <c r="I441">
        <v>0</v>
      </c>
    </row>
    <row r="442" spans="5:9" ht="15.75" hidden="1" customHeight="1" x14ac:dyDescent="0.2">
      <c r="E442" t="s">
        <v>427</v>
      </c>
      <c r="F442">
        <v>69</v>
      </c>
      <c r="G442" t="s">
        <v>290</v>
      </c>
      <c r="H442" t="s">
        <v>3</v>
      </c>
      <c r="I442">
        <v>0</v>
      </c>
    </row>
    <row r="443" spans="5:9" ht="15.75" hidden="1" customHeight="1" x14ac:dyDescent="0.2">
      <c r="E443" t="s">
        <v>428</v>
      </c>
      <c r="F443">
        <v>70</v>
      </c>
      <c r="G443" t="s">
        <v>290</v>
      </c>
      <c r="H443" t="s">
        <v>3</v>
      </c>
      <c r="I443">
        <v>0</v>
      </c>
    </row>
    <row r="444" spans="5:9" ht="15.75" hidden="1" customHeight="1" x14ac:dyDescent="0.2">
      <c r="E444" t="s">
        <v>429</v>
      </c>
      <c r="F444">
        <v>71</v>
      </c>
      <c r="G444" t="s">
        <v>290</v>
      </c>
      <c r="H444" t="s">
        <v>3</v>
      </c>
      <c r="I444">
        <v>0</v>
      </c>
    </row>
    <row r="445" spans="5:9" ht="15.75" hidden="1" customHeight="1" x14ac:dyDescent="0.2">
      <c r="E445" t="s">
        <v>430</v>
      </c>
      <c r="F445">
        <v>72</v>
      </c>
      <c r="G445" t="s">
        <v>290</v>
      </c>
      <c r="H445" t="s">
        <v>3</v>
      </c>
      <c r="I445">
        <v>0</v>
      </c>
    </row>
    <row r="446" spans="5:9" ht="15.75" hidden="1" customHeight="1" x14ac:dyDescent="0.2">
      <c r="E446" t="s">
        <v>370</v>
      </c>
      <c r="F446">
        <v>73</v>
      </c>
      <c r="G446" t="s">
        <v>290</v>
      </c>
      <c r="H446" t="s">
        <v>3</v>
      </c>
      <c r="I446">
        <v>0</v>
      </c>
    </row>
    <row r="447" spans="5:9" ht="15.75" hidden="1" customHeight="1" x14ac:dyDescent="0.2">
      <c r="E447" t="s">
        <v>373</v>
      </c>
      <c r="F447">
        <v>74</v>
      </c>
      <c r="G447" t="s">
        <v>290</v>
      </c>
      <c r="H447" t="s">
        <v>3</v>
      </c>
      <c r="I447">
        <v>0</v>
      </c>
    </row>
    <row r="448" spans="5:9" ht="15.75" hidden="1" customHeight="1" x14ac:dyDescent="0.2">
      <c r="E448" t="s">
        <v>374</v>
      </c>
      <c r="F448">
        <v>75</v>
      </c>
      <c r="G448" t="s">
        <v>290</v>
      </c>
      <c r="H448" t="s">
        <v>3</v>
      </c>
      <c r="I448">
        <v>0</v>
      </c>
    </row>
    <row r="449" spans="5:9" ht="15.75" hidden="1" customHeight="1" x14ac:dyDescent="0.2">
      <c r="E449" t="s">
        <v>375</v>
      </c>
      <c r="F449">
        <v>76</v>
      </c>
      <c r="G449" t="s">
        <v>290</v>
      </c>
      <c r="H449" t="s">
        <v>3</v>
      </c>
      <c r="I449">
        <v>0</v>
      </c>
    </row>
    <row r="450" spans="5:9" ht="15.75" hidden="1" customHeight="1" x14ac:dyDescent="0.2">
      <c r="E450" t="s">
        <v>376</v>
      </c>
      <c r="F450">
        <v>77</v>
      </c>
      <c r="G450" t="s">
        <v>290</v>
      </c>
      <c r="H450" t="s">
        <v>3</v>
      </c>
      <c r="I450">
        <v>0</v>
      </c>
    </row>
    <row r="451" spans="5:9" ht="15.75" hidden="1" customHeight="1" x14ac:dyDescent="0.2">
      <c r="E451" t="s">
        <v>382</v>
      </c>
      <c r="F451">
        <v>78</v>
      </c>
      <c r="G451" t="s">
        <v>290</v>
      </c>
      <c r="H451" t="s">
        <v>3</v>
      </c>
      <c r="I451">
        <v>0</v>
      </c>
    </row>
    <row r="452" spans="5:9" ht="15.75" hidden="1" customHeight="1" x14ac:dyDescent="0.2">
      <c r="E452" t="s">
        <v>383</v>
      </c>
      <c r="F452">
        <v>79</v>
      </c>
      <c r="G452" t="s">
        <v>290</v>
      </c>
      <c r="H452" t="s">
        <v>3</v>
      </c>
      <c r="I452">
        <v>0</v>
      </c>
    </row>
    <row r="453" spans="5:9" ht="15.75" hidden="1" customHeight="1" x14ac:dyDescent="0.2">
      <c r="E453" t="s">
        <v>395</v>
      </c>
      <c r="F453">
        <v>80</v>
      </c>
      <c r="G453" t="s">
        <v>290</v>
      </c>
      <c r="H453" t="s">
        <v>3</v>
      </c>
      <c r="I453">
        <v>0</v>
      </c>
    </row>
    <row r="454" spans="5:9" ht="15.75" hidden="1" customHeight="1" x14ac:dyDescent="0.2">
      <c r="E454" t="s">
        <v>397</v>
      </c>
      <c r="F454">
        <v>81</v>
      </c>
      <c r="G454" t="s">
        <v>290</v>
      </c>
      <c r="H454" t="s">
        <v>3</v>
      </c>
      <c r="I454">
        <v>0</v>
      </c>
    </row>
    <row r="455" spans="5:9" ht="15.75" hidden="1" customHeight="1" x14ac:dyDescent="0.2">
      <c r="E455" t="s">
        <v>399</v>
      </c>
      <c r="F455">
        <v>82</v>
      </c>
      <c r="G455" t="s">
        <v>290</v>
      </c>
      <c r="H455" t="s">
        <v>3</v>
      </c>
      <c r="I455">
        <v>0</v>
      </c>
    </row>
    <row r="456" spans="5:9" ht="15.75" hidden="1" customHeight="1" x14ac:dyDescent="0.2">
      <c r="E456" t="s">
        <v>400</v>
      </c>
      <c r="F456">
        <v>83</v>
      </c>
      <c r="G456" t="s">
        <v>290</v>
      </c>
      <c r="H456" t="s">
        <v>3</v>
      </c>
      <c r="I456">
        <v>0</v>
      </c>
    </row>
    <row r="457" spans="5:9" ht="15.75" hidden="1" customHeight="1" x14ac:dyDescent="0.2">
      <c r="E457" t="s">
        <v>401</v>
      </c>
      <c r="F457">
        <v>84</v>
      </c>
      <c r="G457" t="s">
        <v>290</v>
      </c>
      <c r="H457" t="s">
        <v>3</v>
      </c>
      <c r="I457">
        <v>0</v>
      </c>
    </row>
    <row r="458" spans="5:9" ht="15.75" hidden="1" customHeight="1" x14ac:dyDescent="0.2">
      <c r="E458" t="s">
        <v>402</v>
      </c>
      <c r="F458">
        <v>85</v>
      </c>
      <c r="G458" t="s">
        <v>290</v>
      </c>
      <c r="H458" t="s">
        <v>3</v>
      </c>
      <c r="I458">
        <v>0</v>
      </c>
    </row>
    <row r="459" spans="5:9" ht="15.75" hidden="1" customHeight="1" x14ac:dyDescent="0.2">
      <c r="E459" t="s">
        <v>403</v>
      </c>
      <c r="F459">
        <v>86</v>
      </c>
      <c r="G459" t="s">
        <v>290</v>
      </c>
      <c r="H459" t="s">
        <v>3</v>
      </c>
      <c r="I459">
        <v>0</v>
      </c>
    </row>
    <row r="460" spans="5:9" ht="15.75" hidden="1" customHeight="1" x14ac:dyDescent="0.2">
      <c r="E460" t="s">
        <v>404</v>
      </c>
      <c r="F460">
        <v>87</v>
      </c>
      <c r="G460" t="s">
        <v>290</v>
      </c>
      <c r="H460" t="s">
        <v>3</v>
      </c>
      <c r="I460">
        <v>0</v>
      </c>
    </row>
    <row r="461" spans="5:9" ht="15.75" hidden="1" customHeight="1" x14ac:dyDescent="0.2">
      <c r="E461" t="s">
        <v>405</v>
      </c>
      <c r="F461">
        <v>88</v>
      </c>
      <c r="G461" t="s">
        <v>290</v>
      </c>
      <c r="H461" t="s">
        <v>3</v>
      </c>
      <c r="I461">
        <v>0</v>
      </c>
    </row>
    <row r="462" spans="5:9" ht="15.75" hidden="1" customHeight="1" x14ac:dyDescent="0.2">
      <c r="E462" t="s">
        <v>406</v>
      </c>
      <c r="F462">
        <v>89</v>
      </c>
      <c r="G462" t="s">
        <v>290</v>
      </c>
      <c r="H462" t="s">
        <v>3</v>
      </c>
      <c r="I462">
        <v>0</v>
      </c>
    </row>
    <row r="463" spans="5:9" ht="15.75" hidden="1" customHeight="1" x14ac:dyDescent="0.2">
      <c r="E463" t="s">
        <v>376</v>
      </c>
      <c r="F463">
        <v>90</v>
      </c>
      <c r="G463" t="s">
        <v>290</v>
      </c>
      <c r="H463" t="s">
        <v>3</v>
      </c>
      <c r="I463">
        <v>0</v>
      </c>
    </row>
    <row r="464" spans="5:9" ht="15.75" hidden="1" customHeight="1" x14ac:dyDescent="0.2">
      <c r="E464" t="s">
        <v>409</v>
      </c>
      <c r="F464">
        <v>91</v>
      </c>
      <c r="G464" t="s">
        <v>290</v>
      </c>
      <c r="H464" t="s">
        <v>3</v>
      </c>
      <c r="I464">
        <v>0</v>
      </c>
    </row>
    <row r="465" spans="5:9" ht="15.75" hidden="1" customHeight="1" x14ac:dyDescent="0.2">
      <c r="E465" t="s">
        <v>410</v>
      </c>
      <c r="F465">
        <v>92</v>
      </c>
      <c r="G465" t="s">
        <v>290</v>
      </c>
      <c r="H465" t="s">
        <v>3</v>
      </c>
      <c r="I465">
        <v>0</v>
      </c>
    </row>
    <row r="466" spans="5:9" ht="15.75" hidden="1" customHeight="1" x14ac:dyDescent="0.2">
      <c r="E466" t="s">
        <v>413</v>
      </c>
      <c r="F466">
        <v>93</v>
      </c>
      <c r="G466" t="s">
        <v>290</v>
      </c>
      <c r="H466" t="s">
        <v>3</v>
      </c>
      <c r="I466">
        <v>0</v>
      </c>
    </row>
    <row r="467" spans="5:9" ht="15.75" hidden="1" customHeight="1" x14ac:dyDescent="0.2">
      <c r="E467" t="s">
        <v>414</v>
      </c>
      <c r="F467">
        <v>94</v>
      </c>
      <c r="G467" t="s">
        <v>290</v>
      </c>
      <c r="H467" t="s">
        <v>3</v>
      </c>
      <c r="I467">
        <v>0</v>
      </c>
    </row>
    <row r="468" spans="5:9" ht="15.75" hidden="1" customHeight="1" x14ac:dyDescent="0.2">
      <c r="E468" t="s">
        <v>417</v>
      </c>
      <c r="F468">
        <v>95</v>
      </c>
      <c r="G468" t="s">
        <v>290</v>
      </c>
      <c r="H468" t="s">
        <v>3</v>
      </c>
      <c r="I468">
        <v>0</v>
      </c>
    </row>
    <row r="469" spans="5:9" ht="15.75" hidden="1" customHeight="1" x14ac:dyDescent="0.2">
      <c r="E469" t="s">
        <v>440</v>
      </c>
      <c r="F469">
        <v>96</v>
      </c>
      <c r="G469" t="s">
        <v>290</v>
      </c>
      <c r="H469" t="s">
        <v>3</v>
      </c>
      <c r="I469">
        <v>0</v>
      </c>
    </row>
    <row r="470" spans="5:9" ht="15.75" hidden="1" customHeight="1" x14ac:dyDescent="0.2">
      <c r="E470" t="s">
        <v>441</v>
      </c>
      <c r="F470">
        <v>97</v>
      </c>
      <c r="G470" t="s">
        <v>290</v>
      </c>
      <c r="H470" t="s">
        <v>3</v>
      </c>
      <c r="I470">
        <v>0</v>
      </c>
    </row>
    <row r="471" spans="5:9" ht="15.75" hidden="1" customHeight="1" x14ac:dyDescent="0.2">
      <c r="E471" t="s">
        <v>442</v>
      </c>
      <c r="F471">
        <v>98</v>
      </c>
      <c r="G471" t="s">
        <v>290</v>
      </c>
      <c r="H471" t="s">
        <v>3</v>
      </c>
      <c r="I471">
        <v>0</v>
      </c>
    </row>
    <row r="472" spans="5:9" ht="15.75" hidden="1" customHeight="1" x14ac:dyDescent="0.2">
      <c r="E472" t="s">
        <v>443</v>
      </c>
      <c r="F472">
        <v>99</v>
      </c>
      <c r="G472" t="s">
        <v>290</v>
      </c>
      <c r="H472" t="s">
        <v>3</v>
      </c>
      <c r="I472">
        <v>0</v>
      </c>
    </row>
    <row r="473" spans="5:9" ht="15.75" hidden="1" customHeight="1" x14ac:dyDescent="0.2">
      <c r="E473" t="s">
        <v>444</v>
      </c>
      <c r="F473">
        <v>100</v>
      </c>
      <c r="G473" t="s">
        <v>290</v>
      </c>
      <c r="H473" t="s">
        <v>3</v>
      </c>
      <c r="I473">
        <v>1</v>
      </c>
    </row>
    <row r="474" spans="5:9" ht="15.75" hidden="1" customHeight="1" x14ac:dyDescent="0.2">
      <c r="E474" t="s">
        <v>362</v>
      </c>
      <c r="F474">
        <v>101</v>
      </c>
      <c r="G474" t="s">
        <v>290</v>
      </c>
      <c r="H474" t="s">
        <v>3</v>
      </c>
      <c r="I474">
        <v>0</v>
      </c>
    </row>
    <row r="475" spans="5:9" ht="15.75" hidden="1" customHeight="1" x14ac:dyDescent="0.2">
      <c r="E475" t="s">
        <v>446</v>
      </c>
      <c r="F475">
        <v>102</v>
      </c>
      <c r="G475" t="s">
        <v>290</v>
      </c>
      <c r="H475" t="s">
        <v>3</v>
      </c>
      <c r="I475">
        <v>0</v>
      </c>
    </row>
    <row r="476" spans="5:9" ht="15.75" hidden="1" customHeight="1" x14ac:dyDescent="0.2">
      <c r="E476" t="s">
        <v>447</v>
      </c>
      <c r="F476">
        <v>103</v>
      </c>
      <c r="G476" t="s">
        <v>290</v>
      </c>
      <c r="H476" t="s">
        <v>3</v>
      </c>
      <c r="I476">
        <v>0</v>
      </c>
    </row>
    <row r="477" spans="5:9" ht="15.75" hidden="1" customHeight="1" x14ac:dyDescent="0.2">
      <c r="E477" t="s">
        <v>448</v>
      </c>
      <c r="F477">
        <v>104</v>
      </c>
      <c r="G477" t="s">
        <v>290</v>
      </c>
      <c r="H477" t="s">
        <v>3</v>
      </c>
      <c r="I477">
        <v>0</v>
      </c>
    </row>
    <row r="478" spans="5:9" ht="15.75" hidden="1" customHeight="1" x14ac:dyDescent="0.2">
      <c r="E478" t="s">
        <v>449</v>
      </c>
      <c r="F478">
        <v>105</v>
      </c>
      <c r="G478" t="s">
        <v>290</v>
      </c>
      <c r="H478" t="s">
        <v>3</v>
      </c>
      <c r="I478">
        <v>0</v>
      </c>
    </row>
    <row r="479" spans="5:9" ht="15.75" hidden="1" customHeight="1" x14ac:dyDescent="0.2">
      <c r="E479" t="s">
        <v>450</v>
      </c>
      <c r="F479">
        <v>106</v>
      </c>
      <c r="G479" t="s">
        <v>290</v>
      </c>
      <c r="H479" t="s">
        <v>3</v>
      </c>
      <c r="I479">
        <v>0</v>
      </c>
    </row>
    <row r="480" spans="5:9" ht="15.75" hidden="1" customHeight="1" x14ac:dyDescent="0.2">
      <c r="E480" t="s">
        <v>451</v>
      </c>
      <c r="F480">
        <v>107</v>
      </c>
      <c r="G480" t="s">
        <v>290</v>
      </c>
      <c r="H480" t="s">
        <v>3</v>
      </c>
      <c r="I480">
        <v>0</v>
      </c>
    </row>
    <row r="481" spans="5:9" ht="15.75" hidden="1" customHeight="1" x14ac:dyDescent="0.2">
      <c r="E481" t="s">
        <v>452</v>
      </c>
      <c r="F481">
        <v>108</v>
      </c>
      <c r="G481" t="s">
        <v>290</v>
      </c>
      <c r="H481" t="s">
        <v>3</v>
      </c>
      <c r="I481">
        <v>0</v>
      </c>
    </row>
    <row r="482" spans="5:9" ht="15.75" hidden="1" customHeight="1" x14ac:dyDescent="0.2">
      <c r="E482" t="s">
        <v>453</v>
      </c>
      <c r="F482">
        <v>109</v>
      </c>
      <c r="G482" t="s">
        <v>290</v>
      </c>
      <c r="H482" t="s">
        <v>3</v>
      </c>
      <c r="I482">
        <v>0</v>
      </c>
    </row>
    <row r="483" spans="5:9" ht="15.75" hidden="1" customHeight="1" x14ac:dyDescent="0.2">
      <c r="E483" t="s">
        <v>454</v>
      </c>
      <c r="F483">
        <v>110</v>
      </c>
      <c r="G483" t="s">
        <v>290</v>
      </c>
      <c r="H483" t="s">
        <v>3</v>
      </c>
      <c r="I483">
        <v>0</v>
      </c>
    </row>
    <row r="484" spans="5:9" ht="15.75" hidden="1" customHeight="1" x14ac:dyDescent="0.2">
      <c r="E484" t="s">
        <v>455</v>
      </c>
      <c r="F484">
        <v>111</v>
      </c>
      <c r="G484" t="s">
        <v>290</v>
      </c>
      <c r="H484" t="s">
        <v>3</v>
      </c>
      <c r="I484">
        <v>0</v>
      </c>
    </row>
    <row r="485" spans="5:9" ht="15.75" hidden="1" customHeight="1" x14ac:dyDescent="0.2">
      <c r="E485" t="s">
        <v>456</v>
      </c>
      <c r="F485">
        <v>112</v>
      </c>
      <c r="G485" t="s">
        <v>290</v>
      </c>
      <c r="H485" t="s">
        <v>3</v>
      </c>
      <c r="I485">
        <v>0</v>
      </c>
    </row>
    <row r="486" spans="5:9" ht="15.75" hidden="1" customHeight="1" x14ac:dyDescent="0.2">
      <c r="E486" t="s">
        <v>457</v>
      </c>
      <c r="F486">
        <v>113</v>
      </c>
      <c r="G486" t="s">
        <v>290</v>
      </c>
      <c r="H486" t="s">
        <v>3</v>
      </c>
      <c r="I486">
        <v>0</v>
      </c>
    </row>
    <row r="487" spans="5:9" ht="15.75" hidden="1" customHeight="1" x14ac:dyDescent="0.2">
      <c r="E487" t="s">
        <v>459</v>
      </c>
      <c r="F487">
        <v>114</v>
      </c>
      <c r="G487" t="s">
        <v>290</v>
      </c>
      <c r="H487" t="s">
        <v>3</v>
      </c>
      <c r="I487">
        <v>0</v>
      </c>
    </row>
    <row r="488" spans="5:9" ht="15.75" hidden="1" customHeight="1" x14ac:dyDescent="0.2">
      <c r="E488" t="s">
        <v>460</v>
      </c>
      <c r="F488">
        <v>115</v>
      </c>
      <c r="G488" t="s">
        <v>290</v>
      </c>
      <c r="H488" t="s">
        <v>3</v>
      </c>
      <c r="I488">
        <v>0</v>
      </c>
    </row>
    <row r="489" spans="5:9" ht="15.75" hidden="1" customHeight="1" x14ac:dyDescent="0.2">
      <c r="E489" t="s">
        <v>461</v>
      </c>
      <c r="F489">
        <v>116</v>
      </c>
      <c r="G489" t="s">
        <v>290</v>
      </c>
      <c r="H489" t="s">
        <v>3</v>
      </c>
      <c r="I489">
        <v>0</v>
      </c>
    </row>
    <row r="490" spans="5:9" ht="15.75" hidden="1" customHeight="1" x14ac:dyDescent="0.2">
      <c r="E490" t="s">
        <v>462</v>
      </c>
      <c r="F490">
        <v>117</v>
      </c>
      <c r="G490" t="s">
        <v>290</v>
      </c>
      <c r="H490" t="s">
        <v>3</v>
      </c>
      <c r="I490">
        <v>0</v>
      </c>
    </row>
    <row r="491" spans="5:9" ht="15.75" hidden="1" customHeight="1" x14ac:dyDescent="0.2">
      <c r="E491" t="s">
        <v>463</v>
      </c>
      <c r="F491">
        <v>118</v>
      </c>
      <c r="G491" t="s">
        <v>290</v>
      </c>
      <c r="H491" t="s">
        <v>3</v>
      </c>
      <c r="I491">
        <v>0</v>
      </c>
    </row>
    <row r="492" spans="5:9" ht="15.75" hidden="1" customHeight="1" x14ac:dyDescent="0.2">
      <c r="E492" t="s">
        <v>464</v>
      </c>
      <c r="F492">
        <v>119</v>
      </c>
      <c r="G492" t="s">
        <v>290</v>
      </c>
      <c r="H492" t="s">
        <v>3</v>
      </c>
      <c r="I492">
        <v>0</v>
      </c>
    </row>
    <row r="493" spans="5:9" ht="15.75" hidden="1" customHeight="1" x14ac:dyDescent="0.2">
      <c r="E493" t="s">
        <v>465</v>
      </c>
      <c r="F493">
        <v>120</v>
      </c>
      <c r="G493" t="s">
        <v>290</v>
      </c>
      <c r="H493" t="s">
        <v>3</v>
      </c>
      <c r="I493">
        <v>0</v>
      </c>
    </row>
    <row r="494" spans="5:9" ht="15.75" hidden="1" customHeight="1" x14ac:dyDescent="0.2">
      <c r="E494" t="s">
        <v>466</v>
      </c>
      <c r="F494">
        <v>121</v>
      </c>
      <c r="G494" t="s">
        <v>290</v>
      </c>
      <c r="H494" t="s">
        <v>3</v>
      </c>
      <c r="I494">
        <v>0</v>
      </c>
    </row>
    <row r="495" spans="5:9" ht="15.75" hidden="1" customHeight="1" x14ac:dyDescent="0.2">
      <c r="E495" t="s">
        <v>467</v>
      </c>
      <c r="F495">
        <v>122</v>
      </c>
      <c r="G495" t="s">
        <v>290</v>
      </c>
      <c r="H495" t="s">
        <v>3</v>
      </c>
      <c r="I495">
        <v>0</v>
      </c>
    </row>
    <row r="496" spans="5:9" ht="15.75" hidden="1" customHeight="1" x14ac:dyDescent="0.2">
      <c r="E496" t="s">
        <v>468</v>
      </c>
      <c r="F496">
        <v>123</v>
      </c>
      <c r="G496" t="s">
        <v>290</v>
      </c>
      <c r="H496" t="s">
        <v>3</v>
      </c>
      <c r="I496">
        <v>0</v>
      </c>
    </row>
    <row r="497" spans="5:9" ht="15.75" hidden="1" customHeight="1" x14ac:dyDescent="0.2">
      <c r="E497" t="s">
        <v>469</v>
      </c>
      <c r="F497">
        <v>124</v>
      </c>
      <c r="G497" t="s">
        <v>290</v>
      </c>
      <c r="H497" t="s">
        <v>3</v>
      </c>
      <c r="I497">
        <v>0</v>
      </c>
    </row>
    <row r="498" spans="5:9" ht="15.75" hidden="1" customHeight="1" x14ac:dyDescent="0.2">
      <c r="E498" t="s">
        <v>470</v>
      </c>
      <c r="F498">
        <v>125</v>
      </c>
      <c r="G498" t="s">
        <v>290</v>
      </c>
      <c r="H498" t="s">
        <v>3</v>
      </c>
      <c r="I498">
        <v>0</v>
      </c>
    </row>
    <row r="499" spans="5:9" ht="15.75" hidden="1" customHeight="1" x14ac:dyDescent="0.2">
      <c r="E499" t="s">
        <v>471</v>
      </c>
      <c r="F499">
        <v>126</v>
      </c>
      <c r="G499" t="s">
        <v>290</v>
      </c>
      <c r="H499" t="s">
        <v>3</v>
      </c>
      <c r="I499">
        <v>0</v>
      </c>
    </row>
    <row r="500" spans="5:9" ht="15.75" hidden="1" customHeight="1" x14ac:dyDescent="0.2">
      <c r="E500" t="s">
        <v>472</v>
      </c>
      <c r="F500">
        <v>127</v>
      </c>
      <c r="G500" t="s">
        <v>290</v>
      </c>
      <c r="H500" t="s">
        <v>3</v>
      </c>
      <c r="I500">
        <v>0</v>
      </c>
    </row>
    <row r="501" spans="5:9" ht="15.75" hidden="1" customHeight="1" x14ac:dyDescent="0.2">
      <c r="E501" t="s">
        <v>473</v>
      </c>
      <c r="F501">
        <v>128</v>
      </c>
      <c r="G501" t="s">
        <v>290</v>
      </c>
      <c r="H501" t="s">
        <v>3</v>
      </c>
      <c r="I501">
        <v>0</v>
      </c>
    </row>
    <row r="502" spans="5:9" ht="15.75" hidden="1" customHeight="1" x14ac:dyDescent="0.2">
      <c r="E502" t="s">
        <v>474</v>
      </c>
      <c r="F502">
        <v>129</v>
      </c>
      <c r="G502" t="s">
        <v>290</v>
      </c>
      <c r="H502" t="s">
        <v>3</v>
      </c>
      <c r="I502">
        <v>0</v>
      </c>
    </row>
    <row r="503" spans="5:9" ht="15.75" hidden="1" customHeight="1" x14ac:dyDescent="0.2">
      <c r="E503" t="s">
        <v>476</v>
      </c>
      <c r="F503">
        <v>130</v>
      </c>
      <c r="G503" t="s">
        <v>290</v>
      </c>
      <c r="H503" t="s">
        <v>3</v>
      </c>
      <c r="I503">
        <v>1</v>
      </c>
    </row>
    <row r="504" spans="5:9" ht="15.75" hidden="1" customHeight="1" x14ac:dyDescent="0.2">
      <c r="E504" t="s">
        <v>478</v>
      </c>
      <c r="F504">
        <v>131</v>
      </c>
      <c r="G504" t="s">
        <v>290</v>
      </c>
      <c r="H504" t="s">
        <v>3</v>
      </c>
      <c r="I504">
        <v>0</v>
      </c>
    </row>
    <row r="505" spans="5:9" ht="15.75" hidden="1" customHeight="1" x14ac:dyDescent="0.2">
      <c r="E505" t="s">
        <v>440</v>
      </c>
      <c r="F505">
        <v>132</v>
      </c>
      <c r="G505" t="s">
        <v>290</v>
      </c>
      <c r="H505" t="s">
        <v>3</v>
      </c>
      <c r="I505">
        <v>0</v>
      </c>
    </row>
    <row r="506" spans="5:9" ht="15.75" hidden="1" customHeight="1" x14ac:dyDescent="0.2">
      <c r="E506" t="s">
        <v>441</v>
      </c>
      <c r="F506">
        <v>133</v>
      </c>
      <c r="G506" t="s">
        <v>290</v>
      </c>
      <c r="H506" t="s">
        <v>3</v>
      </c>
      <c r="I506">
        <v>0</v>
      </c>
    </row>
    <row r="507" spans="5:9" ht="15.75" hidden="1" customHeight="1" x14ac:dyDescent="0.2">
      <c r="E507" t="s">
        <v>442</v>
      </c>
      <c r="F507">
        <v>134</v>
      </c>
      <c r="G507" t="s">
        <v>290</v>
      </c>
      <c r="H507" t="s">
        <v>3</v>
      </c>
      <c r="I507">
        <v>0</v>
      </c>
    </row>
    <row r="508" spans="5:9" ht="15.75" hidden="1" customHeight="1" x14ac:dyDescent="0.2">
      <c r="E508" t="s">
        <v>443</v>
      </c>
      <c r="F508">
        <v>135</v>
      </c>
      <c r="G508" t="s">
        <v>290</v>
      </c>
      <c r="H508" t="s">
        <v>3</v>
      </c>
      <c r="I508">
        <v>0.45450000000000002</v>
      </c>
    </row>
    <row r="509" spans="5:9" ht="15.75" hidden="1" customHeight="1" x14ac:dyDescent="0.2">
      <c r="E509" t="s">
        <v>362</v>
      </c>
      <c r="F509">
        <v>136</v>
      </c>
      <c r="G509" t="s">
        <v>290</v>
      </c>
      <c r="H509" t="s">
        <v>3</v>
      </c>
      <c r="I509">
        <v>1</v>
      </c>
    </row>
    <row r="510" spans="5:9" ht="15.75" hidden="1" customHeight="1" x14ac:dyDescent="0.2">
      <c r="E510" t="s">
        <v>482</v>
      </c>
      <c r="F510">
        <v>137</v>
      </c>
      <c r="G510" t="s">
        <v>290</v>
      </c>
      <c r="H510" t="s">
        <v>3</v>
      </c>
      <c r="I510">
        <v>1</v>
      </c>
    </row>
    <row r="511" spans="5:9" ht="15.75" hidden="1" customHeight="1" x14ac:dyDescent="0.2">
      <c r="E511" t="s">
        <v>483</v>
      </c>
      <c r="F511">
        <v>138</v>
      </c>
      <c r="G511" t="s">
        <v>290</v>
      </c>
      <c r="H511" t="s">
        <v>3</v>
      </c>
      <c r="I511">
        <v>0.26319999999999999</v>
      </c>
    </row>
    <row r="512" spans="5:9" ht="15.75" hidden="1" customHeight="1" x14ac:dyDescent="0.2">
      <c r="E512" t="s">
        <v>484</v>
      </c>
      <c r="F512">
        <v>139</v>
      </c>
      <c r="G512" t="s">
        <v>290</v>
      </c>
      <c r="H512" t="s">
        <v>3</v>
      </c>
      <c r="I512">
        <v>0.35</v>
      </c>
    </row>
    <row r="513" spans="5:9" ht="15.75" hidden="1" customHeight="1" x14ac:dyDescent="0.2">
      <c r="E513" t="s">
        <v>486</v>
      </c>
      <c r="F513">
        <v>140</v>
      </c>
      <c r="G513" t="s">
        <v>290</v>
      </c>
      <c r="H513" t="s">
        <v>3</v>
      </c>
      <c r="I513">
        <v>1</v>
      </c>
    </row>
    <row r="514" spans="5:9" ht="15.75" hidden="1" customHeight="1" x14ac:dyDescent="0.2">
      <c r="E514" t="s">
        <v>487</v>
      </c>
      <c r="F514">
        <v>141</v>
      </c>
      <c r="G514" t="s">
        <v>290</v>
      </c>
      <c r="H514" t="s">
        <v>3</v>
      </c>
      <c r="I514">
        <v>0</v>
      </c>
    </row>
    <row r="515" spans="5:9" ht="15.75" hidden="1" customHeight="1" x14ac:dyDescent="0.2">
      <c r="E515" t="s">
        <v>446</v>
      </c>
      <c r="F515">
        <v>142</v>
      </c>
      <c r="G515" t="s">
        <v>290</v>
      </c>
      <c r="H515" t="s">
        <v>3</v>
      </c>
      <c r="I515">
        <v>0.25</v>
      </c>
    </row>
    <row r="516" spans="5:9" ht="15.75" hidden="1" customHeight="1" x14ac:dyDescent="0.2">
      <c r="E516" t="s">
        <v>447</v>
      </c>
      <c r="F516">
        <v>143</v>
      </c>
      <c r="G516" t="s">
        <v>290</v>
      </c>
      <c r="H516" t="s">
        <v>3</v>
      </c>
      <c r="I516">
        <v>0.5</v>
      </c>
    </row>
    <row r="517" spans="5:9" ht="15.75" hidden="1" customHeight="1" x14ac:dyDescent="0.2">
      <c r="E517" t="s">
        <v>448</v>
      </c>
      <c r="F517">
        <v>144</v>
      </c>
      <c r="G517" t="s">
        <v>290</v>
      </c>
      <c r="H517" t="s">
        <v>3</v>
      </c>
      <c r="I517">
        <v>0</v>
      </c>
    </row>
    <row r="518" spans="5:9" ht="15.75" hidden="1" customHeight="1" x14ac:dyDescent="0.2">
      <c r="E518" t="s">
        <v>449</v>
      </c>
      <c r="F518">
        <v>145</v>
      </c>
      <c r="G518" t="s">
        <v>290</v>
      </c>
      <c r="H518" t="s">
        <v>3</v>
      </c>
      <c r="I518">
        <v>0</v>
      </c>
    </row>
    <row r="519" spans="5:9" ht="15.75" hidden="1" customHeight="1" x14ac:dyDescent="0.2">
      <c r="E519" t="s">
        <v>450</v>
      </c>
      <c r="F519">
        <v>146</v>
      </c>
      <c r="G519" t="s">
        <v>290</v>
      </c>
      <c r="H519" t="s">
        <v>3</v>
      </c>
      <c r="I519">
        <v>0</v>
      </c>
    </row>
    <row r="520" spans="5:9" ht="15.75" hidden="1" customHeight="1" x14ac:dyDescent="0.2">
      <c r="E520" t="s">
        <v>451</v>
      </c>
      <c r="F520">
        <v>147</v>
      </c>
      <c r="G520" t="s">
        <v>290</v>
      </c>
      <c r="H520" t="s">
        <v>3</v>
      </c>
      <c r="I520">
        <v>0</v>
      </c>
    </row>
    <row r="521" spans="5:9" ht="15.75" hidden="1" customHeight="1" x14ac:dyDescent="0.2">
      <c r="E521" t="s">
        <v>488</v>
      </c>
      <c r="F521">
        <v>148</v>
      </c>
      <c r="G521" t="s">
        <v>290</v>
      </c>
      <c r="H521" t="s">
        <v>3</v>
      </c>
      <c r="I521">
        <v>1</v>
      </c>
    </row>
    <row r="522" spans="5:9" ht="15.75" hidden="1" customHeight="1" x14ac:dyDescent="0.2">
      <c r="E522" t="s">
        <v>452</v>
      </c>
      <c r="F522">
        <v>149</v>
      </c>
      <c r="G522" t="s">
        <v>290</v>
      </c>
      <c r="H522" t="s">
        <v>3</v>
      </c>
      <c r="I522">
        <v>0.66669999999999996</v>
      </c>
    </row>
    <row r="523" spans="5:9" ht="15.75" hidden="1" customHeight="1" x14ac:dyDescent="0.2">
      <c r="E523" t="s">
        <v>453</v>
      </c>
      <c r="F523">
        <v>150</v>
      </c>
      <c r="G523" t="s">
        <v>290</v>
      </c>
      <c r="H523" t="s">
        <v>3</v>
      </c>
      <c r="I523">
        <v>0</v>
      </c>
    </row>
    <row r="524" spans="5:9" ht="15.75" hidden="1" customHeight="1" x14ac:dyDescent="0.2">
      <c r="E524" t="s">
        <v>454</v>
      </c>
      <c r="F524">
        <v>151</v>
      </c>
      <c r="G524" t="s">
        <v>290</v>
      </c>
      <c r="H524" t="s">
        <v>3</v>
      </c>
      <c r="I524">
        <v>0</v>
      </c>
    </row>
    <row r="525" spans="5:9" ht="15.75" hidden="1" customHeight="1" x14ac:dyDescent="0.2">
      <c r="E525" t="s">
        <v>455</v>
      </c>
      <c r="F525">
        <v>152</v>
      </c>
      <c r="G525" t="s">
        <v>290</v>
      </c>
      <c r="H525" t="s">
        <v>3</v>
      </c>
      <c r="I525">
        <v>0</v>
      </c>
    </row>
    <row r="526" spans="5:9" ht="15.75" hidden="1" customHeight="1" x14ac:dyDescent="0.2">
      <c r="E526" t="s">
        <v>456</v>
      </c>
      <c r="F526">
        <v>153</v>
      </c>
      <c r="G526" t="s">
        <v>290</v>
      </c>
      <c r="H526" t="s">
        <v>3</v>
      </c>
      <c r="I526">
        <v>0</v>
      </c>
    </row>
    <row r="527" spans="5:9" ht="15.75" hidden="1" customHeight="1" x14ac:dyDescent="0.2">
      <c r="E527" t="s">
        <v>489</v>
      </c>
      <c r="F527">
        <v>154</v>
      </c>
      <c r="G527" t="s">
        <v>290</v>
      </c>
      <c r="H527" t="s">
        <v>3</v>
      </c>
      <c r="I527">
        <v>1</v>
      </c>
    </row>
    <row r="528" spans="5:9" ht="15.75" hidden="1" customHeight="1" x14ac:dyDescent="0.2">
      <c r="E528" t="s">
        <v>457</v>
      </c>
      <c r="F528">
        <v>155</v>
      </c>
      <c r="G528" t="s">
        <v>290</v>
      </c>
      <c r="H528" t="s">
        <v>3</v>
      </c>
      <c r="I528">
        <v>0</v>
      </c>
    </row>
    <row r="529" spans="5:9" ht="15.75" hidden="1" customHeight="1" x14ac:dyDescent="0.2">
      <c r="E529" t="s">
        <v>362</v>
      </c>
      <c r="F529">
        <v>156</v>
      </c>
      <c r="G529" t="s">
        <v>290</v>
      </c>
      <c r="H529" t="s">
        <v>3</v>
      </c>
      <c r="I529">
        <v>0</v>
      </c>
    </row>
    <row r="530" spans="5:9" ht="15.75" hidden="1" customHeight="1" x14ac:dyDescent="0.2">
      <c r="E530" t="s">
        <v>491</v>
      </c>
      <c r="F530">
        <v>157</v>
      </c>
      <c r="G530" t="s">
        <v>290</v>
      </c>
      <c r="H530" t="s">
        <v>3</v>
      </c>
      <c r="I530">
        <v>0.57140000000000002</v>
      </c>
    </row>
    <row r="531" spans="5:9" ht="15.75" hidden="1" customHeight="1" x14ac:dyDescent="0.2">
      <c r="E531" t="s">
        <v>492</v>
      </c>
      <c r="F531">
        <v>158</v>
      </c>
      <c r="G531" t="s">
        <v>290</v>
      </c>
      <c r="H531" t="s">
        <v>3</v>
      </c>
      <c r="I531">
        <v>0.4</v>
      </c>
    </row>
    <row r="532" spans="5:9" ht="15.75" hidden="1" customHeight="1" x14ac:dyDescent="0.2">
      <c r="E532" t="s">
        <v>493</v>
      </c>
      <c r="F532">
        <v>159</v>
      </c>
      <c r="G532" t="s">
        <v>290</v>
      </c>
      <c r="H532" t="s">
        <v>3</v>
      </c>
      <c r="I532">
        <v>1</v>
      </c>
    </row>
    <row r="533" spans="5:9" ht="15.75" hidden="1" customHeight="1" x14ac:dyDescent="0.2">
      <c r="E533" t="s">
        <v>494</v>
      </c>
      <c r="F533">
        <v>160</v>
      </c>
      <c r="G533" t="s">
        <v>290</v>
      </c>
      <c r="H533" t="s">
        <v>3</v>
      </c>
      <c r="I533">
        <v>0.75</v>
      </c>
    </row>
    <row r="534" spans="5:9" ht="15.75" hidden="1" customHeight="1" x14ac:dyDescent="0.2">
      <c r="E534" t="s">
        <v>496</v>
      </c>
      <c r="F534">
        <v>161</v>
      </c>
      <c r="G534" t="s">
        <v>290</v>
      </c>
      <c r="H534" t="s">
        <v>3</v>
      </c>
      <c r="I534">
        <v>1</v>
      </c>
    </row>
    <row r="535" spans="5:9" ht="15.75" hidden="1" customHeight="1" x14ac:dyDescent="0.2">
      <c r="E535" t="s">
        <v>497</v>
      </c>
      <c r="F535">
        <v>162</v>
      </c>
      <c r="G535" t="s">
        <v>290</v>
      </c>
      <c r="H535" t="s">
        <v>3</v>
      </c>
      <c r="I535">
        <v>0</v>
      </c>
    </row>
    <row r="536" spans="5:9" ht="15.75" hidden="1" customHeight="1" x14ac:dyDescent="0.2">
      <c r="E536" t="s">
        <v>459</v>
      </c>
      <c r="F536">
        <v>163</v>
      </c>
      <c r="G536" t="s">
        <v>290</v>
      </c>
      <c r="H536" t="s">
        <v>3</v>
      </c>
      <c r="I536">
        <v>0.5</v>
      </c>
    </row>
    <row r="537" spans="5:9" ht="15.75" hidden="1" customHeight="1" x14ac:dyDescent="0.2">
      <c r="E537" t="s">
        <v>460</v>
      </c>
      <c r="F537">
        <v>164</v>
      </c>
      <c r="G537" t="s">
        <v>290</v>
      </c>
      <c r="H537" t="s">
        <v>3</v>
      </c>
      <c r="I537">
        <v>0</v>
      </c>
    </row>
    <row r="538" spans="5:9" ht="15.75" hidden="1" customHeight="1" x14ac:dyDescent="0.2">
      <c r="E538" t="s">
        <v>461</v>
      </c>
      <c r="F538">
        <v>165</v>
      </c>
      <c r="G538" t="s">
        <v>290</v>
      </c>
      <c r="H538" t="s">
        <v>3</v>
      </c>
      <c r="I538">
        <v>0.5</v>
      </c>
    </row>
    <row r="539" spans="5:9" ht="15.75" hidden="1" customHeight="1" x14ac:dyDescent="0.2">
      <c r="E539" t="s">
        <v>462</v>
      </c>
      <c r="F539">
        <v>166</v>
      </c>
      <c r="G539" t="s">
        <v>290</v>
      </c>
      <c r="H539" t="s">
        <v>3</v>
      </c>
      <c r="I539">
        <v>0</v>
      </c>
    </row>
    <row r="540" spans="5:9" ht="15.75" hidden="1" customHeight="1" x14ac:dyDescent="0.2">
      <c r="E540" t="s">
        <v>463</v>
      </c>
      <c r="F540">
        <v>167</v>
      </c>
      <c r="G540" t="s">
        <v>290</v>
      </c>
      <c r="H540" t="s">
        <v>3</v>
      </c>
      <c r="I540">
        <v>0.5</v>
      </c>
    </row>
    <row r="541" spans="5:9" ht="15.75" hidden="1" customHeight="1" x14ac:dyDescent="0.2">
      <c r="E541" t="s">
        <v>464</v>
      </c>
      <c r="F541">
        <v>168</v>
      </c>
      <c r="G541" t="s">
        <v>290</v>
      </c>
      <c r="H541" t="s">
        <v>3</v>
      </c>
      <c r="I541">
        <v>0</v>
      </c>
    </row>
    <row r="542" spans="5:9" ht="15.75" hidden="1" customHeight="1" x14ac:dyDescent="0.2">
      <c r="E542" t="s">
        <v>465</v>
      </c>
      <c r="F542">
        <v>169</v>
      </c>
      <c r="G542" t="s">
        <v>290</v>
      </c>
      <c r="H542" t="s">
        <v>3</v>
      </c>
      <c r="I542">
        <v>0</v>
      </c>
    </row>
    <row r="543" spans="5:9" ht="15.75" hidden="1" customHeight="1" x14ac:dyDescent="0.2">
      <c r="E543" t="s">
        <v>466</v>
      </c>
      <c r="F543">
        <v>170</v>
      </c>
      <c r="G543" t="s">
        <v>290</v>
      </c>
      <c r="H543" t="s">
        <v>3</v>
      </c>
      <c r="I543">
        <v>0.5</v>
      </c>
    </row>
    <row r="544" spans="5:9" ht="15.75" hidden="1" customHeight="1" x14ac:dyDescent="0.2">
      <c r="E544" t="s">
        <v>467</v>
      </c>
      <c r="F544">
        <v>171</v>
      </c>
      <c r="G544" t="s">
        <v>290</v>
      </c>
      <c r="H544" t="s">
        <v>3</v>
      </c>
      <c r="I544">
        <v>0</v>
      </c>
    </row>
    <row r="545" spans="5:9" ht="15.75" hidden="1" customHeight="1" x14ac:dyDescent="0.2">
      <c r="E545" t="s">
        <v>468</v>
      </c>
      <c r="F545">
        <v>172</v>
      </c>
      <c r="G545" t="s">
        <v>290</v>
      </c>
      <c r="H545" t="s">
        <v>3</v>
      </c>
      <c r="I545">
        <v>0.5</v>
      </c>
    </row>
    <row r="546" spans="5:9" ht="15.75" hidden="1" customHeight="1" x14ac:dyDescent="0.2">
      <c r="E546" t="s">
        <v>469</v>
      </c>
      <c r="F546">
        <v>173</v>
      </c>
      <c r="G546" t="s">
        <v>290</v>
      </c>
      <c r="H546" t="s">
        <v>3</v>
      </c>
      <c r="I546">
        <v>0.5</v>
      </c>
    </row>
    <row r="547" spans="5:9" ht="15.75" hidden="1" customHeight="1" x14ac:dyDescent="0.2">
      <c r="E547" t="s">
        <v>470</v>
      </c>
      <c r="F547">
        <v>174</v>
      </c>
      <c r="G547" t="s">
        <v>290</v>
      </c>
      <c r="H547" t="s">
        <v>3</v>
      </c>
      <c r="I547">
        <v>0.25</v>
      </c>
    </row>
    <row r="548" spans="5:9" ht="15.75" hidden="1" customHeight="1" x14ac:dyDescent="0.2">
      <c r="E548" t="s">
        <v>471</v>
      </c>
      <c r="F548">
        <v>175</v>
      </c>
      <c r="G548" t="s">
        <v>290</v>
      </c>
      <c r="H548" t="s">
        <v>3</v>
      </c>
      <c r="I548">
        <v>0.5</v>
      </c>
    </row>
    <row r="549" spans="5:9" ht="15.75" hidden="1" customHeight="1" x14ac:dyDescent="0.2">
      <c r="E549" t="s">
        <v>472</v>
      </c>
      <c r="F549">
        <v>176</v>
      </c>
      <c r="G549" t="s">
        <v>290</v>
      </c>
      <c r="H549" t="s">
        <v>3</v>
      </c>
      <c r="I549">
        <v>0.5</v>
      </c>
    </row>
    <row r="550" spans="5:9" ht="15.75" hidden="1" customHeight="1" x14ac:dyDescent="0.2">
      <c r="E550" t="s">
        <v>362</v>
      </c>
      <c r="F550">
        <v>177</v>
      </c>
      <c r="G550" t="s">
        <v>290</v>
      </c>
      <c r="H550" t="s">
        <v>3</v>
      </c>
      <c r="I550">
        <v>0</v>
      </c>
    </row>
    <row r="551" spans="5:9" ht="15.75" hidden="1" customHeight="1" x14ac:dyDescent="0.2">
      <c r="E551" t="s">
        <v>473</v>
      </c>
      <c r="F551">
        <v>178</v>
      </c>
      <c r="G551" t="s">
        <v>290</v>
      </c>
      <c r="H551" t="s">
        <v>3</v>
      </c>
      <c r="I551">
        <v>0.5</v>
      </c>
    </row>
    <row r="552" spans="5:9" ht="15.75" hidden="1" customHeight="1" x14ac:dyDescent="0.2">
      <c r="E552" t="s">
        <v>474</v>
      </c>
      <c r="F552">
        <v>179</v>
      </c>
      <c r="G552" t="s">
        <v>290</v>
      </c>
      <c r="H552" t="s">
        <v>3</v>
      </c>
      <c r="I552">
        <v>0.6</v>
      </c>
    </row>
    <row r="553" spans="5:9" ht="15.75" hidden="1" customHeight="1" x14ac:dyDescent="0.2">
      <c r="E553" t="s">
        <v>499</v>
      </c>
      <c r="F553">
        <v>180</v>
      </c>
      <c r="G553" t="s">
        <v>290</v>
      </c>
      <c r="H553" t="s">
        <v>3</v>
      </c>
      <c r="I553">
        <v>0.5</v>
      </c>
    </row>
    <row r="554" spans="5:9" ht="15.75" hidden="1" customHeight="1" x14ac:dyDescent="0.2">
      <c r="E554" t="s">
        <v>500</v>
      </c>
      <c r="F554">
        <v>181</v>
      </c>
      <c r="G554" t="s">
        <v>290</v>
      </c>
      <c r="H554" t="s">
        <v>3</v>
      </c>
      <c r="I554">
        <v>0.375</v>
      </c>
    </row>
    <row r="555" spans="5:9" ht="15.75" hidden="1" customHeight="1" x14ac:dyDescent="0.2">
      <c r="E555" t="s">
        <v>501</v>
      </c>
      <c r="F555">
        <v>182</v>
      </c>
      <c r="G555" t="s">
        <v>290</v>
      </c>
      <c r="H555" t="s">
        <v>3</v>
      </c>
      <c r="I555">
        <v>0.3125</v>
      </c>
    </row>
    <row r="556" spans="5:9" ht="15.75" hidden="1" customHeight="1" x14ac:dyDescent="0.2">
      <c r="E556" t="s">
        <v>502</v>
      </c>
      <c r="F556">
        <v>183</v>
      </c>
      <c r="G556" t="s">
        <v>290</v>
      </c>
      <c r="H556" t="s">
        <v>3</v>
      </c>
      <c r="I556">
        <v>1</v>
      </c>
    </row>
    <row r="557" spans="5:9" ht="15.75" hidden="1" customHeight="1" x14ac:dyDescent="0.2">
      <c r="E557" t="s">
        <v>503</v>
      </c>
      <c r="F557">
        <v>184</v>
      </c>
      <c r="G557" t="s">
        <v>290</v>
      </c>
      <c r="H557" t="s">
        <v>3</v>
      </c>
      <c r="I557">
        <v>0.375</v>
      </c>
    </row>
    <row r="558" spans="5:9" ht="15.75" hidden="1" customHeight="1" x14ac:dyDescent="0.2">
      <c r="E558" t="s">
        <v>504</v>
      </c>
      <c r="F558">
        <v>185</v>
      </c>
      <c r="G558" t="s">
        <v>290</v>
      </c>
      <c r="H558" t="s">
        <v>3</v>
      </c>
      <c r="I558">
        <v>1</v>
      </c>
    </row>
    <row r="559" spans="5:9" ht="15.75" hidden="1" customHeight="1" x14ac:dyDescent="0.2">
      <c r="E559" t="s">
        <v>505</v>
      </c>
      <c r="F559">
        <v>186</v>
      </c>
      <c r="G559" t="s">
        <v>290</v>
      </c>
      <c r="H559" t="s">
        <v>3</v>
      </c>
      <c r="I559">
        <v>0.8</v>
      </c>
    </row>
    <row r="560" spans="5:9" ht="15.75" hidden="1" customHeight="1" x14ac:dyDescent="0.2">
      <c r="E560" t="s">
        <v>287</v>
      </c>
      <c r="F560">
        <v>1</v>
      </c>
      <c r="G560" t="s">
        <v>291</v>
      </c>
      <c r="H560" t="s">
        <v>4</v>
      </c>
      <c r="I560">
        <v>5</v>
      </c>
    </row>
    <row r="561" spans="5:9" ht="15.75" hidden="1" customHeight="1" x14ac:dyDescent="0.2">
      <c r="E561" t="s">
        <v>350</v>
      </c>
      <c r="F561">
        <v>2</v>
      </c>
      <c r="G561" t="s">
        <v>291</v>
      </c>
      <c r="H561" t="s">
        <v>4</v>
      </c>
      <c r="I561">
        <v>1</v>
      </c>
    </row>
    <row r="562" spans="5:9" ht="15.75" hidden="1" customHeight="1" x14ac:dyDescent="0.2">
      <c r="E562" t="s">
        <v>351</v>
      </c>
      <c r="F562">
        <v>3</v>
      </c>
      <c r="G562" t="s">
        <v>291</v>
      </c>
      <c r="H562" t="s">
        <v>4</v>
      </c>
      <c r="I562">
        <v>10</v>
      </c>
    </row>
    <row r="563" spans="5:9" ht="15.75" hidden="1" customHeight="1" x14ac:dyDescent="0.2">
      <c r="E563" t="s">
        <v>352</v>
      </c>
      <c r="F563">
        <v>4</v>
      </c>
      <c r="G563" t="s">
        <v>291</v>
      </c>
      <c r="H563" t="s">
        <v>4</v>
      </c>
      <c r="I563">
        <v>10</v>
      </c>
    </row>
    <row r="564" spans="5:9" ht="15.75" hidden="1" customHeight="1" x14ac:dyDescent="0.2">
      <c r="E564" t="s">
        <v>354</v>
      </c>
      <c r="F564">
        <v>5</v>
      </c>
      <c r="G564" t="s">
        <v>291</v>
      </c>
      <c r="H564" t="s">
        <v>4</v>
      </c>
      <c r="I564">
        <v>6</v>
      </c>
    </row>
    <row r="565" spans="5:9" ht="15.75" hidden="1" customHeight="1" x14ac:dyDescent="0.2">
      <c r="E565" t="s">
        <v>356</v>
      </c>
      <c r="F565">
        <v>6</v>
      </c>
      <c r="G565" t="s">
        <v>291</v>
      </c>
      <c r="H565" t="s">
        <v>4</v>
      </c>
      <c r="I565">
        <v>6</v>
      </c>
    </row>
    <row r="566" spans="5:9" ht="15.75" hidden="1" customHeight="1" x14ac:dyDescent="0.2">
      <c r="E566" t="s">
        <v>358</v>
      </c>
      <c r="F566">
        <v>7</v>
      </c>
      <c r="G566" t="s">
        <v>291</v>
      </c>
      <c r="H566" t="s">
        <v>4</v>
      </c>
      <c r="I566">
        <v>0</v>
      </c>
    </row>
    <row r="567" spans="5:9" ht="15.75" hidden="1" customHeight="1" x14ac:dyDescent="0.2">
      <c r="E567" t="s">
        <v>359</v>
      </c>
      <c r="F567">
        <v>8</v>
      </c>
      <c r="G567" t="s">
        <v>291</v>
      </c>
      <c r="H567" t="s">
        <v>4</v>
      </c>
      <c r="I567">
        <v>0</v>
      </c>
    </row>
    <row r="568" spans="5:9" ht="15.75" hidden="1" customHeight="1" x14ac:dyDescent="0.2">
      <c r="E568" t="s">
        <v>360</v>
      </c>
      <c r="F568">
        <v>9</v>
      </c>
      <c r="G568" t="s">
        <v>291</v>
      </c>
      <c r="H568" t="s">
        <v>4</v>
      </c>
      <c r="I568">
        <v>0</v>
      </c>
    </row>
    <row r="569" spans="5:9" ht="15.75" hidden="1" customHeight="1" x14ac:dyDescent="0.2">
      <c r="E569" t="s">
        <v>361</v>
      </c>
      <c r="F569">
        <v>10</v>
      </c>
      <c r="G569" t="s">
        <v>291</v>
      </c>
      <c r="H569" t="s">
        <v>4</v>
      </c>
      <c r="I569">
        <v>1</v>
      </c>
    </row>
    <row r="570" spans="5:9" ht="15.75" hidden="1" customHeight="1" x14ac:dyDescent="0.2">
      <c r="E570" t="s">
        <v>362</v>
      </c>
      <c r="F570">
        <v>11</v>
      </c>
      <c r="G570" t="s">
        <v>291</v>
      </c>
      <c r="H570" t="s">
        <v>4</v>
      </c>
      <c r="I570">
        <v>0</v>
      </c>
    </row>
    <row r="571" spans="5:9" ht="15.75" hidden="1" customHeight="1" x14ac:dyDescent="0.2">
      <c r="E571" t="s">
        <v>363</v>
      </c>
      <c r="F571">
        <v>12</v>
      </c>
      <c r="G571" t="s">
        <v>291</v>
      </c>
      <c r="H571" t="s">
        <v>4</v>
      </c>
      <c r="I571">
        <v>0</v>
      </c>
    </row>
    <row r="572" spans="5:9" ht="15.75" hidden="1" customHeight="1" x14ac:dyDescent="0.2">
      <c r="E572" t="s">
        <v>365</v>
      </c>
      <c r="F572">
        <v>13</v>
      </c>
      <c r="G572" t="s">
        <v>291</v>
      </c>
      <c r="H572" t="s">
        <v>4</v>
      </c>
      <c r="I572">
        <v>0</v>
      </c>
    </row>
    <row r="573" spans="5:9" ht="15.75" hidden="1" customHeight="1" x14ac:dyDescent="0.2">
      <c r="E573" t="s">
        <v>369</v>
      </c>
      <c r="F573">
        <v>14</v>
      </c>
      <c r="G573" t="s">
        <v>291</v>
      </c>
      <c r="H573" t="s">
        <v>4</v>
      </c>
      <c r="I573">
        <v>0</v>
      </c>
    </row>
    <row r="574" spans="5:9" ht="15.75" hidden="1" customHeight="1" x14ac:dyDescent="0.2">
      <c r="E574" t="s">
        <v>370</v>
      </c>
      <c r="F574">
        <v>15</v>
      </c>
      <c r="G574" t="s">
        <v>291</v>
      </c>
      <c r="H574" t="s">
        <v>4</v>
      </c>
      <c r="I574">
        <v>2</v>
      </c>
    </row>
    <row r="575" spans="5:9" ht="15.75" hidden="1" customHeight="1" x14ac:dyDescent="0.2">
      <c r="E575" t="s">
        <v>371</v>
      </c>
      <c r="F575">
        <v>16</v>
      </c>
      <c r="G575" t="s">
        <v>291</v>
      </c>
      <c r="H575" t="s">
        <v>4</v>
      </c>
      <c r="I575">
        <v>3</v>
      </c>
    </row>
    <row r="576" spans="5:9" ht="15.75" hidden="1" customHeight="1" x14ac:dyDescent="0.2">
      <c r="E576" t="s">
        <v>372</v>
      </c>
      <c r="F576">
        <v>17</v>
      </c>
      <c r="G576" t="s">
        <v>291</v>
      </c>
      <c r="H576" t="s">
        <v>4</v>
      </c>
      <c r="I576">
        <v>3</v>
      </c>
    </row>
    <row r="577" spans="5:9" ht="15.75" hidden="1" customHeight="1" x14ac:dyDescent="0.2">
      <c r="E577" t="s">
        <v>373</v>
      </c>
      <c r="F577">
        <v>18</v>
      </c>
      <c r="G577" t="s">
        <v>291</v>
      </c>
      <c r="H577" t="s">
        <v>4</v>
      </c>
      <c r="I577">
        <v>2</v>
      </c>
    </row>
    <row r="578" spans="5:9" ht="15.75" hidden="1" customHeight="1" x14ac:dyDescent="0.2">
      <c r="E578" t="s">
        <v>374</v>
      </c>
      <c r="F578">
        <v>19</v>
      </c>
      <c r="G578" t="s">
        <v>291</v>
      </c>
      <c r="H578" t="s">
        <v>4</v>
      </c>
      <c r="I578">
        <v>0</v>
      </c>
    </row>
    <row r="579" spans="5:9" ht="15.75" hidden="1" customHeight="1" x14ac:dyDescent="0.2">
      <c r="E579" t="s">
        <v>375</v>
      </c>
      <c r="F579">
        <v>20</v>
      </c>
      <c r="G579" t="s">
        <v>291</v>
      </c>
      <c r="H579" t="s">
        <v>4</v>
      </c>
      <c r="I579">
        <v>3</v>
      </c>
    </row>
    <row r="580" spans="5:9" ht="15.75" hidden="1" customHeight="1" x14ac:dyDescent="0.2">
      <c r="E580" t="s">
        <v>376</v>
      </c>
      <c r="F580">
        <v>21</v>
      </c>
      <c r="G580" t="s">
        <v>291</v>
      </c>
      <c r="H580" t="s">
        <v>4</v>
      </c>
      <c r="I580">
        <v>2</v>
      </c>
    </row>
    <row r="581" spans="5:9" ht="15.75" hidden="1" customHeight="1" x14ac:dyDescent="0.2">
      <c r="E581" t="s">
        <v>377</v>
      </c>
      <c r="F581">
        <v>22</v>
      </c>
      <c r="G581" t="s">
        <v>291</v>
      </c>
      <c r="H581" t="s">
        <v>4</v>
      </c>
      <c r="I581">
        <v>4</v>
      </c>
    </row>
    <row r="582" spans="5:9" ht="15.75" hidden="1" customHeight="1" x14ac:dyDescent="0.2">
      <c r="E582" t="s">
        <v>378</v>
      </c>
      <c r="F582">
        <v>23</v>
      </c>
      <c r="G582" t="s">
        <v>291</v>
      </c>
      <c r="H582" t="s">
        <v>4</v>
      </c>
      <c r="I582">
        <v>0</v>
      </c>
    </row>
    <row r="583" spans="5:9" ht="15.75" hidden="1" customHeight="1" x14ac:dyDescent="0.2">
      <c r="E583" t="s">
        <v>379</v>
      </c>
      <c r="F583">
        <v>24</v>
      </c>
      <c r="G583" t="s">
        <v>291</v>
      </c>
      <c r="H583" t="s">
        <v>4</v>
      </c>
      <c r="I583">
        <v>0</v>
      </c>
    </row>
    <row r="584" spans="5:9" ht="15.75" hidden="1" customHeight="1" x14ac:dyDescent="0.2">
      <c r="E584" t="s">
        <v>380</v>
      </c>
      <c r="F584">
        <v>25</v>
      </c>
      <c r="G584" t="s">
        <v>291</v>
      </c>
      <c r="H584" t="s">
        <v>4</v>
      </c>
      <c r="I584">
        <v>1</v>
      </c>
    </row>
    <row r="585" spans="5:9" ht="15.75" hidden="1" customHeight="1" x14ac:dyDescent="0.2">
      <c r="E585" t="s">
        <v>381</v>
      </c>
      <c r="F585">
        <v>26</v>
      </c>
      <c r="G585" t="s">
        <v>291</v>
      </c>
      <c r="H585" t="s">
        <v>4</v>
      </c>
      <c r="I585">
        <v>0</v>
      </c>
    </row>
    <row r="586" spans="5:9" ht="15.75" hidden="1" customHeight="1" x14ac:dyDescent="0.2">
      <c r="E586" t="s">
        <v>382</v>
      </c>
      <c r="F586">
        <v>27</v>
      </c>
      <c r="G586" t="s">
        <v>291</v>
      </c>
      <c r="H586" t="s">
        <v>4</v>
      </c>
      <c r="I586">
        <v>2</v>
      </c>
    </row>
    <row r="587" spans="5:9" ht="15.75" hidden="1" customHeight="1" x14ac:dyDescent="0.2">
      <c r="E587" t="s">
        <v>383</v>
      </c>
      <c r="F587">
        <v>28</v>
      </c>
      <c r="G587" t="s">
        <v>291</v>
      </c>
      <c r="H587" t="s">
        <v>4</v>
      </c>
      <c r="I587">
        <v>1</v>
      </c>
    </row>
    <row r="588" spans="5:9" ht="15.75" hidden="1" customHeight="1" x14ac:dyDescent="0.2">
      <c r="E588" t="s">
        <v>385</v>
      </c>
      <c r="F588">
        <v>29</v>
      </c>
      <c r="G588" t="s">
        <v>291</v>
      </c>
      <c r="H588" t="s">
        <v>4</v>
      </c>
      <c r="I588">
        <v>6</v>
      </c>
    </row>
    <row r="589" spans="5:9" ht="15.75" hidden="1" customHeight="1" x14ac:dyDescent="0.2">
      <c r="E589" t="s">
        <v>387</v>
      </c>
      <c r="F589">
        <v>30</v>
      </c>
      <c r="G589" t="s">
        <v>291</v>
      </c>
      <c r="H589" t="s">
        <v>4</v>
      </c>
      <c r="I589">
        <v>1</v>
      </c>
    </row>
    <row r="590" spans="5:9" ht="15.75" hidden="1" customHeight="1" x14ac:dyDescent="0.2">
      <c r="E590" t="s">
        <v>388</v>
      </c>
      <c r="F590">
        <v>31</v>
      </c>
      <c r="G590" t="s">
        <v>291</v>
      </c>
      <c r="H590" t="s">
        <v>4</v>
      </c>
      <c r="I590">
        <v>4</v>
      </c>
    </row>
    <row r="591" spans="5:9" ht="15.75" hidden="1" customHeight="1" x14ac:dyDescent="0.2">
      <c r="E591" t="s">
        <v>389</v>
      </c>
      <c r="F591">
        <v>32</v>
      </c>
      <c r="G591" t="s">
        <v>291</v>
      </c>
      <c r="H591" t="s">
        <v>4</v>
      </c>
      <c r="I591">
        <v>4</v>
      </c>
    </row>
    <row r="592" spans="5:9" ht="15.75" hidden="1" customHeight="1" x14ac:dyDescent="0.2">
      <c r="E592" t="s">
        <v>390</v>
      </c>
      <c r="F592">
        <v>33</v>
      </c>
      <c r="G592" t="s">
        <v>291</v>
      </c>
      <c r="H592" t="s">
        <v>4</v>
      </c>
      <c r="I592">
        <v>4</v>
      </c>
    </row>
    <row r="593" spans="5:9" ht="15.75" hidden="1" customHeight="1" x14ac:dyDescent="0.2">
      <c r="E593" t="s">
        <v>391</v>
      </c>
      <c r="F593">
        <v>34</v>
      </c>
      <c r="G593" t="s">
        <v>291</v>
      </c>
      <c r="H593" t="s">
        <v>4</v>
      </c>
      <c r="I593">
        <v>4</v>
      </c>
    </row>
    <row r="594" spans="5:9" ht="15.75" hidden="1" customHeight="1" x14ac:dyDescent="0.2">
      <c r="E594" t="s">
        <v>393</v>
      </c>
      <c r="F594">
        <v>35</v>
      </c>
      <c r="G594" t="s">
        <v>291</v>
      </c>
      <c r="H594" t="s">
        <v>4</v>
      </c>
      <c r="I594">
        <v>1</v>
      </c>
    </row>
    <row r="595" spans="5:9" ht="15.75" hidden="1" customHeight="1" x14ac:dyDescent="0.2">
      <c r="E595" t="s">
        <v>394</v>
      </c>
      <c r="F595">
        <v>36</v>
      </c>
      <c r="G595" t="s">
        <v>291</v>
      </c>
      <c r="H595" t="s">
        <v>4</v>
      </c>
      <c r="I595">
        <v>8</v>
      </c>
    </row>
    <row r="596" spans="5:9" ht="15.75" hidden="1" customHeight="1" x14ac:dyDescent="0.2">
      <c r="E596" t="s">
        <v>395</v>
      </c>
      <c r="F596">
        <v>37</v>
      </c>
      <c r="G596" t="s">
        <v>291</v>
      </c>
      <c r="H596" t="s">
        <v>4</v>
      </c>
      <c r="I596">
        <v>4</v>
      </c>
    </row>
    <row r="597" spans="5:9" ht="15.75" hidden="1" customHeight="1" x14ac:dyDescent="0.2">
      <c r="E597" t="s">
        <v>396</v>
      </c>
      <c r="F597">
        <v>38</v>
      </c>
      <c r="G597" t="s">
        <v>291</v>
      </c>
      <c r="H597" t="s">
        <v>4</v>
      </c>
      <c r="I597">
        <v>4</v>
      </c>
    </row>
    <row r="598" spans="5:9" ht="15.75" hidden="1" customHeight="1" x14ac:dyDescent="0.2">
      <c r="E598" t="s">
        <v>397</v>
      </c>
      <c r="F598">
        <v>39</v>
      </c>
      <c r="G598" t="s">
        <v>291</v>
      </c>
      <c r="H598" t="s">
        <v>4</v>
      </c>
      <c r="I598">
        <v>4</v>
      </c>
    </row>
    <row r="599" spans="5:9" ht="15.75" hidden="1" customHeight="1" x14ac:dyDescent="0.2">
      <c r="E599" t="s">
        <v>398</v>
      </c>
      <c r="F599">
        <v>40</v>
      </c>
      <c r="G599" t="s">
        <v>291</v>
      </c>
      <c r="H599" t="s">
        <v>4</v>
      </c>
      <c r="I599">
        <v>4</v>
      </c>
    </row>
    <row r="600" spans="5:9" ht="15.75" hidden="1" customHeight="1" x14ac:dyDescent="0.2">
      <c r="E600" t="s">
        <v>399</v>
      </c>
      <c r="F600">
        <v>41</v>
      </c>
      <c r="G600" t="s">
        <v>291</v>
      </c>
      <c r="H600" t="s">
        <v>4</v>
      </c>
      <c r="I600">
        <v>0</v>
      </c>
    </row>
    <row r="601" spans="5:9" ht="15.75" hidden="1" customHeight="1" x14ac:dyDescent="0.2">
      <c r="E601" t="s">
        <v>400</v>
      </c>
      <c r="F601">
        <v>42</v>
      </c>
      <c r="G601" t="s">
        <v>291</v>
      </c>
      <c r="H601" t="s">
        <v>4</v>
      </c>
      <c r="I601">
        <v>0</v>
      </c>
    </row>
    <row r="602" spans="5:9" ht="15.75" hidden="1" customHeight="1" x14ac:dyDescent="0.2">
      <c r="E602" t="s">
        <v>401</v>
      </c>
      <c r="F602">
        <v>43</v>
      </c>
      <c r="G602" t="s">
        <v>291</v>
      </c>
      <c r="H602" t="s">
        <v>4</v>
      </c>
      <c r="I602">
        <v>0</v>
      </c>
    </row>
    <row r="603" spans="5:9" ht="15.75" hidden="1" customHeight="1" x14ac:dyDescent="0.2">
      <c r="E603" t="s">
        <v>402</v>
      </c>
      <c r="F603">
        <v>44</v>
      </c>
      <c r="G603" t="s">
        <v>291</v>
      </c>
      <c r="H603" t="s">
        <v>4</v>
      </c>
      <c r="I603">
        <v>0</v>
      </c>
    </row>
    <row r="604" spans="5:9" ht="15.75" hidden="1" customHeight="1" x14ac:dyDescent="0.2">
      <c r="E604" t="s">
        <v>403</v>
      </c>
      <c r="F604">
        <v>45</v>
      </c>
      <c r="G604" t="s">
        <v>291</v>
      </c>
      <c r="H604" t="s">
        <v>4</v>
      </c>
      <c r="I604">
        <v>0</v>
      </c>
    </row>
    <row r="605" spans="5:9" ht="15.75" hidden="1" customHeight="1" x14ac:dyDescent="0.2">
      <c r="E605" t="s">
        <v>404</v>
      </c>
      <c r="F605">
        <v>46</v>
      </c>
      <c r="G605" t="s">
        <v>291</v>
      </c>
      <c r="H605" t="s">
        <v>4</v>
      </c>
      <c r="I605">
        <v>0</v>
      </c>
    </row>
    <row r="606" spans="5:9" ht="15.75" hidden="1" customHeight="1" x14ac:dyDescent="0.2">
      <c r="E606" t="s">
        <v>405</v>
      </c>
      <c r="F606">
        <v>47</v>
      </c>
      <c r="G606" t="s">
        <v>291</v>
      </c>
      <c r="H606" t="s">
        <v>4</v>
      </c>
      <c r="I606">
        <v>2</v>
      </c>
    </row>
    <row r="607" spans="5:9" ht="15.75" hidden="1" customHeight="1" x14ac:dyDescent="0.2">
      <c r="E607" t="s">
        <v>406</v>
      </c>
      <c r="F607">
        <v>48</v>
      </c>
      <c r="G607" t="s">
        <v>291</v>
      </c>
      <c r="H607" t="s">
        <v>4</v>
      </c>
      <c r="I607">
        <v>0</v>
      </c>
    </row>
    <row r="608" spans="5:9" ht="15.75" hidden="1" customHeight="1" x14ac:dyDescent="0.2">
      <c r="E608" t="s">
        <v>376</v>
      </c>
      <c r="F608">
        <v>49</v>
      </c>
      <c r="G608" t="s">
        <v>291</v>
      </c>
      <c r="H608" t="s">
        <v>4</v>
      </c>
      <c r="I608">
        <v>0</v>
      </c>
    </row>
    <row r="609" spans="5:9" ht="15.75" hidden="1" customHeight="1" x14ac:dyDescent="0.2">
      <c r="E609" t="s">
        <v>407</v>
      </c>
      <c r="F609">
        <v>50</v>
      </c>
      <c r="G609" t="s">
        <v>291</v>
      </c>
      <c r="H609" t="s">
        <v>4</v>
      </c>
      <c r="I609">
        <v>7</v>
      </c>
    </row>
    <row r="610" spans="5:9" ht="15.75" hidden="1" customHeight="1" x14ac:dyDescent="0.2">
      <c r="E610" t="s">
        <v>408</v>
      </c>
      <c r="F610">
        <v>51</v>
      </c>
      <c r="G610" t="s">
        <v>291</v>
      </c>
      <c r="H610" t="s">
        <v>4</v>
      </c>
      <c r="I610">
        <v>9</v>
      </c>
    </row>
    <row r="611" spans="5:9" ht="15.75" hidden="1" customHeight="1" x14ac:dyDescent="0.2">
      <c r="E611" t="s">
        <v>409</v>
      </c>
      <c r="F611">
        <v>52</v>
      </c>
      <c r="G611" t="s">
        <v>291</v>
      </c>
      <c r="H611" t="s">
        <v>4</v>
      </c>
      <c r="I611">
        <v>3</v>
      </c>
    </row>
    <row r="612" spans="5:9" ht="15.75" hidden="1" customHeight="1" x14ac:dyDescent="0.2">
      <c r="E612" t="s">
        <v>410</v>
      </c>
      <c r="F612">
        <v>53</v>
      </c>
      <c r="G612" t="s">
        <v>291</v>
      </c>
      <c r="H612" t="s">
        <v>4</v>
      </c>
      <c r="I612">
        <v>1</v>
      </c>
    </row>
    <row r="613" spans="5:9" ht="15.75" hidden="1" customHeight="1" x14ac:dyDescent="0.2">
      <c r="E613" t="s">
        <v>411</v>
      </c>
      <c r="F613">
        <v>54</v>
      </c>
      <c r="G613" t="s">
        <v>291</v>
      </c>
      <c r="H613" t="s">
        <v>4</v>
      </c>
      <c r="I613">
        <v>12</v>
      </c>
    </row>
    <row r="614" spans="5:9" ht="15.75" hidden="1" customHeight="1" x14ac:dyDescent="0.2">
      <c r="E614" t="s">
        <v>412</v>
      </c>
      <c r="F614">
        <v>55</v>
      </c>
      <c r="G614" t="s">
        <v>291</v>
      </c>
      <c r="H614" t="s">
        <v>4</v>
      </c>
      <c r="I614">
        <v>5</v>
      </c>
    </row>
    <row r="615" spans="5:9" ht="15.75" hidden="1" customHeight="1" x14ac:dyDescent="0.2">
      <c r="E615" t="s">
        <v>413</v>
      </c>
      <c r="F615">
        <v>56</v>
      </c>
      <c r="G615" t="s">
        <v>291</v>
      </c>
      <c r="H615" t="s">
        <v>4</v>
      </c>
      <c r="I615">
        <v>1</v>
      </c>
    </row>
    <row r="616" spans="5:9" ht="15.75" hidden="1" customHeight="1" x14ac:dyDescent="0.2">
      <c r="E616" t="s">
        <v>414</v>
      </c>
      <c r="F616">
        <v>57</v>
      </c>
      <c r="G616" t="s">
        <v>291</v>
      </c>
      <c r="H616" t="s">
        <v>4</v>
      </c>
      <c r="I616">
        <v>14</v>
      </c>
    </row>
    <row r="617" spans="5:9" ht="15.75" hidden="1" customHeight="1" x14ac:dyDescent="0.2">
      <c r="E617" t="s">
        <v>415</v>
      </c>
      <c r="F617">
        <v>58</v>
      </c>
      <c r="G617" t="s">
        <v>291</v>
      </c>
      <c r="H617" t="s">
        <v>4</v>
      </c>
      <c r="I617">
        <v>14</v>
      </c>
    </row>
    <row r="618" spans="5:9" ht="15.75" hidden="1" customHeight="1" x14ac:dyDescent="0.2">
      <c r="E618" t="s">
        <v>416</v>
      </c>
      <c r="F618">
        <v>59</v>
      </c>
      <c r="G618" t="s">
        <v>291</v>
      </c>
      <c r="H618" t="s">
        <v>4</v>
      </c>
      <c r="I618">
        <v>18</v>
      </c>
    </row>
    <row r="619" spans="5:9" ht="15.75" hidden="1" customHeight="1" x14ac:dyDescent="0.2">
      <c r="E619" t="s">
        <v>417</v>
      </c>
      <c r="F619">
        <v>60</v>
      </c>
      <c r="G619" t="s">
        <v>291</v>
      </c>
      <c r="H619" t="s">
        <v>4</v>
      </c>
      <c r="I619">
        <v>18</v>
      </c>
    </row>
    <row r="620" spans="5:9" ht="15.75" hidden="1" customHeight="1" x14ac:dyDescent="0.2">
      <c r="E620" t="s">
        <v>418</v>
      </c>
      <c r="F620">
        <v>61</v>
      </c>
      <c r="G620" t="s">
        <v>291</v>
      </c>
      <c r="H620" t="s">
        <v>4</v>
      </c>
      <c r="I620">
        <v>2</v>
      </c>
    </row>
    <row r="621" spans="5:9" ht="15.75" hidden="1" customHeight="1" x14ac:dyDescent="0.2">
      <c r="E621" t="s">
        <v>419</v>
      </c>
      <c r="F621">
        <v>62</v>
      </c>
      <c r="G621" t="s">
        <v>291</v>
      </c>
      <c r="H621" t="s">
        <v>4</v>
      </c>
      <c r="I621">
        <v>2</v>
      </c>
    </row>
    <row r="622" spans="5:9" ht="15.75" hidden="1" customHeight="1" x14ac:dyDescent="0.2">
      <c r="E622" t="s">
        <v>421</v>
      </c>
      <c r="F622">
        <v>63</v>
      </c>
      <c r="G622" t="s">
        <v>291</v>
      </c>
      <c r="H622" t="s">
        <v>4</v>
      </c>
      <c r="I622">
        <v>0</v>
      </c>
    </row>
    <row r="623" spans="5:9" ht="15.75" hidden="1" customHeight="1" x14ac:dyDescent="0.2">
      <c r="E623" t="s">
        <v>422</v>
      </c>
      <c r="F623">
        <v>64</v>
      </c>
      <c r="G623" t="s">
        <v>291</v>
      </c>
      <c r="H623" t="s">
        <v>4</v>
      </c>
      <c r="I623">
        <v>1</v>
      </c>
    </row>
    <row r="624" spans="5:9" ht="15.75" hidden="1" customHeight="1" x14ac:dyDescent="0.2">
      <c r="E624" t="s">
        <v>423</v>
      </c>
      <c r="F624">
        <v>65</v>
      </c>
      <c r="G624" t="s">
        <v>291</v>
      </c>
      <c r="H624" t="s">
        <v>4</v>
      </c>
      <c r="I624">
        <v>0</v>
      </c>
    </row>
    <row r="625" spans="5:9" ht="15.75" hidden="1" customHeight="1" x14ac:dyDescent="0.2">
      <c r="E625" t="s">
        <v>424</v>
      </c>
      <c r="F625">
        <v>66</v>
      </c>
      <c r="G625" t="s">
        <v>291</v>
      </c>
      <c r="H625" t="s">
        <v>4</v>
      </c>
      <c r="I625">
        <v>0</v>
      </c>
    </row>
    <row r="626" spans="5:9" ht="15.75" hidden="1" customHeight="1" x14ac:dyDescent="0.2">
      <c r="E626" t="s">
        <v>425</v>
      </c>
      <c r="F626">
        <v>67</v>
      </c>
      <c r="G626" t="s">
        <v>291</v>
      </c>
      <c r="H626" t="s">
        <v>4</v>
      </c>
      <c r="I626">
        <v>0</v>
      </c>
    </row>
    <row r="627" spans="5:9" ht="15.75" hidden="1" customHeight="1" x14ac:dyDescent="0.2">
      <c r="E627" t="s">
        <v>426</v>
      </c>
      <c r="F627">
        <v>68</v>
      </c>
      <c r="G627" t="s">
        <v>291</v>
      </c>
      <c r="H627" t="s">
        <v>4</v>
      </c>
      <c r="I627">
        <v>0</v>
      </c>
    </row>
    <row r="628" spans="5:9" ht="15.75" hidden="1" customHeight="1" x14ac:dyDescent="0.2">
      <c r="E628" t="s">
        <v>427</v>
      </c>
      <c r="F628">
        <v>69</v>
      </c>
      <c r="G628" t="s">
        <v>291</v>
      </c>
      <c r="H628" t="s">
        <v>4</v>
      </c>
      <c r="I628">
        <v>0</v>
      </c>
    </row>
    <row r="629" spans="5:9" ht="15.75" hidden="1" customHeight="1" x14ac:dyDescent="0.2">
      <c r="E629" t="s">
        <v>428</v>
      </c>
      <c r="F629">
        <v>70</v>
      </c>
      <c r="G629" t="s">
        <v>291</v>
      </c>
      <c r="H629" t="s">
        <v>4</v>
      </c>
      <c r="I629">
        <v>0</v>
      </c>
    </row>
    <row r="630" spans="5:9" ht="15.75" hidden="1" customHeight="1" x14ac:dyDescent="0.2">
      <c r="E630" t="s">
        <v>429</v>
      </c>
      <c r="F630">
        <v>71</v>
      </c>
      <c r="G630" t="s">
        <v>291</v>
      </c>
      <c r="H630" t="s">
        <v>4</v>
      </c>
      <c r="I630">
        <v>0</v>
      </c>
    </row>
    <row r="631" spans="5:9" ht="15.75" hidden="1" customHeight="1" x14ac:dyDescent="0.2">
      <c r="E631" t="s">
        <v>430</v>
      </c>
      <c r="F631">
        <v>72</v>
      </c>
      <c r="G631" t="s">
        <v>291</v>
      </c>
      <c r="H631" t="s">
        <v>4</v>
      </c>
      <c r="I631">
        <v>0</v>
      </c>
    </row>
    <row r="632" spans="5:9" ht="15.75" hidden="1" customHeight="1" x14ac:dyDescent="0.2">
      <c r="E632" t="s">
        <v>370</v>
      </c>
      <c r="F632">
        <v>73</v>
      </c>
      <c r="G632" t="s">
        <v>291</v>
      </c>
      <c r="H632" t="s">
        <v>4</v>
      </c>
      <c r="I632">
        <v>0</v>
      </c>
    </row>
    <row r="633" spans="5:9" ht="15.75" hidden="1" customHeight="1" x14ac:dyDescent="0.2">
      <c r="E633" t="s">
        <v>373</v>
      </c>
      <c r="F633">
        <v>74</v>
      </c>
      <c r="G633" t="s">
        <v>291</v>
      </c>
      <c r="H633" t="s">
        <v>4</v>
      </c>
      <c r="I633">
        <v>0</v>
      </c>
    </row>
    <row r="634" spans="5:9" ht="15.75" hidden="1" customHeight="1" x14ac:dyDescent="0.2">
      <c r="E634" t="s">
        <v>374</v>
      </c>
      <c r="F634">
        <v>75</v>
      </c>
      <c r="G634" t="s">
        <v>291</v>
      </c>
      <c r="H634" t="s">
        <v>4</v>
      </c>
      <c r="I634">
        <v>0</v>
      </c>
    </row>
    <row r="635" spans="5:9" ht="15.75" hidden="1" customHeight="1" x14ac:dyDescent="0.2">
      <c r="E635" t="s">
        <v>375</v>
      </c>
      <c r="F635">
        <v>76</v>
      </c>
      <c r="G635" t="s">
        <v>291</v>
      </c>
      <c r="H635" t="s">
        <v>4</v>
      </c>
      <c r="I635">
        <v>0</v>
      </c>
    </row>
    <row r="636" spans="5:9" ht="15.75" hidden="1" customHeight="1" x14ac:dyDescent="0.2">
      <c r="E636" t="s">
        <v>376</v>
      </c>
      <c r="F636">
        <v>77</v>
      </c>
      <c r="G636" t="s">
        <v>291</v>
      </c>
      <c r="H636" t="s">
        <v>4</v>
      </c>
      <c r="I636">
        <v>0</v>
      </c>
    </row>
    <row r="637" spans="5:9" ht="15.75" hidden="1" customHeight="1" x14ac:dyDescent="0.2">
      <c r="E637" t="s">
        <v>382</v>
      </c>
      <c r="F637">
        <v>78</v>
      </c>
      <c r="G637" t="s">
        <v>291</v>
      </c>
      <c r="H637" t="s">
        <v>4</v>
      </c>
      <c r="I637">
        <v>0</v>
      </c>
    </row>
    <row r="638" spans="5:9" ht="15.75" hidden="1" customHeight="1" x14ac:dyDescent="0.2">
      <c r="E638" t="s">
        <v>383</v>
      </c>
      <c r="F638">
        <v>79</v>
      </c>
      <c r="G638" t="s">
        <v>291</v>
      </c>
      <c r="H638" t="s">
        <v>4</v>
      </c>
      <c r="I638">
        <v>0</v>
      </c>
    </row>
    <row r="639" spans="5:9" ht="15.75" hidden="1" customHeight="1" x14ac:dyDescent="0.2">
      <c r="E639" t="s">
        <v>395</v>
      </c>
      <c r="F639">
        <v>80</v>
      </c>
      <c r="G639" t="s">
        <v>291</v>
      </c>
      <c r="H639" t="s">
        <v>4</v>
      </c>
      <c r="I639">
        <v>0</v>
      </c>
    </row>
    <row r="640" spans="5:9" ht="15.75" hidden="1" customHeight="1" x14ac:dyDescent="0.2">
      <c r="E640" t="s">
        <v>397</v>
      </c>
      <c r="F640">
        <v>81</v>
      </c>
      <c r="G640" t="s">
        <v>291</v>
      </c>
      <c r="H640" t="s">
        <v>4</v>
      </c>
      <c r="I640">
        <v>0</v>
      </c>
    </row>
    <row r="641" spans="5:9" ht="15.75" hidden="1" customHeight="1" x14ac:dyDescent="0.2">
      <c r="E641" t="s">
        <v>399</v>
      </c>
      <c r="F641">
        <v>82</v>
      </c>
      <c r="G641" t="s">
        <v>291</v>
      </c>
      <c r="H641" t="s">
        <v>4</v>
      </c>
      <c r="I641">
        <v>0</v>
      </c>
    </row>
    <row r="642" spans="5:9" ht="15.75" hidden="1" customHeight="1" x14ac:dyDescent="0.2">
      <c r="E642" t="s">
        <v>400</v>
      </c>
      <c r="F642">
        <v>83</v>
      </c>
      <c r="G642" t="s">
        <v>291</v>
      </c>
      <c r="H642" t="s">
        <v>4</v>
      </c>
      <c r="I642">
        <v>0</v>
      </c>
    </row>
    <row r="643" spans="5:9" ht="15.75" hidden="1" customHeight="1" x14ac:dyDescent="0.2">
      <c r="E643" t="s">
        <v>401</v>
      </c>
      <c r="F643">
        <v>84</v>
      </c>
      <c r="G643" t="s">
        <v>291</v>
      </c>
      <c r="H643" t="s">
        <v>4</v>
      </c>
      <c r="I643">
        <v>0</v>
      </c>
    </row>
    <row r="644" spans="5:9" ht="15.75" hidden="1" customHeight="1" x14ac:dyDescent="0.2">
      <c r="E644" t="s">
        <v>402</v>
      </c>
      <c r="F644">
        <v>85</v>
      </c>
      <c r="G644" t="s">
        <v>291</v>
      </c>
      <c r="H644" t="s">
        <v>4</v>
      </c>
      <c r="I644">
        <v>0</v>
      </c>
    </row>
    <row r="645" spans="5:9" ht="15.75" hidden="1" customHeight="1" x14ac:dyDescent="0.2">
      <c r="E645" t="s">
        <v>403</v>
      </c>
      <c r="F645">
        <v>86</v>
      </c>
      <c r="G645" t="s">
        <v>291</v>
      </c>
      <c r="H645" t="s">
        <v>4</v>
      </c>
      <c r="I645">
        <v>0</v>
      </c>
    </row>
    <row r="646" spans="5:9" ht="15.75" hidden="1" customHeight="1" x14ac:dyDescent="0.2">
      <c r="E646" t="s">
        <v>404</v>
      </c>
      <c r="F646">
        <v>87</v>
      </c>
      <c r="G646" t="s">
        <v>291</v>
      </c>
      <c r="H646" t="s">
        <v>4</v>
      </c>
      <c r="I646">
        <v>0</v>
      </c>
    </row>
    <row r="647" spans="5:9" ht="15.75" hidden="1" customHeight="1" x14ac:dyDescent="0.2">
      <c r="E647" t="s">
        <v>405</v>
      </c>
      <c r="F647">
        <v>88</v>
      </c>
      <c r="G647" t="s">
        <v>291</v>
      </c>
      <c r="H647" t="s">
        <v>4</v>
      </c>
      <c r="I647">
        <v>0</v>
      </c>
    </row>
    <row r="648" spans="5:9" ht="15.75" hidden="1" customHeight="1" x14ac:dyDescent="0.2">
      <c r="E648" t="s">
        <v>406</v>
      </c>
      <c r="F648">
        <v>89</v>
      </c>
      <c r="G648" t="s">
        <v>291</v>
      </c>
      <c r="H648" t="s">
        <v>4</v>
      </c>
      <c r="I648">
        <v>0</v>
      </c>
    </row>
    <row r="649" spans="5:9" ht="15.75" hidden="1" customHeight="1" x14ac:dyDescent="0.2">
      <c r="E649" t="s">
        <v>376</v>
      </c>
      <c r="F649">
        <v>90</v>
      </c>
      <c r="G649" t="s">
        <v>291</v>
      </c>
      <c r="H649" t="s">
        <v>4</v>
      </c>
      <c r="I649">
        <v>0</v>
      </c>
    </row>
    <row r="650" spans="5:9" ht="15.75" hidden="1" customHeight="1" x14ac:dyDescent="0.2">
      <c r="E650" t="s">
        <v>409</v>
      </c>
      <c r="F650">
        <v>91</v>
      </c>
      <c r="G650" t="s">
        <v>291</v>
      </c>
      <c r="H650" t="s">
        <v>4</v>
      </c>
      <c r="I650">
        <v>0</v>
      </c>
    </row>
    <row r="651" spans="5:9" ht="15.75" hidden="1" customHeight="1" x14ac:dyDescent="0.2">
      <c r="E651" t="s">
        <v>410</v>
      </c>
      <c r="F651">
        <v>92</v>
      </c>
      <c r="G651" t="s">
        <v>291</v>
      </c>
      <c r="H651" t="s">
        <v>4</v>
      </c>
      <c r="I651">
        <v>0</v>
      </c>
    </row>
    <row r="652" spans="5:9" ht="15.75" hidden="1" customHeight="1" x14ac:dyDescent="0.2">
      <c r="E652" t="s">
        <v>413</v>
      </c>
      <c r="F652">
        <v>93</v>
      </c>
      <c r="G652" t="s">
        <v>291</v>
      </c>
      <c r="H652" t="s">
        <v>4</v>
      </c>
      <c r="I652">
        <v>0</v>
      </c>
    </row>
    <row r="653" spans="5:9" ht="15.75" hidden="1" customHeight="1" x14ac:dyDescent="0.2">
      <c r="E653" t="s">
        <v>414</v>
      </c>
      <c r="F653">
        <v>94</v>
      </c>
      <c r="G653" t="s">
        <v>291</v>
      </c>
      <c r="H653" t="s">
        <v>4</v>
      </c>
      <c r="I653">
        <v>0</v>
      </c>
    </row>
    <row r="654" spans="5:9" ht="15.75" hidden="1" customHeight="1" x14ac:dyDescent="0.2">
      <c r="E654" t="s">
        <v>417</v>
      </c>
      <c r="F654">
        <v>95</v>
      </c>
      <c r="G654" t="s">
        <v>291</v>
      </c>
      <c r="H654" t="s">
        <v>4</v>
      </c>
      <c r="I654">
        <v>0</v>
      </c>
    </row>
    <row r="655" spans="5:9" ht="15.75" hidden="1" customHeight="1" x14ac:dyDescent="0.2">
      <c r="E655" t="s">
        <v>440</v>
      </c>
      <c r="F655">
        <v>96</v>
      </c>
      <c r="G655" t="s">
        <v>291</v>
      </c>
      <c r="H655" t="s">
        <v>4</v>
      </c>
      <c r="I655">
        <v>0</v>
      </c>
    </row>
    <row r="656" spans="5:9" ht="15.75" hidden="1" customHeight="1" x14ac:dyDescent="0.2">
      <c r="E656" t="s">
        <v>441</v>
      </c>
      <c r="F656">
        <v>97</v>
      </c>
      <c r="G656" t="s">
        <v>291</v>
      </c>
      <c r="H656" t="s">
        <v>4</v>
      </c>
      <c r="I656">
        <v>0</v>
      </c>
    </row>
    <row r="657" spans="5:9" ht="15.75" hidden="1" customHeight="1" x14ac:dyDescent="0.2">
      <c r="E657" t="s">
        <v>442</v>
      </c>
      <c r="F657">
        <v>98</v>
      </c>
      <c r="G657" t="s">
        <v>291</v>
      </c>
      <c r="H657" t="s">
        <v>4</v>
      </c>
      <c r="I657">
        <v>0</v>
      </c>
    </row>
    <row r="658" spans="5:9" ht="15.75" hidden="1" customHeight="1" x14ac:dyDescent="0.2">
      <c r="E658" t="s">
        <v>443</v>
      </c>
      <c r="F658">
        <v>99</v>
      </c>
      <c r="G658" t="s">
        <v>291</v>
      </c>
      <c r="H658" t="s">
        <v>4</v>
      </c>
      <c r="I658">
        <v>0</v>
      </c>
    </row>
    <row r="659" spans="5:9" ht="15.75" hidden="1" customHeight="1" x14ac:dyDescent="0.2">
      <c r="E659" t="s">
        <v>444</v>
      </c>
      <c r="F659">
        <v>100</v>
      </c>
      <c r="G659" t="s">
        <v>291</v>
      </c>
      <c r="H659" t="s">
        <v>4</v>
      </c>
      <c r="I659">
        <v>2</v>
      </c>
    </row>
    <row r="660" spans="5:9" ht="15.75" hidden="1" customHeight="1" x14ac:dyDescent="0.2">
      <c r="E660" t="s">
        <v>362</v>
      </c>
      <c r="F660">
        <v>101</v>
      </c>
      <c r="G660" t="s">
        <v>291</v>
      </c>
      <c r="H660" t="s">
        <v>4</v>
      </c>
      <c r="I660">
        <v>0</v>
      </c>
    </row>
    <row r="661" spans="5:9" ht="15.75" hidden="1" customHeight="1" x14ac:dyDescent="0.2">
      <c r="E661" t="s">
        <v>446</v>
      </c>
      <c r="F661">
        <v>102</v>
      </c>
      <c r="G661" t="s">
        <v>291</v>
      </c>
      <c r="H661" t="s">
        <v>4</v>
      </c>
      <c r="I661">
        <v>0</v>
      </c>
    </row>
    <row r="662" spans="5:9" ht="15.75" hidden="1" customHeight="1" x14ac:dyDescent="0.2">
      <c r="E662" t="s">
        <v>447</v>
      </c>
      <c r="F662">
        <v>103</v>
      </c>
      <c r="G662" t="s">
        <v>291</v>
      </c>
      <c r="H662" t="s">
        <v>4</v>
      </c>
      <c r="I662">
        <v>0</v>
      </c>
    </row>
    <row r="663" spans="5:9" ht="15.75" hidden="1" customHeight="1" x14ac:dyDescent="0.2">
      <c r="E663" t="s">
        <v>448</v>
      </c>
      <c r="F663">
        <v>104</v>
      </c>
      <c r="G663" t="s">
        <v>291</v>
      </c>
      <c r="H663" t="s">
        <v>4</v>
      </c>
      <c r="I663">
        <v>0</v>
      </c>
    </row>
    <row r="664" spans="5:9" ht="15.75" hidden="1" customHeight="1" x14ac:dyDescent="0.2">
      <c r="E664" t="s">
        <v>449</v>
      </c>
      <c r="F664">
        <v>105</v>
      </c>
      <c r="G664" t="s">
        <v>291</v>
      </c>
      <c r="H664" t="s">
        <v>4</v>
      </c>
      <c r="I664">
        <v>0</v>
      </c>
    </row>
    <row r="665" spans="5:9" ht="15.75" hidden="1" customHeight="1" x14ac:dyDescent="0.2">
      <c r="E665" t="s">
        <v>450</v>
      </c>
      <c r="F665">
        <v>106</v>
      </c>
      <c r="G665" t="s">
        <v>291</v>
      </c>
      <c r="H665" t="s">
        <v>4</v>
      </c>
      <c r="I665">
        <v>0</v>
      </c>
    </row>
    <row r="666" spans="5:9" ht="15.75" hidden="1" customHeight="1" x14ac:dyDescent="0.2">
      <c r="E666" t="s">
        <v>451</v>
      </c>
      <c r="F666">
        <v>107</v>
      </c>
      <c r="G666" t="s">
        <v>291</v>
      </c>
      <c r="H666" t="s">
        <v>4</v>
      </c>
      <c r="I666">
        <v>0</v>
      </c>
    </row>
    <row r="667" spans="5:9" ht="15.75" hidden="1" customHeight="1" x14ac:dyDescent="0.2">
      <c r="E667" t="s">
        <v>452</v>
      </c>
      <c r="F667">
        <v>108</v>
      </c>
      <c r="G667" t="s">
        <v>291</v>
      </c>
      <c r="H667" t="s">
        <v>4</v>
      </c>
      <c r="I667">
        <v>0</v>
      </c>
    </row>
    <row r="668" spans="5:9" ht="15.75" hidden="1" customHeight="1" x14ac:dyDescent="0.2">
      <c r="E668" t="s">
        <v>453</v>
      </c>
      <c r="F668">
        <v>109</v>
      </c>
      <c r="G668" t="s">
        <v>291</v>
      </c>
      <c r="H668" t="s">
        <v>4</v>
      </c>
      <c r="I668">
        <v>0</v>
      </c>
    </row>
    <row r="669" spans="5:9" ht="15.75" hidden="1" customHeight="1" x14ac:dyDescent="0.2">
      <c r="E669" t="s">
        <v>454</v>
      </c>
      <c r="F669">
        <v>110</v>
      </c>
      <c r="G669" t="s">
        <v>291</v>
      </c>
      <c r="H669" t="s">
        <v>4</v>
      </c>
      <c r="I669">
        <v>0</v>
      </c>
    </row>
    <row r="670" spans="5:9" ht="15.75" hidden="1" customHeight="1" x14ac:dyDescent="0.2">
      <c r="E670" t="s">
        <v>455</v>
      </c>
      <c r="F670">
        <v>111</v>
      </c>
      <c r="G670" t="s">
        <v>291</v>
      </c>
      <c r="H670" t="s">
        <v>4</v>
      </c>
      <c r="I670">
        <v>0</v>
      </c>
    </row>
    <row r="671" spans="5:9" ht="15.75" hidden="1" customHeight="1" x14ac:dyDescent="0.2">
      <c r="E671" t="s">
        <v>456</v>
      </c>
      <c r="F671">
        <v>112</v>
      </c>
      <c r="G671" t="s">
        <v>291</v>
      </c>
      <c r="H671" t="s">
        <v>4</v>
      </c>
      <c r="I671">
        <v>0</v>
      </c>
    </row>
    <row r="672" spans="5:9" ht="15.75" hidden="1" customHeight="1" x14ac:dyDescent="0.2">
      <c r="E672" t="s">
        <v>457</v>
      </c>
      <c r="F672">
        <v>113</v>
      </c>
      <c r="G672" t="s">
        <v>291</v>
      </c>
      <c r="H672" t="s">
        <v>4</v>
      </c>
      <c r="I672">
        <v>0</v>
      </c>
    </row>
    <row r="673" spans="5:9" ht="15.75" hidden="1" customHeight="1" x14ac:dyDescent="0.2">
      <c r="E673" t="s">
        <v>459</v>
      </c>
      <c r="F673">
        <v>114</v>
      </c>
      <c r="G673" t="s">
        <v>291</v>
      </c>
      <c r="H673" t="s">
        <v>4</v>
      </c>
      <c r="I673">
        <v>0</v>
      </c>
    </row>
    <row r="674" spans="5:9" ht="15.75" hidden="1" customHeight="1" x14ac:dyDescent="0.2">
      <c r="E674" t="s">
        <v>460</v>
      </c>
      <c r="F674">
        <v>115</v>
      </c>
      <c r="G674" t="s">
        <v>291</v>
      </c>
      <c r="H674" t="s">
        <v>4</v>
      </c>
      <c r="I674">
        <v>0</v>
      </c>
    </row>
    <row r="675" spans="5:9" ht="15.75" hidden="1" customHeight="1" x14ac:dyDescent="0.2">
      <c r="E675" t="s">
        <v>461</v>
      </c>
      <c r="F675">
        <v>116</v>
      </c>
      <c r="G675" t="s">
        <v>291</v>
      </c>
      <c r="H675" t="s">
        <v>4</v>
      </c>
      <c r="I675">
        <v>0</v>
      </c>
    </row>
    <row r="676" spans="5:9" ht="15.75" hidden="1" customHeight="1" x14ac:dyDescent="0.2">
      <c r="E676" t="s">
        <v>462</v>
      </c>
      <c r="F676">
        <v>117</v>
      </c>
      <c r="G676" t="s">
        <v>291</v>
      </c>
      <c r="H676" t="s">
        <v>4</v>
      </c>
      <c r="I676">
        <v>0</v>
      </c>
    </row>
    <row r="677" spans="5:9" ht="15.75" hidden="1" customHeight="1" x14ac:dyDescent="0.2">
      <c r="E677" t="s">
        <v>463</v>
      </c>
      <c r="F677">
        <v>118</v>
      </c>
      <c r="G677" t="s">
        <v>291</v>
      </c>
      <c r="H677" t="s">
        <v>4</v>
      </c>
      <c r="I677">
        <v>0</v>
      </c>
    </row>
    <row r="678" spans="5:9" ht="15.75" hidden="1" customHeight="1" x14ac:dyDescent="0.2">
      <c r="E678" t="s">
        <v>464</v>
      </c>
      <c r="F678">
        <v>119</v>
      </c>
      <c r="G678" t="s">
        <v>291</v>
      </c>
      <c r="H678" t="s">
        <v>4</v>
      </c>
      <c r="I678">
        <v>0</v>
      </c>
    </row>
    <row r="679" spans="5:9" ht="15.75" hidden="1" customHeight="1" x14ac:dyDescent="0.2">
      <c r="E679" t="s">
        <v>465</v>
      </c>
      <c r="F679">
        <v>120</v>
      </c>
      <c r="G679" t="s">
        <v>291</v>
      </c>
      <c r="H679" t="s">
        <v>4</v>
      </c>
      <c r="I679">
        <v>0</v>
      </c>
    </row>
    <row r="680" spans="5:9" ht="15.75" hidden="1" customHeight="1" x14ac:dyDescent="0.2">
      <c r="E680" t="s">
        <v>466</v>
      </c>
      <c r="F680">
        <v>121</v>
      </c>
      <c r="G680" t="s">
        <v>291</v>
      </c>
      <c r="H680" t="s">
        <v>4</v>
      </c>
      <c r="I680">
        <v>0</v>
      </c>
    </row>
    <row r="681" spans="5:9" ht="15.75" hidden="1" customHeight="1" x14ac:dyDescent="0.2">
      <c r="E681" t="s">
        <v>467</v>
      </c>
      <c r="F681">
        <v>122</v>
      </c>
      <c r="G681" t="s">
        <v>291</v>
      </c>
      <c r="H681" t="s">
        <v>4</v>
      </c>
      <c r="I681">
        <v>0</v>
      </c>
    </row>
    <row r="682" spans="5:9" ht="15.75" hidden="1" customHeight="1" x14ac:dyDescent="0.2">
      <c r="E682" t="s">
        <v>468</v>
      </c>
      <c r="F682">
        <v>123</v>
      </c>
      <c r="G682" t="s">
        <v>291</v>
      </c>
      <c r="H682" t="s">
        <v>4</v>
      </c>
      <c r="I682">
        <v>0</v>
      </c>
    </row>
    <row r="683" spans="5:9" ht="15.75" hidden="1" customHeight="1" x14ac:dyDescent="0.2">
      <c r="E683" t="s">
        <v>469</v>
      </c>
      <c r="F683">
        <v>124</v>
      </c>
      <c r="G683" t="s">
        <v>291</v>
      </c>
      <c r="H683" t="s">
        <v>4</v>
      </c>
      <c r="I683">
        <v>0</v>
      </c>
    </row>
    <row r="684" spans="5:9" ht="15.75" hidden="1" customHeight="1" x14ac:dyDescent="0.2">
      <c r="E684" t="s">
        <v>470</v>
      </c>
      <c r="F684">
        <v>125</v>
      </c>
      <c r="G684" t="s">
        <v>291</v>
      </c>
      <c r="H684" t="s">
        <v>4</v>
      </c>
      <c r="I684">
        <v>0</v>
      </c>
    </row>
    <row r="685" spans="5:9" ht="15.75" hidden="1" customHeight="1" x14ac:dyDescent="0.2">
      <c r="E685" t="s">
        <v>471</v>
      </c>
      <c r="F685">
        <v>126</v>
      </c>
      <c r="G685" t="s">
        <v>291</v>
      </c>
      <c r="H685" t="s">
        <v>4</v>
      </c>
      <c r="I685">
        <v>0</v>
      </c>
    </row>
    <row r="686" spans="5:9" ht="15.75" hidden="1" customHeight="1" x14ac:dyDescent="0.2">
      <c r="E686" t="s">
        <v>472</v>
      </c>
      <c r="F686">
        <v>127</v>
      </c>
      <c r="G686" t="s">
        <v>291</v>
      </c>
      <c r="H686" t="s">
        <v>4</v>
      </c>
      <c r="I686">
        <v>0</v>
      </c>
    </row>
    <row r="687" spans="5:9" ht="15.75" hidden="1" customHeight="1" x14ac:dyDescent="0.2">
      <c r="E687" t="s">
        <v>473</v>
      </c>
      <c r="F687">
        <v>128</v>
      </c>
      <c r="G687" t="s">
        <v>291</v>
      </c>
      <c r="H687" t="s">
        <v>4</v>
      </c>
      <c r="I687">
        <v>0</v>
      </c>
    </row>
    <row r="688" spans="5:9" ht="15.75" hidden="1" customHeight="1" x14ac:dyDescent="0.2">
      <c r="E688" t="s">
        <v>474</v>
      </c>
      <c r="F688">
        <v>129</v>
      </c>
      <c r="G688" t="s">
        <v>291</v>
      </c>
      <c r="H688" t="s">
        <v>4</v>
      </c>
      <c r="I688">
        <v>0</v>
      </c>
    </row>
    <row r="689" spans="5:9" ht="15.75" hidden="1" customHeight="1" x14ac:dyDescent="0.2">
      <c r="E689" t="s">
        <v>476</v>
      </c>
      <c r="F689">
        <v>130</v>
      </c>
      <c r="G689" t="s">
        <v>291</v>
      </c>
      <c r="H689" t="s">
        <v>4</v>
      </c>
      <c r="I689">
        <v>1</v>
      </c>
    </row>
    <row r="690" spans="5:9" ht="15.75" hidden="1" customHeight="1" x14ac:dyDescent="0.2">
      <c r="E690" t="s">
        <v>478</v>
      </c>
      <c r="F690">
        <v>131</v>
      </c>
      <c r="G690" t="s">
        <v>291</v>
      </c>
      <c r="H690" t="s">
        <v>4</v>
      </c>
      <c r="I690">
        <v>0</v>
      </c>
    </row>
    <row r="691" spans="5:9" ht="15.75" hidden="1" customHeight="1" x14ac:dyDescent="0.2">
      <c r="E691" t="s">
        <v>440</v>
      </c>
      <c r="F691">
        <v>132</v>
      </c>
      <c r="G691" t="s">
        <v>291</v>
      </c>
      <c r="H691" t="s">
        <v>4</v>
      </c>
      <c r="I691">
        <v>0</v>
      </c>
    </row>
    <row r="692" spans="5:9" ht="15.75" hidden="1" customHeight="1" x14ac:dyDescent="0.2">
      <c r="E692" t="s">
        <v>441</v>
      </c>
      <c r="F692">
        <v>133</v>
      </c>
      <c r="G692" t="s">
        <v>291</v>
      </c>
      <c r="H692" t="s">
        <v>4</v>
      </c>
      <c r="I692">
        <v>0</v>
      </c>
    </row>
    <row r="693" spans="5:9" ht="15.75" hidden="1" customHeight="1" x14ac:dyDescent="0.2">
      <c r="E693" t="s">
        <v>442</v>
      </c>
      <c r="F693">
        <v>134</v>
      </c>
      <c r="G693" t="s">
        <v>291</v>
      </c>
      <c r="H693" t="s">
        <v>4</v>
      </c>
      <c r="I693">
        <v>0</v>
      </c>
    </row>
    <row r="694" spans="5:9" ht="15.75" hidden="1" customHeight="1" x14ac:dyDescent="0.2">
      <c r="E694" t="s">
        <v>443</v>
      </c>
      <c r="F694">
        <v>135</v>
      </c>
      <c r="G694" t="s">
        <v>291</v>
      </c>
      <c r="H694" t="s">
        <v>4</v>
      </c>
      <c r="I694">
        <v>22</v>
      </c>
    </row>
    <row r="695" spans="5:9" ht="15.75" hidden="1" customHeight="1" x14ac:dyDescent="0.2">
      <c r="E695" t="s">
        <v>362</v>
      </c>
      <c r="F695">
        <v>136</v>
      </c>
      <c r="G695" t="s">
        <v>291</v>
      </c>
      <c r="H695" t="s">
        <v>4</v>
      </c>
      <c r="I695">
        <v>1</v>
      </c>
    </row>
    <row r="696" spans="5:9" ht="15.75" hidden="1" customHeight="1" x14ac:dyDescent="0.2">
      <c r="E696" t="s">
        <v>482</v>
      </c>
      <c r="F696">
        <v>137</v>
      </c>
      <c r="G696" t="s">
        <v>291</v>
      </c>
      <c r="H696" t="s">
        <v>4</v>
      </c>
      <c r="I696">
        <v>2</v>
      </c>
    </row>
    <row r="697" spans="5:9" ht="15.75" hidden="1" customHeight="1" x14ac:dyDescent="0.2">
      <c r="E697" t="s">
        <v>483</v>
      </c>
      <c r="F697">
        <v>138</v>
      </c>
      <c r="G697" t="s">
        <v>291</v>
      </c>
      <c r="H697" t="s">
        <v>4</v>
      </c>
      <c r="I697">
        <v>18</v>
      </c>
    </row>
    <row r="698" spans="5:9" ht="15.75" hidden="1" customHeight="1" x14ac:dyDescent="0.2">
      <c r="E698" t="s">
        <v>484</v>
      </c>
      <c r="F698">
        <v>139</v>
      </c>
      <c r="G698" t="s">
        <v>291</v>
      </c>
      <c r="H698" t="s">
        <v>4</v>
      </c>
      <c r="I698">
        <v>19</v>
      </c>
    </row>
    <row r="699" spans="5:9" ht="15.75" hidden="1" customHeight="1" x14ac:dyDescent="0.2">
      <c r="E699" t="s">
        <v>486</v>
      </c>
      <c r="F699">
        <v>140</v>
      </c>
      <c r="G699" t="s">
        <v>291</v>
      </c>
      <c r="H699" t="s">
        <v>4</v>
      </c>
      <c r="I699">
        <v>1</v>
      </c>
    </row>
    <row r="700" spans="5:9" ht="15.75" hidden="1" customHeight="1" x14ac:dyDescent="0.2">
      <c r="E700" t="s">
        <v>487</v>
      </c>
      <c r="F700">
        <v>141</v>
      </c>
      <c r="G700" t="s">
        <v>291</v>
      </c>
      <c r="H700" t="s">
        <v>4</v>
      </c>
      <c r="I700">
        <v>0</v>
      </c>
    </row>
    <row r="701" spans="5:9" ht="15.75" hidden="1" customHeight="1" x14ac:dyDescent="0.2">
      <c r="E701" t="s">
        <v>446</v>
      </c>
      <c r="F701">
        <v>142</v>
      </c>
      <c r="G701" t="s">
        <v>291</v>
      </c>
      <c r="H701" t="s">
        <v>4</v>
      </c>
      <c r="I701">
        <v>1</v>
      </c>
    </row>
    <row r="702" spans="5:9" ht="15.75" hidden="1" customHeight="1" x14ac:dyDescent="0.2">
      <c r="E702" t="s">
        <v>447</v>
      </c>
      <c r="F702">
        <v>143</v>
      </c>
      <c r="G702" t="s">
        <v>291</v>
      </c>
      <c r="H702" t="s">
        <v>4</v>
      </c>
      <c r="I702">
        <v>2</v>
      </c>
    </row>
    <row r="703" spans="5:9" ht="15.75" hidden="1" customHeight="1" x14ac:dyDescent="0.2">
      <c r="E703" t="s">
        <v>448</v>
      </c>
      <c r="F703">
        <v>144</v>
      </c>
      <c r="G703" t="s">
        <v>291</v>
      </c>
      <c r="H703" t="s">
        <v>4</v>
      </c>
      <c r="I703">
        <v>0</v>
      </c>
    </row>
    <row r="704" spans="5:9" ht="15.75" hidden="1" customHeight="1" x14ac:dyDescent="0.2">
      <c r="E704" t="s">
        <v>449</v>
      </c>
      <c r="F704">
        <v>145</v>
      </c>
      <c r="G704" t="s">
        <v>291</v>
      </c>
      <c r="H704" t="s">
        <v>4</v>
      </c>
      <c r="I704">
        <v>0</v>
      </c>
    </row>
    <row r="705" spans="5:9" ht="15.75" hidden="1" customHeight="1" x14ac:dyDescent="0.2">
      <c r="E705" t="s">
        <v>450</v>
      </c>
      <c r="F705">
        <v>146</v>
      </c>
      <c r="G705" t="s">
        <v>291</v>
      </c>
      <c r="H705" t="s">
        <v>4</v>
      </c>
      <c r="I705">
        <v>0</v>
      </c>
    </row>
    <row r="706" spans="5:9" ht="15.75" hidden="1" customHeight="1" x14ac:dyDescent="0.2">
      <c r="E706" t="s">
        <v>451</v>
      </c>
      <c r="F706">
        <v>147</v>
      </c>
      <c r="G706" t="s">
        <v>291</v>
      </c>
      <c r="H706" t="s">
        <v>4</v>
      </c>
      <c r="I706">
        <v>0</v>
      </c>
    </row>
    <row r="707" spans="5:9" ht="15.75" hidden="1" customHeight="1" x14ac:dyDescent="0.2">
      <c r="E707" t="s">
        <v>488</v>
      </c>
      <c r="F707">
        <v>148</v>
      </c>
      <c r="G707" t="s">
        <v>291</v>
      </c>
      <c r="H707" t="s">
        <v>4</v>
      </c>
      <c r="I707">
        <v>1</v>
      </c>
    </row>
    <row r="708" spans="5:9" ht="15.75" hidden="1" customHeight="1" x14ac:dyDescent="0.2">
      <c r="E708" t="s">
        <v>452</v>
      </c>
      <c r="F708">
        <v>149</v>
      </c>
      <c r="G708" t="s">
        <v>291</v>
      </c>
      <c r="H708" t="s">
        <v>4</v>
      </c>
      <c r="I708">
        <v>3</v>
      </c>
    </row>
    <row r="709" spans="5:9" ht="15.75" hidden="1" customHeight="1" x14ac:dyDescent="0.2">
      <c r="E709" t="s">
        <v>453</v>
      </c>
      <c r="F709">
        <v>150</v>
      </c>
      <c r="G709" t="s">
        <v>291</v>
      </c>
      <c r="H709" t="s">
        <v>4</v>
      </c>
      <c r="I709">
        <v>0</v>
      </c>
    </row>
    <row r="710" spans="5:9" ht="15.75" hidden="1" customHeight="1" x14ac:dyDescent="0.2">
      <c r="E710" t="s">
        <v>454</v>
      </c>
      <c r="F710">
        <v>151</v>
      </c>
      <c r="G710" t="s">
        <v>291</v>
      </c>
      <c r="H710" t="s">
        <v>4</v>
      </c>
      <c r="I710">
        <v>0</v>
      </c>
    </row>
    <row r="711" spans="5:9" ht="15.75" hidden="1" customHeight="1" x14ac:dyDescent="0.2">
      <c r="E711" t="s">
        <v>455</v>
      </c>
      <c r="F711">
        <v>152</v>
      </c>
      <c r="G711" t="s">
        <v>291</v>
      </c>
      <c r="H711" t="s">
        <v>4</v>
      </c>
      <c r="I711">
        <v>0</v>
      </c>
    </row>
    <row r="712" spans="5:9" ht="15.75" hidden="1" customHeight="1" x14ac:dyDescent="0.2">
      <c r="E712" t="s">
        <v>456</v>
      </c>
      <c r="F712">
        <v>153</v>
      </c>
      <c r="G712" t="s">
        <v>291</v>
      </c>
      <c r="H712" t="s">
        <v>4</v>
      </c>
      <c r="I712">
        <v>0</v>
      </c>
    </row>
    <row r="713" spans="5:9" ht="15.75" hidden="1" customHeight="1" x14ac:dyDescent="0.2">
      <c r="E713" t="s">
        <v>489</v>
      </c>
      <c r="F713">
        <v>154</v>
      </c>
      <c r="G713" t="s">
        <v>291</v>
      </c>
      <c r="H713" t="s">
        <v>4</v>
      </c>
      <c r="I713">
        <v>1</v>
      </c>
    </row>
    <row r="714" spans="5:9" ht="15.75" hidden="1" customHeight="1" x14ac:dyDescent="0.2">
      <c r="E714" t="s">
        <v>457</v>
      </c>
      <c r="F714">
        <v>155</v>
      </c>
      <c r="G714" t="s">
        <v>291</v>
      </c>
      <c r="H714" t="s">
        <v>4</v>
      </c>
      <c r="I714">
        <v>0</v>
      </c>
    </row>
    <row r="715" spans="5:9" ht="15.75" hidden="1" customHeight="1" x14ac:dyDescent="0.2">
      <c r="E715" t="s">
        <v>362</v>
      </c>
      <c r="F715">
        <v>156</v>
      </c>
      <c r="G715" t="s">
        <v>291</v>
      </c>
      <c r="H715" t="s">
        <v>4</v>
      </c>
      <c r="I715">
        <v>0</v>
      </c>
    </row>
    <row r="716" spans="5:9" ht="15.75" hidden="1" customHeight="1" x14ac:dyDescent="0.2">
      <c r="E716" t="s">
        <v>491</v>
      </c>
      <c r="F716">
        <v>157</v>
      </c>
      <c r="G716" t="s">
        <v>291</v>
      </c>
      <c r="H716" t="s">
        <v>4</v>
      </c>
      <c r="I716">
        <v>13</v>
      </c>
    </row>
    <row r="717" spans="5:9" ht="15.75" hidden="1" customHeight="1" x14ac:dyDescent="0.2">
      <c r="E717" t="s">
        <v>492</v>
      </c>
      <c r="F717">
        <v>158</v>
      </c>
      <c r="G717" t="s">
        <v>291</v>
      </c>
      <c r="H717" t="s">
        <v>4</v>
      </c>
      <c r="I717">
        <v>4</v>
      </c>
    </row>
    <row r="718" spans="5:9" ht="15.75" hidden="1" customHeight="1" x14ac:dyDescent="0.2">
      <c r="E718" t="s">
        <v>493</v>
      </c>
      <c r="F718">
        <v>159</v>
      </c>
      <c r="G718" t="s">
        <v>291</v>
      </c>
      <c r="H718" t="s">
        <v>4</v>
      </c>
      <c r="I718">
        <v>4</v>
      </c>
    </row>
    <row r="719" spans="5:9" ht="15.75" hidden="1" customHeight="1" x14ac:dyDescent="0.2">
      <c r="E719" t="s">
        <v>494</v>
      </c>
      <c r="F719">
        <v>160</v>
      </c>
      <c r="G719" t="s">
        <v>291</v>
      </c>
      <c r="H719" t="s">
        <v>4</v>
      </c>
      <c r="I719">
        <v>7</v>
      </c>
    </row>
    <row r="720" spans="5:9" ht="15.75" hidden="1" customHeight="1" x14ac:dyDescent="0.2">
      <c r="E720" t="s">
        <v>496</v>
      </c>
      <c r="F720">
        <v>161</v>
      </c>
      <c r="G720" t="s">
        <v>291</v>
      </c>
      <c r="H720" t="s">
        <v>4</v>
      </c>
      <c r="I720">
        <v>1</v>
      </c>
    </row>
    <row r="721" spans="5:9" ht="15.75" hidden="1" customHeight="1" x14ac:dyDescent="0.2">
      <c r="E721" t="s">
        <v>497</v>
      </c>
      <c r="F721">
        <v>162</v>
      </c>
      <c r="G721" t="s">
        <v>291</v>
      </c>
      <c r="H721" t="s">
        <v>4</v>
      </c>
      <c r="I721">
        <v>0</v>
      </c>
    </row>
    <row r="722" spans="5:9" ht="15.75" hidden="1" customHeight="1" x14ac:dyDescent="0.2">
      <c r="E722" t="s">
        <v>459</v>
      </c>
      <c r="F722">
        <v>163</v>
      </c>
      <c r="G722" t="s">
        <v>291</v>
      </c>
      <c r="H722" t="s">
        <v>4</v>
      </c>
      <c r="I722">
        <v>3</v>
      </c>
    </row>
    <row r="723" spans="5:9" ht="15.75" hidden="1" customHeight="1" x14ac:dyDescent="0.2">
      <c r="E723" t="s">
        <v>460</v>
      </c>
      <c r="F723">
        <v>164</v>
      </c>
      <c r="G723" t="s">
        <v>291</v>
      </c>
      <c r="H723" t="s">
        <v>4</v>
      </c>
      <c r="I723">
        <v>0</v>
      </c>
    </row>
    <row r="724" spans="5:9" ht="15.75" hidden="1" customHeight="1" x14ac:dyDescent="0.2">
      <c r="E724" t="s">
        <v>461</v>
      </c>
      <c r="F724">
        <v>165</v>
      </c>
      <c r="G724" t="s">
        <v>291</v>
      </c>
      <c r="H724" t="s">
        <v>4</v>
      </c>
      <c r="I724">
        <v>2</v>
      </c>
    </row>
    <row r="725" spans="5:9" ht="15.75" hidden="1" customHeight="1" x14ac:dyDescent="0.2">
      <c r="E725" t="s">
        <v>462</v>
      </c>
      <c r="F725">
        <v>166</v>
      </c>
      <c r="G725" t="s">
        <v>291</v>
      </c>
      <c r="H725" t="s">
        <v>4</v>
      </c>
      <c r="I725">
        <v>0</v>
      </c>
    </row>
    <row r="726" spans="5:9" ht="15.75" hidden="1" customHeight="1" x14ac:dyDescent="0.2">
      <c r="E726" t="s">
        <v>463</v>
      </c>
      <c r="F726">
        <v>167</v>
      </c>
      <c r="G726" t="s">
        <v>291</v>
      </c>
      <c r="H726" t="s">
        <v>4</v>
      </c>
      <c r="I726">
        <v>2</v>
      </c>
    </row>
    <row r="727" spans="5:9" ht="15.75" hidden="1" customHeight="1" x14ac:dyDescent="0.2">
      <c r="E727" t="s">
        <v>464</v>
      </c>
      <c r="F727">
        <v>168</v>
      </c>
      <c r="G727" t="s">
        <v>291</v>
      </c>
      <c r="H727" t="s">
        <v>4</v>
      </c>
      <c r="I727">
        <v>0</v>
      </c>
    </row>
    <row r="728" spans="5:9" ht="15.75" hidden="1" customHeight="1" x14ac:dyDescent="0.2">
      <c r="E728" t="s">
        <v>465</v>
      </c>
      <c r="F728">
        <v>169</v>
      </c>
      <c r="G728" t="s">
        <v>291</v>
      </c>
      <c r="H728" t="s">
        <v>4</v>
      </c>
      <c r="I728">
        <v>0</v>
      </c>
    </row>
    <row r="729" spans="5:9" ht="15.75" hidden="1" customHeight="1" x14ac:dyDescent="0.2">
      <c r="E729" t="s">
        <v>466</v>
      </c>
      <c r="F729">
        <v>170</v>
      </c>
      <c r="G729" t="s">
        <v>291</v>
      </c>
      <c r="H729" t="s">
        <v>4</v>
      </c>
      <c r="I729">
        <v>2</v>
      </c>
    </row>
    <row r="730" spans="5:9" ht="15.75" hidden="1" customHeight="1" x14ac:dyDescent="0.2">
      <c r="E730" t="s">
        <v>467</v>
      </c>
      <c r="F730">
        <v>171</v>
      </c>
      <c r="G730" t="s">
        <v>291</v>
      </c>
      <c r="H730" t="s">
        <v>4</v>
      </c>
      <c r="I730">
        <v>0</v>
      </c>
    </row>
    <row r="731" spans="5:9" ht="15.75" hidden="1" customHeight="1" x14ac:dyDescent="0.2">
      <c r="E731" t="s">
        <v>468</v>
      </c>
      <c r="F731">
        <v>172</v>
      </c>
      <c r="G731" t="s">
        <v>291</v>
      </c>
      <c r="H731" t="s">
        <v>4</v>
      </c>
      <c r="I731">
        <v>2</v>
      </c>
    </row>
    <row r="732" spans="5:9" ht="15.75" hidden="1" customHeight="1" x14ac:dyDescent="0.2">
      <c r="E732" t="s">
        <v>469</v>
      </c>
      <c r="F732">
        <v>173</v>
      </c>
      <c r="G732" t="s">
        <v>291</v>
      </c>
      <c r="H732" t="s">
        <v>4</v>
      </c>
      <c r="I732">
        <v>2</v>
      </c>
    </row>
    <row r="733" spans="5:9" ht="15.75" hidden="1" customHeight="1" x14ac:dyDescent="0.2">
      <c r="E733" t="s">
        <v>470</v>
      </c>
      <c r="F733">
        <v>174</v>
      </c>
      <c r="G733" t="s">
        <v>291</v>
      </c>
      <c r="H733" t="s">
        <v>4</v>
      </c>
      <c r="I733">
        <v>3</v>
      </c>
    </row>
    <row r="734" spans="5:9" ht="15.75" hidden="1" customHeight="1" x14ac:dyDescent="0.2">
      <c r="E734" t="s">
        <v>471</v>
      </c>
      <c r="F734">
        <v>175</v>
      </c>
      <c r="G734" t="s">
        <v>291</v>
      </c>
      <c r="H734" t="s">
        <v>4</v>
      </c>
      <c r="I734">
        <v>1</v>
      </c>
    </row>
    <row r="735" spans="5:9" ht="15.75" hidden="1" customHeight="1" x14ac:dyDescent="0.2">
      <c r="E735" t="s">
        <v>472</v>
      </c>
      <c r="F735">
        <v>176</v>
      </c>
      <c r="G735" t="s">
        <v>291</v>
      </c>
      <c r="H735" t="s">
        <v>4</v>
      </c>
      <c r="I735">
        <v>2</v>
      </c>
    </row>
    <row r="736" spans="5:9" ht="15.75" hidden="1" customHeight="1" x14ac:dyDescent="0.2">
      <c r="E736" t="s">
        <v>362</v>
      </c>
      <c r="F736">
        <v>177</v>
      </c>
      <c r="G736" t="s">
        <v>291</v>
      </c>
      <c r="H736" t="s">
        <v>4</v>
      </c>
      <c r="I736">
        <v>0</v>
      </c>
    </row>
    <row r="737" spans="5:9" ht="15.75" hidden="1" customHeight="1" x14ac:dyDescent="0.2">
      <c r="E737" t="s">
        <v>473</v>
      </c>
      <c r="F737">
        <v>178</v>
      </c>
      <c r="G737" t="s">
        <v>291</v>
      </c>
      <c r="H737" t="s">
        <v>4</v>
      </c>
      <c r="I737">
        <v>2</v>
      </c>
    </row>
    <row r="738" spans="5:9" ht="15.75" hidden="1" customHeight="1" x14ac:dyDescent="0.2">
      <c r="E738" t="s">
        <v>474</v>
      </c>
      <c r="F738">
        <v>179</v>
      </c>
      <c r="G738" t="s">
        <v>291</v>
      </c>
      <c r="H738" t="s">
        <v>4</v>
      </c>
      <c r="I738">
        <v>4</v>
      </c>
    </row>
    <row r="739" spans="5:9" ht="15.75" hidden="1" customHeight="1" x14ac:dyDescent="0.2">
      <c r="E739" t="s">
        <v>499</v>
      </c>
      <c r="F739">
        <v>180</v>
      </c>
      <c r="G739" t="s">
        <v>291</v>
      </c>
      <c r="H739" t="s">
        <v>4</v>
      </c>
      <c r="I739">
        <v>6</v>
      </c>
    </row>
    <row r="740" spans="5:9" ht="15.75" hidden="1" customHeight="1" x14ac:dyDescent="0.2">
      <c r="E740" t="s">
        <v>500</v>
      </c>
      <c r="F740">
        <v>181</v>
      </c>
      <c r="G740" t="s">
        <v>291</v>
      </c>
      <c r="H740" t="s">
        <v>4</v>
      </c>
      <c r="I740">
        <v>7</v>
      </c>
    </row>
    <row r="741" spans="5:9" ht="15.75" hidden="1" customHeight="1" x14ac:dyDescent="0.2">
      <c r="E741" t="s">
        <v>501</v>
      </c>
      <c r="F741">
        <v>182</v>
      </c>
      <c r="G741" t="s">
        <v>291</v>
      </c>
      <c r="H741" t="s">
        <v>4</v>
      </c>
      <c r="I741">
        <v>29</v>
      </c>
    </row>
    <row r="742" spans="5:9" ht="15.75" hidden="1" customHeight="1" x14ac:dyDescent="0.2">
      <c r="E742" t="s">
        <v>502</v>
      </c>
      <c r="F742">
        <v>183</v>
      </c>
      <c r="G742" t="s">
        <v>291</v>
      </c>
      <c r="H742" t="s">
        <v>4</v>
      </c>
      <c r="I742">
        <v>1</v>
      </c>
    </row>
    <row r="743" spans="5:9" ht="15.75" hidden="1" customHeight="1" x14ac:dyDescent="0.2">
      <c r="E743" t="s">
        <v>503</v>
      </c>
      <c r="F743">
        <v>184</v>
      </c>
      <c r="G743" t="s">
        <v>291</v>
      </c>
      <c r="H743" t="s">
        <v>4</v>
      </c>
      <c r="I743">
        <v>8</v>
      </c>
    </row>
    <row r="744" spans="5:9" ht="15.75" hidden="1" customHeight="1" x14ac:dyDescent="0.2">
      <c r="E744" t="s">
        <v>504</v>
      </c>
      <c r="F744">
        <v>185</v>
      </c>
      <c r="G744" t="s">
        <v>291</v>
      </c>
      <c r="H744" t="s">
        <v>4</v>
      </c>
      <c r="I744">
        <v>1</v>
      </c>
    </row>
    <row r="745" spans="5:9" ht="15.75" hidden="1" customHeight="1" x14ac:dyDescent="0.2">
      <c r="E745" t="s">
        <v>505</v>
      </c>
      <c r="F745">
        <v>186</v>
      </c>
      <c r="G745" t="s">
        <v>291</v>
      </c>
      <c r="H745" t="s">
        <v>4</v>
      </c>
      <c r="I745">
        <v>4</v>
      </c>
    </row>
    <row r="746" spans="5:9" ht="15.75" hidden="1" customHeight="1" x14ac:dyDescent="0.2">
      <c r="E746" t="s">
        <v>287</v>
      </c>
      <c r="F746">
        <v>1</v>
      </c>
      <c r="G746" t="s">
        <v>289</v>
      </c>
      <c r="H746" t="s">
        <v>5</v>
      </c>
      <c r="I746">
        <v>0</v>
      </c>
    </row>
    <row r="747" spans="5:9" ht="15.75" hidden="1" customHeight="1" x14ac:dyDescent="0.2">
      <c r="E747" t="s">
        <v>350</v>
      </c>
      <c r="F747">
        <v>2</v>
      </c>
      <c r="G747" t="s">
        <v>289</v>
      </c>
      <c r="H747" t="s">
        <v>5</v>
      </c>
      <c r="I747">
        <v>1</v>
      </c>
    </row>
    <row r="748" spans="5:9" ht="15.75" hidden="1" customHeight="1" x14ac:dyDescent="0.2">
      <c r="E748" t="s">
        <v>351</v>
      </c>
      <c r="F748">
        <v>3</v>
      </c>
      <c r="G748" t="s">
        <v>289</v>
      </c>
      <c r="H748" t="s">
        <v>5</v>
      </c>
      <c r="I748">
        <v>2</v>
      </c>
    </row>
    <row r="749" spans="5:9" ht="15.75" hidden="1" customHeight="1" x14ac:dyDescent="0.2">
      <c r="E749" t="s">
        <v>352</v>
      </c>
      <c r="F749">
        <v>4</v>
      </c>
      <c r="G749" t="s">
        <v>289</v>
      </c>
      <c r="H749" t="s">
        <v>5</v>
      </c>
      <c r="I749">
        <v>1</v>
      </c>
    </row>
    <row r="750" spans="5:9" ht="15.75" hidden="1" customHeight="1" x14ac:dyDescent="0.2">
      <c r="E750" t="s">
        <v>354</v>
      </c>
      <c r="F750">
        <v>5</v>
      </c>
      <c r="G750" t="s">
        <v>289</v>
      </c>
      <c r="H750" t="s">
        <v>5</v>
      </c>
      <c r="I750">
        <v>0</v>
      </c>
    </row>
    <row r="751" spans="5:9" ht="15.75" hidden="1" customHeight="1" x14ac:dyDescent="0.2">
      <c r="E751" t="s">
        <v>356</v>
      </c>
      <c r="F751">
        <v>6</v>
      </c>
      <c r="G751" t="s">
        <v>289</v>
      </c>
      <c r="H751" t="s">
        <v>5</v>
      </c>
      <c r="I751">
        <v>0</v>
      </c>
    </row>
    <row r="752" spans="5:9" ht="15.75" hidden="1" customHeight="1" x14ac:dyDescent="0.2">
      <c r="E752" t="s">
        <v>358</v>
      </c>
      <c r="F752">
        <v>7</v>
      </c>
      <c r="G752" t="s">
        <v>289</v>
      </c>
      <c r="H752" t="s">
        <v>5</v>
      </c>
      <c r="I752">
        <v>0</v>
      </c>
    </row>
    <row r="753" spans="5:9" ht="15.75" hidden="1" customHeight="1" x14ac:dyDescent="0.2">
      <c r="E753" t="s">
        <v>359</v>
      </c>
      <c r="F753">
        <v>8</v>
      </c>
      <c r="G753" t="s">
        <v>289</v>
      </c>
      <c r="H753" t="s">
        <v>5</v>
      </c>
      <c r="I753">
        <v>0</v>
      </c>
    </row>
    <row r="754" spans="5:9" ht="15.75" hidden="1" customHeight="1" x14ac:dyDescent="0.2">
      <c r="E754" t="s">
        <v>360</v>
      </c>
      <c r="F754">
        <v>9</v>
      </c>
      <c r="G754" t="s">
        <v>289</v>
      </c>
      <c r="H754" t="s">
        <v>5</v>
      </c>
      <c r="I754">
        <v>0</v>
      </c>
    </row>
    <row r="755" spans="5:9" ht="15.75" hidden="1" customHeight="1" x14ac:dyDescent="0.2">
      <c r="E755" t="s">
        <v>361</v>
      </c>
      <c r="F755">
        <v>10</v>
      </c>
      <c r="G755" t="s">
        <v>289</v>
      </c>
      <c r="H755" t="s">
        <v>5</v>
      </c>
      <c r="I755">
        <v>0</v>
      </c>
    </row>
    <row r="756" spans="5:9" ht="15.75" hidden="1" customHeight="1" x14ac:dyDescent="0.2">
      <c r="E756" t="s">
        <v>362</v>
      </c>
      <c r="F756">
        <v>11</v>
      </c>
      <c r="G756" t="s">
        <v>289</v>
      </c>
      <c r="H756" t="s">
        <v>5</v>
      </c>
      <c r="I756">
        <v>0</v>
      </c>
    </row>
    <row r="757" spans="5:9" ht="15.75" hidden="1" customHeight="1" x14ac:dyDescent="0.2">
      <c r="E757" t="s">
        <v>363</v>
      </c>
      <c r="F757">
        <v>12</v>
      </c>
      <c r="G757" t="s">
        <v>289</v>
      </c>
      <c r="H757" t="s">
        <v>5</v>
      </c>
      <c r="I757">
        <v>0</v>
      </c>
    </row>
    <row r="758" spans="5:9" ht="15.75" hidden="1" customHeight="1" x14ac:dyDescent="0.2">
      <c r="E758" t="s">
        <v>365</v>
      </c>
      <c r="F758">
        <v>13</v>
      </c>
      <c r="G758" t="s">
        <v>289</v>
      </c>
      <c r="H758" t="s">
        <v>5</v>
      </c>
      <c r="I758">
        <v>0</v>
      </c>
    </row>
    <row r="759" spans="5:9" ht="15.75" hidden="1" customHeight="1" x14ac:dyDescent="0.2">
      <c r="E759" t="s">
        <v>369</v>
      </c>
      <c r="F759">
        <v>14</v>
      </c>
      <c r="G759" t="s">
        <v>289</v>
      </c>
      <c r="H759" t="s">
        <v>5</v>
      </c>
      <c r="I759">
        <v>0</v>
      </c>
    </row>
    <row r="760" spans="5:9" ht="15.75" hidden="1" customHeight="1" x14ac:dyDescent="0.2">
      <c r="E760" t="s">
        <v>370</v>
      </c>
      <c r="F760">
        <v>15</v>
      </c>
      <c r="G760" t="s">
        <v>289</v>
      </c>
      <c r="H760" t="s">
        <v>5</v>
      </c>
      <c r="I760">
        <v>1</v>
      </c>
    </row>
    <row r="761" spans="5:9" ht="15.75" hidden="1" customHeight="1" x14ac:dyDescent="0.2">
      <c r="E761" t="s">
        <v>371</v>
      </c>
      <c r="F761">
        <v>16</v>
      </c>
      <c r="G761" t="s">
        <v>289</v>
      </c>
      <c r="H761" t="s">
        <v>5</v>
      </c>
      <c r="I761">
        <v>1</v>
      </c>
    </row>
    <row r="762" spans="5:9" ht="15.75" hidden="1" customHeight="1" x14ac:dyDescent="0.2">
      <c r="E762" t="s">
        <v>372</v>
      </c>
      <c r="F762">
        <v>17</v>
      </c>
      <c r="G762" t="s">
        <v>289</v>
      </c>
      <c r="H762" t="s">
        <v>5</v>
      </c>
      <c r="I762">
        <v>1</v>
      </c>
    </row>
    <row r="763" spans="5:9" ht="15.75" hidden="1" customHeight="1" x14ac:dyDescent="0.2">
      <c r="E763" t="s">
        <v>373</v>
      </c>
      <c r="F763">
        <v>18</v>
      </c>
      <c r="G763" t="s">
        <v>289</v>
      </c>
      <c r="H763" t="s">
        <v>5</v>
      </c>
      <c r="I763">
        <v>1</v>
      </c>
    </row>
    <row r="764" spans="5:9" ht="15.75" hidden="1" customHeight="1" x14ac:dyDescent="0.2">
      <c r="E764" t="s">
        <v>374</v>
      </c>
      <c r="F764">
        <v>19</v>
      </c>
      <c r="G764" t="s">
        <v>289</v>
      </c>
      <c r="H764" t="s">
        <v>5</v>
      </c>
      <c r="I764">
        <v>0</v>
      </c>
    </row>
    <row r="765" spans="5:9" ht="15.75" hidden="1" customHeight="1" x14ac:dyDescent="0.2">
      <c r="E765" t="s">
        <v>375</v>
      </c>
      <c r="F765">
        <v>20</v>
      </c>
      <c r="G765" t="s">
        <v>289</v>
      </c>
      <c r="H765" t="s">
        <v>5</v>
      </c>
      <c r="I765">
        <v>1</v>
      </c>
    </row>
    <row r="766" spans="5:9" ht="15.75" hidden="1" customHeight="1" x14ac:dyDescent="0.2">
      <c r="E766" t="s">
        <v>376</v>
      </c>
      <c r="F766">
        <v>21</v>
      </c>
      <c r="G766" t="s">
        <v>289</v>
      </c>
      <c r="H766" t="s">
        <v>5</v>
      </c>
      <c r="I766">
        <v>1</v>
      </c>
    </row>
    <row r="767" spans="5:9" ht="15.75" hidden="1" customHeight="1" x14ac:dyDescent="0.2">
      <c r="E767" t="s">
        <v>377</v>
      </c>
      <c r="F767">
        <v>22</v>
      </c>
      <c r="G767" t="s">
        <v>289</v>
      </c>
      <c r="H767" t="s">
        <v>5</v>
      </c>
      <c r="I767">
        <v>0</v>
      </c>
    </row>
    <row r="768" spans="5:9" ht="15.75" hidden="1" customHeight="1" x14ac:dyDescent="0.2">
      <c r="E768" t="s">
        <v>378</v>
      </c>
      <c r="F768">
        <v>23</v>
      </c>
      <c r="G768" t="s">
        <v>289</v>
      </c>
      <c r="H768" t="s">
        <v>5</v>
      </c>
      <c r="I768">
        <v>0</v>
      </c>
    </row>
    <row r="769" spans="5:9" ht="15.75" hidden="1" customHeight="1" x14ac:dyDescent="0.2">
      <c r="E769" t="s">
        <v>379</v>
      </c>
      <c r="F769">
        <v>24</v>
      </c>
      <c r="G769" t="s">
        <v>289</v>
      </c>
      <c r="H769" t="s">
        <v>5</v>
      </c>
      <c r="I769">
        <v>0</v>
      </c>
    </row>
    <row r="770" spans="5:9" ht="15.75" hidden="1" customHeight="1" x14ac:dyDescent="0.2">
      <c r="E770" t="s">
        <v>380</v>
      </c>
      <c r="F770">
        <v>25</v>
      </c>
      <c r="G770" t="s">
        <v>289</v>
      </c>
      <c r="H770" t="s">
        <v>5</v>
      </c>
      <c r="I770">
        <v>0</v>
      </c>
    </row>
    <row r="771" spans="5:9" ht="15.75" hidden="1" customHeight="1" x14ac:dyDescent="0.2">
      <c r="E771" t="s">
        <v>381</v>
      </c>
      <c r="F771">
        <v>26</v>
      </c>
      <c r="G771" t="s">
        <v>289</v>
      </c>
      <c r="H771" t="s">
        <v>5</v>
      </c>
      <c r="I771">
        <v>0</v>
      </c>
    </row>
    <row r="772" spans="5:9" ht="15.75" hidden="1" customHeight="1" x14ac:dyDescent="0.2">
      <c r="E772" t="s">
        <v>382</v>
      </c>
      <c r="F772">
        <v>27</v>
      </c>
      <c r="G772" t="s">
        <v>289</v>
      </c>
      <c r="H772" t="s">
        <v>5</v>
      </c>
      <c r="I772">
        <v>0</v>
      </c>
    </row>
    <row r="773" spans="5:9" ht="15.75" hidden="1" customHeight="1" x14ac:dyDescent="0.2">
      <c r="E773" t="s">
        <v>383</v>
      </c>
      <c r="F773">
        <v>28</v>
      </c>
      <c r="G773" t="s">
        <v>289</v>
      </c>
      <c r="H773" t="s">
        <v>5</v>
      </c>
      <c r="I773">
        <v>1</v>
      </c>
    </row>
    <row r="774" spans="5:9" ht="15.75" hidden="1" customHeight="1" x14ac:dyDescent="0.2">
      <c r="E774" t="s">
        <v>385</v>
      </c>
      <c r="F774">
        <v>29</v>
      </c>
      <c r="G774" t="s">
        <v>289</v>
      </c>
      <c r="H774" t="s">
        <v>5</v>
      </c>
      <c r="I774">
        <v>0</v>
      </c>
    </row>
    <row r="775" spans="5:9" ht="15.75" hidden="1" customHeight="1" x14ac:dyDescent="0.2">
      <c r="E775" t="s">
        <v>387</v>
      </c>
      <c r="F775">
        <v>30</v>
      </c>
      <c r="G775" t="s">
        <v>289</v>
      </c>
      <c r="H775" t="s">
        <v>5</v>
      </c>
      <c r="I775">
        <v>0</v>
      </c>
    </row>
    <row r="776" spans="5:9" ht="15.75" hidden="1" customHeight="1" x14ac:dyDescent="0.2">
      <c r="E776" t="s">
        <v>388</v>
      </c>
      <c r="F776">
        <v>31</v>
      </c>
      <c r="G776" t="s">
        <v>289</v>
      </c>
      <c r="H776" t="s">
        <v>5</v>
      </c>
      <c r="I776">
        <v>0</v>
      </c>
    </row>
    <row r="777" spans="5:9" ht="15.75" hidden="1" customHeight="1" x14ac:dyDescent="0.2">
      <c r="E777" t="s">
        <v>389</v>
      </c>
      <c r="F777">
        <v>32</v>
      </c>
      <c r="G777" t="s">
        <v>289</v>
      </c>
      <c r="H777" t="s">
        <v>5</v>
      </c>
      <c r="I777">
        <v>0</v>
      </c>
    </row>
    <row r="778" spans="5:9" ht="15.75" hidden="1" customHeight="1" x14ac:dyDescent="0.2">
      <c r="E778" t="s">
        <v>390</v>
      </c>
      <c r="F778">
        <v>33</v>
      </c>
      <c r="G778" t="s">
        <v>289</v>
      </c>
      <c r="H778" t="s">
        <v>5</v>
      </c>
      <c r="I778">
        <v>0</v>
      </c>
    </row>
    <row r="779" spans="5:9" ht="15.75" hidden="1" customHeight="1" x14ac:dyDescent="0.2">
      <c r="E779" t="s">
        <v>391</v>
      </c>
      <c r="F779">
        <v>34</v>
      </c>
      <c r="G779" t="s">
        <v>289</v>
      </c>
      <c r="H779" t="s">
        <v>5</v>
      </c>
      <c r="I779">
        <v>0</v>
      </c>
    </row>
    <row r="780" spans="5:9" ht="15.75" hidden="1" customHeight="1" x14ac:dyDescent="0.2">
      <c r="E780" t="s">
        <v>393</v>
      </c>
      <c r="F780">
        <v>35</v>
      </c>
      <c r="G780" t="s">
        <v>289</v>
      </c>
      <c r="H780" t="s">
        <v>5</v>
      </c>
      <c r="I780">
        <v>0</v>
      </c>
    </row>
    <row r="781" spans="5:9" ht="15.75" hidden="1" customHeight="1" x14ac:dyDescent="0.2">
      <c r="E781" t="s">
        <v>394</v>
      </c>
      <c r="F781">
        <v>36</v>
      </c>
      <c r="G781" t="s">
        <v>289</v>
      </c>
      <c r="H781" t="s">
        <v>5</v>
      </c>
      <c r="I781">
        <v>3</v>
      </c>
    </row>
    <row r="782" spans="5:9" ht="15.75" hidden="1" customHeight="1" x14ac:dyDescent="0.2">
      <c r="E782" t="s">
        <v>395</v>
      </c>
      <c r="F782">
        <v>37</v>
      </c>
      <c r="G782" t="s">
        <v>289</v>
      </c>
      <c r="H782" t="s">
        <v>5</v>
      </c>
      <c r="I782">
        <v>1</v>
      </c>
    </row>
    <row r="783" spans="5:9" ht="15.75" hidden="1" customHeight="1" x14ac:dyDescent="0.2">
      <c r="E783" t="s">
        <v>396</v>
      </c>
      <c r="F783">
        <v>38</v>
      </c>
      <c r="G783" t="s">
        <v>289</v>
      </c>
      <c r="H783" t="s">
        <v>5</v>
      </c>
      <c r="I783">
        <v>1</v>
      </c>
    </row>
    <row r="784" spans="5:9" ht="15.75" hidden="1" customHeight="1" x14ac:dyDescent="0.2">
      <c r="E784" t="s">
        <v>397</v>
      </c>
      <c r="F784">
        <v>39</v>
      </c>
      <c r="G784" t="s">
        <v>289</v>
      </c>
      <c r="H784" t="s">
        <v>5</v>
      </c>
      <c r="I784">
        <v>2</v>
      </c>
    </row>
    <row r="785" spans="5:9" ht="15.75" hidden="1" customHeight="1" x14ac:dyDescent="0.2">
      <c r="E785" t="s">
        <v>398</v>
      </c>
      <c r="F785">
        <v>40</v>
      </c>
      <c r="G785" t="s">
        <v>289</v>
      </c>
      <c r="H785" t="s">
        <v>5</v>
      </c>
      <c r="I785">
        <v>1</v>
      </c>
    </row>
    <row r="786" spans="5:9" ht="15.75" hidden="1" customHeight="1" x14ac:dyDescent="0.2">
      <c r="E786" t="s">
        <v>399</v>
      </c>
      <c r="F786">
        <v>41</v>
      </c>
      <c r="G786" t="s">
        <v>289</v>
      </c>
      <c r="H786" t="s">
        <v>5</v>
      </c>
      <c r="I786">
        <v>0</v>
      </c>
    </row>
    <row r="787" spans="5:9" ht="15.75" hidden="1" customHeight="1" x14ac:dyDescent="0.2">
      <c r="E787" t="s">
        <v>400</v>
      </c>
      <c r="F787">
        <v>42</v>
      </c>
      <c r="G787" t="s">
        <v>289</v>
      </c>
      <c r="H787" t="s">
        <v>5</v>
      </c>
      <c r="I787">
        <v>0</v>
      </c>
    </row>
    <row r="788" spans="5:9" ht="15.75" hidden="1" customHeight="1" x14ac:dyDescent="0.2">
      <c r="E788" t="s">
        <v>401</v>
      </c>
      <c r="F788">
        <v>43</v>
      </c>
      <c r="G788" t="s">
        <v>289</v>
      </c>
      <c r="H788" t="s">
        <v>5</v>
      </c>
      <c r="I788">
        <v>0</v>
      </c>
    </row>
    <row r="789" spans="5:9" ht="15.75" hidden="1" customHeight="1" x14ac:dyDescent="0.2">
      <c r="E789" t="s">
        <v>402</v>
      </c>
      <c r="F789">
        <v>44</v>
      </c>
      <c r="G789" t="s">
        <v>289</v>
      </c>
      <c r="H789" t="s">
        <v>5</v>
      </c>
      <c r="I789">
        <v>0</v>
      </c>
    </row>
    <row r="790" spans="5:9" ht="15.75" hidden="1" customHeight="1" x14ac:dyDescent="0.2">
      <c r="E790" t="s">
        <v>403</v>
      </c>
      <c r="F790">
        <v>45</v>
      </c>
      <c r="G790" t="s">
        <v>289</v>
      </c>
      <c r="H790" t="s">
        <v>5</v>
      </c>
      <c r="I790">
        <v>0</v>
      </c>
    </row>
    <row r="791" spans="5:9" ht="15.75" hidden="1" customHeight="1" x14ac:dyDescent="0.2">
      <c r="E791" t="s">
        <v>404</v>
      </c>
      <c r="F791">
        <v>46</v>
      </c>
      <c r="G791" t="s">
        <v>289</v>
      </c>
      <c r="H791" t="s">
        <v>5</v>
      </c>
      <c r="I791">
        <v>0</v>
      </c>
    </row>
    <row r="792" spans="5:9" ht="15.75" hidden="1" customHeight="1" x14ac:dyDescent="0.2">
      <c r="E792" t="s">
        <v>405</v>
      </c>
      <c r="F792">
        <v>47</v>
      </c>
      <c r="G792" t="s">
        <v>289</v>
      </c>
      <c r="H792" t="s">
        <v>5</v>
      </c>
      <c r="I792">
        <v>0</v>
      </c>
    </row>
    <row r="793" spans="5:9" ht="15.75" hidden="1" customHeight="1" x14ac:dyDescent="0.2">
      <c r="E793" t="s">
        <v>406</v>
      </c>
      <c r="F793">
        <v>48</v>
      </c>
      <c r="G793" t="s">
        <v>289</v>
      </c>
      <c r="H793" t="s">
        <v>5</v>
      </c>
      <c r="I793">
        <v>0</v>
      </c>
    </row>
    <row r="794" spans="5:9" ht="15.75" hidden="1" customHeight="1" x14ac:dyDescent="0.2">
      <c r="E794" t="s">
        <v>376</v>
      </c>
      <c r="F794">
        <v>49</v>
      </c>
      <c r="G794" t="s">
        <v>289</v>
      </c>
      <c r="H794" t="s">
        <v>5</v>
      </c>
      <c r="I794">
        <v>0</v>
      </c>
    </row>
    <row r="795" spans="5:9" ht="15.75" hidden="1" customHeight="1" x14ac:dyDescent="0.2">
      <c r="E795" t="s">
        <v>407</v>
      </c>
      <c r="F795">
        <v>50</v>
      </c>
      <c r="G795" t="s">
        <v>289</v>
      </c>
      <c r="H795" t="s">
        <v>5</v>
      </c>
      <c r="I795">
        <v>0</v>
      </c>
    </row>
    <row r="796" spans="5:9" ht="15.75" hidden="1" customHeight="1" x14ac:dyDescent="0.2">
      <c r="E796" t="s">
        <v>408</v>
      </c>
      <c r="F796">
        <v>51</v>
      </c>
      <c r="G796" t="s">
        <v>289</v>
      </c>
      <c r="H796" t="s">
        <v>5</v>
      </c>
      <c r="I796">
        <v>1</v>
      </c>
    </row>
    <row r="797" spans="5:9" ht="15.75" hidden="1" customHeight="1" x14ac:dyDescent="0.2">
      <c r="E797" t="s">
        <v>409</v>
      </c>
      <c r="F797">
        <v>52</v>
      </c>
      <c r="G797" t="s">
        <v>289</v>
      </c>
      <c r="H797" t="s">
        <v>5</v>
      </c>
      <c r="I797">
        <v>0</v>
      </c>
    </row>
    <row r="798" spans="5:9" ht="15.75" hidden="1" customHeight="1" x14ac:dyDescent="0.2">
      <c r="E798" t="s">
        <v>410</v>
      </c>
      <c r="F798">
        <v>53</v>
      </c>
      <c r="G798" t="s">
        <v>289</v>
      </c>
      <c r="H798" t="s">
        <v>5</v>
      </c>
      <c r="I798">
        <v>0</v>
      </c>
    </row>
    <row r="799" spans="5:9" ht="15.75" hidden="1" customHeight="1" x14ac:dyDescent="0.2">
      <c r="E799" t="s">
        <v>411</v>
      </c>
      <c r="F799">
        <v>54</v>
      </c>
      <c r="G799" t="s">
        <v>289</v>
      </c>
      <c r="H799" t="s">
        <v>5</v>
      </c>
      <c r="I799">
        <v>3</v>
      </c>
    </row>
    <row r="800" spans="5:9" ht="15.75" hidden="1" customHeight="1" x14ac:dyDescent="0.2">
      <c r="E800" t="s">
        <v>412</v>
      </c>
      <c r="F800">
        <v>55</v>
      </c>
      <c r="G800" t="s">
        <v>289</v>
      </c>
      <c r="H800" t="s">
        <v>5</v>
      </c>
      <c r="I800">
        <v>0</v>
      </c>
    </row>
    <row r="801" spans="5:9" ht="15.75" hidden="1" customHeight="1" x14ac:dyDescent="0.2">
      <c r="E801" t="s">
        <v>413</v>
      </c>
      <c r="F801">
        <v>56</v>
      </c>
      <c r="G801" t="s">
        <v>289</v>
      </c>
      <c r="H801" t="s">
        <v>5</v>
      </c>
      <c r="I801">
        <v>0</v>
      </c>
    </row>
    <row r="802" spans="5:9" ht="15.75" hidden="1" customHeight="1" x14ac:dyDescent="0.2">
      <c r="E802" t="s">
        <v>414</v>
      </c>
      <c r="F802">
        <v>57</v>
      </c>
      <c r="G802" t="s">
        <v>289</v>
      </c>
      <c r="H802" t="s">
        <v>5</v>
      </c>
      <c r="I802">
        <v>2</v>
      </c>
    </row>
    <row r="803" spans="5:9" ht="15.75" hidden="1" customHeight="1" x14ac:dyDescent="0.2">
      <c r="E803" t="s">
        <v>415</v>
      </c>
      <c r="F803">
        <v>58</v>
      </c>
      <c r="G803" t="s">
        <v>289</v>
      </c>
      <c r="H803" t="s">
        <v>5</v>
      </c>
      <c r="I803">
        <v>2</v>
      </c>
    </row>
    <row r="804" spans="5:9" ht="15.75" hidden="1" customHeight="1" x14ac:dyDescent="0.2">
      <c r="E804" t="s">
        <v>416</v>
      </c>
      <c r="F804">
        <v>59</v>
      </c>
      <c r="G804" t="s">
        <v>289</v>
      </c>
      <c r="H804" t="s">
        <v>5</v>
      </c>
      <c r="I804">
        <v>2</v>
      </c>
    </row>
    <row r="805" spans="5:9" ht="15.75" hidden="1" customHeight="1" x14ac:dyDescent="0.2">
      <c r="E805" t="s">
        <v>417</v>
      </c>
      <c r="F805">
        <v>60</v>
      </c>
      <c r="G805" t="s">
        <v>289</v>
      </c>
      <c r="H805" t="s">
        <v>5</v>
      </c>
      <c r="I805">
        <v>2</v>
      </c>
    </row>
    <row r="806" spans="5:9" ht="15.75" hidden="1" customHeight="1" x14ac:dyDescent="0.2">
      <c r="E806" t="s">
        <v>418</v>
      </c>
      <c r="F806">
        <v>61</v>
      </c>
      <c r="G806" t="s">
        <v>289</v>
      </c>
      <c r="H806" t="s">
        <v>5</v>
      </c>
      <c r="I806">
        <v>1</v>
      </c>
    </row>
    <row r="807" spans="5:9" ht="15.75" hidden="1" customHeight="1" x14ac:dyDescent="0.2">
      <c r="E807" t="s">
        <v>419</v>
      </c>
      <c r="F807">
        <v>62</v>
      </c>
      <c r="G807" t="s">
        <v>289</v>
      </c>
      <c r="H807" t="s">
        <v>5</v>
      </c>
      <c r="I807">
        <v>1</v>
      </c>
    </row>
    <row r="808" spans="5:9" ht="15.75" hidden="1" customHeight="1" x14ac:dyDescent="0.2">
      <c r="E808" t="s">
        <v>421</v>
      </c>
      <c r="F808">
        <v>63</v>
      </c>
      <c r="G808" t="s">
        <v>289</v>
      </c>
      <c r="H808" t="s">
        <v>5</v>
      </c>
      <c r="I808">
        <v>0</v>
      </c>
    </row>
    <row r="809" spans="5:9" ht="15.75" hidden="1" customHeight="1" x14ac:dyDescent="0.2">
      <c r="E809" t="s">
        <v>422</v>
      </c>
      <c r="F809">
        <v>64</v>
      </c>
      <c r="G809" t="s">
        <v>289</v>
      </c>
      <c r="H809" t="s">
        <v>5</v>
      </c>
      <c r="I809">
        <v>0</v>
      </c>
    </row>
    <row r="810" spans="5:9" ht="15.75" hidden="1" customHeight="1" x14ac:dyDescent="0.2">
      <c r="E810" t="s">
        <v>423</v>
      </c>
      <c r="F810">
        <v>65</v>
      </c>
      <c r="G810" t="s">
        <v>289</v>
      </c>
      <c r="H810" t="s">
        <v>5</v>
      </c>
      <c r="I810">
        <v>0</v>
      </c>
    </row>
    <row r="811" spans="5:9" ht="15.75" hidden="1" customHeight="1" x14ac:dyDescent="0.2">
      <c r="E811" t="s">
        <v>424</v>
      </c>
      <c r="F811">
        <v>66</v>
      </c>
      <c r="G811" t="s">
        <v>289</v>
      </c>
      <c r="H811" t="s">
        <v>5</v>
      </c>
      <c r="I811">
        <v>0</v>
      </c>
    </row>
    <row r="812" spans="5:9" ht="15.75" hidden="1" customHeight="1" x14ac:dyDescent="0.2">
      <c r="E812" t="s">
        <v>425</v>
      </c>
      <c r="F812">
        <v>67</v>
      </c>
      <c r="G812" t="s">
        <v>289</v>
      </c>
      <c r="H812" t="s">
        <v>5</v>
      </c>
      <c r="I812">
        <v>0</v>
      </c>
    </row>
    <row r="813" spans="5:9" ht="15.75" hidden="1" customHeight="1" x14ac:dyDescent="0.2">
      <c r="E813" t="s">
        <v>426</v>
      </c>
      <c r="F813">
        <v>68</v>
      </c>
      <c r="G813" t="s">
        <v>289</v>
      </c>
      <c r="H813" t="s">
        <v>5</v>
      </c>
      <c r="I813">
        <v>0</v>
      </c>
    </row>
    <row r="814" spans="5:9" ht="15.75" hidden="1" customHeight="1" x14ac:dyDescent="0.2">
      <c r="E814" t="s">
        <v>427</v>
      </c>
      <c r="F814">
        <v>69</v>
      </c>
      <c r="G814" t="s">
        <v>289</v>
      </c>
      <c r="H814" t="s">
        <v>5</v>
      </c>
      <c r="I814">
        <v>0</v>
      </c>
    </row>
    <row r="815" spans="5:9" ht="15.75" hidden="1" customHeight="1" x14ac:dyDescent="0.2">
      <c r="E815" t="s">
        <v>428</v>
      </c>
      <c r="F815">
        <v>70</v>
      </c>
      <c r="G815" t="s">
        <v>289</v>
      </c>
      <c r="H815" t="s">
        <v>5</v>
      </c>
      <c r="I815">
        <v>0</v>
      </c>
    </row>
    <row r="816" spans="5:9" ht="15.75" hidden="1" customHeight="1" x14ac:dyDescent="0.2">
      <c r="E816" t="s">
        <v>429</v>
      </c>
      <c r="F816">
        <v>71</v>
      </c>
      <c r="G816" t="s">
        <v>289</v>
      </c>
      <c r="H816" t="s">
        <v>5</v>
      </c>
      <c r="I816">
        <v>0</v>
      </c>
    </row>
    <row r="817" spans="5:9" ht="15.75" hidden="1" customHeight="1" x14ac:dyDescent="0.2">
      <c r="E817" t="s">
        <v>430</v>
      </c>
      <c r="F817">
        <v>72</v>
      </c>
      <c r="G817" t="s">
        <v>289</v>
      </c>
      <c r="H817" t="s">
        <v>5</v>
      </c>
      <c r="I817">
        <v>0</v>
      </c>
    </row>
    <row r="818" spans="5:9" ht="15.75" hidden="1" customHeight="1" x14ac:dyDescent="0.2">
      <c r="E818" t="s">
        <v>370</v>
      </c>
      <c r="F818">
        <v>73</v>
      </c>
      <c r="G818" t="s">
        <v>289</v>
      </c>
      <c r="H818" t="s">
        <v>5</v>
      </c>
      <c r="I818">
        <v>0</v>
      </c>
    </row>
    <row r="819" spans="5:9" ht="15.75" hidden="1" customHeight="1" x14ac:dyDescent="0.2">
      <c r="E819" t="s">
        <v>373</v>
      </c>
      <c r="F819">
        <v>74</v>
      </c>
      <c r="G819" t="s">
        <v>289</v>
      </c>
      <c r="H819" t="s">
        <v>5</v>
      </c>
      <c r="I819">
        <v>0</v>
      </c>
    </row>
    <row r="820" spans="5:9" ht="15.75" hidden="1" customHeight="1" x14ac:dyDescent="0.2">
      <c r="E820" t="s">
        <v>374</v>
      </c>
      <c r="F820">
        <v>75</v>
      </c>
      <c r="G820" t="s">
        <v>289</v>
      </c>
      <c r="H820" t="s">
        <v>5</v>
      </c>
      <c r="I820">
        <v>0</v>
      </c>
    </row>
    <row r="821" spans="5:9" ht="15.75" hidden="1" customHeight="1" x14ac:dyDescent="0.2">
      <c r="E821" t="s">
        <v>375</v>
      </c>
      <c r="F821">
        <v>76</v>
      </c>
      <c r="G821" t="s">
        <v>289</v>
      </c>
      <c r="H821" t="s">
        <v>5</v>
      </c>
      <c r="I821">
        <v>0</v>
      </c>
    </row>
    <row r="822" spans="5:9" ht="15.75" hidden="1" customHeight="1" x14ac:dyDescent="0.2">
      <c r="E822" t="s">
        <v>376</v>
      </c>
      <c r="F822">
        <v>77</v>
      </c>
      <c r="G822" t="s">
        <v>289</v>
      </c>
      <c r="H822" t="s">
        <v>5</v>
      </c>
      <c r="I822">
        <v>0</v>
      </c>
    </row>
    <row r="823" spans="5:9" ht="15.75" hidden="1" customHeight="1" x14ac:dyDescent="0.2">
      <c r="E823" t="s">
        <v>382</v>
      </c>
      <c r="F823">
        <v>78</v>
      </c>
      <c r="G823" t="s">
        <v>289</v>
      </c>
      <c r="H823" t="s">
        <v>5</v>
      </c>
      <c r="I823">
        <v>0</v>
      </c>
    </row>
    <row r="824" spans="5:9" ht="15.75" hidden="1" customHeight="1" x14ac:dyDescent="0.2">
      <c r="E824" t="s">
        <v>383</v>
      </c>
      <c r="F824">
        <v>79</v>
      </c>
      <c r="G824" t="s">
        <v>289</v>
      </c>
      <c r="H824" t="s">
        <v>5</v>
      </c>
      <c r="I824">
        <v>0</v>
      </c>
    </row>
    <row r="825" spans="5:9" ht="15.75" hidden="1" customHeight="1" x14ac:dyDescent="0.2">
      <c r="E825" t="s">
        <v>395</v>
      </c>
      <c r="F825">
        <v>80</v>
      </c>
      <c r="G825" t="s">
        <v>289</v>
      </c>
      <c r="H825" t="s">
        <v>5</v>
      </c>
      <c r="I825">
        <v>0</v>
      </c>
    </row>
    <row r="826" spans="5:9" ht="15.75" hidden="1" customHeight="1" x14ac:dyDescent="0.2">
      <c r="E826" t="s">
        <v>397</v>
      </c>
      <c r="F826">
        <v>81</v>
      </c>
      <c r="G826" t="s">
        <v>289</v>
      </c>
      <c r="H826" t="s">
        <v>5</v>
      </c>
      <c r="I826">
        <v>0</v>
      </c>
    </row>
    <row r="827" spans="5:9" ht="15.75" hidden="1" customHeight="1" x14ac:dyDescent="0.2">
      <c r="E827" t="s">
        <v>399</v>
      </c>
      <c r="F827">
        <v>82</v>
      </c>
      <c r="G827" t="s">
        <v>289</v>
      </c>
      <c r="H827" t="s">
        <v>5</v>
      </c>
      <c r="I827">
        <v>0</v>
      </c>
    </row>
    <row r="828" spans="5:9" ht="15.75" hidden="1" customHeight="1" x14ac:dyDescent="0.2">
      <c r="E828" t="s">
        <v>400</v>
      </c>
      <c r="F828">
        <v>83</v>
      </c>
      <c r="G828" t="s">
        <v>289</v>
      </c>
      <c r="H828" t="s">
        <v>5</v>
      </c>
      <c r="I828">
        <v>0</v>
      </c>
    </row>
    <row r="829" spans="5:9" ht="15.75" hidden="1" customHeight="1" x14ac:dyDescent="0.2">
      <c r="E829" t="s">
        <v>401</v>
      </c>
      <c r="F829">
        <v>84</v>
      </c>
      <c r="G829" t="s">
        <v>289</v>
      </c>
      <c r="H829" t="s">
        <v>5</v>
      </c>
      <c r="I829">
        <v>0</v>
      </c>
    </row>
    <row r="830" spans="5:9" ht="15.75" hidden="1" customHeight="1" x14ac:dyDescent="0.2">
      <c r="E830" t="s">
        <v>402</v>
      </c>
      <c r="F830">
        <v>85</v>
      </c>
      <c r="G830" t="s">
        <v>289</v>
      </c>
      <c r="H830" t="s">
        <v>5</v>
      </c>
      <c r="I830">
        <v>0</v>
      </c>
    </row>
    <row r="831" spans="5:9" ht="15.75" hidden="1" customHeight="1" x14ac:dyDescent="0.2">
      <c r="E831" t="s">
        <v>403</v>
      </c>
      <c r="F831">
        <v>86</v>
      </c>
      <c r="G831" t="s">
        <v>289</v>
      </c>
      <c r="H831" t="s">
        <v>5</v>
      </c>
      <c r="I831">
        <v>0</v>
      </c>
    </row>
    <row r="832" spans="5:9" ht="15.75" hidden="1" customHeight="1" x14ac:dyDescent="0.2">
      <c r="E832" t="s">
        <v>404</v>
      </c>
      <c r="F832">
        <v>87</v>
      </c>
      <c r="G832" t="s">
        <v>289</v>
      </c>
      <c r="H832" t="s">
        <v>5</v>
      </c>
      <c r="I832">
        <v>0</v>
      </c>
    </row>
    <row r="833" spans="5:9" ht="15.75" hidden="1" customHeight="1" x14ac:dyDescent="0.2">
      <c r="E833" t="s">
        <v>405</v>
      </c>
      <c r="F833">
        <v>88</v>
      </c>
      <c r="G833" t="s">
        <v>289</v>
      </c>
      <c r="H833" t="s">
        <v>5</v>
      </c>
      <c r="I833">
        <v>0</v>
      </c>
    </row>
    <row r="834" spans="5:9" ht="15.75" hidden="1" customHeight="1" x14ac:dyDescent="0.2">
      <c r="E834" t="s">
        <v>406</v>
      </c>
      <c r="F834">
        <v>89</v>
      </c>
      <c r="G834" t="s">
        <v>289</v>
      </c>
      <c r="H834" t="s">
        <v>5</v>
      </c>
      <c r="I834">
        <v>0</v>
      </c>
    </row>
    <row r="835" spans="5:9" ht="15.75" hidden="1" customHeight="1" x14ac:dyDescent="0.2">
      <c r="E835" t="s">
        <v>376</v>
      </c>
      <c r="F835">
        <v>90</v>
      </c>
      <c r="G835" t="s">
        <v>289</v>
      </c>
      <c r="H835" t="s">
        <v>5</v>
      </c>
      <c r="I835">
        <v>0</v>
      </c>
    </row>
    <row r="836" spans="5:9" ht="15.75" hidden="1" customHeight="1" x14ac:dyDescent="0.2">
      <c r="E836" t="s">
        <v>409</v>
      </c>
      <c r="F836">
        <v>91</v>
      </c>
      <c r="G836" t="s">
        <v>289</v>
      </c>
      <c r="H836" t="s">
        <v>5</v>
      </c>
      <c r="I836">
        <v>0</v>
      </c>
    </row>
    <row r="837" spans="5:9" ht="15.75" hidden="1" customHeight="1" x14ac:dyDescent="0.2">
      <c r="E837" t="s">
        <v>410</v>
      </c>
      <c r="F837">
        <v>92</v>
      </c>
      <c r="G837" t="s">
        <v>289</v>
      </c>
      <c r="H837" t="s">
        <v>5</v>
      </c>
      <c r="I837">
        <v>0</v>
      </c>
    </row>
    <row r="838" spans="5:9" ht="15.75" hidden="1" customHeight="1" x14ac:dyDescent="0.2">
      <c r="E838" t="s">
        <v>413</v>
      </c>
      <c r="F838">
        <v>93</v>
      </c>
      <c r="G838" t="s">
        <v>289</v>
      </c>
      <c r="H838" t="s">
        <v>5</v>
      </c>
      <c r="I838">
        <v>0</v>
      </c>
    </row>
    <row r="839" spans="5:9" ht="15.75" hidden="1" customHeight="1" x14ac:dyDescent="0.2">
      <c r="E839" t="s">
        <v>414</v>
      </c>
      <c r="F839">
        <v>94</v>
      </c>
      <c r="G839" t="s">
        <v>289</v>
      </c>
      <c r="H839" t="s">
        <v>5</v>
      </c>
      <c r="I839">
        <v>0</v>
      </c>
    </row>
    <row r="840" spans="5:9" ht="15.75" hidden="1" customHeight="1" x14ac:dyDescent="0.2">
      <c r="E840" t="s">
        <v>417</v>
      </c>
      <c r="F840">
        <v>95</v>
      </c>
      <c r="G840" t="s">
        <v>289</v>
      </c>
      <c r="H840" t="s">
        <v>5</v>
      </c>
      <c r="I840">
        <v>0</v>
      </c>
    </row>
    <row r="841" spans="5:9" ht="15.75" hidden="1" customHeight="1" x14ac:dyDescent="0.2">
      <c r="E841" t="s">
        <v>440</v>
      </c>
      <c r="F841">
        <v>96</v>
      </c>
      <c r="G841" t="s">
        <v>289</v>
      </c>
      <c r="H841" t="s">
        <v>5</v>
      </c>
      <c r="I841">
        <v>0</v>
      </c>
    </row>
    <row r="842" spans="5:9" ht="15.75" hidden="1" customHeight="1" x14ac:dyDescent="0.2">
      <c r="E842" t="s">
        <v>441</v>
      </c>
      <c r="F842">
        <v>97</v>
      </c>
      <c r="G842" t="s">
        <v>289</v>
      </c>
      <c r="H842" t="s">
        <v>5</v>
      </c>
      <c r="I842">
        <v>0</v>
      </c>
    </row>
    <row r="843" spans="5:9" ht="15.75" hidden="1" customHeight="1" x14ac:dyDescent="0.2">
      <c r="E843" t="s">
        <v>442</v>
      </c>
      <c r="F843">
        <v>98</v>
      </c>
      <c r="G843" t="s">
        <v>289</v>
      </c>
      <c r="H843" t="s">
        <v>5</v>
      </c>
      <c r="I843">
        <v>0</v>
      </c>
    </row>
    <row r="844" spans="5:9" ht="15.75" hidden="1" customHeight="1" x14ac:dyDescent="0.2">
      <c r="E844" t="s">
        <v>443</v>
      </c>
      <c r="F844">
        <v>99</v>
      </c>
      <c r="G844" t="s">
        <v>289</v>
      </c>
      <c r="H844" t="s">
        <v>5</v>
      </c>
      <c r="I844">
        <v>0</v>
      </c>
    </row>
    <row r="845" spans="5:9" ht="15.75" hidden="1" customHeight="1" x14ac:dyDescent="0.2">
      <c r="E845" t="s">
        <v>444</v>
      </c>
      <c r="F845">
        <v>100</v>
      </c>
      <c r="G845" t="s">
        <v>289</v>
      </c>
      <c r="H845" t="s">
        <v>5</v>
      </c>
      <c r="I845">
        <v>0</v>
      </c>
    </row>
    <row r="846" spans="5:9" ht="15.75" hidden="1" customHeight="1" x14ac:dyDescent="0.2">
      <c r="E846" t="s">
        <v>362</v>
      </c>
      <c r="F846">
        <v>101</v>
      </c>
      <c r="G846" t="s">
        <v>289</v>
      </c>
      <c r="H846" t="s">
        <v>5</v>
      </c>
      <c r="I846">
        <v>0</v>
      </c>
    </row>
    <row r="847" spans="5:9" ht="15.75" hidden="1" customHeight="1" x14ac:dyDescent="0.2">
      <c r="E847" t="s">
        <v>446</v>
      </c>
      <c r="F847">
        <v>102</v>
      </c>
      <c r="G847" t="s">
        <v>289</v>
      </c>
      <c r="H847" t="s">
        <v>5</v>
      </c>
      <c r="I847">
        <v>0</v>
      </c>
    </row>
    <row r="848" spans="5:9" ht="15.75" hidden="1" customHeight="1" x14ac:dyDescent="0.2">
      <c r="E848" t="s">
        <v>447</v>
      </c>
      <c r="F848">
        <v>103</v>
      </c>
      <c r="G848" t="s">
        <v>289</v>
      </c>
      <c r="H848" t="s">
        <v>5</v>
      </c>
      <c r="I848">
        <v>0</v>
      </c>
    </row>
    <row r="849" spans="5:9" ht="15.75" hidden="1" customHeight="1" x14ac:dyDescent="0.2">
      <c r="E849" t="s">
        <v>448</v>
      </c>
      <c r="F849">
        <v>104</v>
      </c>
      <c r="G849" t="s">
        <v>289</v>
      </c>
      <c r="H849" t="s">
        <v>5</v>
      </c>
      <c r="I849">
        <v>0</v>
      </c>
    </row>
    <row r="850" spans="5:9" ht="15.75" hidden="1" customHeight="1" x14ac:dyDescent="0.2">
      <c r="E850" t="s">
        <v>449</v>
      </c>
      <c r="F850">
        <v>105</v>
      </c>
      <c r="G850" t="s">
        <v>289</v>
      </c>
      <c r="H850" t="s">
        <v>5</v>
      </c>
      <c r="I850">
        <v>0</v>
      </c>
    </row>
    <row r="851" spans="5:9" ht="15.75" hidden="1" customHeight="1" x14ac:dyDescent="0.2">
      <c r="E851" t="s">
        <v>450</v>
      </c>
      <c r="F851">
        <v>106</v>
      </c>
      <c r="G851" t="s">
        <v>289</v>
      </c>
      <c r="H851" t="s">
        <v>5</v>
      </c>
      <c r="I851">
        <v>0</v>
      </c>
    </row>
    <row r="852" spans="5:9" ht="15.75" hidden="1" customHeight="1" x14ac:dyDescent="0.2">
      <c r="E852" t="s">
        <v>451</v>
      </c>
      <c r="F852">
        <v>107</v>
      </c>
      <c r="G852" t="s">
        <v>289</v>
      </c>
      <c r="H852" t="s">
        <v>5</v>
      </c>
      <c r="I852">
        <v>0</v>
      </c>
    </row>
    <row r="853" spans="5:9" ht="15.75" hidden="1" customHeight="1" x14ac:dyDescent="0.2">
      <c r="E853" t="s">
        <v>452</v>
      </c>
      <c r="F853">
        <v>108</v>
      </c>
      <c r="G853" t="s">
        <v>289</v>
      </c>
      <c r="H853" t="s">
        <v>5</v>
      </c>
      <c r="I853">
        <v>0</v>
      </c>
    </row>
    <row r="854" spans="5:9" ht="15.75" hidden="1" customHeight="1" x14ac:dyDescent="0.2">
      <c r="E854" t="s">
        <v>453</v>
      </c>
      <c r="F854">
        <v>109</v>
      </c>
      <c r="G854" t="s">
        <v>289</v>
      </c>
      <c r="H854" t="s">
        <v>5</v>
      </c>
      <c r="I854">
        <v>0</v>
      </c>
    </row>
    <row r="855" spans="5:9" ht="15.75" hidden="1" customHeight="1" x14ac:dyDescent="0.2">
      <c r="E855" t="s">
        <v>454</v>
      </c>
      <c r="F855">
        <v>110</v>
      </c>
      <c r="G855" t="s">
        <v>289</v>
      </c>
      <c r="H855" t="s">
        <v>5</v>
      </c>
      <c r="I855">
        <v>0</v>
      </c>
    </row>
    <row r="856" spans="5:9" ht="15.75" hidden="1" customHeight="1" x14ac:dyDescent="0.2">
      <c r="E856" t="s">
        <v>455</v>
      </c>
      <c r="F856">
        <v>111</v>
      </c>
      <c r="G856" t="s">
        <v>289</v>
      </c>
      <c r="H856" t="s">
        <v>5</v>
      </c>
      <c r="I856">
        <v>0</v>
      </c>
    </row>
    <row r="857" spans="5:9" ht="15.75" hidden="1" customHeight="1" x14ac:dyDescent="0.2">
      <c r="E857" t="s">
        <v>456</v>
      </c>
      <c r="F857">
        <v>112</v>
      </c>
      <c r="G857" t="s">
        <v>289</v>
      </c>
      <c r="H857" t="s">
        <v>5</v>
      </c>
      <c r="I857">
        <v>0</v>
      </c>
    </row>
    <row r="858" spans="5:9" ht="15.75" hidden="1" customHeight="1" x14ac:dyDescent="0.2">
      <c r="E858" t="s">
        <v>457</v>
      </c>
      <c r="F858">
        <v>113</v>
      </c>
      <c r="G858" t="s">
        <v>289</v>
      </c>
      <c r="H858" t="s">
        <v>5</v>
      </c>
      <c r="I858">
        <v>0</v>
      </c>
    </row>
    <row r="859" spans="5:9" ht="15.75" hidden="1" customHeight="1" x14ac:dyDescent="0.2">
      <c r="E859" t="s">
        <v>459</v>
      </c>
      <c r="F859">
        <v>114</v>
      </c>
      <c r="G859" t="s">
        <v>289</v>
      </c>
      <c r="H859" t="s">
        <v>5</v>
      </c>
      <c r="I859">
        <v>0</v>
      </c>
    </row>
    <row r="860" spans="5:9" ht="15.75" hidden="1" customHeight="1" x14ac:dyDescent="0.2">
      <c r="E860" t="s">
        <v>460</v>
      </c>
      <c r="F860">
        <v>115</v>
      </c>
      <c r="G860" t="s">
        <v>289</v>
      </c>
      <c r="H860" t="s">
        <v>5</v>
      </c>
      <c r="I860">
        <v>0</v>
      </c>
    </row>
    <row r="861" spans="5:9" ht="15.75" hidden="1" customHeight="1" x14ac:dyDescent="0.2">
      <c r="E861" t="s">
        <v>461</v>
      </c>
      <c r="F861">
        <v>116</v>
      </c>
      <c r="G861" t="s">
        <v>289</v>
      </c>
      <c r="H861" t="s">
        <v>5</v>
      </c>
      <c r="I861">
        <v>0</v>
      </c>
    </row>
    <row r="862" spans="5:9" ht="15.75" hidden="1" customHeight="1" x14ac:dyDescent="0.2">
      <c r="E862" t="s">
        <v>462</v>
      </c>
      <c r="F862">
        <v>117</v>
      </c>
      <c r="G862" t="s">
        <v>289</v>
      </c>
      <c r="H862" t="s">
        <v>5</v>
      </c>
      <c r="I862">
        <v>0</v>
      </c>
    </row>
    <row r="863" spans="5:9" ht="15.75" hidden="1" customHeight="1" x14ac:dyDescent="0.2">
      <c r="E863" t="s">
        <v>463</v>
      </c>
      <c r="F863">
        <v>118</v>
      </c>
      <c r="G863" t="s">
        <v>289</v>
      </c>
      <c r="H863" t="s">
        <v>5</v>
      </c>
      <c r="I863">
        <v>0</v>
      </c>
    </row>
    <row r="864" spans="5:9" ht="15.75" hidden="1" customHeight="1" x14ac:dyDescent="0.2">
      <c r="E864" t="s">
        <v>464</v>
      </c>
      <c r="F864">
        <v>119</v>
      </c>
      <c r="G864" t="s">
        <v>289</v>
      </c>
      <c r="H864" t="s">
        <v>5</v>
      </c>
      <c r="I864">
        <v>0</v>
      </c>
    </row>
    <row r="865" spans="5:9" ht="15.75" hidden="1" customHeight="1" x14ac:dyDescent="0.2">
      <c r="E865" t="s">
        <v>465</v>
      </c>
      <c r="F865">
        <v>120</v>
      </c>
      <c r="G865" t="s">
        <v>289</v>
      </c>
      <c r="H865" t="s">
        <v>5</v>
      </c>
      <c r="I865">
        <v>0</v>
      </c>
    </row>
    <row r="866" spans="5:9" ht="15.75" hidden="1" customHeight="1" x14ac:dyDescent="0.2">
      <c r="E866" t="s">
        <v>466</v>
      </c>
      <c r="F866">
        <v>121</v>
      </c>
      <c r="G866" t="s">
        <v>289</v>
      </c>
      <c r="H866" t="s">
        <v>5</v>
      </c>
      <c r="I866">
        <v>0</v>
      </c>
    </row>
    <row r="867" spans="5:9" ht="15.75" hidden="1" customHeight="1" x14ac:dyDescent="0.2">
      <c r="E867" t="s">
        <v>467</v>
      </c>
      <c r="F867">
        <v>122</v>
      </c>
      <c r="G867" t="s">
        <v>289</v>
      </c>
      <c r="H867" t="s">
        <v>5</v>
      </c>
      <c r="I867">
        <v>0</v>
      </c>
    </row>
    <row r="868" spans="5:9" ht="15.75" hidden="1" customHeight="1" x14ac:dyDescent="0.2">
      <c r="E868" t="s">
        <v>468</v>
      </c>
      <c r="F868">
        <v>123</v>
      </c>
      <c r="G868" t="s">
        <v>289</v>
      </c>
      <c r="H868" t="s">
        <v>5</v>
      </c>
      <c r="I868">
        <v>0</v>
      </c>
    </row>
    <row r="869" spans="5:9" ht="15.75" hidden="1" customHeight="1" x14ac:dyDescent="0.2">
      <c r="E869" t="s">
        <v>469</v>
      </c>
      <c r="F869">
        <v>124</v>
      </c>
      <c r="G869" t="s">
        <v>289</v>
      </c>
      <c r="H869" t="s">
        <v>5</v>
      </c>
      <c r="I869">
        <v>0</v>
      </c>
    </row>
    <row r="870" spans="5:9" ht="15.75" hidden="1" customHeight="1" x14ac:dyDescent="0.2">
      <c r="E870" t="s">
        <v>470</v>
      </c>
      <c r="F870">
        <v>125</v>
      </c>
      <c r="G870" t="s">
        <v>289</v>
      </c>
      <c r="H870" t="s">
        <v>5</v>
      </c>
      <c r="I870">
        <v>0</v>
      </c>
    </row>
    <row r="871" spans="5:9" ht="15.75" hidden="1" customHeight="1" x14ac:dyDescent="0.2">
      <c r="E871" t="s">
        <v>471</v>
      </c>
      <c r="F871">
        <v>126</v>
      </c>
      <c r="G871" t="s">
        <v>289</v>
      </c>
      <c r="H871" t="s">
        <v>5</v>
      </c>
      <c r="I871">
        <v>0</v>
      </c>
    </row>
    <row r="872" spans="5:9" ht="15.75" hidden="1" customHeight="1" x14ac:dyDescent="0.2">
      <c r="E872" t="s">
        <v>472</v>
      </c>
      <c r="F872">
        <v>127</v>
      </c>
      <c r="G872" t="s">
        <v>289</v>
      </c>
      <c r="H872" t="s">
        <v>5</v>
      </c>
      <c r="I872">
        <v>0</v>
      </c>
    </row>
    <row r="873" spans="5:9" ht="15.75" hidden="1" customHeight="1" x14ac:dyDescent="0.2">
      <c r="E873" t="s">
        <v>473</v>
      </c>
      <c r="F873">
        <v>128</v>
      </c>
      <c r="G873" t="s">
        <v>289</v>
      </c>
      <c r="H873" t="s">
        <v>5</v>
      </c>
      <c r="I873">
        <v>0</v>
      </c>
    </row>
    <row r="874" spans="5:9" ht="15.75" hidden="1" customHeight="1" x14ac:dyDescent="0.2">
      <c r="E874" t="s">
        <v>474</v>
      </c>
      <c r="F874">
        <v>129</v>
      </c>
      <c r="G874" t="s">
        <v>289</v>
      </c>
      <c r="H874" t="s">
        <v>5</v>
      </c>
      <c r="I874">
        <v>0</v>
      </c>
    </row>
    <row r="875" spans="5:9" ht="15.75" hidden="1" customHeight="1" x14ac:dyDescent="0.2">
      <c r="E875" t="s">
        <v>476</v>
      </c>
      <c r="F875">
        <v>130</v>
      </c>
      <c r="G875" t="s">
        <v>289</v>
      </c>
      <c r="H875" t="s">
        <v>5</v>
      </c>
      <c r="I875">
        <v>0</v>
      </c>
    </row>
    <row r="876" spans="5:9" ht="15.75" hidden="1" customHeight="1" x14ac:dyDescent="0.2">
      <c r="E876" t="s">
        <v>478</v>
      </c>
      <c r="F876">
        <v>131</v>
      </c>
      <c r="G876" t="s">
        <v>289</v>
      </c>
      <c r="H876" t="s">
        <v>5</v>
      </c>
      <c r="I876">
        <v>0</v>
      </c>
    </row>
    <row r="877" spans="5:9" ht="15.75" hidden="1" customHeight="1" x14ac:dyDescent="0.2">
      <c r="E877" t="s">
        <v>440</v>
      </c>
      <c r="F877">
        <v>132</v>
      </c>
      <c r="G877" t="s">
        <v>289</v>
      </c>
      <c r="H877" t="s">
        <v>5</v>
      </c>
      <c r="I877">
        <v>0</v>
      </c>
    </row>
    <row r="878" spans="5:9" ht="15.75" hidden="1" customHeight="1" x14ac:dyDescent="0.2">
      <c r="E878" t="s">
        <v>441</v>
      </c>
      <c r="F878">
        <v>133</v>
      </c>
      <c r="G878" t="s">
        <v>289</v>
      </c>
      <c r="H878" t="s">
        <v>5</v>
      </c>
      <c r="I878">
        <v>0</v>
      </c>
    </row>
    <row r="879" spans="5:9" ht="15.75" hidden="1" customHeight="1" x14ac:dyDescent="0.2">
      <c r="E879" t="s">
        <v>442</v>
      </c>
      <c r="F879">
        <v>134</v>
      </c>
      <c r="G879" t="s">
        <v>289</v>
      </c>
      <c r="H879" t="s">
        <v>5</v>
      </c>
      <c r="I879">
        <v>0</v>
      </c>
    </row>
    <row r="880" spans="5:9" ht="15.75" hidden="1" customHeight="1" x14ac:dyDescent="0.2">
      <c r="E880" t="s">
        <v>443</v>
      </c>
      <c r="F880">
        <v>135</v>
      </c>
      <c r="G880" t="s">
        <v>289</v>
      </c>
      <c r="H880" t="s">
        <v>5</v>
      </c>
      <c r="I880">
        <v>4</v>
      </c>
    </row>
    <row r="881" spans="5:9" ht="15.75" hidden="1" customHeight="1" x14ac:dyDescent="0.2">
      <c r="E881" t="s">
        <v>362</v>
      </c>
      <c r="F881">
        <v>136</v>
      </c>
      <c r="G881" t="s">
        <v>289</v>
      </c>
      <c r="H881" t="s">
        <v>5</v>
      </c>
      <c r="I881">
        <v>0</v>
      </c>
    </row>
    <row r="882" spans="5:9" ht="15.75" hidden="1" customHeight="1" x14ac:dyDescent="0.2">
      <c r="E882" t="s">
        <v>482</v>
      </c>
      <c r="F882">
        <v>137</v>
      </c>
      <c r="G882" t="s">
        <v>289</v>
      </c>
      <c r="H882" t="s">
        <v>5</v>
      </c>
      <c r="I882">
        <v>1</v>
      </c>
    </row>
    <row r="883" spans="5:9" ht="15.75" hidden="1" customHeight="1" x14ac:dyDescent="0.2">
      <c r="E883" t="s">
        <v>483</v>
      </c>
      <c r="F883">
        <v>138</v>
      </c>
      <c r="G883" t="s">
        <v>289</v>
      </c>
      <c r="H883" t="s">
        <v>5</v>
      </c>
      <c r="I883">
        <v>0</v>
      </c>
    </row>
    <row r="884" spans="5:9" ht="15.75" hidden="1" customHeight="1" x14ac:dyDescent="0.2">
      <c r="E884" t="s">
        <v>484</v>
      </c>
      <c r="F884">
        <v>139</v>
      </c>
      <c r="G884" t="s">
        <v>289</v>
      </c>
      <c r="H884" t="s">
        <v>5</v>
      </c>
      <c r="I884">
        <v>1</v>
      </c>
    </row>
    <row r="885" spans="5:9" ht="15.75" hidden="1" customHeight="1" x14ac:dyDescent="0.2">
      <c r="E885" t="s">
        <v>486</v>
      </c>
      <c r="F885">
        <v>140</v>
      </c>
      <c r="G885" t="s">
        <v>289</v>
      </c>
      <c r="H885" t="s">
        <v>5</v>
      </c>
      <c r="I885">
        <v>0</v>
      </c>
    </row>
    <row r="886" spans="5:9" ht="15.75" hidden="1" customHeight="1" x14ac:dyDescent="0.2">
      <c r="E886" t="s">
        <v>487</v>
      </c>
      <c r="F886">
        <v>141</v>
      </c>
      <c r="G886" t="s">
        <v>289</v>
      </c>
      <c r="H886" t="s">
        <v>5</v>
      </c>
      <c r="I886">
        <v>0</v>
      </c>
    </row>
    <row r="887" spans="5:9" ht="15.75" hidden="1" customHeight="1" x14ac:dyDescent="0.2">
      <c r="E887" t="s">
        <v>446</v>
      </c>
      <c r="F887">
        <v>142</v>
      </c>
      <c r="G887" t="s">
        <v>289</v>
      </c>
      <c r="H887" t="s">
        <v>5</v>
      </c>
      <c r="I887">
        <v>1</v>
      </c>
    </row>
    <row r="888" spans="5:9" ht="15.75" hidden="1" customHeight="1" x14ac:dyDescent="0.2">
      <c r="E888" t="s">
        <v>447</v>
      </c>
      <c r="F888">
        <v>143</v>
      </c>
      <c r="G888" t="s">
        <v>289</v>
      </c>
      <c r="H888" t="s">
        <v>5</v>
      </c>
      <c r="I888">
        <v>1</v>
      </c>
    </row>
    <row r="889" spans="5:9" ht="15.75" hidden="1" customHeight="1" x14ac:dyDescent="0.2">
      <c r="E889" t="s">
        <v>448</v>
      </c>
      <c r="F889">
        <v>144</v>
      </c>
      <c r="G889" t="s">
        <v>289</v>
      </c>
      <c r="H889" t="s">
        <v>5</v>
      </c>
      <c r="I889">
        <v>0</v>
      </c>
    </row>
    <row r="890" spans="5:9" ht="15.75" hidden="1" customHeight="1" x14ac:dyDescent="0.2">
      <c r="E890" t="s">
        <v>449</v>
      </c>
      <c r="F890">
        <v>145</v>
      </c>
      <c r="G890" t="s">
        <v>289</v>
      </c>
      <c r="H890" t="s">
        <v>5</v>
      </c>
      <c r="I890">
        <v>0</v>
      </c>
    </row>
    <row r="891" spans="5:9" ht="15.75" hidden="1" customHeight="1" x14ac:dyDescent="0.2">
      <c r="E891" t="s">
        <v>450</v>
      </c>
      <c r="F891">
        <v>146</v>
      </c>
      <c r="G891" t="s">
        <v>289</v>
      </c>
      <c r="H891" t="s">
        <v>5</v>
      </c>
      <c r="I891">
        <v>0</v>
      </c>
    </row>
    <row r="892" spans="5:9" ht="15.75" hidden="1" customHeight="1" x14ac:dyDescent="0.2">
      <c r="E892" t="s">
        <v>451</v>
      </c>
      <c r="F892">
        <v>147</v>
      </c>
      <c r="G892" t="s">
        <v>289</v>
      </c>
      <c r="H892" t="s">
        <v>5</v>
      </c>
      <c r="I892">
        <v>0</v>
      </c>
    </row>
    <row r="893" spans="5:9" ht="15.75" hidden="1" customHeight="1" x14ac:dyDescent="0.2">
      <c r="E893" t="s">
        <v>488</v>
      </c>
      <c r="F893">
        <v>148</v>
      </c>
      <c r="G893" t="s">
        <v>289</v>
      </c>
      <c r="H893" t="s">
        <v>5</v>
      </c>
      <c r="I893">
        <v>0</v>
      </c>
    </row>
    <row r="894" spans="5:9" ht="15.75" hidden="1" customHeight="1" x14ac:dyDescent="0.2">
      <c r="E894" t="s">
        <v>452</v>
      </c>
      <c r="F894">
        <v>149</v>
      </c>
      <c r="G894" t="s">
        <v>289</v>
      </c>
      <c r="H894" t="s">
        <v>5</v>
      </c>
      <c r="I894">
        <v>0</v>
      </c>
    </row>
    <row r="895" spans="5:9" ht="15.75" hidden="1" customHeight="1" x14ac:dyDescent="0.2">
      <c r="E895" t="s">
        <v>453</v>
      </c>
      <c r="F895">
        <v>150</v>
      </c>
      <c r="G895" t="s">
        <v>289</v>
      </c>
      <c r="H895" t="s">
        <v>5</v>
      </c>
      <c r="I895">
        <v>0</v>
      </c>
    </row>
    <row r="896" spans="5:9" ht="15.75" hidden="1" customHeight="1" x14ac:dyDescent="0.2">
      <c r="E896" t="s">
        <v>454</v>
      </c>
      <c r="F896">
        <v>151</v>
      </c>
      <c r="G896" t="s">
        <v>289</v>
      </c>
      <c r="H896" t="s">
        <v>5</v>
      </c>
      <c r="I896">
        <v>0</v>
      </c>
    </row>
    <row r="897" spans="5:9" ht="15.75" hidden="1" customHeight="1" x14ac:dyDescent="0.2">
      <c r="E897" t="s">
        <v>455</v>
      </c>
      <c r="F897">
        <v>152</v>
      </c>
      <c r="G897" t="s">
        <v>289</v>
      </c>
      <c r="H897" t="s">
        <v>5</v>
      </c>
      <c r="I897">
        <v>0</v>
      </c>
    </row>
    <row r="898" spans="5:9" ht="15.75" hidden="1" customHeight="1" x14ac:dyDescent="0.2">
      <c r="E898" t="s">
        <v>456</v>
      </c>
      <c r="F898">
        <v>153</v>
      </c>
      <c r="G898" t="s">
        <v>289</v>
      </c>
      <c r="H898" t="s">
        <v>5</v>
      </c>
      <c r="I898">
        <v>0</v>
      </c>
    </row>
    <row r="899" spans="5:9" ht="15.75" hidden="1" customHeight="1" x14ac:dyDescent="0.2">
      <c r="E899" t="s">
        <v>489</v>
      </c>
      <c r="F899">
        <v>154</v>
      </c>
      <c r="G899" t="s">
        <v>289</v>
      </c>
      <c r="H899" t="s">
        <v>5</v>
      </c>
      <c r="I899">
        <v>0</v>
      </c>
    </row>
    <row r="900" spans="5:9" ht="15.75" hidden="1" customHeight="1" x14ac:dyDescent="0.2">
      <c r="E900" t="s">
        <v>457</v>
      </c>
      <c r="F900">
        <v>155</v>
      </c>
      <c r="G900" t="s">
        <v>289</v>
      </c>
      <c r="H900" t="s">
        <v>5</v>
      </c>
      <c r="I900">
        <v>0</v>
      </c>
    </row>
    <row r="901" spans="5:9" ht="15.75" hidden="1" customHeight="1" x14ac:dyDescent="0.2">
      <c r="E901" t="s">
        <v>362</v>
      </c>
      <c r="F901">
        <v>156</v>
      </c>
      <c r="G901" t="s">
        <v>289</v>
      </c>
      <c r="H901" t="s">
        <v>5</v>
      </c>
      <c r="I901">
        <v>0</v>
      </c>
    </row>
    <row r="902" spans="5:9" ht="15.75" hidden="1" customHeight="1" x14ac:dyDescent="0.2">
      <c r="E902" t="s">
        <v>491</v>
      </c>
      <c r="F902">
        <v>157</v>
      </c>
      <c r="G902" t="s">
        <v>289</v>
      </c>
      <c r="H902" t="s">
        <v>5</v>
      </c>
      <c r="I902">
        <v>1</v>
      </c>
    </row>
    <row r="903" spans="5:9" ht="15.75" hidden="1" customHeight="1" x14ac:dyDescent="0.2">
      <c r="E903" t="s">
        <v>492</v>
      </c>
      <c r="F903">
        <v>158</v>
      </c>
      <c r="G903" t="s">
        <v>289</v>
      </c>
      <c r="H903" t="s">
        <v>5</v>
      </c>
      <c r="I903">
        <v>2</v>
      </c>
    </row>
    <row r="904" spans="5:9" ht="15.75" hidden="1" customHeight="1" x14ac:dyDescent="0.2">
      <c r="E904" t="s">
        <v>493</v>
      </c>
      <c r="F904">
        <v>159</v>
      </c>
      <c r="G904" t="s">
        <v>289</v>
      </c>
      <c r="H904" t="s">
        <v>5</v>
      </c>
      <c r="I904">
        <v>1</v>
      </c>
    </row>
    <row r="905" spans="5:9" ht="15.75" hidden="1" customHeight="1" x14ac:dyDescent="0.2">
      <c r="E905" t="s">
        <v>494</v>
      </c>
      <c r="F905">
        <v>160</v>
      </c>
      <c r="G905" t="s">
        <v>289</v>
      </c>
      <c r="H905" t="s">
        <v>5</v>
      </c>
      <c r="I905">
        <v>0</v>
      </c>
    </row>
    <row r="906" spans="5:9" ht="15.75" hidden="1" customHeight="1" x14ac:dyDescent="0.2">
      <c r="E906" t="s">
        <v>496</v>
      </c>
      <c r="F906">
        <v>161</v>
      </c>
      <c r="G906" t="s">
        <v>289</v>
      </c>
      <c r="H906" t="s">
        <v>5</v>
      </c>
      <c r="I906">
        <v>0</v>
      </c>
    </row>
    <row r="907" spans="5:9" ht="15.75" hidden="1" customHeight="1" x14ac:dyDescent="0.2">
      <c r="E907" t="s">
        <v>497</v>
      </c>
      <c r="F907">
        <v>162</v>
      </c>
      <c r="G907" t="s">
        <v>289</v>
      </c>
      <c r="H907" t="s">
        <v>5</v>
      </c>
      <c r="I907">
        <v>0</v>
      </c>
    </row>
    <row r="908" spans="5:9" ht="15.75" hidden="1" customHeight="1" x14ac:dyDescent="0.2">
      <c r="E908" t="s">
        <v>459</v>
      </c>
      <c r="F908">
        <v>163</v>
      </c>
      <c r="G908" t="s">
        <v>289</v>
      </c>
      <c r="H908" t="s">
        <v>5</v>
      </c>
      <c r="I908">
        <v>1</v>
      </c>
    </row>
    <row r="909" spans="5:9" ht="15.75" hidden="1" customHeight="1" x14ac:dyDescent="0.2">
      <c r="E909" t="s">
        <v>460</v>
      </c>
      <c r="F909">
        <v>164</v>
      </c>
      <c r="G909" t="s">
        <v>289</v>
      </c>
      <c r="H909" t="s">
        <v>5</v>
      </c>
      <c r="I909">
        <v>0</v>
      </c>
    </row>
    <row r="910" spans="5:9" ht="15.75" hidden="1" customHeight="1" x14ac:dyDescent="0.2">
      <c r="E910" t="s">
        <v>461</v>
      </c>
      <c r="F910">
        <v>165</v>
      </c>
      <c r="G910" t="s">
        <v>289</v>
      </c>
      <c r="H910" t="s">
        <v>5</v>
      </c>
      <c r="I910">
        <v>1</v>
      </c>
    </row>
    <row r="911" spans="5:9" ht="15.75" hidden="1" customHeight="1" x14ac:dyDescent="0.2">
      <c r="E911" t="s">
        <v>462</v>
      </c>
      <c r="F911">
        <v>166</v>
      </c>
      <c r="G911" t="s">
        <v>289</v>
      </c>
      <c r="H911" t="s">
        <v>5</v>
      </c>
      <c r="I911">
        <v>0</v>
      </c>
    </row>
    <row r="912" spans="5:9" ht="15.75" hidden="1" customHeight="1" x14ac:dyDescent="0.2">
      <c r="E912" t="s">
        <v>463</v>
      </c>
      <c r="F912">
        <v>167</v>
      </c>
      <c r="G912" t="s">
        <v>289</v>
      </c>
      <c r="H912" t="s">
        <v>5</v>
      </c>
      <c r="I912">
        <v>1</v>
      </c>
    </row>
    <row r="913" spans="5:9" ht="15.75" hidden="1" customHeight="1" x14ac:dyDescent="0.2">
      <c r="E913" t="s">
        <v>464</v>
      </c>
      <c r="F913">
        <v>168</v>
      </c>
      <c r="G913" t="s">
        <v>289</v>
      </c>
      <c r="H913" t="s">
        <v>5</v>
      </c>
      <c r="I913">
        <v>0</v>
      </c>
    </row>
    <row r="914" spans="5:9" ht="15.75" hidden="1" customHeight="1" x14ac:dyDescent="0.2">
      <c r="E914" t="s">
        <v>465</v>
      </c>
      <c r="F914">
        <v>169</v>
      </c>
      <c r="G914" t="s">
        <v>289</v>
      </c>
      <c r="H914" t="s">
        <v>5</v>
      </c>
      <c r="I914">
        <v>0</v>
      </c>
    </row>
    <row r="915" spans="5:9" ht="15.75" hidden="1" customHeight="1" x14ac:dyDescent="0.2">
      <c r="E915" t="s">
        <v>466</v>
      </c>
      <c r="F915">
        <v>170</v>
      </c>
      <c r="G915" t="s">
        <v>289</v>
      </c>
      <c r="H915" t="s">
        <v>5</v>
      </c>
      <c r="I915">
        <v>1</v>
      </c>
    </row>
    <row r="916" spans="5:9" ht="15.75" hidden="1" customHeight="1" x14ac:dyDescent="0.2">
      <c r="E916" t="s">
        <v>467</v>
      </c>
      <c r="F916">
        <v>171</v>
      </c>
      <c r="G916" t="s">
        <v>289</v>
      </c>
      <c r="H916" t="s">
        <v>5</v>
      </c>
      <c r="I916">
        <v>0</v>
      </c>
    </row>
    <row r="917" spans="5:9" ht="15.75" hidden="1" customHeight="1" x14ac:dyDescent="0.2">
      <c r="E917" t="s">
        <v>468</v>
      </c>
      <c r="F917">
        <v>172</v>
      </c>
      <c r="G917" t="s">
        <v>289</v>
      </c>
      <c r="H917" t="s">
        <v>5</v>
      </c>
      <c r="I917">
        <v>1</v>
      </c>
    </row>
    <row r="918" spans="5:9" ht="15.75" hidden="1" customHeight="1" x14ac:dyDescent="0.2">
      <c r="E918" t="s">
        <v>469</v>
      </c>
      <c r="F918">
        <v>173</v>
      </c>
      <c r="G918" t="s">
        <v>289</v>
      </c>
      <c r="H918" t="s">
        <v>5</v>
      </c>
      <c r="I918">
        <v>1</v>
      </c>
    </row>
    <row r="919" spans="5:9" ht="15.75" hidden="1" customHeight="1" x14ac:dyDescent="0.2">
      <c r="E919" t="s">
        <v>470</v>
      </c>
      <c r="F919">
        <v>174</v>
      </c>
      <c r="G919" t="s">
        <v>289</v>
      </c>
      <c r="H919" t="s">
        <v>5</v>
      </c>
      <c r="I919">
        <v>1</v>
      </c>
    </row>
    <row r="920" spans="5:9" ht="15.75" hidden="1" customHeight="1" x14ac:dyDescent="0.2">
      <c r="E920" t="s">
        <v>471</v>
      </c>
      <c r="F920">
        <v>175</v>
      </c>
      <c r="G920" t="s">
        <v>289</v>
      </c>
      <c r="H920" t="s">
        <v>5</v>
      </c>
      <c r="I920">
        <v>0</v>
      </c>
    </row>
    <row r="921" spans="5:9" ht="15.75" hidden="1" customHeight="1" x14ac:dyDescent="0.2">
      <c r="E921" t="s">
        <v>472</v>
      </c>
      <c r="F921">
        <v>176</v>
      </c>
      <c r="G921" t="s">
        <v>289</v>
      </c>
      <c r="H921" t="s">
        <v>5</v>
      </c>
      <c r="I921">
        <v>1</v>
      </c>
    </row>
    <row r="922" spans="5:9" ht="15.75" hidden="1" customHeight="1" x14ac:dyDescent="0.2">
      <c r="E922" t="s">
        <v>362</v>
      </c>
      <c r="F922">
        <v>177</v>
      </c>
      <c r="G922" t="s">
        <v>289</v>
      </c>
      <c r="H922" t="s">
        <v>5</v>
      </c>
      <c r="I922">
        <v>0</v>
      </c>
    </row>
    <row r="923" spans="5:9" ht="15.75" hidden="1" customHeight="1" x14ac:dyDescent="0.2">
      <c r="E923" t="s">
        <v>473</v>
      </c>
      <c r="F923">
        <v>178</v>
      </c>
      <c r="G923" t="s">
        <v>289</v>
      </c>
      <c r="H923" t="s">
        <v>5</v>
      </c>
      <c r="I923">
        <v>1</v>
      </c>
    </row>
    <row r="924" spans="5:9" ht="15.75" hidden="1" customHeight="1" x14ac:dyDescent="0.2">
      <c r="E924" t="s">
        <v>474</v>
      </c>
      <c r="F924">
        <v>179</v>
      </c>
      <c r="G924" t="s">
        <v>289</v>
      </c>
      <c r="H924" t="s">
        <v>5</v>
      </c>
      <c r="I924">
        <v>1</v>
      </c>
    </row>
    <row r="925" spans="5:9" ht="15.75" hidden="1" customHeight="1" x14ac:dyDescent="0.2">
      <c r="E925" t="s">
        <v>499</v>
      </c>
      <c r="F925">
        <v>180</v>
      </c>
      <c r="G925" t="s">
        <v>289</v>
      </c>
      <c r="H925" t="s">
        <v>5</v>
      </c>
      <c r="I925">
        <v>1</v>
      </c>
    </row>
    <row r="926" spans="5:9" ht="15.75" hidden="1" customHeight="1" x14ac:dyDescent="0.2">
      <c r="E926" t="s">
        <v>500</v>
      </c>
      <c r="F926">
        <v>181</v>
      </c>
      <c r="G926" t="s">
        <v>289</v>
      </c>
      <c r="H926" t="s">
        <v>5</v>
      </c>
      <c r="I926">
        <v>2</v>
      </c>
    </row>
    <row r="927" spans="5:9" ht="15.75" hidden="1" customHeight="1" x14ac:dyDescent="0.2">
      <c r="E927" t="s">
        <v>501</v>
      </c>
      <c r="F927">
        <v>182</v>
      </c>
      <c r="G927" t="s">
        <v>289</v>
      </c>
      <c r="H927" t="s">
        <v>5</v>
      </c>
      <c r="I927">
        <v>2</v>
      </c>
    </row>
    <row r="928" spans="5:9" ht="15.75" hidden="1" customHeight="1" x14ac:dyDescent="0.2">
      <c r="E928" t="s">
        <v>502</v>
      </c>
      <c r="F928">
        <v>183</v>
      </c>
      <c r="G928" t="s">
        <v>289</v>
      </c>
      <c r="H928" t="s">
        <v>5</v>
      </c>
      <c r="I928">
        <v>0</v>
      </c>
    </row>
    <row r="929" spans="5:9" ht="15.75" hidden="1" customHeight="1" x14ac:dyDescent="0.2">
      <c r="E929" t="s">
        <v>503</v>
      </c>
      <c r="F929">
        <v>184</v>
      </c>
      <c r="G929" t="s">
        <v>289</v>
      </c>
      <c r="H929" t="s">
        <v>5</v>
      </c>
      <c r="I929">
        <v>1</v>
      </c>
    </row>
    <row r="930" spans="5:9" ht="15.75" hidden="1" customHeight="1" x14ac:dyDescent="0.2">
      <c r="E930" t="s">
        <v>504</v>
      </c>
      <c r="F930">
        <v>185</v>
      </c>
      <c r="G930" t="s">
        <v>289</v>
      </c>
      <c r="H930" t="s">
        <v>5</v>
      </c>
      <c r="I930">
        <v>0</v>
      </c>
    </row>
    <row r="931" spans="5:9" ht="15.75" hidden="1" customHeight="1" x14ac:dyDescent="0.2">
      <c r="E931" t="s">
        <v>505</v>
      </c>
      <c r="F931">
        <v>186</v>
      </c>
      <c r="G931" t="s">
        <v>289</v>
      </c>
      <c r="H931" t="s">
        <v>5</v>
      </c>
      <c r="I931">
        <v>0</v>
      </c>
    </row>
    <row r="932" spans="5:9" ht="15.75" hidden="1" customHeight="1" x14ac:dyDescent="0.2">
      <c r="E932" t="s">
        <v>287</v>
      </c>
      <c r="F932">
        <v>1</v>
      </c>
      <c r="G932" t="s">
        <v>292</v>
      </c>
      <c r="H932" t="s">
        <v>6</v>
      </c>
      <c r="I932">
        <v>0</v>
      </c>
    </row>
    <row r="933" spans="5:9" ht="15.75" hidden="1" customHeight="1" x14ac:dyDescent="0.2">
      <c r="E933" t="s">
        <v>350</v>
      </c>
      <c r="F933">
        <v>2</v>
      </c>
      <c r="G933" t="s">
        <v>292</v>
      </c>
      <c r="H933" t="s">
        <v>6</v>
      </c>
      <c r="I933">
        <v>0</v>
      </c>
    </row>
    <row r="934" spans="5:9" ht="15.75" hidden="1" customHeight="1" x14ac:dyDescent="0.2">
      <c r="E934" t="s">
        <v>351</v>
      </c>
      <c r="F934">
        <v>3</v>
      </c>
      <c r="G934" t="s">
        <v>292</v>
      </c>
      <c r="H934" t="s">
        <v>6</v>
      </c>
      <c r="I934">
        <v>4</v>
      </c>
    </row>
    <row r="935" spans="5:9" ht="15.75" hidden="1" customHeight="1" x14ac:dyDescent="0.2">
      <c r="E935" t="s">
        <v>352</v>
      </c>
      <c r="F935">
        <v>4</v>
      </c>
      <c r="G935" t="s">
        <v>292</v>
      </c>
      <c r="H935" t="s">
        <v>6</v>
      </c>
      <c r="I935">
        <v>4</v>
      </c>
    </row>
    <row r="936" spans="5:9" ht="15.75" hidden="1" customHeight="1" x14ac:dyDescent="0.2">
      <c r="E936" t="s">
        <v>354</v>
      </c>
      <c r="F936">
        <v>5</v>
      </c>
      <c r="G936" t="s">
        <v>292</v>
      </c>
      <c r="H936" t="s">
        <v>6</v>
      </c>
      <c r="I936">
        <v>1</v>
      </c>
    </row>
    <row r="937" spans="5:9" ht="15.75" hidden="1" customHeight="1" x14ac:dyDescent="0.2">
      <c r="E937" t="s">
        <v>356</v>
      </c>
      <c r="F937">
        <v>6</v>
      </c>
      <c r="G937" t="s">
        <v>292</v>
      </c>
      <c r="H937" t="s">
        <v>6</v>
      </c>
      <c r="I937">
        <v>1</v>
      </c>
    </row>
    <row r="938" spans="5:9" ht="15.75" hidden="1" customHeight="1" x14ac:dyDescent="0.2">
      <c r="E938" t="s">
        <v>358</v>
      </c>
      <c r="F938">
        <v>7</v>
      </c>
      <c r="G938" t="s">
        <v>292</v>
      </c>
      <c r="H938" t="s">
        <v>6</v>
      </c>
      <c r="I938">
        <v>0</v>
      </c>
    </row>
    <row r="939" spans="5:9" ht="15.75" hidden="1" customHeight="1" x14ac:dyDescent="0.2">
      <c r="E939" t="s">
        <v>359</v>
      </c>
      <c r="F939">
        <v>8</v>
      </c>
      <c r="G939" t="s">
        <v>292</v>
      </c>
      <c r="H939" t="s">
        <v>6</v>
      </c>
      <c r="I939">
        <v>0</v>
      </c>
    </row>
    <row r="940" spans="5:9" ht="15.75" hidden="1" customHeight="1" x14ac:dyDescent="0.2">
      <c r="E940" t="s">
        <v>360</v>
      </c>
      <c r="F940">
        <v>9</v>
      </c>
      <c r="G940" t="s">
        <v>292</v>
      </c>
      <c r="H940" t="s">
        <v>6</v>
      </c>
      <c r="I940">
        <v>0</v>
      </c>
    </row>
    <row r="941" spans="5:9" ht="15.75" hidden="1" customHeight="1" x14ac:dyDescent="0.2">
      <c r="E941" t="s">
        <v>361</v>
      </c>
      <c r="F941">
        <v>10</v>
      </c>
      <c r="G941" t="s">
        <v>292</v>
      </c>
      <c r="H941" t="s">
        <v>6</v>
      </c>
      <c r="I941">
        <v>1</v>
      </c>
    </row>
    <row r="942" spans="5:9" ht="15.75" hidden="1" customHeight="1" x14ac:dyDescent="0.2">
      <c r="E942" t="s">
        <v>362</v>
      </c>
      <c r="F942">
        <v>11</v>
      </c>
      <c r="G942" t="s">
        <v>292</v>
      </c>
      <c r="H942" t="s">
        <v>6</v>
      </c>
      <c r="I942">
        <v>0</v>
      </c>
    </row>
    <row r="943" spans="5:9" ht="15.75" hidden="1" customHeight="1" x14ac:dyDescent="0.2">
      <c r="E943" t="s">
        <v>363</v>
      </c>
      <c r="F943">
        <v>12</v>
      </c>
      <c r="G943" t="s">
        <v>292</v>
      </c>
      <c r="H943" t="s">
        <v>6</v>
      </c>
      <c r="I943">
        <v>0</v>
      </c>
    </row>
    <row r="944" spans="5:9" ht="15.75" hidden="1" customHeight="1" x14ac:dyDescent="0.2">
      <c r="E944" t="s">
        <v>365</v>
      </c>
      <c r="F944">
        <v>13</v>
      </c>
      <c r="G944" t="s">
        <v>292</v>
      </c>
      <c r="H944" t="s">
        <v>6</v>
      </c>
      <c r="I944">
        <v>0</v>
      </c>
    </row>
    <row r="945" spans="5:9" ht="15.75" hidden="1" customHeight="1" x14ac:dyDescent="0.2">
      <c r="E945" t="s">
        <v>369</v>
      </c>
      <c r="F945">
        <v>14</v>
      </c>
      <c r="G945" t="s">
        <v>292</v>
      </c>
      <c r="H945" t="s">
        <v>6</v>
      </c>
      <c r="I945">
        <v>0</v>
      </c>
    </row>
    <row r="946" spans="5:9" ht="15.75" hidden="1" customHeight="1" x14ac:dyDescent="0.2">
      <c r="E946" t="s">
        <v>370</v>
      </c>
      <c r="F946">
        <v>15</v>
      </c>
      <c r="G946" t="s">
        <v>292</v>
      </c>
      <c r="H946" t="s">
        <v>6</v>
      </c>
      <c r="I946">
        <v>0</v>
      </c>
    </row>
    <row r="947" spans="5:9" ht="15.75" hidden="1" customHeight="1" x14ac:dyDescent="0.2">
      <c r="E947" t="s">
        <v>371</v>
      </c>
      <c r="F947">
        <v>16</v>
      </c>
      <c r="G947" t="s">
        <v>292</v>
      </c>
      <c r="H947" t="s">
        <v>6</v>
      </c>
      <c r="I947">
        <v>0</v>
      </c>
    </row>
    <row r="948" spans="5:9" ht="15.75" hidden="1" customHeight="1" x14ac:dyDescent="0.2">
      <c r="E948" t="s">
        <v>372</v>
      </c>
      <c r="F948">
        <v>17</v>
      </c>
      <c r="G948" t="s">
        <v>292</v>
      </c>
      <c r="H948" t="s">
        <v>6</v>
      </c>
      <c r="I948">
        <v>1</v>
      </c>
    </row>
    <row r="949" spans="5:9" ht="15.75" hidden="1" customHeight="1" x14ac:dyDescent="0.2">
      <c r="E949" t="s">
        <v>373</v>
      </c>
      <c r="F949">
        <v>18</v>
      </c>
      <c r="G949" t="s">
        <v>292</v>
      </c>
      <c r="H949" t="s">
        <v>6</v>
      </c>
      <c r="I949">
        <v>0</v>
      </c>
    </row>
    <row r="950" spans="5:9" ht="15.75" hidden="1" customHeight="1" x14ac:dyDescent="0.2">
      <c r="E950" t="s">
        <v>374</v>
      </c>
      <c r="F950">
        <v>19</v>
      </c>
      <c r="G950" t="s">
        <v>292</v>
      </c>
      <c r="H950" t="s">
        <v>6</v>
      </c>
      <c r="I950">
        <v>0</v>
      </c>
    </row>
    <row r="951" spans="5:9" ht="15.75" hidden="1" customHeight="1" x14ac:dyDescent="0.2">
      <c r="E951" t="s">
        <v>375</v>
      </c>
      <c r="F951">
        <v>20</v>
      </c>
      <c r="G951" t="s">
        <v>292</v>
      </c>
      <c r="H951" t="s">
        <v>6</v>
      </c>
      <c r="I951">
        <v>0</v>
      </c>
    </row>
    <row r="952" spans="5:9" ht="15.75" hidden="1" customHeight="1" x14ac:dyDescent="0.2">
      <c r="E952" t="s">
        <v>376</v>
      </c>
      <c r="F952">
        <v>21</v>
      </c>
      <c r="G952" t="s">
        <v>292</v>
      </c>
      <c r="H952" t="s">
        <v>6</v>
      </c>
      <c r="I952">
        <v>0</v>
      </c>
    </row>
    <row r="953" spans="5:9" ht="15.75" hidden="1" customHeight="1" x14ac:dyDescent="0.2">
      <c r="E953" t="s">
        <v>377</v>
      </c>
      <c r="F953">
        <v>22</v>
      </c>
      <c r="G953" t="s">
        <v>292</v>
      </c>
      <c r="H953" t="s">
        <v>6</v>
      </c>
      <c r="I953">
        <v>1</v>
      </c>
    </row>
    <row r="954" spans="5:9" ht="15.75" hidden="1" customHeight="1" x14ac:dyDescent="0.2">
      <c r="E954" t="s">
        <v>378</v>
      </c>
      <c r="F954">
        <v>23</v>
      </c>
      <c r="G954" t="s">
        <v>292</v>
      </c>
      <c r="H954" t="s">
        <v>6</v>
      </c>
      <c r="I954">
        <v>0</v>
      </c>
    </row>
    <row r="955" spans="5:9" ht="15.75" hidden="1" customHeight="1" x14ac:dyDescent="0.2">
      <c r="E955" t="s">
        <v>379</v>
      </c>
      <c r="F955">
        <v>24</v>
      </c>
      <c r="G955" t="s">
        <v>292</v>
      </c>
      <c r="H955" t="s">
        <v>6</v>
      </c>
      <c r="I955">
        <v>0</v>
      </c>
    </row>
    <row r="956" spans="5:9" ht="15.75" hidden="1" customHeight="1" x14ac:dyDescent="0.2">
      <c r="E956" t="s">
        <v>380</v>
      </c>
      <c r="F956">
        <v>25</v>
      </c>
      <c r="G956" t="s">
        <v>292</v>
      </c>
      <c r="H956" t="s">
        <v>6</v>
      </c>
      <c r="I956">
        <v>1</v>
      </c>
    </row>
    <row r="957" spans="5:9" ht="15.75" hidden="1" customHeight="1" x14ac:dyDescent="0.2">
      <c r="E957" t="s">
        <v>381</v>
      </c>
      <c r="F957">
        <v>26</v>
      </c>
      <c r="G957" t="s">
        <v>292</v>
      </c>
      <c r="H957" t="s">
        <v>6</v>
      </c>
      <c r="I957">
        <v>0</v>
      </c>
    </row>
    <row r="958" spans="5:9" ht="15.75" hidden="1" customHeight="1" x14ac:dyDescent="0.2">
      <c r="E958" t="s">
        <v>382</v>
      </c>
      <c r="F958">
        <v>27</v>
      </c>
      <c r="G958" t="s">
        <v>292</v>
      </c>
      <c r="H958" t="s">
        <v>6</v>
      </c>
      <c r="I958">
        <v>1</v>
      </c>
    </row>
    <row r="959" spans="5:9" ht="15.75" hidden="1" customHeight="1" x14ac:dyDescent="0.2">
      <c r="E959" t="s">
        <v>383</v>
      </c>
      <c r="F959">
        <v>28</v>
      </c>
      <c r="G959" t="s">
        <v>292</v>
      </c>
      <c r="H959" t="s">
        <v>6</v>
      </c>
      <c r="I959">
        <v>0</v>
      </c>
    </row>
    <row r="960" spans="5:9" ht="15.75" hidden="1" customHeight="1" x14ac:dyDescent="0.2">
      <c r="E960" t="s">
        <v>385</v>
      </c>
      <c r="F960">
        <v>29</v>
      </c>
      <c r="G960" t="s">
        <v>292</v>
      </c>
      <c r="H960" t="s">
        <v>6</v>
      </c>
      <c r="I960">
        <v>1</v>
      </c>
    </row>
    <row r="961" spans="5:9" ht="15.75" hidden="1" customHeight="1" x14ac:dyDescent="0.2">
      <c r="E961" t="s">
        <v>387</v>
      </c>
      <c r="F961">
        <v>30</v>
      </c>
      <c r="G961" t="s">
        <v>292</v>
      </c>
      <c r="H961" t="s">
        <v>6</v>
      </c>
      <c r="I961">
        <v>1</v>
      </c>
    </row>
    <row r="962" spans="5:9" ht="15.75" hidden="1" customHeight="1" x14ac:dyDescent="0.2">
      <c r="E962" t="s">
        <v>388</v>
      </c>
      <c r="F962">
        <v>31</v>
      </c>
      <c r="G962" t="s">
        <v>292</v>
      </c>
      <c r="H962" t="s">
        <v>6</v>
      </c>
      <c r="I962">
        <v>0</v>
      </c>
    </row>
    <row r="963" spans="5:9" ht="15.75" hidden="1" customHeight="1" x14ac:dyDescent="0.2">
      <c r="E963" t="s">
        <v>389</v>
      </c>
      <c r="F963">
        <v>32</v>
      </c>
      <c r="G963" t="s">
        <v>292</v>
      </c>
      <c r="H963" t="s">
        <v>6</v>
      </c>
      <c r="I963">
        <v>0</v>
      </c>
    </row>
    <row r="964" spans="5:9" ht="15.75" hidden="1" customHeight="1" x14ac:dyDescent="0.2">
      <c r="E964" t="s">
        <v>390</v>
      </c>
      <c r="F964">
        <v>33</v>
      </c>
      <c r="G964" t="s">
        <v>292</v>
      </c>
      <c r="H964" t="s">
        <v>6</v>
      </c>
      <c r="I964">
        <v>0</v>
      </c>
    </row>
    <row r="965" spans="5:9" ht="15.75" hidden="1" customHeight="1" x14ac:dyDescent="0.2">
      <c r="E965" t="s">
        <v>391</v>
      </c>
      <c r="F965">
        <v>34</v>
      </c>
      <c r="G965" t="s">
        <v>292</v>
      </c>
      <c r="H965" t="s">
        <v>6</v>
      </c>
      <c r="I965">
        <v>0</v>
      </c>
    </row>
    <row r="966" spans="5:9" ht="15.75" hidden="1" customHeight="1" x14ac:dyDescent="0.2">
      <c r="E966" t="s">
        <v>393</v>
      </c>
      <c r="F966">
        <v>35</v>
      </c>
      <c r="G966" t="s">
        <v>292</v>
      </c>
      <c r="H966" t="s">
        <v>6</v>
      </c>
      <c r="I966">
        <v>0</v>
      </c>
    </row>
    <row r="967" spans="5:9" ht="15.75" hidden="1" customHeight="1" x14ac:dyDescent="0.2">
      <c r="E967" t="s">
        <v>394</v>
      </c>
      <c r="F967">
        <v>36</v>
      </c>
      <c r="G967" t="s">
        <v>292</v>
      </c>
      <c r="H967" t="s">
        <v>6</v>
      </c>
      <c r="I967">
        <v>0</v>
      </c>
    </row>
    <row r="968" spans="5:9" ht="15.75" hidden="1" customHeight="1" x14ac:dyDescent="0.2">
      <c r="E968" t="s">
        <v>395</v>
      </c>
      <c r="F968">
        <v>37</v>
      </c>
      <c r="G968" t="s">
        <v>292</v>
      </c>
      <c r="H968" t="s">
        <v>6</v>
      </c>
      <c r="I968">
        <v>0</v>
      </c>
    </row>
    <row r="969" spans="5:9" ht="15.75" hidden="1" customHeight="1" x14ac:dyDescent="0.2">
      <c r="E969" t="s">
        <v>396</v>
      </c>
      <c r="F969">
        <v>38</v>
      </c>
      <c r="G969" t="s">
        <v>292</v>
      </c>
      <c r="H969" t="s">
        <v>6</v>
      </c>
      <c r="I969">
        <v>0</v>
      </c>
    </row>
    <row r="970" spans="5:9" ht="15.75" hidden="1" customHeight="1" x14ac:dyDescent="0.2">
      <c r="E970" t="s">
        <v>397</v>
      </c>
      <c r="F970">
        <v>39</v>
      </c>
      <c r="G970" t="s">
        <v>292</v>
      </c>
      <c r="H970" t="s">
        <v>6</v>
      </c>
      <c r="I970">
        <v>0</v>
      </c>
    </row>
    <row r="971" spans="5:9" ht="15.75" hidden="1" customHeight="1" x14ac:dyDescent="0.2">
      <c r="E971" t="s">
        <v>398</v>
      </c>
      <c r="F971">
        <v>40</v>
      </c>
      <c r="G971" t="s">
        <v>292</v>
      </c>
      <c r="H971" t="s">
        <v>6</v>
      </c>
      <c r="I971">
        <v>0</v>
      </c>
    </row>
    <row r="972" spans="5:9" ht="15.75" hidden="1" customHeight="1" x14ac:dyDescent="0.2">
      <c r="E972" t="s">
        <v>399</v>
      </c>
      <c r="F972">
        <v>41</v>
      </c>
      <c r="G972" t="s">
        <v>292</v>
      </c>
      <c r="H972" t="s">
        <v>6</v>
      </c>
      <c r="I972">
        <v>0</v>
      </c>
    </row>
    <row r="973" spans="5:9" ht="15.75" hidden="1" customHeight="1" x14ac:dyDescent="0.2">
      <c r="E973" t="s">
        <v>400</v>
      </c>
      <c r="F973">
        <v>42</v>
      </c>
      <c r="G973" t="s">
        <v>292</v>
      </c>
      <c r="H973" t="s">
        <v>6</v>
      </c>
      <c r="I973">
        <v>0</v>
      </c>
    </row>
    <row r="974" spans="5:9" ht="15.75" hidden="1" customHeight="1" x14ac:dyDescent="0.2">
      <c r="E974" t="s">
        <v>401</v>
      </c>
      <c r="F974">
        <v>43</v>
      </c>
      <c r="G974" t="s">
        <v>292</v>
      </c>
      <c r="H974" t="s">
        <v>6</v>
      </c>
      <c r="I974">
        <v>0</v>
      </c>
    </row>
    <row r="975" spans="5:9" ht="15.75" hidden="1" customHeight="1" x14ac:dyDescent="0.2">
      <c r="E975" t="s">
        <v>402</v>
      </c>
      <c r="F975">
        <v>44</v>
      </c>
      <c r="G975" t="s">
        <v>292</v>
      </c>
      <c r="H975" t="s">
        <v>6</v>
      </c>
      <c r="I975">
        <v>0</v>
      </c>
    </row>
    <row r="976" spans="5:9" ht="15.75" hidden="1" customHeight="1" x14ac:dyDescent="0.2">
      <c r="E976" t="s">
        <v>403</v>
      </c>
      <c r="F976">
        <v>45</v>
      </c>
      <c r="G976" t="s">
        <v>292</v>
      </c>
      <c r="H976" t="s">
        <v>6</v>
      </c>
      <c r="I976">
        <v>0</v>
      </c>
    </row>
    <row r="977" spans="5:9" ht="15.75" hidden="1" customHeight="1" x14ac:dyDescent="0.2">
      <c r="E977" t="s">
        <v>404</v>
      </c>
      <c r="F977">
        <v>46</v>
      </c>
      <c r="G977" t="s">
        <v>292</v>
      </c>
      <c r="H977" t="s">
        <v>6</v>
      </c>
      <c r="I977">
        <v>0</v>
      </c>
    </row>
    <row r="978" spans="5:9" ht="15.75" hidden="1" customHeight="1" x14ac:dyDescent="0.2">
      <c r="E978" t="s">
        <v>405</v>
      </c>
      <c r="F978">
        <v>47</v>
      </c>
      <c r="G978" t="s">
        <v>292</v>
      </c>
      <c r="H978" t="s">
        <v>6</v>
      </c>
      <c r="I978">
        <v>0</v>
      </c>
    </row>
    <row r="979" spans="5:9" ht="15.75" hidden="1" customHeight="1" x14ac:dyDescent="0.2">
      <c r="E979" t="s">
        <v>406</v>
      </c>
      <c r="F979">
        <v>48</v>
      </c>
      <c r="G979" t="s">
        <v>292</v>
      </c>
      <c r="H979" t="s">
        <v>6</v>
      </c>
      <c r="I979">
        <v>0</v>
      </c>
    </row>
    <row r="980" spans="5:9" ht="15.75" hidden="1" customHeight="1" x14ac:dyDescent="0.2">
      <c r="E980" t="s">
        <v>376</v>
      </c>
      <c r="F980">
        <v>49</v>
      </c>
      <c r="G980" t="s">
        <v>292</v>
      </c>
      <c r="H980" t="s">
        <v>6</v>
      </c>
      <c r="I980">
        <v>0</v>
      </c>
    </row>
    <row r="981" spans="5:9" ht="15.75" hidden="1" customHeight="1" x14ac:dyDescent="0.2">
      <c r="E981" t="s">
        <v>407</v>
      </c>
      <c r="F981">
        <v>50</v>
      </c>
      <c r="G981" t="s">
        <v>292</v>
      </c>
      <c r="H981" t="s">
        <v>6</v>
      </c>
      <c r="I981">
        <v>1</v>
      </c>
    </row>
    <row r="982" spans="5:9" ht="15.75" hidden="1" customHeight="1" x14ac:dyDescent="0.2">
      <c r="E982" t="s">
        <v>408</v>
      </c>
      <c r="F982">
        <v>51</v>
      </c>
      <c r="G982" t="s">
        <v>292</v>
      </c>
      <c r="H982" t="s">
        <v>6</v>
      </c>
      <c r="I982">
        <v>0</v>
      </c>
    </row>
    <row r="983" spans="5:9" ht="15.75" hidden="1" customHeight="1" x14ac:dyDescent="0.2">
      <c r="E983" t="s">
        <v>409</v>
      </c>
      <c r="F983">
        <v>52</v>
      </c>
      <c r="G983" t="s">
        <v>292</v>
      </c>
      <c r="H983" t="s">
        <v>6</v>
      </c>
      <c r="I983">
        <v>1</v>
      </c>
    </row>
    <row r="984" spans="5:9" ht="15.75" hidden="1" customHeight="1" x14ac:dyDescent="0.2">
      <c r="E984" t="s">
        <v>410</v>
      </c>
      <c r="F984">
        <v>53</v>
      </c>
      <c r="G984" t="s">
        <v>292</v>
      </c>
      <c r="H984" t="s">
        <v>6</v>
      </c>
      <c r="I984">
        <v>1</v>
      </c>
    </row>
    <row r="985" spans="5:9" ht="15.75" hidden="1" customHeight="1" x14ac:dyDescent="0.2">
      <c r="E985" t="s">
        <v>411</v>
      </c>
      <c r="F985">
        <v>54</v>
      </c>
      <c r="G985" t="s">
        <v>292</v>
      </c>
      <c r="H985" t="s">
        <v>6</v>
      </c>
      <c r="I985">
        <v>1</v>
      </c>
    </row>
    <row r="986" spans="5:9" ht="15.75" hidden="1" customHeight="1" x14ac:dyDescent="0.2">
      <c r="E986" t="s">
        <v>412</v>
      </c>
      <c r="F986">
        <v>55</v>
      </c>
      <c r="G986" t="s">
        <v>292</v>
      </c>
      <c r="H986" t="s">
        <v>6</v>
      </c>
      <c r="I986">
        <v>0</v>
      </c>
    </row>
    <row r="987" spans="5:9" ht="15.75" hidden="1" customHeight="1" x14ac:dyDescent="0.2">
      <c r="E987" t="s">
        <v>413</v>
      </c>
      <c r="F987">
        <v>56</v>
      </c>
      <c r="G987" t="s">
        <v>292</v>
      </c>
      <c r="H987" t="s">
        <v>6</v>
      </c>
      <c r="I987">
        <v>1</v>
      </c>
    </row>
    <row r="988" spans="5:9" ht="15.75" hidden="1" customHeight="1" x14ac:dyDescent="0.2">
      <c r="E988" t="s">
        <v>414</v>
      </c>
      <c r="F988">
        <v>57</v>
      </c>
      <c r="G988" t="s">
        <v>292</v>
      </c>
      <c r="H988" t="s">
        <v>6</v>
      </c>
      <c r="I988">
        <v>1</v>
      </c>
    </row>
    <row r="989" spans="5:9" ht="15.75" hidden="1" customHeight="1" x14ac:dyDescent="0.2">
      <c r="E989" t="s">
        <v>415</v>
      </c>
      <c r="F989">
        <v>58</v>
      </c>
      <c r="G989" t="s">
        <v>292</v>
      </c>
      <c r="H989" t="s">
        <v>6</v>
      </c>
      <c r="I989">
        <v>1</v>
      </c>
    </row>
    <row r="990" spans="5:9" ht="15.75" hidden="1" customHeight="1" x14ac:dyDescent="0.2">
      <c r="E990" t="s">
        <v>416</v>
      </c>
      <c r="F990">
        <v>59</v>
      </c>
      <c r="G990" t="s">
        <v>292</v>
      </c>
      <c r="H990" t="s">
        <v>6</v>
      </c>
      <c r="I990">
        <v>0</v>
      </c>
    </row>
    <row r="991" spans="5:9" ht="15.75" hidden="1" customHeight="1" x14ac:dyDescent="0.2">
      <c r="E991" t="s">
        <v>417</v>
      </c>
      <c r="F991">
        <v>60</v>
      </c>
      <c r="G991" t="s">
        <v>292</v>
      </c>
      <c r="H991" t="s">
        <v>6</v>
      </c>
      <c r="I991">
        <v>0</v>
      </c>
    </row>
    <row r="992" spans="5:9" ht="15.75" hidden="1" customHeight="1" x14ac:dyDescent="0.2">
      <c r="E992" t="s">
        <v>418</v>
      </c>
      <c r="F992">
        <v>61</v>
      </c>
      <c r="G992" t="s">
        <v>292</v>
      </c>
      <c r="H992" t="s">
        <v>6</v>
      </c>
      <c r="I992">
        <v>0</v>
      </c>
    </row>
    <row r="993" spans="5:9" ht="15.75" hidden="1" customHeight="1" x14ac:dyDescent="0.2">
      <c r="E993" t="s">
        <v>419</v>
      </c>
      <c r="F993">
        <v>62</v>
      </c>
      <c r="G993" t="s">
        <v>292</v>
      </c>
      <c r="H993" t="s">
        <v>6</v>
      </c>
      <c r="I993">
        <v>0</v>
      </c>
    </row>
    <row r="994" spans="5:9" ht="15.75" hidden="1" customHeight="1" x14ac:dyDescent="0.2">
      <c r="E994" t="s">
        <v>421</v>
      </c>
      <c r="F994">
        <v>63</v>
      </c>
      <c r="G994" t="s">
        <v>292</v>
      </c>
      <c r="H994" t="s">
        <v>6</v>
      </c>
      <c r="I994">
        <v>0</v>
      </c>
    </row>
    <row r="995" spans="5:9" ht="15.75" hidden="1" customHeight="1" x14ac:dyDescent="0.2">
      <c r="E995" t="s">
        <v>422</v>
      </c>
      <c r="F995">
        <v>64</v>
      </c>
      <c r="G995" t="s">
        <v>292</v>
      </c>
      <c r="H995" t="s">
        <v>6</v>
      </c>
      <c r="I995">
        <v>0</v>
      </c>
    </row>
    <row r="996" spans="5:9" ht="15.75" hidden="1" customHeight="1" x14ac:dyDescent="0.2">
      <c r="E996" t="s">
        <v>423</v>
      </c>
      <c r="F996">
        <v>65</v>
      </c>
      <c r="G996" t="s">
        <v>292</v>
      </c>
      <c r="H996" t="s">
        <v>6</v>
      </c>
      <c r="I996">
        <v>0</v>
      </c>
    </row>
    <row r="997" spans="5:9" ht="15.75" hidden="1" customHeight="1" x14ac:dyDescent="0.2">
      <c r="E997" t="s">
        <v>424</v>
      </c>
      <c r="F997">
        <v>66</v>
      </c>
      <c r="G997" t="s">
        <v>292</v>
      </c>
      <c r="H997" t="s">
        <v>6</v>
      </c>
      <c r="I997">
        <v>0</v>
      </c>
    </row>
    <row r="998" spans="5:9" ht="15.75" hidden="1" customHeight="1" x14ac:dyDescent="0.2">
      <c r="E998" t="s">
        <v>425</v>
      </c>
      <c r="F998">
        <v>67</v>
      </c>
      <c r="G998" t="s">
        <v>292</v>
      </c>
      <c r="H998" t="s">
        <v>6</v>
      </c>
      <c r="I998">
        <v>0</v>
      </c>
    </row>
    <row r="999" spans="5:9" ht="15.75" hidden="1" customHeight="1" x14ac:dyDescent="0.2">
      <c r="E999" t="s">
        <v>426</v>
      </c>
      <c r="F999">
        <v>68</v>
      </c>
      <c r="G999" t="s">
        <v>292</v>
      </c>
      <c r="H999" t="s">
        <v>6</v>
      </c>
      <c r="I999">
        <v>0</v>
      </c>
    </row>
    <row r="1000" spans="5:9" ht="15.75" hidden="1" customHeight="1" x14ac:dyDescent="0.2">
      <c r="E1000" t="s">
        <v>427</v>
      </c>
      <c r="F1000">
        <v>69</v>
      </c>
      <c r="G1000" t="s">
        <v>292</v>
      </c>
      <c r="H1000" t="s">
        <v>6</v>
      </c>
      <c r="I1000">
        <v>0</v>
      </c>
    </row>
    <row r="1001" spans="5:9" ht="15.75" hidden="1" customHeight="1" x14ac:dyDescent="0.2">
      <c r="E1001" t="s">
        <v>428</v>
      </c>
      <c r="F1001">
        <v>70</v>
      </c>
      <c r="G1001" t="s">
        <v>292</v>
      </c>
      <c r="H1001" t="s">
        <v>6</v>
      </c>
      <c r="I1001">
        <v>0</v>
      </c>
    </row>
    <row r="1002" spans="5:9" ht="15.75" hidden="1" customHeight="1" x14ac:dyDescent="0.2">
      <c r="E1002" t="s">
        <v>429</v>
      </c>
      <c r="F1002">
        <v>71</v>
      </c>
      <c r="G1002" t="s">
        <v>292</v>
      </c>
      <c r="H1002" t="s">
        <v>6</v>
      </c>
      <c r="I1002">
        <v>0</v>
      </c>
    </row>
    <row r="1003" spans="5:9" ht="15.75" hidden="1" customHeight="1" x14ac:dyDescent="0.2">
      <c r="E1003" t="s">
        <v>430</v>
      </c>
      <c r="F1003">
        <v>72</v>
      </c>
      <c r="G1003" t="s">
        <v>292</v>
      </c>
      <c r="H1003" t="s">
        <v>6</v>
      </c>
      <c r="I1003">
        <v>0</v>
      </c>
    </row>
    <row r="1004" spans="5:9" ht="15.75" hidden="1" customHeight="1" x14ac:dyDescent="0.2">
      <c r="E1004" t="s">
        <v>370</v>
      </c>
      <c r="F1004">
        <v>73</v>
      </c>
      <c r="G1004" t="s">
        <v>292</v>
      </c>
      <c r="H1004" t="s">
        <v>6</v>
      </c>
      <c r="I1004">
        <v>0</v>
      </c>
    </row>
    <row r="1005" spans="5:9" ht="15.75" hidden="1" customHeight="1" x14ac:dyDescent="0.2">
      <c r="E1005" t="s">
        <v>373</v>
      </c>
      <c r="F1005">
        <v>74</v>
      </c>
      <c r="G1005" t="s">
        <v>292</v>
      </c>
      <c r="H1005" t="s">
        <v>6</v>
      </c>
      <c r="I1005">
        <v>0</v>
      </c>
    </row>
    <row r="1006" spans="5:9" ht="15.75" hidden="1" customHeight="1" x14ac:dyDescent="0.2">
      <c r="E1006" t="s">
        <v>374</v>
      </c>
      <c r="F1006">
        <v>75</v>
      </c>
      <c r="G1006" t="s">
        <v>292</v>
      </c>
      <c r="H1006" t="s">
        <v>6</v>
      </c>
      <c r="I1006">
        <v>0</v>
      </c>
    </row>
    <row r="1007" spans="5:9" ht="15.75" hidden="1" customHeight="1" x14ac:dyDescent="0.2">
      <c r="E1007" t="s">
        <v>375</v>
      </c>
      <c r="F1007">
        <v>76</v>
      </c>
      <c r="G1007" t="s">
        <v>292</v>
      </c>
      <c r="H1007" t="s">
        <v>6</v>
      </c>
      <c r="I1007">
        <v>0</v>
      </c>
    </row>
    <row r="1008" spans="5:9" ht="15.75" hidden="1" customHeight="1" x14ac:dyDescent="0.2">
      <c r="E1008" t="s">
        <v>376</v>
      </c>
      <c r="F1008">
        <v>77</v>
      </c>
      <c r="G1008" t="s">
        <v>292</v>
      </c>
      <c r="H1008" t="s">
        <v>6</v>
      </c>
      <c r="I1008">
        <v>0</v>
      </c>
    </row>
    <row r="1009" spans="5:9" ht="15.75" hidden="1" customHeight="1" x14ac:dyDescent="0.2">
      <c r="E1009" t="s">
        <v>382</v>
      </c>
      <c r="F1009">
        <v>78</v>
      </c>
      <c r="G1009" t="s">
        <v>292</v>
      </c>
      <c r="H1009" t="s">
        <v>6</v>
      </c>
      <c r="I1009">
        <v>0</v>
      </c>
    </row>
    <row r="1010" spans="5:9" ht="15.75" hidden="1" customHeight="1" x14ac:dyDescent="0.2">
      <c r="E1010" t="s">
        <v>383</v>
      </c>
      <c r="F1010">
        <v>79</v>
      </c>
      <c r="G1010" t="s">
        <v>292</v>
      </c>
      <c r="H1010" t="s">
        <v>6</v>
      </c>
      <c r="I1010">
        <v>0</v>
      </c>
    </row>
    <row r="1011" spans="5:9" ht="15.75" hidden="1" customHeight="1" x14ac:dyDescent="0.2">
      <c r="E1011" t="s">
        <v>395</v>
      </c>
      <c r="F1011">
        <v>80</v>
      </c>
      <c r="G1011" t="s">
        <v>292</v>
      </c>
      <c r="H1011" t="s">
        <v>6</v>
      </c>
      <c r="I1011">
        <v>0</v>
      </c>
    </row>
    <row r="1012" spans="5:9" ht="15.75" hidden="1" customHeight="1" x14ac:dyDescent="0.2">
      <c r="E1012" t="s">
        <v>397</v>
      </c>
      <c r="F1012">
        <v>81</v>
      </c>
      <c r="G1012" t="s">
        <v>292</v>
      </c>
      <c r="H1012" t="s">
        <v>6</v>
      </c>
      <c r="I1012">
        <v>0</v>
      </c>
    </row>
    <row r="1013" spans="5:9" ht="15.75" hidden="1" customHeight="1" x14ac:dyDescent="0.2">
      <c r="E1013" t="s">
        <v>399</v>
      </c>
      <c r="F1013">
        <v>82</v>
      </c>
      <c r="G1013" t="s">
        <v>292</v>
      </c>
      <c r="H1013" t="s">
        <v>6</v>
      </c>
      <c r="I1013">
        <v>0</v>
      </c>
    </row>
    <row r="1014" spans="5:9" ht="15.75" hidden="1" customHeight="1" x14ac:dyDescent="0.2">
      <c r="E1014" t="s">
        <v>400</v>
      </c>
      <c r="F1014">
        <v>83</v>
      </c>
      <c r="G1014" t="s">
        <v>292</v>
      </c>
      <c r="H1014" t="s">
        <v>6</v>
      </c>
      <c r="I1014">
        <v>0</v>
      </c>
    </row>
    <row r="1015" spans="5:9" ht="15.75" hidden="1" customHeight="1" x14ac:dyDescent="0.2">
      <c r="E1015" t="s">
        <v>401</v>
      </c>
      <c r="F1015">
        <v>84</v>
      </c>
      <c r="G1015" t="s">
        <v>292</v>
      </c>
      <c r="H1015" t="s">
        <v>6</v>
      </c>
      <c r="I1015">
        <v>0</v>
      </c>
    </row>
    <row r="1016" spans="5:9" ht="15.75" hidden="1" customHeight="1" x14ac:dyDescent="0.2">
      <c r="E1016" t="s">
        <v>402</v>
      </c>
      <c r="F1016">
        <v>85</v>
      </c>
      <c r="G1016" t="s">
        <v>292</v>
      </c>
      <c r="H1016" t="s">
        <v>6</v>
      </c>
      <c r="I1016">
        <v>0</v>
      </c>
    </row>
    <row r="1017" spans="5:9" ht="15.75" hidden="1" customHeight="1" x14ac:dyDescent="0.2">
      <c r="E1017" t="s">
        <v>403</v>
      </c>
      <c r="F1017">
        <v>86</v>
      </c>
      <c r="G1017" t="s">
        <v>292</v>
      </c>
      <c r="H1017" t="s">
        <v>6</v>
      </c>
      <c r="I1017">
        <v>0</v>
      </c>
    </row>
    <row r="1018" spans="5:9" ht="15.75" hidden="1" customHeight="1" x14ac:dyDescent="0.2">
      <c r="E1018" t="s">
        <v>404</v>
      </c>
      <c r="F1018">
        <v>87</v>
      </c>
      <c r="G1018" t="s">
        <v>292</v>
      </c>
      <c r="H1018" t="s">
        <v>6</v>
      </c>
      <c r="I1018">
        <v>0</v>
      </c>
    </row>
    <row r="1019" spans="5:9" ht="15.75" hidden="1" customHeight="1" x14ac:dyDescent="0.2">
      <c r="E1019" t="s">
        <v>405</v>
      </c>
      <c r="F1019">
        <v>88</v>
      </c>
      <c r="G1019" t="s">
        <v>292</v>
      </c>
      <c r="H1019" t="s">
        <v>6</v>
      </c>
      <c r="I1019">
        <v>0</v>
      </c>
    </row>
    <row r="1020" spans="5:9" ht="15.75" hidden="1" customHeight="1" x14ac:dyDescent="0.2">
      <c r="E1020" t="s">
        <v>406</v>
      </c>
      <c r="F1020">
        <v>89</v>
      </c>
      <c r="G1020" t="s">
        <v>292</v>
      </c>
      <c r="H1020" t="s">
        <v>6</v>
      </c>
      <c r="I1020">
        <v>0</v>
      </c>
    </row>
    <row r="1021" spans="5:9" ht="15.75" hidden="1" customHeight="1" x14ac:dyDescent="0.2">
      <c r="E1021" t="s">
        <v>376</v>
      </c>
      <c r="F1021">
        <v>90</v>
      </c>
      <c r="G1021" t="s">
        <v>292</v>
      </c>
      <c r="H1021" t="s">
        <v>6</v>
      </c>
      <c r="I1021">
        <v>0</v>
      </c>
    </row>
    <row r="1022" spans="5:9" ht="15.75" hidden="1" customHeight="1" x14ac:dyDescent="0.2">
      <c r="E1022" t="s">
        <v>409</v>
      </c>
      <c r="F1022">
        <v>91</v>
      </c>
      <c r="G1022" t="s">
        <v>292</v>
      </c>
      <c r="H1022" t="s">
        <v>6</v>
      </c>
      <c r="I1022">
        <v>0</v>
      </c>
    </row>
    <row r="1023" spans="5:9" ht="15.75" hidden="1" customHeight="1" x14ac:dyDescent="0.2">
      <c r="E1023" t="s">
        <v>410</v>
      </c>
      <c r="F1023">
        <v>92</v>
      </c>
      <c r="G1023" t="s">
        <v>292</v>
      </c>
      <c r="H1023" t="s">
        <v>6</v>
      </c>
      <c r="I1023">
        <v>0</v>
      </c>
    </row>
    <row r="1024" spans="5:9" ht="15.75" hidden="1" customHeight="1" x14ac:dyDescent="0.2">
      <c r="E1024" t="s">
        <v>413</v>
      </c>
      <c r="F1024">
        <v>93</v>
      </c>
      <c r="G1024" t="s">
        <v>292</v>
      </c>
      <c r="H1024" t="s">
        <v>6</v>
      </c>
      <c r="I1024">
        <v>0</v>
      </c>
    </row>
    <row r="1025" spans="5:9" ht="15.75" hidden="1" customHeight="1" x14ac:dyDescent="0.2">
      <c r="E1025" t="s">
        <v>414</v>
      </c>
      <c r="F1025">
        <v>94</v>
      </c>
      <c r="G1025" t="s">
        <v>292</v>
      </c>
      <c r="H1025" t="s">
        <v>6</v>
      </c>
      <c r="I1025">
        <v>0</v>
      </c>
    </row>
    <row r="1026" spans="5:9" ht="15.75" hidden="1" customHeight="1" x14ac:dyDescent="0.2">
      <c r="E1026" t="s">
        <v>417</v>
      </c>
      <c r="F1026">
        <v>95</v>
      </c>
      <c r="G1026" t="s">
        <v>292</v>
      </c>
      <c r="H1026" t="s">
        <v>6</v>
      </c>
      <c r="I1026">
        <v>0</v>
      </c>
    </row>
    <row r="1027" spans="5:9" ht="15.75" hidden="1" customHeight="1" x14ac:dyDescent="0.2">
      <c r="E1027" t="s">
        <v>440</v>
      </c>
      <c r="F1027">
        <v>96</v>
      </c>
      <c r="G1027" t="s">
        <v>292</v>
      </c>
      <c r="H1027" t="s">
        <v>6</v>
      </c>
      <c r="I1027">
        <v>0</v>
      </c>
    </row>
    <row r="1028" spans="5:9" ht="15.75" hidden="1" customHeight="1" x14ac:dyDescent="0.2">
      <c r="E1028" t="s">
        <v>441</v>
      </c>
      <c r="F1028">
        <v>97</v>
      </c>
      <c r="G1028" t="s">
        <v>292</v>
      </c>
      <c r="H1028" t="s">
        <v>6</v>
      </c>
      <c r="I1028">
        <v>0</v>
      </c>
    </row>
    <row r="1029" spans="5:9" ht="15.75" hidden="1" customHeight="1" x14ac:dyDescent="0.2">
      <c r="E1029" t="s">
        <v>442</v>
      </c>
      <c r="F1029">
        <v>98</v>
      </c>
      <c r="G1029" t="s">
        <v>292</v>
      </c>
      <c r="H1029" t="s">
        <v>6</v>
      </c>
      <c r="I1029">
        <v>0</v>
      </c>
    </row>
    <row r="1030" spans="5:9" ht="15.75" hidden="1" customHeight="1" x14ac:dyDescent="0.2">
      <c r="E1030" t="s">
        <v>443</v>
      </c>
      <c r="F1030">
        <v>99</v>
      </c>
      <c r="G1030" t="s">
        <v>292</v>
      </c>
      <c r="H1030" t="s">
        <v>6</v>
      </c>
      <c r="I1030">
        <v>0</v>
      </c>
    </row>
    <row r="1031" spans="5:9" ht="15.75" hidden="1" customHeight="1" x14ac:dyDescent="0.2">
      <c r="E1031" t="s">
        <v>444</v>
      </c>
      <c r="F1031">
        <v>100</v>
      </c>
      <c r="G1031" t="s">
        <v>292</v>
      </c>
      <c r="H1031" t="s">
        <v>6</v>
      </c>
      <c r="I1031">
        <v>0</v>
      </c>
    </row>
    <row r="1032" spans="5:9" ht="15.75" hidden="1" customHeight="1" x14ac:dyDescent="0.2">
      <c r="E1032" t="s">
        <v>362</v>
      </c>
      <c r="F1032">
        <v>101</v>
      </c>
      <c r="G1032" t="s">
        <v>292</v>
      </c>
      <c r="H1032" t="s">
        <v>6</v>
      </c>
      <c r="I1032">
        <v>0</v>
      </c>
    </row>
    <row r="1033" spans="5:9" ht="15.75" hidden="1" customHeight="1" x14ac:dyDescent="0.2">
      <c r="E1033" t="s">
        <v>446</v>
      </c>
      <c r="F1033">
        <v>102</v>
      </c>
      <c r="G1033" t="s">
        <v>292</v>
      </c>
      <c r="H1033" t="s">
        <v>6</v>
      </c>
      <c r="I1033">
        <v>0</v>
      </c>
    </row>
    <row r="1034" spans="5:9" ht="15.75" hidden="1" customHeight="1" x14ac:dyDescent="0.2">
      <c r="E1034" t="s">
        <v>447</v>
      </c>
      <c r="F1034">
        <v>103</v>
      </c>
      <c r="G1034" t="s">
        <v>292</v>
      </c>
      <c r="H1034" t="s">
        <v>6</v>
      </c>
      <c r="I1034">
        <v>0</v>
      </c>
    </row>
    <row r="1035" spans="5:9" ht="15.75" hidden="1" customHeight="1" x14ac:dyDescent="0.2">
      <c r="E1035" t="s">
        <v>448</v>
      </c>
      <c r="F1035">
        <v>104</v>
      </c>
      <c r="G1035" t="s">
        <v>292</v>
      </c>
      <c r="H1035" t="s">
        <v>6</v>
      </c>
      <c r="I1035">
        <v>0</v>
      </c>
    </row>
    <row r="1036" spans="5:9" ht="15.75" hidden="1" customHeight="1" x14ac:dyDescent="0.2">
      <c r="E1036" t="s">
        <v>449</v>
      </c>
      <c r="F1036">
        <v>105</v>
      </c>
      <c r="G1036" t="s">
        <v>292</v>
      </c>
      <c r="H1036" t="s">
        <v>6</v>
      </c>
      <c r="I1036">
        <v>0</v>
      </c>
    </row>
    <row r="1037" spans="5:9" ht="15.75" hidden="1" customHeight="1" x14ac:dyDescent="0.2">
      <c r="E1037" t="s">
        <v>450</v>
      </c>
      <c r="F1037">
        <v>106</v>
      </c>
      <c r="G1037" t="s">
        <v>292</v>
      </c>
      <c r="H1037" t="s">
        <v>6</v>
      </c>
      <c r="I1037">
        <v>0</v>
      </c>
    </row>
    <row r="1038" spans="5:9" ht="15.75" hidden="1" customHeight="1" x14ac:dyDescent="0.2">
      <c r="E1038" t="s">
        <v>451</v>
      </c>
      <c r="F1038">
        <v>107</v>
      </c>
      <c r="G1038" t="s">
        <v>292</v>
      </c>
      <c r="H1038" t="s">
        <v>6</v>
      </c>
      <c r="I1038">
        <v>0</v>
      </c>
    </row>
    <row r="1039" spans="5:9" ht="15.75" hidden="1" customHeight="1" x14ac:dyDescent="0.2">
      <c r="E1039" t="s">
        <v>452</v>
      </c>
      <c r="F1039">
        <v>108</v>
      </c>
      <c r="G1039" t="s">
        <v>292</v>
      </c>
      <c r="H1039" t="s">
        <v>6</v>
      </c>
      <c r="I1039">
        <v>0</v>
      </c>
    </row>
    <row r="1040" spans="5:9" ht="15.75" hidden="1" customHeight="1" x14ac:dyDescent="0.2">
      <c r="E1040" t="s">
        <v>453</v>
      </c>
      <c r="F1040">
        <v>109</v>
      </c>
      <c r="G1040" t="s">
        <v>292</v>
      </c>
      <c r="H1040" t="s">
        <v>6</v>
      </c>
      <c r="I1040">
        <v>0</v>
      </c>
    </row>
    <row r="1041" spans="5:9" ht="15.75" hidden="1" customHeight="1" x14ac:dyDescent="0.2">
      <c r="E1041" t="s">
        <v>454</v>
      </c>
      <c r="F1041">
        <v>110</v>
      </c>
      <c r="G1041" t="s">
        <v>292</v>
      </c>
      <c r="H1041" t="s">
        <v>6</v>
      </c>
      <c r="I1041">
        <v>0</v>
      </c>
    </row>
    <row r="1042" spans="5:9" ht="15.75" hidden="1" customHeight="1" x14ac:dyDescent="0.2">
      <c r="E1042" t="s">
        <v>455</v>
      </c>
      <c r="F1042">
        <v>111</v>
      </c>
      <c r="G1042" t="s">
        <v>292</v>
      </c>
      <c r="H1042" t="s">
        <v>6</v>
      </c>
      <c r="I1042">
        <v>0</v>
      </c>
    </row>
    <row r="1043" spans="5:9" ht="15.75" hidden="1" customHeight="1" x14ac:dyDescent="0.2">
      <c r="E1043" t="s">
        <v>456</v>
      </c>
      <c r="F1043">
        <v>112</v>
      </c>
      <c r="G1043" t="s">
        <v>292</v>
      </c>
      <c r="H1043" t="s">
        <v>6</v>
      </c>
      <c r="I1043">
        <v>0</v>
      </c>
    </row>
    <row r="1044" spans="5:9" ht="15.75" hidden="1" customHeight="1" x14ac:dyDescent="0.2">
      <c r="E1044" t="s">
        <v>457</v>
      </c>
      <c r="F1044">
        <v>113</v>
      </c>
      <c r="G1044" t="s">
        <v>292</v>
      </c>
      <c r="H1044" t="s">
        <v>6</v>
      </c>
      <c r="I1044">
        <v>0</v>
      </c>
    </row>
    <row r="1045" spans="5:9" ht="15.75" hidden="1" customHeight="1" x14ac:dyDescent="0.2">
      <c r="E1045" t="s">
        <v>459</v>
      </c>
      <c r="F1045">
        <v>114</v>
      </c>
      <c r="G1045" t="s">
        <v>292</v>
      </c>
      <c r="H1045" t="s">
        <v>6</v>
      </c>
      <c r="I1045">
        <v>0</v>
      </c>
    </row>
    <row r="1046" spans="5:9" ht="15.75" hidden="1" customHeight="1" x14ac:dyDescent="0.2">
      <c r="E1046" t="s">
        <v>460</v>
      </c>
      <c r="F1046">
        <v>115</v>
      </c>
      <c r="G1046" t="s">
        <v>292</v>
      </c>
      <c r="H1046" t="s">
        <v>6</v>
      </c>
      <c r="I1046">
        <v>0</v>
      </c>
    </row>
    <row r="1047" spans="5:9" ht="15.75" hidden="1" customHeight="1" x14ac:dyDescent="0.2">
      <c r="E1047" t="s">
        <v>461</v>
      </c>
      <c r="F1047">
        <v>116</v>
      </c>
      <c r="G1047" t="s">
        <v>292</v>
      </c>
      <c r="H1047" t="s">
        <v>6</v>
      </c>
      <c r="I1047">
        <v>0</v>
      </c>
    </row>
    <row r="1048" spans="5:9" ht="15.75" hidden="1" customHeight="1" x14ac:dyDescent="0.2">
      <c r="E1048" t="s">
        <v>462</v>
      </c>
      <c r="F1048">
        <v>117</v>
      </c>
      <c r="G1048" t="s">
        <v>292</v>
      </c>
      <c r="H1048" t="s">
        <v>6</v>
      </c>
      <c r="I1048">
        <v>0</v>
      </c>
    </row>
    <row r="1049" spans="5:9" ht="15.75" hidden="1" customHeight="1" x14ac:dyDescent="0.2">
      <c r="E1049" t="s">
        <v>463</v>
      </c>
      <c r="F1049">
        <v>118</v>
      </c>
      <c r="G1049" t="s">
        <v>292</v>
      </c>
      <c r="H1049" t="s">
        <v>6</v>
      </c>
      <c r="I1049">
        <v>0</v>
      </c>
    </row>
    <row r="1050" spans="5:9" ht="15.75" hidden="1" customHeight="1" x14ac:dyDescent="0.2">
      <c r="E1050" t="s">
        <v>464</v>
      </c>
      <c r="F1050">
        <v>119</v>
      </c>
      <c r="G1050" t="s">
        <v>292</v>
      </c>
      <c r="H1050" t="s">
        <v>6</v>
      </c>
      <c r="I1050">
        <v>0</v>
      </c>
    </row>
    <row r="1051" spans="5:9" ht="15.75" hidden="1" customHeight="1" x14ac:dyDescent="0.2">
      <c r="E1051" t="s">
        <v>465</v>
      </c>
      <c r="F1051">
        <v>120</v>
      </c>
      <c r="G1051" t="s">
        <v>292</v>
      </c>
      <c r="H1051" t="s">
        <v>6</v>
      </c>
      <c r="I1051">
        <v>0</v>
      </c>
    </row>
    <row r="1052" spans="5:9" ht="15.75" hidden="1" customHeight="1" x14ac:dyDescent="0.2">
      <c r="E1052" t="s">
        <v>466</v>
      </c>
      <c r="F1052">
        <v>121</v>
      </c>
      <c r="G1052" t="s">
        <v>292</v>
      </c>
      <c r="H1052" t="s">
        <v>6</v>
      </c>
      <c r="I1052">
        <v>0</v>
      </c>
    </row>
    <row r="1053" spans="5:9" ht="15.75" hidden="1" customHeight="1" x14ac:dyDescent="0.2">
      <c r="E1053" t="s">
        <v>467</v>
      </c>
      <c r="F1053">
        <v>122</v>
      </c>
      <c r="G1053" t="s">
        <v>292</v>
      </c>
      <c r="H1053" t="s">
        <v>6</v>
      </c>
      <c r="I1053">
        <v>0</v>
      </c>
    </row>
    <row r="1054" spans="5:9" ht="15.75" hidden="1" customHeight="1" x14ac:dyDescent="0.2">
      <c r="E1054" t="s">
        <v>468</v>
      </c>
      <c r="F1054">
        <v>123</v>
      </c>
      <c r="G1054" t="s">
        <v>292</v>
      </c>
      <c r="H1054" t="s">
        <v>6</v>
      </c>
      <c r="I1054">
        <v>0</v>
      </c>
    </row>
    <row r="1055" spans="5:9" ht="15.75" hidden="1" customHeight="1" x14ac:dyDescent="0.2">
      <c r="E1055" t="s">
        <v>469</v>
      </c>
      <c r="F1055">
        <v>124</v>
      </c>
      <c r="G1055" t="s">
        <v>292</v>
      </c>
      <c r="H1055" t="s">
        <v>6</v>
      </c>
      <c r="I1055">
        <v>0</v>
      </c>
    </row>
    <row r="1056" spans="5:9" ht="15.75" hidden="1" customHeight="1" x14ac:dyDescent="0.2">
      <c r="E1056" t="s">
        <v>470</v>
      </c>
      <c r="F1056">
        <v>125</v>
      </c>
      <c r="G1056" t="s">
        <v>292</v>
      </c>
      <c r="H1056" t="s">
        <v>6</v>
      </c>
      <c r="I1056">
        <v>0</v>
      </c>
    </row>
    <row r="1057" spans="5:9" ht="15.75" hidden="1" customHeight="1" x14ac:dyDescent="0.2">
      <c r="E1057" t="s">
        <v>471</v>
      </c>
      <c r="F1057">
        <v>126</v>
      </c>
      <c r="G1057" t="s">
        <v>292</v>
      </c>
      <c r="H1057" t="s">
        <v>6</v>
      </c>
      <c r="I1057">
        <v>0</v>
      </c>
    </row>
    <row r="1058" spans="5:9" ht="15.75" hidden="1" customHeight="1" x14ac:dyDescent="0.2">
      <c r="E1058" t="s">
        <v>472</v>
      </c>
      <c r="F1058">
        <v>127</v>
      </c>
      <c r="G1058" t="s">
        <v>292</v>
      </c>
      <c r="H1058" t="s">
        <v>6</v>
      </c>
      <c r="I1058">
        <v>0</v>
      </c>
    </row>
    <row r="1059" spans="5:9" ht="15.75" hidden="1" customHeight="1" x14ac:dyDescent="0.2">
      <c r="E1059" t="s">
        <v>473</v>
      </c>
      <c r="F1059">
        <v>128</v>
      </c>
      <c r="G1059" t="s">
        <v>292</v>
      </c>
      <c r="H1059" t="s">
        <v>6</v>
      </c>
      <c r="I1059">
        <v>0</v>
      </c>
    </row>
    <row r="1060" spans="5:9" ht="15.75" hidden="1" customHeight="1" x14ac:dyDescent="0.2">
      <c r="E1060" t="s">
        <v>474</v>
      </c>
      <c r="F1060">
        <v>129</v>
      </c>
      <c r="G1060" t="s">
        <v>292</v>
      </c>
      <c r="H1060" t="s">
        <v>6</v>
      </c>
      <c r="I1060">
        <v>0</v>
      </c>
    </row>
    <row r="1061" spans="5:9" ht="15.75" hidden="1" customHeight="1" x14ac:dyDescent="0.2">
      <c r="E1061" t="s">
        <v>476</v>
      </c>
      <c r="F1061">
        <v>130</v>
      </c>
      <c r="G1061" t="s">
        <v>292</v>
      </c>
      <c r="H1061" t="s">
        <v>6</v>
      </c>
      <c r="I1061">
        <v>0</v>
      </c>
    </row>
    <row r="1062" spans="5:9" ht="15.75" hidden="1" customHeight="1" x14ac:dyDescent="0.2">
      <c r="E1062" t="s">
        <v>478</v>
      </c>
      <c r="F1062">
        <v>131</v>
      </c>
      <c r="G1062" t="s">
        <v>292</v>
      </c>
      <c r="H1062" t="s">
        <v>6</v>
      </c>
      <c r="I1062">
        <v>0</v>
      </c>
    </row>
    <row r="1063" spans="5:9" ht="15.75" hidden="1" customHeight="1" x14ac:dyDescent="0.2">
      <c r="E1063" t="s">
        <v>440</v>
      </c>
      <c r="F1063">
        <v>132</v>
      </c>
      <c r="G1063" t="s">
        <v>292</v>
      </c>
      <c r="H1063" t="s">
        <v>6</v>
      </c>
      <c r="I1063">
        <v>0</v>
      </c>
    </row>
    <row r="1064" spans="5:9" ht="15.75" hidden="1" customHeight="1" x14ac:dyDescent="0.2">
      <c r="E1064" t="s">
        <v>441</v>
      </c>
      <c r="F1064">
        <v>133</v>
      </c>
      <c r="G1064" t="s">
        <v>292</v>
      </c>
      <c r="H1064" t="s">
        <v>6</v>
      </c>
      <c r="I1064">
        <v>0</v>
      </c>
    </row>
    <row r="1065" spans="5:9" ht="15.75" hidden="1" customHeight="1" x14ac:dyDescent="0.2">
      <c r="E1065" t="s">
        <v>442</v>
      </c>
      <c r="F1065">
        <v>134</v>
      </c>
      <c r="G1065" t="s">
        <v>292</v>
      </c>
      <c r="H1065" t="s">
        <v>6</v>
      </c>
      <c r="I1065">
        <v>0</v>
      </c>
    </row>
    <row r="1066" spans="5:9" ht="15.75" hidden="1" customHeight="1" x14ac:dyDescent="0.2">
      <c r="E1066" t="s">
        <v>443</v>
      </c>
      <c r="F1066">
        <v>135</v>
      </c>
      <c r="G1066" t="s">
        <v>292</v>
      </c>
      <c r="H1066" t="s">
        <v>6</v>
      </c>
      <c r="I1066">
        <v>5</v>
      </c>
    </row>
    <row r="1067" spans="5:9" ht="15.75" hidden="1" customHeight="1" x14ac:dyDescent="0.2">
      <c r="E1067" t="s">
        <v>362</v>
      </c>
      <c r="F1067">
        <v>136</v>
      </c>
      <c r="G1067" t="s">
        <v>292</v>
      </c>
      <c r="H1067" t="s">
        <v>6</v>
      </c>
      <c r="I1067">
        <v>0</v>
      </c>
    </row>
    <row r="1068" spans="5:9" ht="15.75" hidden="1" customHeight="1" x14ac:dyDescent="0.2">
      <c r="E1068" t="s">
        <v>482</v>
      </c>
      <c r="F1068">
        <v>137</v>
      </c>
      <c r="G1068" t="s">
        <v>292</v>
      </c>
      <c r="H1068" t="s">
        <v>6</v>
      </c>
      <c r="I1068">
        <v>1</v>
      </c>
    </row>
    <row r="1069" spans="5:9" ht="15.75" hidden="1" customHeight="1" x14ac:dyDescent="0.2">
      <c r="E1069" t="s">
        <v>483</v>
      </c>
      <c r="F1069">
        <v>138</v>
      </c>
      <c r="G1069" t="s">
        <v>292</v>
      </c>
      <c r="H1069" t="s">
        <v>6</v>
      </c>
      <c r="I1069">
        <v>5</v>
      </c>
    </row>
    <row r="1070" spans="5:9" ht="15.75" hidden="1" customHeight="1" x14ac:dyDescent="0.2">
      <c r="E1070" t="s">
        <v>484</v>
      </c>
      <c r="F1070">
        <v>139</v>
      </c>
      <c r="G1070" t="s">
        <v>292</v>
      </c>
      <c r="H1070" t="s">
        <v>6</v>
      </c>
      <c r="I1070">
        <v>4</v>
      </c>
    </row>
    <row r="1071" spans="5:9" ht="15.75" hidden="1" customHeight="1" x14ac:dyDescent="0.2">
      <c r="E1071" t="s">
        <v>486</v>
      </c>
      <c r="F1071">
        <v>140</v>
      </c>
      <c r="G1071" t="s">
        <v>292</v>
      </c>
      <c r="H1071" t="s">
        <v>6</v>
      </c>
      <c r="I1071">
        <v>0</v>
      </c>
    </row>
    <row r="1072" spans="5:9" ht="15.75" hidden="1" customHeight="1" x14ac:dyDescent="0.2">
      <c r="E1072" t="s">
        <v>487</v>
      </c>
      <c r="F1072">
        <v>141</v>
      </c>
      <c r="G1072" t="s">
        <v>292</v>
      </c>
      <c r="H1072" t="s">
        <v>6</v>
      </c>
      <c r="I1072">
        <v>0</v>
      </c>
    </row>
    <row r="1073" spans="5:9" ht="15.75" hidden="1" customHeight="1" x14ac:dyDescent="0.2">
      <c r="E1073" t="s">
        <v>446</v>
      </c>
      <c r="F1073">
        <v>142</v>
      </c>
      <c r="G1073" t="s">
        <v>292</v>
      </c>
      <c r="H1073" t="s">
        <v>6</v>
      </c>
      <c r="I1073">
        <v>0</v>
      </c>
    </row>
    <row r="1074" spans="5:9" ht="15.75" hidden="1" customHeight="1" x14ac:dyDescent="0.2">
      <c r="E1074" t="s">
        <v>447</v>
      </c>
      <c r="F1074">
        <v>143</v>
      </c>
      <c r="G1074" t="s">
        <v>292</v>
      </c>
      <c r="H1074" t="s">
        <v>6</v>
      </c>
      <c r="I1074">
        <v>0</v>
      </c>
    </row>
    <row r="1075" spans="5:9" ht="15.75" hidden="1" customHeight="1" x14ac:dyDescent="0.2">
      <c r="E1075" t="s">
        <v>448</v>
      </c>
      <c r="F1075">
        <v>144</v>
      </c>
      <c r="G1075" t="s">
        <v>292</v>
      </c>
      <c r="H1075" t="s">
        <v>6</v>
      </c>
      <c r="I1075">
        <v>0</v>
      </c>
    </row>
    <row r="1076" spans="5:9" ht="15.75" hidden="1" customHeight="1" x14ac:dyDescent="0.2">
      <c r="E1076" t="s">
        <v>449</v>
      </c>
      <c r="F1076">
        <v>145</v>
      </c>
      <c r="G1076" t="s">
        <v>292</v>
      </c>
      <c r="H1076" t="s">
        <v>6</v>
      </c>
      <c r="I1076">
        <v>0</v>
      </c>
    </row>
    <row r="1077" spans="5:9" ht="15.75" hidden="1" customHeight="1" x14ac:dyDescent="0.2">
      <c r="E1077" t="s">
        <v>450</v>
      </c>
      <c r="F1077">
        <v>146</v>
      </c>
      <c r="G1077" t="s">
        <v>292</v>
      </c>
      <c r="H1077" t="s">
        <v>6</v>
      </c>
      <c r="I1077">
        <v>0</v>
      </c>
    </row>
    <row r="1078" spans="5:9" ht="15.75" hidden="1" customHeight="1" x14ac:dyDescent="0.2">
      <c r="E1078" t="s">
        <v>451</v>
      </c>
      <c r="F1078">
        <v>147</v>
      </c>
      <c r="G1078" t="s">
        <v>292</v>
      </c>
      <c r="H1078" t="s">
        <v>6</v>
      </c>
      <c r="I1078">
        <v>0</v>
      </c>
    </row>
    <row r="1079" spans="5:9" ht="15.75" hidden="1" customHeight="1" x14ac:dyDescent="0.2">
      <c r="E1079" t="s">
        <v>488</v>
      </c>
      <c r="F1079">
        <v>148</v>
      </c>
      <c r="G1079" t="s">
        <v>292</v>
      </c>
      <c r="H1079" t="s">
        <v>6</v>
      </c>
      <c r="I1079">
        <v>0</v>
      </c>
    </row>
    <row r="1080" spans="5:9" ht="15.75" hidden="1" customHeight="1" x14ac:dyDescent="0.2">
      <c r="E1080" t="s">
        <v>452</v>
      </c>
      <c r="F1080">
        <v>149</v>
      </c>
      <c r="G1080" t="s">
        <v>292</v>
      </c>
      <c r="H1080" t="s">
        <v>6</v>
      </c>
      <c r="I1080">
        <v>0</v>
      </c>
    </row>
    <row r="1081" spans="5:9" ht="15.75" hidden="1" customHeight="1" x14ac:dyDescent="0.2">
      <c r="E1081" t="s">
        <v>453</v>
      </c>
      <c r="F1081">
        <v>150</v>
      </c>
      <c r="G1081" t="s">
        <v>292</v>
      </c>
      <c r="H1081" t="s">
        <v>6</v>
      </c>
      <c r="I1081">
        <v>0</v>
      </c>
    </row>
    <row r="1082" spans="5:9" ht="15.75" hidden="1" customHeight="1" x14ac:dyDescent="0.2">
      <c r="E1082" t="s">
        <v>454</v>
      </c>
      <c r="F1082">
        <v>151</v>
      </c>
      <c r="G1082" t="s">
        <v>292</v>
      </c>
      <c r="H1082" t="s">
        <v>6</v>
      </c>
      <c r="I1082">
        <v>1</v>
      </c>
    </row>
    <row r="1083" spans="5:9" ht="15.75" hidden="1" customHeight="1" x14ac:dyDescent="0.2">
      <c r="E1083" t="s">
        <v>455</v>
      </c>
      <c r="F1083">
        <v>152</v>
      </c>
      <c r="G1083" t="s">
        <v>292</v>
      </c>
      <c r="H1083" t="s">
        <v>6</v>
      </c>
      <c r="I1083">
        <v>0</v>
      </c>
    </row>
    <row r="1084" spans="5:9" ht="15.75" hidden="1" customHeight="1" x14ac:dyDescent="0.2">
      <c r="E1084" t="s">
        <v>456</v>
      </c>
      <c r="F1084">
        <v>153</v>
      </c>
      <c r="G1084" t="s">
        <v>292</v>
      </c>
      <c r="H1084" t="s">
        <v>6</v>
      </c>
      <c r="I1084">
        <v>0</v>
      </c>
    </row>
    <row r="1085" spans="5:9" ht="15.75" hidden="1" customHeight="1" x14ac:dyDescent="0.2">
      <c r="E1085" t="s">
        <v>489</v>
      </c>
      <c r="F1085">
        <v>154</v>
      </c>
      <c r="G1085" t="s">
        <v>292</v>
      </c>
      <c r="H1085" t="s">
        <v>6</v>
      </c>
      <c r="I1085">
        <v>1</v>
      </c>
    </row>
    <row r="1086" spans="5:9" ht="15.75" hidden="1" customHeight="1" x14ac:dyDescent="0.2">
      <c r="E1086" t="s">
        <v>457</v>
      </c>
      <c r="F1086">
        <v>155</v>
      </c>
      <c r="G1086" t="s">
        <v>292</v>
      </c>
      <c r="H1086" t="s">
        <v>6</v>
      </c>
      <c r="I1086">
        <v>0</v>
      </c>
    </row>
    <row r="1087" spans="5:9" ht="15.75" hidden="1" customHeight="1" x14ac:dyDescent="0.2">
      <c r="E1087" t="s">
        <v>362</v>
      </c>
      <c r="F1087">
        <v>156</v>
      </c>
      <c r="G1087" t="s">
        <v>292</v>
      </c>
      <c r="H1087" t="s">
        <v>6</v>
      </c>
      <c r="I1087">
        <v>0</v>
      </c>
    </row>
    <row r="1088" spans="5:9" ht="15.75" hidden="1" customHeight="1" x14ac:dyDescent="0.2">
      <c r="E1088" t="s">
        <v>491</v>
      </c>
      <c r="F1088">
        <v>157</v>
      </c>
      <c r="G1088" t="s">
        <v>292</v>
      </c>
      <c r="H1088" t="s">
        <v>6</v>
      </c>
      <c r="I1088">
        <v>2</v>
      </c>
    </row>
    <row r="1089" spans="5:9" ht="15.75" hidden="1" customHeight="1" x14ac:dyDescent="0.2">
      <c r="E1089" t="s">
        <v>492</v>
      </c>
      <c r="F1089">
        <v>158</v>
      </c>
      <c r="G1089" t="s">
        <v>292</v>
      </c>
      <c r="H1089" t="s">
        <v>6</v>
      </c>
      <c r="I1089">
        <v>1</v>
      </c>
    </row>
    <row r="1090" spans="5:9" ht="15.75" hidden="1" customHeight="1" x14ac:dyDescent="0.2">
      <c r="E1090" t="s">
        <v>493</v>
      </c>
      <c r="F1090">
        <v>159</v>
      </c>
      <c r="G1090" t="s">
        <v>292</v>
      </c>
      <c r="H1090" t="s">
        <v>6</v>
      </c>
      <c r="I1090">
        <v>2</v>
      </c>
    </row>
    <row r="1091" spans="5:9" ht="15.75" hidden="1" customHeight="1" x14ac:dyDescent="0.2">
      <c r="E1091" t="s">
        <v>494</v>
      </c>
      <c r="F1091">
        <v>160</v>
      </c>
      <c r="G1091" t="s">
        <v>292</v>
      </c>
      <c r="H1091" t="s">
        <v>6</v>
      </c>
      <c r="I1091">
        <v>2</v>
      </c>
    </row>
    <row r="1092" spans="5:9" ht="15.75" hidden="1" customHeight="1" x14ac:dyDescent="0.2">
      <c r="E1092" t="s">
        <v>496</v>
      </c>
      <c r="F1092">
        <v>161</v>
      </c>
      <c r="G1092" t="s">
        <v>292</v>
      </c>
      <c r="H1092" t="s">
        <v>6</v>
      </c>
      <c r="I1092">
        <v>0</v>
      </c>
    </row>
    <row r="1093" spans="5:9" ht="15.75" hidden="1" customHeight="1" x14ac:dyDescent="0.2">
      <c r="E1093" t="s">
        <v>497</v>
      </c>
      <c r="F1093">
        <v>162</v>
      </c>
      <c r="G1093" t="s">
        <v>292</v>
      </c>
      <c r="H1093" t="s">
        <v>6</v>
      </c>
      <c r="I1093">
        <v>0</v>
      </c>
    </row>
    <row r="1094" spans="5:9" ht="15.75" hidden="1" customHeight="1" x14ac:dyDescent="0.2">
      <c r="E1094" t="s">
        <v>459</v>
      </c>
      <c r="F1094">
        <v>163</v>
      </c>
      <c r="G1094" t="s">
        <v>292</v>
      </c>
      <c r="H1094" t="s">
        <v>6</v>
      </c>
      <c r="I1094">
        <v>0</v>
      </c>
    </row>
    <row r="1095" spans="5:9" ht="15.75" hidden="1" customHeight="1" x14ac:dyDescent="0.2">
      <c r="E1095" t="s">
        <v>460</v>
      </c>
      <c r="F1095">
        <v>164</v>
      </c>
      <c r="G1095" t="s">
        <v>292</v>
      </c>
      <c r="H1095" t="s">
        <v>6</v>
      </c>
      <c r="I1095">
        <v>0</v>
      </c>
    </row>
    <row r="1096" spans="5:9" ht="15.75" hidden="1" customHeight="1" x14ac:dyDescent="0.2">
      <c r="E1096" t="s">
        <v>461</v>
      </c>
      <c r="F1096">
        <v>165</v>
      </c>
      <c r="G1096" t="s">
        <v>292</v>
      </c>
      <c r="H1096" t="s">
        <v>6</v>
      </c>
      <c r="I1096">
        <v>0</v>
      </c>
    </row>
    <row r="1097" spans="5:9" ht="15.75" hidden="1" customHeight="1" x14ac:dyDescent="0.2">
      <c r="E1097" t="s">
        <v>462</v>
      </c>
      <c r="F1097">
        <v>166</v>
      </c>
      <c r="G1097" t="s">
        <v>292</v>
      </c>
      <c r="H1097" t="s">
        <v>6</v>
      </c>
      <c r="I1097">
        <v>0</v>
      </c>
    </row>
    <row r="1098" spans="5:9" ht="15.75" hidden="1" customHeight="1" x14ac:dyDescent="0.2">
      <c r="E1098" t="s">
        <v>463</v>
      </c>
      <c r="F1098">
        <v>167</v>
      </c>
      <c r="G1098" t="s">
        <v>292</v>
      </c>
      <c r="H1098" t="s">
        <v>6</v>
      </c>
      <c r="I1098">
        <v>0</v>
      </c>
    </row>
    <row r="1099" spans="5:9" ht="15.75" hidden="1" customHeight="1" x14ac:dyDescent="0.2">
      <c r="E1099" t="s">
        <v>464</v>
      </c>
      <c r="F1099">
        <v>168</v>
      </c>
      <c r="G1099" t="s">
        <v>292</v>
      </c>
      <c r="H1099" t="s">
        <v>6</v>
      </c>
      <c r="I1099">
        <v>0</v>
      </c>
    </row>
    <row r="1100" spans="5:9" ht="15.75" hidden="1" customHeight="1" x14ac:dyDescent="0.2">
      <c r="E1100" t="s">
        <v>465</v>
      </c>
      <c r="F1100">
        <v>169</v>
      </c>
      <c r="G1100" t="s">
        <v>292</v>
      </c>
      <c r="H1100" t="s">
        <v>6</v>
      </c>
      <c r="I1100">
        <v>0</v>
      </c>
    </row>
    <row r="1101" spans="5:9" ht="15.75" hidden="1" customHeight="1" x14ac:dyDescent="0.2">
      <c r="E1101" t="s">
        <v>466</v>
      </c>
      <c r="F1101">
        <v>170</v>
      </c>
      <c r="G1101" t="s">
        <v>292</v>
      </c>
      <c r="H1101" t="s">
        <v>6</v>
      </c>
      <c r="I1101">
        <v>0</v>
      </c>
    </row>
    <row r="1102" spans="5:9" ht="15.75" hidden="1" customHeight="1" x14ac:dyDescent="0.2">
      <c r="E1102" t="s">
        <v>467</v>
      </c>
      <c r="F1102">
        <v>171</v>
      </c>
      <c r="G1102" t="s">
        <v>292</v>
      </c>
      <c r="H1102" t="s">
        <v>6</v>
      </c>
      <c r="I1102">
        <v>0</v>
      </c>
    </row>
    <row r="1103" spans="5:9" ht="15.75" hidden="1" customHeight="1" x14ac:dyDescent="0.2">
      <c r="E1103" t="s">
        <v>468</v>
      </c>
      <c r="F1103">
        <v>172</v>
      </c>
      <c r="G1103" t="s">
        <v>292</v>
      </c>
      <c r="H1103" t="s">
        <v>6</v>
      </c>
      <c r="I1103">
        <v>0</v>
      </c>
    </row>
    <row r="1104" spans="5:9" ht="15.75" hidden="1" customHeight="1" x14ac:dyDescent="0.2">
      <c r="E1104" t="s">
        <v>469</v>
      </c>
      <c r="F1104">
        <v>173</v>
      </c>
      <c r="G1104" t="s">
        <v>292</v>
      </c>
      <c r="H1104" t="s">
        <v>6</v>
      </c>
      <c r="I1104">
        <v>0</v>
      </c>
    </row>
    <row r="1105" spans="5:9" ht="15.75" hidden="1" customHeight="1" x14ac:dyDescent="0.2">
      <c r="E1105" t="s">
        <v>470</v>
      </c>
      <c r="F1105">
        <v>174</v>
      </c>
      <c r="G1105" t="s">
        <v>292</v>
      </c>
      <c r="H1105" t="s">
        <v>6</v>
      </c>
      <c r="I1105">
        <v>0</v>
      </c>
    </row>
    <row r="1106" spans="5:9" ht="15.75" hidden="1" customHeight="1" x14ac:dyDescent="0.2">
      <c r="E1106" t="s">
        <v>471</v>
      </c>
      <c r="F1106">
        <v>175</v>
      </c>
      <c r="G1106" t="s">
        <v>292</v>
      </c>
      <c r="H1106" t="s">
        <v>6</v>
      </c>
      <c r="I1106">
        <v>0</v>
      </c>
    </row>
    <row r="1107" spans="5:9" ht="15.75" hidden="1" customHeight="1" x14ac:dyDescent="0.2">
      <c r="E1107" t="s">
        <v>472</v>
      </c>
      <c r="F1107">
        <v>176</v>
      </c>
      <c r="G1107" t="s">
        <v>292</v>
      </c>
      <c r="H1107" t="s">
        <v>6</v>
      </c>
      <c r="I1107">
        <v>0</v>
      </c>
    </row>
    <row r="1108" spans="5:9" ht="15.75" hidden="1" customHeight="1" x14ac:dyDescent="0.2">
      <c r="E1108" t="s">
        <v>362</v>
      </c>
      <c r="F1108">
        <v>177</v>
      </c>
      <c r="G1108" t="s">
        <v>292</v>
      </c>
      <c r="H1108" t="s">
        <v>6</v>
      </c>
      <c r="I1108">
        <v>0</v>
      </c>
    </row>
    <row r="1109" spans="5:9" ht="15.75" hidden="1" customHeight="1" x14ac:dyDescent="0.2">
      <c r="E1109" t="s">
        <v>473</v>
      </c>
      <c r="F1109">
        <v>178</v>
      </c>
      <c r="G1109" t="s">
        <v>292</v>
      </c>
      <c r="H1109" t="s">
        <v>6</v>
      </c>
      <c r="I1109">
        <v>0</v>
      </c>
    </row>
    <row r="1110" spans="5:9" ht="15.75" hidden="1" customHeight="1" x14ac:dyDescent="0.2">
      <c r="E1110" t="s">
        <v>474</v>
      </c>
      <c r="F1110">
        <v>179</v>
      </c>
      <c r="G1110" t="s">
        <v>292</v>
      </c>
      <c r="H1110" t="s">
        <v>6</v>
      </c>
      <c r="I1110">
        <v>0</v>
      </c>
    </row>
    <row r="1111" spans="5:9" ht="15.75" hidden="1" customHeight="1" x14ac:dyDescent="0.2">
      <c r="E1111" t="s">
        <v>499</v>
      </c>
      <c r="F1111">
        <v>180</v>
      </c>
      <c r="G1111" t="s">
        <v>292</v>
      </c>
      <c r="H1111" t="s">
        <v>6</v>
      </c>
      <c r="I1111">
        <v>1</v>
      </c>
    </row>
    <row r="1112" spans="5:9" ht="15.75" hidden="1" customHeight="1" x14ac:dyDescent="0.2">
      <c r="E1112" t="s">
        <v>500</v>
      </c>
      <c r="F1112">
        <v>181</v>
      </c>
      <c r="G1112" t="s">
        <v>292</v>
      </c>
      <c r="H1112" t="s">
        <v>6</v>
      </c>
      <c r="I1112">
        <v>1</v>
      </c>
    </row>
    <row r="1113" spans="5:9" ht="15.75" hidden="1" customHeight="1" x14ac:dyDescent="0.2">
      <c r="E1113" t="s">
        <v>501</v>
      </c>
      <c r="F1113">
        <v>182</v>
      </c>
      <c r="G1113" t="s">
        <v>292</v>
      </c>
      <c r="H1113" t="s">
        <v>6</v>
      </c>
      <c r="I1113">
        <v>2</v>
      </c>
    </row>
    <row r="1114" spans="5:9" ht="15.75" hidden="1" customHeight="1" x14ac:dyDescent="0.2">
      <c r="E1114" t="s">
        <v>502</v>
      </c>
      <c r="F1114">
        <v>183</v>
      </c>
      <c r="G1114" t="s">
        <v>292</v>
      </c>
      <c r="H1114" t="s">
        <v>6</v>
      </c>
      <c r="I1114">
        <v>1</v>
      </c>
    </row>
    <row r="1115" spans="5:9" ht="15.75" hidden="1" customHeight="1" x14ac:dyDescent="0.2">
      <c r="E1115" t="s">
        <v>503</v>
      </c>
      <c r="F1115">
        <v>184</v>
      </c>
      <c r="G1115" t="s">
        <v>292</v>
      </c>
      <c r="H1115" t="s">
        <v>6</v>
      </c>
      <c r="I1115">
        <v>0</v>
      </c>
    </row>
    <row r="1116" spans="5:9" ht="15.75" hidden="1" customHeight="1" x14ac:dyDescent="0.2">
      <c r="E1116" t="s">
        <v>504</v>
      </c>
      <c r="F1116">
        <v>185</v>
      </c>
      <c r="G1116" t="s">
        <v>292</v>
      </c>
      <c r="H1116" t="s">
        <v>6</v>
      </c>
      <c r="I1116">
        <v>0</v>
      </c>
    </row>
    <row r="1117" spans="5:9" ht="15.75" hidden="1" customHeight="1" x14ac:dyDescent="0.2">
      <c r="E1117" t="s">
        <v>505</v>
      </c>
      <c r="F1117">
        <v>186</v>
      </c>
      <c r="G1117" t="s">
        <v>292</v>
      </c>
      <c r="H1117" t="s">
        <v>6</v>
      </c>
      <c r="I1117">
        <v>0</v>
      </c>
    </row>
    <row r="1118" spans="5:9" ht="15.75" hidden="1" customHeight="1" x14ac:dyDescent="0.2">
      <c r="E1118" t="s">
        <v>287</v>
      </c>
      <c r="F1118">
        <v>1</v>
      </c>
      <c r="G1118" t="s">
        <v>243</v>
      </c>
      <c r="H1118" t="s">
        <v>7</v>
      </c>
      <c r="I1118">
        <v>6</v>
      </c>
    </row>
    <row r="1119" spans="5:9" ht="15.75" hidden="1" customHeight="1" x14ac:dyDescent="0.2">
      <c r="E1119" t="s">
        <v>350</v>
      </c>
      <c r="F1119">
        <v>2</v>
      </c>
      <c r="G1119" t="s">
        <v>243</v>
      </c>
      <c r="H1119" t="s">
        <v>7</v>
      </c>
      <c r="I1119">
        <v>7.5</v>
      </c>
    </row>
    <row r="1120" spans="5:9" ht="15.75" hidden="1" customHeight="1" x14ac:dyDescent="0.2">
      <c r="E1120" t="s">
        <v>351</v>
      </c>
      <c r="F1120">
        <v>3</v>
      </c>
      <c r="G1120" t="s">
        <v>243</v>
      </c>
      <c r="H1120" t="s">
        <v>7</v>
      </c>
      <c r="I1120">
        <v>27.5</v>
      </c>
    </row>
    <row r="1121" spans="5:9" ht="15.75" hidden="1" customHeight="1" x14ac:dyDescent="0.2">
      <c r="E1121" t="s">
        <v>352</v>
      </c>
      <c r="F1121">
        <v>4</v>
      </c>
      <c r="G1121" t="s">
        <v>243</v>
      </c>
      <c r="H1121" t="s">
        <v>7</v>
      </c>
      <c r="I1121">
        <v>16.714300000000001</v>
      </c>
    </row>
    <row r="1122" spans="5:9" ht="15.75" hidden="1" customHeight="1" x14ac:dyDescent="0.2">
      <c r="E1122" t="s">
        <v>354</v>
      </c>
      <c r="F1122">
        <v>5</v>
      </c>
      <c r="G1122" t="s">
        <v>243</v>
      </c>
      <c r="H1122" t="s">
        <v>7</v>
      </c>
      <c r="I1122">
        <v>27</v>
      </c>
    </row>
    <row r="1123" spans="5:9" ht="15.75" hidden="1" customHeight="1" x14ac:dyDescent="0.2">
      <c r="E1123" t="s">
        <v>356</v>
      </c>
      <c r="F1123">
        <v>6</v>
      </c>
      <c r="G1123" t="s">
        <v>243</v>
      </c>
      <c r="H1123" t="s">
        <v>7</v>
      </c>
      <c r="I1123">
        <v>27</v>
      </c>
    </row>
    <row r="1124" spans="5:9" ht="15.75" hidden="1" customHeight="1" x14ac:dyDescent="0.2">
      <c r="E1124" t="s">
        <v>358</v>
      </c>
      <c r="F1124">
        <v>7</v>
      </c>
      <c r="G1124" t="s">
        <v>243</v>
      </c>
      <c r="H1124" t="s">
        <v>7</v>
      </c>
      <c r="I1124">
        <v>1</v>
      </c>
    </row>
    <row r="1125" spans="5:9" ht="15.75" hidden="1" customHeight="1" x14ac:dyDescent="0.2">
      <c r="E1125" t="s">
        <v>359</v>
      </c>
      <c r="F1125">
        <v>8</v>
      </c>
      <c r="G1125" t="s">
        <v>243</v>
      </c>
      <c r="H1125" t="s">
        <v>7</v>
      </c>
      <c r="I1125">
        <v>5.0909000000000004</v>
      </c>
    </row>
    <row r="1126" spans="5:9" ht="15.75" hidden="1" customHeight="1" x14ac:dyDescent="0.2">
      <c r="E1126" t="s">
        <v>360</v>
      </c>
      <c r="F1126">
        <v>9</v>
      </c>
      <c r="G1126" t="s">
        <v>243</v>
      </c>
      <c r="H1126" t="s">
        <v>7</v>
      </c>
      <c r="I1126">
        <v>1.5</v>
      </c>
    </row>
    <row r="1127" spans="5:9" ht="15.75" hidden="1" customHeight="1" x14ac:dyDescent="0.2">
      <c r="E1127" t="s">
        <v>361</v>
      </c>
      <c r="F1127">
        <v>10</v>
      </c>
      <c r="G1127" t="s">
        <v>243</v>
      </c>
      <c r="H1127" t="s">
        <v>7</v>
      </c>
      <c r="I1127">
        <v>4.6666999999999996</v>
      </c>
    </row>
    <row r="1128" spans="5:9" ht="15.75" hidden="1" customHeight="1" x14ac:dyDescent="0.2">
      <c r="E1128" t="s">
        <v>362</v>
      </c>
      <c r="F1128">
        <v>11</v>
      </c>
      <c r="G1128" t="s">
        <v>243</v>
      </c>
      <c r="H1128" t="s">
        <v>7</v>
      </c>
      <c r="I1128">
        <v>1.5</v>
      </c>
    </row>
    <row r="1129" spans="5:9" ht="15.75" hidden="1" customHeight="1" x14ac:dyDescent="0.2">
      <c r="E1129" t="s">
        <v>363</v>
      </c>
      <c r="F1129">
        <v>12</v>
      </c>
      <c r="G1129" t="s">
        <v>243</v>
      </c>
      <c r="H1129" t="s">
        <v>7</v>
      </c>
      <c r="I1129">
        <v>0</v>
      </c>
    </row>
    <row r="1130" spans="5:9" ht="15.75" hidden="1" customHeight="1" x14ac:dyDescent="0.2">
      <c r="E1130" t="s">
        <v>365</v>
      </c>
      <c r="F1130">
        <v>13</v>
      </c>
      <c r="G1130" t="s">
        <v>243</v>
      </c>
      <c r="H1130" t="s">
        <v>7</v>
      </c>
      <c r="I1130">
        <v>0</v>
      </c>
    </row>
    <row r="1131" spans="5:9" ht="15.75" hidden="1" customHeight="1" x14ac:dyDescent="0.2">
      <c r="E1131" t="s">
        <v>369</v>
      </c>
      <c r="F1131">
        <v>14</v>
      </c>
      <c r="G1131" t="s">
        <v>243</v>
      </c>
      <c r="H1131" t="s">
        <v>7</v>
      </c>
      <c r="I1131">
        <v>1</v>
      </c>
    </row>
    <row r="1132" spans="5:9" ht="15.75" hidden="1" customHeight="1" x14ac:dyDescent="0.2">
      <c r="E1132" t="s">
        <v>370</v>
      </c>
      <c r="F1132">
        <v>15</v>
      </c>
      <c r="G1132" t="s">
        <v>243</v>
      </c>
      <c r="H1132" t="s">
        <v>7</v>
      </c>
      <c r="I1132">
        <v>10.2857</v>
      </c>
    </row>
    <row r="1133" spans="5:9" ht="15.75" hidden="1" customHeight="1" x14ac:dyDescent="0.2">
      <c r="E1133" t="s">
        <v>371</v>
      </c>
      <c r="F1133">
        <v>16</v>
      </c>
      <c r="G1133" t="s">
        <v>243</v>
      </c>
      <c r="H1133" t="s">
        <v>7</v>
      </c>
      <c r="I1133">
        <v>10.2143</v>
      </c>
    </row>
    <row r="1134" spans="5:9" ht="15.75" hidden="1" customHeight="1" x14ac:dyDescent="0.2">
      <c r="E1134" t="s">
        <v>372</v>
      </c>
      <c r="F1134">
        <v>17</v>
      </c>
      <c r="G1134" t="s">
        <v>243</v>
      </c>
      <c r="H1134" t="s">
        <v>7</v>
      </c>
      <c r="I1134">
        <v>14.375</v>
      </c>
    </row>
    <row r="1135" spans="5:9" ht="15.75" hidden="1" customHeight="1" x14ac:dyDescent="0.2">
      <c r="E1135" t="s">
        <v>373</v>
      </c>
      <c r="F1135">
        <v>18</v>
      </c>
      <c r="G1135" t="s">
        <v>243</v>
      </c>
      <c r="H1135" t="s">
        <v>7</v>
      </c>
      <c r="I1135">
        <v>5.8333000000000004</v>
      </c>
    </row>
    <row r="1136" spans="5:9" ht="15.75" hidden="1" customHeight="1" x14ac:dyDescent="0.2">
      <c r="E1136" t="s">
        <v>374</v>
      </c>
      <c r="F1136">
        <v>19</v>
      </c>
      <c r="G1136" t="s">
        <v>243</v>
      </c>
      <c r="H1136" t="s">
        <v>7</v>
      </c>
      <c r="I1136">
        <v>1</v>
      </c>
    </row>
    <row r="1137" spans="5:9" ht="15.75" hidden="1" customHeight="1" x14ac:dyDescent="0.2">
      <c r="E1137" t="s">
        <v>375</v>
      </c>
      <c r="F1137">
        <v>20</v>
      </c>
      <c r="G1137" t="s">
        <v>243</v>
      </c>
      <c r="H1137" t="s">
        <v>7</v>
      </c>
      <c r="I1137">
        <v>8</v>
      </c>
    </row>
    <row r="1138" spans="5:9" ht="15.75" hidden="1" customHeight="1" x14ac:dyDescent="0.2">
      <c r="E1138" t="s">
        <v>376</v>
      </c>
      <c r="F1138">
        <v>21</v>
      </c>
      <c r="G1138" t="s">
        <v>243</v>
      </c>
      <c r="H1138" t="s">
        <v>7</v>
      </c>
      <c r="I1138">
        <v>6.6666999999999996</v>
      </c>
    </row>
    <row r="1139" spans="5:9" ht="15.75" hidden="1" customHeight="1" x14ac:dyDescent="0.2">
      <c r="E1139" t="s">
        <v>377</v>
      </c>
      <c r="F1139">
        <v>22</v>
      </c>
      <c r="G1139" t="s">
        <v>243</v>
      </c>
      <c r="H1139" t="s">
        <v>7</v>
      </c>
      <c r="I1139">
        <v>14.4</v>
      </c>
    </row>
    <row r="1140" spans="5:9" ht="15.75" hidden="1" customHeight="1" x14ac:dyDescent="0.2">
      <c r="E1140" t="s">
        <v>378</v>
      </c>
      <c r="F1140">
        <v>23</v>
      </c>
      <c r="G1140" t="s">
        <v>243</v>
      </c>
      <c r="H1140" t="s">
        <v>7</v>
      </c>
      <c r="I1140">
        <v>1</v>
      </c>
    </row>
    <row r="1141" spans="5:9" ht="15.75" hidden="1" customHeight="1" x14ac:dyDescent="0.2">
      <c r="E1141" t="s">
        <v>379</v>
      </c>
      <c r="F1141">
        <v>24</v>
      </c>
      <c r="G1141" t="s">
        <v>243</v>
      </c>
      <c r="H1141" t="s">
        <v>7</v>
      </c>
      <c r="I1141">
        <v>0</v>
      </c>
    </row>
    <row r="1142" spans="5:9" ht="15.75" hidden="1" customHeight="1" x14ac:dyDescent="0.2">
      <c r="E1142" t="s">
        <v>380</v>
      </c>
      <c r="F1142">
        <v>25</v>
      </c>
      <c r="G1142" t="s">
        <v>243</v>
      </c>
      <c r="H1142" t="s">
        <v>7</v>
      </c>
      <c r="I1142">
        <v>3.75</v>
      </c>
    </row>
    <row r="1143" spans="5:9" ht="15.75" hidden="1" customHeight="1" x14ac:dyDescent="0.2">
      <c r="E1143" t="s">
        <v>381</v>
      </c>
      <c r="F1143">
        <v>26</v>
      </c>
      <c r="G1143" t="s">
        <v>243</v>
      </c>
      <c r="H1143" t="s">
        <v>7</v>
      </c>
      <c r="I1143">
        <v>4.5</v>
      </c>
    </row>
    <row r="1144" spans="5:9" ht="15.75" hidden="1" customHeight="1" x14ac:dyDescent="0.2">
      <c r="E1144" t="s">
        <v>382</v>
      </c>
      <c r="F1144">
        <v>27</v>
      </c>
      <c r="G1144" t="s">
        <v>243</v>
      </c>
      <c r="H1144" t="s">
        <v>7</v>
      </c>
      <c r="I1144">
        <v>3.5</v>
      </c>
    </row>
    <row r="1145" spans="5:9" ht="15.75" hidden="1" customHeight="1" x14ac:dyDescent="0.2">
      <c r="E1145" t="s">
        <v>383</v>
      </c>
      <c r="F1145">
        <v>28</v>
      </c>
      <c r="G1145" t="s">
        <v>243</v>
      </c>
      <c r="H1145" t="s">
        <v>7</v>
      </c>
      <c r="I1145">
        <v>6.125</v>
      </c>
    </row>
    <row r="1146" spans="5:9" ht="15.75" hidden="1" customHeight="1" x14ac:dyDescent="0.2">
      <c r="E1146" t="s">
        <v>385</v>
      </c>
      <c r="F1146">
        <v>29</v>
      </c>
      <c r="G1146" t="s">
        <v>243</v>
      </c>
      <c r="H1146" t="s">
        <v>7</v>
      </c>
      <c r="I1146">
        <v>27</v>
      </c>
    </row>
    <row r="1147" spans="5:9" ht="15.75" hidden="1" customHeight="1" x14ac:dyDescent="0.2">
      <c r="E1147" t="s">
        <v>387</v>
      </c>
      <c r="F1147">
        <v>30</v>
      </c>
      <c r="G1147" t="s">
        <v>243</v>
      </c>
      <c r="H1147" t="s">
        <v>7</v>
      </c>
      <c r="I1147">
        <v>8.125</v>
      </c>
    </row>
    <row r="1148" spans="5:9" ht="15.75" hidden="1" customHeight="1" x14ac:dyDescent="0.2">
      <c r="E1148" t="s">
        <v>388</v>
      </c>
      <c r="F1148">
        <v>31</v>
      </c>
      <c r="G1148" t="s">
        <v>243</v>
      </c>
      <c r="H1148" t="s">
        <v>7</v>
      </c>
      <c r="I1148">
        <v>15.166700000000001</v>
      </c>
    </row>
    <row r="1149" spans="5:9" ht="15.75" hidden="1" customHeight="1" x14ac:dyDescent="0.2">
      <c r="E1149" t="s">
        <v>389</v>
      </c>
      <c r="F1149">
        <v>32</v>
      </c>
      <c r="G1149" t="s">
        <v>243</v>
      </c>
      <c r="H1149" t="s">
        <v>7</v>
      </c>
      <c r="I1149">
        <v>15</v>
      </c>
    </row>
    <row r="1150" spans="5:9" ht="15.75" hidden="1" customHeight="1" x14ac:dyDescent="0.2">
      <c r="E1150" t="s">
        <v>390</v>
      </c>
      <c r="F1150">
        <v>33</v>
      </c>
      <c r="G1150" t="s">
        <v>243</v>
      </c>
      <c r="H1150" t="s">
        <v>7</v>
      </c>
      <c r="I1150">
        <v>14.857100000000001</v>
      </c>
    </row>
    <row r="1151" spans="5:9" ht="15.75" hidden="1" customHeight="1" x14ac:dyDescent="0.2">
      <c r="E1151" t="s">
        <v>391</v>
      </c>
      <c r="F1151">
        <v>34</v>
      </c>
      <c r="G1151" t="s">
        <v>243</v>
      </c>
      <c r="H1151" t="s">
        <v>7</v>
      </c>
      <c r="I1151">
        <v>18.2</v>
      </c>
    </row>
    <row r="1152" spans="5:9" ht="15.75" hidden="1" customHeight="1" x14ac:dyDescent="0.2">
      <c r="E1152" t="s">
        <v>393</v>
      </c>
      <c r="F1152">
        <v>35</v>
      </c>
      <c r="G1152" t="s">
        <v>243</v>
      </c>
      <c r="H1152" t="s">
        <v>7</v>
      </c>
      <c r="I1152">
        <v>2.5</v>
      </c>
    </row>
    <row r="1153" spans="5:9" ht="15.75" hidden="1" customHeight="1" x14ac:dyDescent="0.2">
      <c r="E1153" t="s">
        <v>394</v>
      </c>
      <c r="F1153">
        <v>36</v>
      </c>
      <c r="G1153" t="s">
        <v>243</v>
      </c>
      <c r="H1153" t="s">
        <v>7</v>
      </c>
      <c r="I1153">
        <v>40.363599999999998</v>
      </c>
    </row>
    <row r="1154" spans="5:9" ht="15.75" hidden="1" customHeight="1" x14ac:dyDescent="0.2">
      <c r="E1154" t="s">
        <v>395</v>
      </c>
      <c r="F1154">
        <v>37</v>
      </c>
      <c r="G1154" t="s">
        <v>243</v>
      </c>
      <c r="H1154" t="s">
        <v>7</v>
      </c>
      <c r="I1154">
        <v>12.833299999999999</v>
      </c>
    </row>
    <row r="1155" spans="5:9" ht="15.75" hidden="1" customHeight="1" x14ac:dyDescent="0.2">
      <c r="E1155" t="s">
        <v>396</v>
      </c>
      <c r="F1155">
        <v>38</v>
      </c>
      <c r="G1155" t="s">
        <v>243</v>
      </c>
      <c r="H1155" t="s">
        <v>7</v>
      </c>
      <c r="I1155">
        <v>12.833299999999999</v>
      </c>
    </row>
    <row r="1156" spans="5:9" ht="15.75" hidden="1" customHeight="1" x14ac:dyDescent="0.2">
      <c r="E1156" t="s">
        <v>397</v>
      </c>
      <c r="F1156">
        <v>39</v>
      </c>
      <c r="G1156" t="s">
        <v>243</v>
      </c>
      <c r="H1156" t="s">
        <v>7</v>
      </c>
      <c r="I1156">
        <v>24.7273</v>
      </c>
    </row>
    <row r="1157" spans="5:9" ht="15.75" hidden="1" customHeight="1" x14ac:dyDescent="0.2">
      <c r="E1157" t="s">
        <v>398</v>
      </c>
      <c r="F1157">
        <v>40</v>
      </c>
      <c r="G1157" t="s">
        <v>243</v>
      </c>
      <c r="H1157" t="s">
        <v>7</v>
      </c>
      <c r="I1157">
        <v>28.928599999999999</v>
      </c>
    </row>
    <row r="1158" spans="5:9" ht="15.75" hidden="1" customHeight="1" x14ac:dyDescent="0.2">
      <c r="E1158" t="s">
        <v>399</v>
      </c>
      <c r="F1158">
        <v>41</v>
      </c>
      <c r="G1158" t="s">
        <v>243</v>
      </c>
      <c r="H1158" t="s">
        <v>7</v>
      </c>
      <c r="I1158">
        <v>1</v>
      </c>
    </row>
    <row r="1159" spans="5:9" ht="15.75" hidden="1" customHeight="1" x14ac:dyDescent="0.2">
      <c r="E1159" t="s">
        <v>400</v>
      </c>
      <c r="F1159">
        <v>42</v>
      </c>
      <c r="G1159" t="s">
        <v>243</v>
      </c>
      <c r="H1159" t="s">
        <v>7</v>
      </c>
      <c r="I1159">
        <v>1</v>
      </c>
    </row>
    <row r="1160" spans="5:9" ht="15.75" hidden="1" customHeight="1" x14ac:dyDescent="0.2">
      <c r="E1160" t="s">
        <v>401</v>
      </c>
      <c r="F1160">
        <v>43</v>
      </c>
      <c r="G1160" t="s">
        <v>243</v>
      </c>
      <c r="H1160" t="s">
        <v>7</v>
      </c>
      <c r="I1160">
        <v>2</v>
      </c>
    </row>
    <row r="1161" spans="5:9" ht="15.75" hidden="1" customHeight="1" x14ac:dyDescent="0.2">
      <c r="E1161" t="s">
        <v>402</v>
      </c>
      <c r="F1161">
        <v>44</v>
      </c>
      <c r="G1161" t="s">
        <v>243</v>
      </c>
      <c r="H1161" t="s">
        <v>7</v>
      </c>
      <c r="I1161">
        <v>2</v>
      </c>
    </row>
    <row r="1162" spans="5:9" ht="15.75" hidden="1" customHeight="1" x14ac:dyDescent="0.2">
      <c r="E1162" t="s">
        <v>403</v>
      </c>
      <c r="F1162">
        <v>45</v>
      </c>
      <c r="G1162" t="s">
        <v>243</v>
      </c>
      <c r="H1162" t="s">
        <v>7</v>
      </c>
      <c r="I1162">
        <v>1</v>
      </c>
    </row>
    <row r="1163" spans="5:9" ht="15.75" hidden="1" customHeight="1" x14ac:dyDescent="0.2">
      <c r="E1163" t="s">
        <v>404</v>
      </c>
      <c r="F1163">
        <v>46</v>
      </c>
      <c r="G1163" t="s">
        <v>243</v>
      </c>
      <c r="H1163" t="s">
        <v>7</v>
      </c>
      <c r="I1163">
        <v>1</v>
      </c>
    </row>
    <row r="1164" spans="5:9" ht="15.75" hidden="1" customHeight="1" x14ac:dyDescent="0.2">
      <c r="E1164" t="s">
        <v>405</v>
      </c>
      <c r="F1164">
        <v>47</v>
      </c>
      <c r="G1164" t="s">
        <v>243</v>
      </c>
      <c r="H1164" t="s">
        <v>7</v>
      </c>
      <c r="I1164">
        <v>2.5</v>
      </c>
    </row>
    <row r="1165" spans="5:9" ht="15.75" hidden="1" customHeight="1" x14ac:dyDescent="0.2">
      <c r="E1165" t="s">
        <v>406</v>
      </c>
      <c r="F1165">
        <v>48</v>
      </c>
      <c r="G1165" t="s">
        <v>243</v>
      </c>
      <c r="H1165" t="s">
        <v>7</v>
      </c>
      <c r="I1165">
        <v>2</v>
      </c>
    </row>
    <row r="1166" spans="5:9" ht="15.75" hidden="1" customHeight="1" x14ac:dyDescent="0.2">
      <c r="E1166" t="s">
        <v>376</v>
      </c>
      <c r="F1166">
        <v>49</v>
      </c>
      <c r="G1166" t="s">
        <v>243</v>
      </c>
      <c r="H1166" t="s">
        <v>7</v>
      </c>
      <c r="I1166">
        <v>2</v>
      </c>
    </row>
    <row r="1167" spans="5:9" ht="15.75" hidden="1" customHeight="1" x14ac:dyDescent="0.2">
      <c r="E1167" t="s">
        <v>407</v>
      </c>
      <c r="F1167">
        <v>50</v>
      </c>
      <c r="G1167" t="s">
        <v>243</v>
      </c>
      <c r="H1167" t="s">
        <v>7</v>
      </c>
      <c r="I1167">
        <v>14.166700000000001</v>
      </c>
    </row>
    <row r="1168" spans="5:9" ht="15.75" hidden="1" customHeight="1" x14ac:dyDescent="0.2">
      <c r="E1168" t="s">
        <v>408</v>
      </c>
      <c r="F1168">
        <v>51</v>
      </c>
      <c r="G1168" t="s">
        <v>243</v>
      </c>
      <c r="H1168" t="s">
        <v>7</v>
      </c>
      <c r="I1168">
        <v>17.968800000000002</v>
      </c>
    </row>
    <row r="1169" spans="5:9" ht="15.75" hidden="1" customHeight="1" x14ac:dyDescent="0.2">
      <c r="E1169" t="s">
        <v>409</v>
      </c>
      <c r="F1169">
        <v>52</v>
      </c>
      <c r="G1169" t="s">
        <v>243</v>
      </c>
      <c r="H1169" t="s">
        <v>7</v>
      </c>
      <c r="I1169">
        <v>5.8333000000000004</v>
      </c>
    </row>
    <row r="1170" spans="5:9" ht="15.75" hidden="1" customHeight="1" x14ac:dyDescent="0.2">
      <c r="E1170" t="s">
        <v>410</v>
      </c>
      <c r="F1170">
        <v>53</v>
      </c>
      <c r="G1170" t="s">
        <v>243</v>
      </c>
      <c r="H1170" t="s">
        <v>7</v>
      </c>
      <c r="I1170">
        <v>4.5</v>
      </c>
    </row>
    <row r="1171" spans="5:9" ht="15.75" hidden="1" customHeight="1" x14ac:dyDescent="0.2">
      <c r="E1171" t="s">
        <v>411</v>
      </c>
      <c r="F1171">
        <v>54</v>
      </c>
      <c r="G1171" t="s">
        <v>243</v>
      </c>
      <c r="H1171" t="s">
        <v>7</v>
      </c>
      <c r="I1171">
        <v>45.268300000000004</v>
      </c>
    </row>
    <row r="1172" spans="5:9" ht="15.75" hidden="1" customHeight="1" x14ac:dyDescent="0.2">
      <c r="E1172" t="s">
        <v>412</v>
      </c>
      <c r="F1172">
        <v>55</v>
      </c>
      <c r="G1172" t="s">
        <v>243</v>
      </c>
      <c r="H1172" t="s">
        <v>7</v>
      </c>
      <c r="I1172">
        <v>10.833299999999999</v>
      </c>
    </row>
    <row r="1173" spans="5:9" ht="15.75" hidden="1" customHeight="1" x14ac:dyDescent="0.2">
      <c r="E1173" t="s">
        <v>413</v>
      </c>
      <c r="F1173">
        <v>56</v>
      </c>
      <c r="G1173" t="s">
        <v>243</v>
      </c>
      <c r="H1173" t="s">
        <v>7</v>
      </c>
      <c r="I1173">
        <v>4.5</v>
      </c>
    </row>
    <row r="1174" spans="5:9" ht="15.75" hidden="1" customHeight="1" x14ac:dyDescent="0.2">
      <c r="E1174" t="s">
        <v>414</v>
      </c>
      <c r="F1174">
        <v>57</v>
      </c>
      <c r="G1174" t="s">
        <v>243</v>
      </c>
      <c r="H1174" t="s">
        <v>7</v>
      </c>
      <c r="I1174">
        <v>43.421100000000003</v>
      </c>
    </row>
    <row r="1175" spans="5:9" ht="15.75" hidden="1" customHeight="1" x14ac:dyDescent="0.2">
      <c r="E1175" t="s">
        <v>415</v>
      </c>
      <c r="F1175">
        <v>58</v>
      </c>
      <c r="G1175" t="s">
        <v>243</v>
      </c>
      <c r="H1175" t="s">
        <v>7</v>
      </c>
      <c r="I1175">
        <v>43.421100000000003</v>
      </c>
    </row>
    <row r="1176" spans="5:9" ht="15.75" hidden="1" customHeight="1" x14ac:dyDescent="0.2">
      <c r="E1176" t="s">
        <v>416</v>
      </c>
      <c r="F1176">
        <v>59</v>
      </c>
      <c r="G1176" t="s">
        <v>243</v>
      </c>
      <c r="H1176" t="s">
        <v>7</v>
      </c>
      <c r="I1176">
        <v>45.9</v>
      </c>
    </row>
    <row r="1177" spans="5:9" ht="15.75" hidden="1" customHeight="1" x14ac:dyDescent="0.2">
      <c r="E1177" t="s">
        <v>417</v>
      </c>
      <c r="F1177">
        <v>60</v>
      </c>
      <c r="G1177" t="s">
        <v>243</v>
      </c>
      <c r="H1177" t="s">
        <v>7</v>
      </c>
      <c r="I1177">
        <v>45.9</v>
      </c>
    </row>
    <row r="1178" spans="5:9" ht="15.75" hidden="1" customHeight="1" x14ac:dyDescent="0.2">
      <c r="E1178" t="s">
        <v>418</v>
      </c>
      <c r="F1178">
        <v>61</v>
      </c>
      <c r="G1178" t="s">
        <v>243</v>
      </c>
      <c r="H1178" t="s">
        <v>7</v>
      </c>
      <c r="I1178">
        <v>5.25</v>
      </c>
    </row>
    <row r="1179" spans="5:9" ht="15.75" hidden="1" customHeight="1" x14ac:dyDescent="0.2">
      <c r="E1179" t="s">
        <v>419</v>
      </c>
      <c r="F1179">
        <v>62</v>
      </c>
      <c r="G1179" t="s">
        <v>243</v>
      </c>
      <c r="H1179" t="s">
        <v>7</v>
      </c>
      <c r="I1179">
        <v>5.25</v>
      </c>
    </row>
    <row r="1180" spans="5:9" ht="15.75" hidden="1" customHeight="1" x14ac:dyDescent="0.2">
      <c r="E1180" t="s">
        <v>421</v>
      </c>
      <c r="F1180">
        <v>63</v>
      </c>
      <c r="G1180" t="s">
        <v>243</v>
      </c>
      <c r="H1180" t="s">
        <v>7</v>
      </c>
      <c r="I1180">
        <v>0</v>
      </c>
    </row>
    <row r="1181" spans="5:9" ht="15.75" hidden="1" customHeight="1" x14ac:dyDescent="0.2">
      <c r="E1181" t="s">
        <v>422</v>
      </c>
      <c r="F1181">
        <v>64</v>
      </c>
      <c r="G1181" t="s">
        <v>243</v>
      </c>
      <c r="H1181" t="s">
        <v>7</v>
      </c>
      <c r="I1181">
        <v>2.5</v>
      </c>
    </row>
    <row r="1182" spans="5:9" ht="15.75" hidden="1" customHeight="1" x14ac:dyDescent="0.2">
      <c r="E1182" t="s">
        <v>423</v>
      </c>
      <c r="F1182">
        <v>65</v>
      </c>
      <c r="G1182" t="s">
        <v>243</v>
      </c>
      <c r="H1182" t="s">
        <v>7</v>
      </c>
      <c r="I1182">
        <v>1</v>
      </c>
    </row>
    <row r="1183" spans="5:9" ht="15.75" hidden="1" customHeight="1" x14ac:dyDescent="0.2">
      <c r="E1183" t="s">
        <v>424</v>
      </c>
      <c r="F1183">
        <v>66</v>
      </c>
      <c r="G1183" t="s">
        <v>243</v>
      </c>
      <c r="H1183" t="s">
        <v>7</v>
      </c>
      <c r="I1183">
        <v>1</v>
      </c>
    </row>
    <row r="1184" spans="5:9" ht="15.75" hidden="1" customHeight="1" x14ac:dyDescent="0.2">
      <c r="E1184" t="s">
        <v>425</v>
      </c>
      <c r="F1184">
        <v>67</v>
      </c>
      <c r="G1184" t="s">
        <v>243</v>
      </c>
      <c r="H1184" t="s">
        <v>7</v>
      </c>
      <c r="I1184">
        <v>1.5</v>
      </c>
    </row>
    <row r="1185" spans="5:9" ht="15.75" hidden="1" customHeight="1" x14ac:dyDescent="0.2">
      <c r="E1185" t="s">
        <v>426</v>
      </c>
      <c r="F1185">
        <v>68</v>
      </c>
      <c r="G1185" t="s">
        <v>243</v>
      </c>
      <c r="H1185" t="s">
        <v>7</v>
      </c>
      <c r="I1185">
        <v>1.5</v>
      </c>
    </row>
    <row r="1186" spans="5:9" ht="15.75" hidden="1" customHeight="1" x14ac:dyDescent="0.2">
      <c r="E1186" t="s">
        <v>427</v>
      </c>
      <c r="F1186">
        <v>69</v>
      </c>
      <c r="G1186" t="s">
        <v>243</v>
      </c>
      <c r="H1186" t="s">
        <v>7</v>
      </c>
      <c r="I1186">
        <v>1.5</v>
      </c>
    </row>
    <row r="1187" spans="5:9" ht="15.75" hidden="1" customHeight="1" x14ac:dyDescent="0.2">
      <c r="E1187" t="s">
        <v>428</v>
      </c>
      <c r="F1187">
        <v>70</v>
      </c>
      <c r="G1187" t="s">
        <v>243</v>
      </c>
      <c r="H1187" t="s">
        <v>7</v>
      </c>
      <c r="I1187">
        <v>1.5</v>
      </c>
    </row>
    <row r="1188" spans="5:9" ht="15.75" hidden="1" customHeight="1" x14ac:dyDescent="0.2">
      <c r="E1188" t="s">
        <v>429</v>
      </c>
      <c r="F1188">
        <v>71</v>
      </c>
      <c r="G1188" t="s">
        <v>243</v>
      </c>
      <c r="H1188" t="s">
        <v>7</v>
      </c>
      <c r="I1188">
        <v>2</v>
      </c>
    </row>
    <row r="1189" spans="5:9" ht="15.75" hidden="1" customHeight="1" x14ac:dyDescent="0.2">
      <c r="E1189" t="s">
        <v>430</v>
      </c>
      <c r="F1189">
        <v>72</v>
      </c>
      <c r="G1189" t="s">
        <v>243</v>
      </c>
      <c r="H1189" t="s">
        <v>7</v>
      </c>
      <c r="I1189">
        <v>2</v>
      </c>
    </row>
    <row r="1190" spans="5:9" ht="15.75" hidden="1" customHeight="1" x14ac:dyDescent="0.2">
      <c r="E1190" t="s">
        <v>370</v>
      </c>
      <c r="F1190">
        <v>73</v>
      </c>
      <c r="G1190" t="s">
        <v>243</v>
      </c>
      <c r="H1190" t="s">
        <v>7</v>
      </c>
      <c r="I1190">
        <v>0</v>
      </c>
    </row>
    <row r="1191" spans="5:9" ht="15.75" hidden="1" customHeight="1" x14ac:dyDescent="0.2">
      <c r="E1191" t="s">
        <v>373</v>
      </c>
      <c r="F1191">
        <v>74</v>
      </c>
      <c r="G1191" t="s">
        <v>243</v>
      </c>
      <c r="H1191" t="s">
        <v>7</v>
      </c>
      <c r="I1191">
        <v>0</v>
      </c>
    </row>
    <row r="1192" spans="5:9" ht="15.75" hidden="1" customHeight="1" x14ac:dyDescent="0.2">
      <c r="E1192" t="s">
        <v>374</v>
      </c>
      <c r="F1192">
        <v>75</v>
      </c>
      <c r="G1192" t="s">
        <v>243</v>
      </c>
      <c r="H1192" t="s">
        <v>7</v>
      </c>
      <c r="I1192">
        <v>0</v>
      </c>
    </row>
    <row r="1193" spans="5:9" ht="15.75" hidden="1" customHeight="1" x14ac:dyDescent="0.2">
      <c r="E1193" t="s">
        <v>375</v>
      </c>
      <c r="F1193">
        <v>76</v>
      </c>
      <c r="G1193" t="s">
        <v>243</v>
      </c>
      <c r="H1193" t="s">
        <v>7</v>
      </c>
      <c r="I1193">
        <v>0</v>
      </c>
    </row>
    <row r="1194" spans="5:9" ht="15.75" hidden="1" customHeight="1" x14ac:dyDescent="0.2">
      <c r="E1194" t="s">
        <v>376</v>
      </c>
      <c r="F1194">
        <v>77</v>
      </c>
      <c r="G1194" t="s">
        <v>243</v>
      </c>
      <c r="H1194" t="s">
        <v>7</v>
      </c>
      <c r="I1194">
        <v>0</v>
      </c>
    </row>
    <row r="1195" spans="5:9" ht="15.75" hidden="1" customHeight="1" x14ac:dyDescent="0.2">
      <c r="E1195" t="s">
        <v>382</v>
      </c>
      <c r="F1195">
        <v>78</v>
      </c>
      <c r="G1195" t="s">
        <v>243</v>
      </c>
      <c r="H1195" t="s">
        <v>7</v>
      </c>
      <c r="I1195">
        <v>0</v>
      </c>
    </row>
    <row r="1196" spans="5:9" ht="15.75" hidden="1" customHeight="1" x14ac:dyDescent="0.2">
      <c r="E1196" t="s">
        <v>383</v>
      </c>
      <c r="F1196">
        <v>79</v>
      </c>
      <c r="G1196" t="s">
        <v>243</v>
      </c>
      <c r="H1196" t="s">
        <v>7</v>
      </c>
      <c r="I1196">
        <v>0</v>
      </c>
    </row>
    <row r="1197" spans="5:9" ht="15.75" hidden="1" customHeight="1" x14ac:dyDescent="0.2">
      <c r="E1197" t="s">
        <v>395</v>
      </c>
      <c r="F1197">
        <v>80</v>
      </c>
      <c r="G1197" t="s">
        <v>243</v>
      </c>
      <c r="H1197" t="s">
        <v>7</v>
      </c>
      <c r="I1197">
        <v>0</v>
      </c>
    </row>
    <row r="1198" spans="5:9" ht="15.75" hidden="1" customHeight="1" x14ac:dyDescent="0.2">
      <c r="E1198" t="s">
        <v>397</v>
      </c>
      <c r="F1198">
        <v>81</v>
      </c>
      <c r="G1198" t="s">
        <v>243</v>
      </c>
      <c r="H1198" t="s">
        <v>7</v>
      </c>
      <c r="I1198">
        <v>0</v>
      </c>
    </row>
    <row r="1199" spans="5:9" ht="15.75" hidden="1" customHeight="1" x14ac:dyDescent="0.2">
      <c r="E1199" t="s">
        <v>399</v>
      </c>
      <c r="F1199">
        <v>82</v>
      </c>
      <c r="G1199" t="s">
        <v>243</v>
      </c>
      <c r="H1199" t="s">
        <v>7</v>
      </c>
      <c r="I1199">
        <v>0</v>
      </c>
    </row>
    <row r="1200" spans="5:9" ht="15.75" hidden="1" customHeight="1" x14ac:dyDescent="0.2">
      <c r="E1200" t="s">
        <v>400</v>
      </c>
      <c r="F1200">
        <v>83</v>
      </c>
      <c r="G1200" t="s">
        <v>243</v>
      </c>
      <c r="H1200" t="s">
        <v>7</v>
      </c>
      <c r="I1200">
        <v>0</v>
      </c>
    </row>
    <row r="1201" spans="5:9" ht="15.75" hidden="1" customHeight="1" x14ac:dyDescent="0.2">
      <c r="E1201" t="s">
        <v>401</v>
      </c>
      <c r="F1201">
        <v>84</v>
      </c>
      <c r="G1201" t="s">
        <v>243</v>
      </c>
      <c r="H1201" t="s">
        <v>7</v>
      </c>
      <c r="I1201">
        <v>0</v>
      </c>
    </row>
    <row r="1202" spans="5:9" ht="15.75" hidden="1" customHeight="1" x14ac:dyDescent="0.2">
      <c r="E1202" t="s">
        <v>402</v>
      </c>
      <c r="F1202">
        <v>85</v>
      </c>
      <c r="G1202" t="s">
        <v>243</v>
      </c>
      <c r="H1202" t="s">
        <v>7</v>
      </c>
      <c r="I1202">
        <v>0</v>
      </c>
    </row>
    <row r="1203" spans="5:9" ht="15.75" hidden="1" customHeight="1" x14ac:dyDescent="0.2">
      <c r="E1203" t="s">
        <v>403</v>
      </c>
      <c r="F1203">
        <v>86</v>
      </c>
      <c r="G1203" t="s">
        <v>243</v>
      </c>
      <c r="H1203" t="s">
        <v>7</v>
      </c>
      <c r="I1203">
        <v>0</v>
      </c>
    </row>
    <row r="1204" spans="5:9" ht="15.75" hidden="1" customHeight="1" x14ac:dyDescent="0.2">
      <c r="E1204" t="s">
        <v>404</v>
      </c>
      <c r="F1204">
        <v>87</v>
      </c>
      <c r="G1204" t="s">
        <v>243</v>
      </c>
      <c r="H1204" t="s">
        <v>7</v>
      </c>
      <c r="I1204">
        <v>0</v>
      </c>
    </row>
    <row r="1205" spans="5:9" ht="15.75" hidden="1" customHeight="1" x14ac:dyDescent="0.2">
      <c r="E1205" t="s">
        <v>405</v>
      </c>
      <c r="F1205">
        <v>88</v>
      </c>
      <c r="G1205" t="s">
        <v>243</v>
      </c>
      <c r="H1205" t="s">
        <v>7</v>
      </c>
      <c r="I1205">
        <v>0</v>
      </c>
    </row>
    <row r="1206" spans="5:9" ht="15.75" hidden="1" customHeight="1" x14ac:dyDescent="0.2">
      <c r="E1206" t="s">
        <v>406</v>
      </c>
      <c r="F1206">
        <v>89</v>
      </c>
      <c r="G1206" t="s">
        <v>243</v>
      </c>
      <c r="H1206" t="s">
        <v>7</v>
      </c>
      <c r="I1206">
        <v>0</v>
      </c>
    </row>
    <row r="1207" spans="5:9" ht="15.75" hidden="1" customHeight="1" x14ac:dyDescent="0.2">
      <c r="E1207" t="s">
        <v>376</v>
      </c>
      <c r="F1207">
        <v>90</v>
      </c>
      <c r="G1207" t="s">
        <v>243</v>
      </c>
      <c r="H1207" t="s">
        <v>7</v>
      </c>
      <c r="I1207">
        <v>0</v>
      </c>
    </row>
    <row r="1208" spans="5:9" ht="15.75" hidden="1" customHeight="1" x14ac:dyDescent="0.2">
      <c r="E1208" t="s">
        <v>409</v>
      </c>
      <c r="F1208">
        <v>91</v>
      </c>
      <c r="G1208" t="s">
        <v>243</v>
      </c>
      <c r="H1208" t="s">
        <v>7</v>
      </c>
      <c r="I1208">
        <v>0</v>
      </c>
    </row>
    <row r="1209" spans="5:9" ht="15.75" hidden="1" customHeight="1" x14ac:dyDescent="0.2">
      <c r="E1209" t="s">
        <v>410</v>
      </c>
      <c r="F1209">
        <v>92</v>
      </c>
      <c r="G1209" t="s">
        <v>243</v>
      </c>
      <c r="H1209" t="s">
        <v>7</v>
      </c>
      <c r="I1209">
        <v>0</v>
      </c>
    </row>
    <row r="1210" spans="5:9" ht="15.75" hidden="1" customHeight="1" x14ac:dyDescent="0.2">
      <c r="E1210" t="s">
        <v>413</v>
      </c>
      <c r="F1210">
        <v>93</v>
      </c>
      <c r="G1210" t="s">
        <v>243</v>
      </c>
      <c r="H1210" t="s">
        <v>7</v>
      </c>
      <c r="I1210">
        <v>0</v>
      </c>
    </row>
    <row r="1211" spans="5:9" ht="15.75" hidden="1" customHeight="1" x14ac:dyDescent="0.2">
      <c r="E1211" t="s">
        <v>414</v>
      </c>
      <c r="F1211">
        <v>94</v>
      </c>
      <c r="G1211" t="s">
        <v>243</v>
      </c>
      <c r="H1211" t="s">
        <v>7</v>
      </c>
      <c r="I1211">
        <v>0</v>
      </c>
    </row>
    <row r="1212" spans="5:9" ht="15.75" hidden="1" customHeight="1" x14ac:dyDescent="0.2">
      <c r="E1212" t="s">
        <v>417</v>
      </c>
      <c r="F1212">
        <v>95</v>
      </c>
      <c r="G1212" t="s">
        <v>243</v>
      </c>
      <c r="H1212" t="s">
        <v>7</v>
      </c>
      <c r="I1212">
        <v>0</v>
      </c>
    </row>
    <row r="1213" spans="5:9" ht="15.75" hidden="1" customHeight="1" x14ac:dyDescent="0.2">
      <c r="E1213" t="s">
        <v>440</v>
      </c>
      <c r="F1213">
        <v>96</v>
      </c>
      <c r="G1213" t="s">
        <v>243</v>
      </c>
      <c r="H1213" t="s">
        <v>7</v>
      </c>
      <c r="I1213">
        <v>0</v>
      </c>
    </row>
    <row r="1214" spans="5:9" ht="15.75" hidden="1" customHeight="1" x14ac:dyDescent="0.2">
      <c r="E1214" t="s">
        <v>441</v>
      </c>
      <c r="F1214">
        <v>97</v>
      </c>
      <c r="G1214" t="s">
        <v>243</v>
      </c>
      <c r="H1214" t="s">
        <v>7</v>
      </c>
      <c r="I1214">
        <v>0</v>
      </c>
    </row>
    <row r="1215" spans="5:9" ht="15.75" hidden="1" customHeight="1" x14ac:dyDescent="0.2">
      <c r="E1215" t="s">
        <v>442</v>
      </c>
      <c r="F1215">
        <v>98</v>
      </c>
      <c r="G1215" t="s">
        <v>243</v>
      </c>
      <c r="H1215" t="s">
        <v>7</v>
      </c>
      <c r="I1215">
        <v>0</v>
      </c>
    </row>
    <row r="1216" spans="5:9" ht="15.75" hidden="1" customHeight="1" x14ac:dyDescent="0.2">
      <c r="E1216" t="s">
        <v>443</v>
      </c>
      <c r="F1216">
        <v>99</v>
      </c>
      <c r="G1216" t="s">
        <v>243</v>
      </c>
      <c r="H1216" t="s">
        <v>7</v>
      </c>
      <c r="I1216">
        <v>0</v>
      </c>
    </row>
    <row r="1217" spans="5:9" ht="15.75" hidden="1" customHeight="1" x14ac:dyDescent="0.2">
      <c r="E1217" t="s">
        <v>444</v>
      </c>
      <c r="F1217">
        <v>100</v>
      </c>
      <c r="G1217" t="s">
        <v>243</v>
      </c>
      <c r="H1217" t="s">
        <v>7</v>
      </c>
      <c r="I1217">
        <v>6.75</v>
      </c>
    </row>
    <row r="1218" spans="5:9" ht="15.75" hidden="1" customHeight="1" x14ac:dyDescent="0.2">
      <c r="E1218" t="s">
        <v>362</v>
      </c>
      <c r="F1218">
        <v>101</v>
      </c>
      <c r="G1218" t="s">
        <v>243</v>
      </c>
      <c r="H1218" t="s">
        <v>7</v>
      </c>
      <c r="I1218">
        <v>0</v>
      </c>
    </row>
    <row r="1219" spans="5:9" ht="15.75" hidden="1" customHeight="1" x14ac:dyDescent="0.2">
      <c r="E1219" t="s">
        <v>446</v>
      </c>
      <c r="F1219">
        <v>102</v>
      </c>
      <c r="G1219" t="s">
        <v>243</v>
      </c>
      <c r="H1219" t="s">
        <v>7</v>
      </c>
      <c r="I1219">
        <v>0</v>
      </c>
    </row>
    <row r="1220" spans="5:9" ht="15.75" hidden="1" customHeight="1" x14ac:dyDescent="0.2">
      <c r="E1220" t="s">
        <v>447</v>
      </c>
      <c r="F1220">
        <v>103</v>
      </c>
      <c r="G1220" t="s">
        <v>243</v>
      </c>
      <c r="H1220" t="s">
        <v>7</v>
      </c>
      <c r="I1220">
        <v>0</v>
      </c>
    </row>
    <row r="1221" spans="5:9" ht="15.75" hidden="1" customHeight="1" x14ac:dyDescent="0.2">
      <c r="E1221" t="s">
        <v>448</v>
      </c>
      <c r="F1221">
        <v>104</v>
      </c>
      <c r="G1221" t="s">
        <v>243</v>
      </c>
      <c r="H1221" t="s">
        <v>7</v>
      </c>
      <c r="I1221">
        <v>0</v>
      </c>
    </row>
    <row r="1222" spans="5:9" ht="15.75" hidden="1" customHeight="1" x14ac:dyDescent="0.2">
      <c r="E1222" t="s">
        <v>449</v>
      </c>
      <c r="F1222">
        <v>105</v>
      </c>
      <c r="G1222" t="s">
        <v>243</v>
      </c>
      <c r="H1222" t="s">
        <v>7</v>
      </c>
      <c r="I1222">
        <v>0</v>
      </c>
    </row>
    <row r="1223" spans="5:9" ht="15.75" hidden="1" customHeight="1" x14ac:dyDescent="0.2">
      <c r="E1223" t="s">
        <v>450</v>
      </c>
      <c r="F1223">
        <v>106</v>
      </c>
      <c r="G1223" t="s">
        <v>243</v>
      </c>
      <c r="H1223" t="s">
        <v>7</v>
      </c>
      <c r="I1223">
        <v>0</v>
      </c>
    </row>
    <row r="1224" spans="5:9" ht="15.75" hidden="1" customHeight="1" x14ac:dyDescent="0.2">
      <c r="E1224" t="s">
        <v>451</v>
      </c>
      <c r="F1224">
        <v>107</v>
      </c>
      <c r="G1224" t="s">
        <v>243</v>
      </c>
      <c r="H1224" t="s">
        <v>7</v>
      </c>
      <c r="I1224">
        <v>0</v>
      </c>
    </row>
    <row r="1225" spans="5:9" ht="15.75" hidden="1" customHeight="1" x14ac:dyDescent="0.2">
      <c r="E1225" t="s">
        <v>452</v>
      </c>
      <c r="F1225">
        <v>108</v>
      </c>
      <c r="G1225" t="s">
        <v>243</v>
      </c>
      <c r="H1225" t="s">
        <v>7</v>
      </c>
      <c r="I1225">
        <v>0</v>
      </c>
    </row>
    <row r="1226" spans="5:9" ht="15.75" hidden="1" customHeight="1" x14ac:dyDescent="0.2">
      <c r="E1226" t="s">
        <v>453</v>
      </c>
      <c r="F1226">
        <v>109</v>
      </c>
      <c r="G1226" t="s">
        <v>243</v>
      </c>
      <c r="H1226" t="s">
        <v>7</v>
      </c>
      <c r="I1226">
        <v>0</v>
      </c>
    </row>
    <row r="1227" spans="5:9" ht="15.75" hidden="1" customHeight="1" x14ac:dyDescent="0.2">
      <c r="E1227" t="s">
        <v>454</v>
      </c>
      <c r="F1227">
        <v>110</v>
      </c>
      <c r="G1227" t="s">
        <v>243</v>
      </c>
      <c r="H1227" t="s">
        <v>7</v>
      </c>
      <c r="I1227">
        <v>0</v>
      </c>
    </row>
    <row r="1228" spans="5:9" ht="15.75" hidden="1" customHeight="1" x14ac:dyDescent="0.2">
      <c r="E1228" t="s">
        <v>455</v>
      </c>
      <c r="F1228">
        <v>111</v>
      </c>
      <c r="G1228" t="s">
        <v>243</v>
      </c>
      <c r="H1228" t="s">
        <v>7</v>
      </c>
      <c r="I1228">
        <v>0</v>
      </c>
    </row>
    <row r="1229" spans="5:9" ht="15.75" hidden="1" customHeight="1" x14ac:dyDescent="0.2">
      <c r="E1229" t="s">
        <v>456</v>
      </c>
      <c r="F1229">
        <v>112</v>
      </c>
      <c r="G1229" t="s">
        <v>243</v>
      </c>
      <c r="H1229" t="s">
        <v>7</v>
      </c>
      <c r="I1229">
        <v>0</v>
      </c>
    </row>
    <row r="1230" spans="5:9" ht="15.75" hidden="1" customHeight="1" x14ac:dyDescent="0.2">
      <c r="E1230" t="s">
        <v>457</v>
      </c>
      <c r="F1230">
        <v>113</v>
      </c>
      <c r="G1230" t="s">
        <v>243</v>
      </c>
      <c r="H1230" t="s">
        <v>7</v>
      </c>
      <c r="I1230">
        <v>0</v>
      </c>
    </row>
    <row r="1231" spans="5:9" ht="15.75" hidden="1" customHeight="1" x14ac:dyDescent="0.2">
      <c r="E1231" t="s">
        <v>459</v>
      </c>
      <c r="F1231">
        <v>114</v>
      </c>
      <c r="G1231" t="s">
        <v>243</v>
      </c>
      <c r="H1231" t="s">
        <v>7</v>
      </c>
      <c r="I1231">
        <v>0</v>
      </c>
    </row>
    <row r="1232" spans="5:9" ht="15.75" hidden="1" customHeight="1" x14ac:dyDescent="0.2">
      <c r="E1232" t="s">
        <v>460</v>
      </c>
      <c r="F1232">
        <v>115</v>
      </c>
      <c r="G1232" t="s">
        <v>243</v>
      </c>
      <c r="H1232" t="s">
        <v>7</v>
      </c>
      <c r="I1232">
        <v>0</v>
      </c>
    </row>
    <row r="1233" spans="5:9" ht="15.75" hidden="1" customHeight="1" x14ac:dyDescent="0.2">
      <c r="E1233" t="s">
        <v>461</v>
      </c>
      <c r="F1233">
        <v>116</v>
      </c>
      <c r="G1233" t="s">
        <v>243</v>
      </c>
      <c r="H1233" t="s">
        <v>7</v>
      </c>
      <c r="I1233">
        <v>0</v>
      </c>
    </row>
    <row r="1234" spans="5:9" ht="15.75" hidden="1" customHeight="1" x14ac:dyDescent="0.2">
      <c r="E1234" t="s">
        <v>462</v>
      </c>
      <c r="F1234">
        <v>117</v>
      </c>
      <c r="G1234" t="s">
        <v>243</v>
      </c>
      <c r="H1234" t="s">
        <v>7</v>
      </c>
      <c r="I1234">
        <v>0</v>
      </c>
    </row>
    <row r="1235" spans="5:9" ht="15.75" hidden="1" customHeight="1" x14ac:dyDescent="0.2">
      <c r="E1235" t="s">
        <v>463</v>
      </c>
      <c r="F1235">
        <v>118</v>
      </c>
      <c r="G1235" t="s">
        <v>243</v>
      </c>
      <c r="H1235" t="s">
        <v>7</v>
      </c>
      <c r="I1235">
        <v>0</v>
      </c>
    </row>
    <row r="1236" spans="5:9" ht="15.75" hidden="1" customHeight="1" x14ac:dyDescent="0.2">
      <c r="E1236" t="s">
        <v>464</v>
      </c>
      <c r="F1236">
        <v>119</v>
      </c>
      <c r="G1236" t="s">
        <v>243</v>
      </c>
      <c r="H1236" t="s">
        <v>7</v>
      </c>
      <c r="I1236">
        <v>0</v>
      </c>
    </row>
    <row r="1237" spans="5:9" ht="15.75" hidden="1" customHeight="1" x14ac:dyDescent="0.2">
      <c r="E1237" t="s">
        <v>465</v>
      </c>
      <c r="F1237">
        <v>120</v>
      </c>
      <c r="G1237" t="s">
        <v>243</v>
      </c>
      <c r="H1237" t="s">
        <v>7</v>
      </c>
      <c r="I1237">
        <v>0</v>
      </c>
    </row>
    <row r="1238" spans="5:9" ht="15.75" hidden="1" customHeight="1" x14ac:dyDescent="0.2">
      <c r="E1238" t="s">
        <v>466</v>
      </c>
      <c r="F1238">
        <v>121</v>
      </c>
      <c r="G1238" t="s">
        <v>243</v>
      </c>
      <c r="H1238" t="s">
        <v>7</v>
      </c>
      <c r="I1238">
        <v>0</v>
      </c>
    </row>
    <row r="1239" spans="5:9" ht="15.75" hidden="1" customHeight="1" x14ac:dyDescent="0.2">
      <c r="E1239" t="s">
        <v>467</v>
      </c>
      <c r="F1239">
        <v>122</v>
      </c>
      <c r="G1239" t="s">
        <v>243</v>
      </c>
      <c r="H1239" t="s">
        <v>7</v>
      </c>
      <c r="I1239">
        <v>0</v>
      </c>
    </row>
    <row r="1240" spans="5:9" ht="15.75" hidden="1" customHeight="1" x14ac:dyDescent="0.2">
      <c r="E1240" t="s">
        <v>468</v>
      </c>
      <c r="F1240">
        <v>123</v>
      </c>
      <c r="G1240" t="s">
        <v>243</v>
      </c>
      <c r="H1240" t="s">
        <v>7</v>
      </c>
      <c r="I1240">
        <v>0</v>
      </c>
    </row>
    <row r="1241" spans="5:9" ht="15.75" hidden="1" customHeight="1" x14ac:dyDescent="0.2">
      <c r="E1241" t="s">
        <v>469</v>
      </c>
      <c r="F1241">
        <v>124</v>
      </c>
      <c r="G1241" t="s">
        <v>243</v>
      </c>
      <c r="H1241" t="s">
        <v>7</v>
      </c>
      <c r="I1241">
        <v>0</v>
      </c>
    </row>
    <row r="1242" spans="5:9" ht="15.75" hidden="1" customHeight="1" x14ac:dyDescent="0.2">
      <c r="E1242" t="s">
        <v>470</v>
      </c>
      <c r="F1242">
        <v>125</v>
      </c>
      <c r="G1242" t="s">
        <v>243</v>
      </c>
      <c r="H1242" t="s">
        <v>7</v>
      </c>
      <c r="I1242">
        <v>0</v>
      </c>
    </row>
    <row r="1243" spans="5:9" ht="15.75" hidden="1" customHeight="1" x14ac:dyDescent="0.2">
      <c r="E1243" t="s">
        <v>471</v>
      </c>
      <c r="F1243">
        <v>126</v>
      </c>
      <c r="G1243" t="s">
        <v>243</v>
      </c>
      <c r="H1243" t="s">
        <v>7</v>
      </c>
      <c r="I1243">
        <v>0</v>
      </c>
    </row>
    <row r="1244" spans="5:9" ht="15.75" hidden="1" customHeight="1" x14ac:dyDescent="0.2">
      <c r="E1244" t="s">
        <v>472</v>
      </c>
      <c r="F1244">
        <v>127</v>
      </c>
      <c r="G1244" t="s">
        <v>243</v>
      </c>
      <c r="H1244" t="s">
        <v>7</v>
      </c>
      <c r="I1244">
        <v>0</v>
      </c>
    </row>
    <row r="1245" spans="5:9" ht="15.75" hidden="1" customHeight="1" x14ac:dyDescent="0.2">
      <c r="E1245" t="s">
        <v>473</v>
      </c>
      <c r="F1245">
        <v>128</v>
      </c>
      <c r="G1245" t="s">
        <v>243</v>
      </c>
      <c r="H1245" t="s">
        <v>7</v>
      </c>
      <c r="I1245">
        <v>0</v>
      </c>
    </row>
    <row r="1246" spans="5:9" ht="15.75" hidden="1" customHeight="1" x14ac:dyDescent="0.2">
      <c r="E1246" t="s">
        <v>474</v>
      </c>
      <c r="F1246">
        <v>129</v>
      </c>
      <c r="G1246" t="s">
        <v>243</v>
      </c>
      <c r="H1246" t="s">
        <v>7</v>
      </c>
      <c r="I1246">
        <v>0</v>
      </c>
    </row>
    <row r="1247" spans="5:9" ht="15.75" hidden="1" customHeight="1" x14ac:dyDescent="0.2">
      <c r="E1247" t="s">
        <v>476</v>
      </c>
      <c r="F1247">
        <v>130</v>
      </c>
      <c r="G1247" t="s">
        <v>243</v>
      </c>
      <c r="H1247" t="s">
        <v>7</v>
      </c>
      <c r="I1247">
        <v>0</v>
      </c>
    </row>
    <row r="1248" spans="5:9" ht="15.75" hidden="1" customHeight="1" x14ac:dyDescent="0.2">
      <c r="E1248" t="s">
        <v>478</v>
      </c>
      <c r="F1248">
        <v>131</v>
      </c>
      <c r="G1248" t="s">
        <v>243</v>
      </c>
      <c r="H1248" t="s">
        <v>7</v>
      </c>
      <c r="I1248">
        <v>1.5</v>
      </c>
    </row>
    <row r="1249" spans="5:9" ht="15.75" hidden="1" customHeight="1" x14ac:dyDescent="0.2">
      <c r="E1249" t="s">
        <v>440</v>
      </c>
      <c r="F1249">
        <v>132</v>
      </c>
      <c r="G1249" t="s">
        <v>243</v>
      </c>
      <c r="H1249" t="s">
        <v>7</v>
      </c>
      <c r="I1249">
        <v>2</v>
      </c>
    </row>
    <row r="1250" spans="5:9" ht="15.75" hidden="1" customHeight="1" x14ac:dyDescent="0.2">
      <c r="E1250" t="s">
        <v>441</v>
      </c>
      <c r="F1250">
        <v>133</v>
      </c>
      <c r="G1250" t="s">
        <v>243</v>
      </c>
      <c r="H1250" t="s">
        <v>7</v>
      </c>
      <c r="I1250">
        <v>1.5</v>
      </c>
    </row>
    <row r="1251" spans="5:9" ht="15.75" hidden="1" customHeight="1" x14ac:dyDescent="0.2">
      <c r="E1251" t="s">
        <v>442</v>
      </c>
      <c r="F1251">
        <v>134</v>
      </c>
      <c r="G1251" t="s">
        <v>243</v>
      </c>
      <c r="H1251" t="s">
        <v>7</v>
      </c>
      <c r="I1251">
        <v>1.5</v>
      </c>
    </row>
    <row r="1252" spans="5:9" ht="15.75" hidden="1" customHeight="1" x14ac:dyDescent="0.2">
      <c r="E1252" t="s">
        <v>443</v>
      </c>
      <c r="F1252">
        <v>135</v>
      </c>
      <c r="G1252" t="s">
        <v>243</v>
      </c>
      <c r="H1252" t="s">
        <v>7</v>
      </c>
      <c r="I1252">
        <v>76.2273</v>
      </c>
    </row>
    <row r="1253" spans="5:9" ht="15.75" hidden="1" customHeight="1" x14ac:dyDescent="0.2">
      <c r="E1253" t="s">
        <v>362</v>
      </c>
      <c r="F1253">
        <v>136</v>
      </c>
      <c r="G1253" t="s">
        <v>243</v>
      </c>
      <c r="H1253" t="s">
        <v>7</v>
      </c>
      <c r="I1253">
        <v>1.5</v>
      </c>
    </row>
    <row r="1254" spans="5:9" ht="15.75" hidden="1" customHeight="1" x14ac:dyDescent="0.2">
      <c r="E1254" t="s">
        <v>482</v>
      </c>
      <c r="F1254">
        <v>137</v>
      </c>
      <c r="G1254" t="s">
        <v>243</v>
      </c>
      <c r="H1254" t="s">
        <v>7</v>
      </c>
      <c r="I1254">
        <v>12.857100000000001</v>
      </c>
    </row>
    <row r="1255" spans="5:9" ht="15.75" hidden="1" customHeight="1" x14ac:dyDescent="0.2">
      <c r="E1255" t="s">
        <v>483</v>
      </c>
      <c r="F1255">
        <v>138</v>
      </c>
      <c r="G1255" t="s">
        <v>243</v>
      </c>
      <c r="H1255" t="s">
        <v>7</v>
      </c>
      <c r="I1255">
        <v>29</v>
      </c>
    </row>
    <row r="1256" spans="5:9" ht="15.75" hidden="1" customHeight="1" x14ac:dyDescent="0.2">
      <c r="E1256" t="s">
        <v>484</v>
      </c>
      <c r="F1256">
        <v>139</v>
      </c>
      <c r="G1256" t="s">
        <v>243</v>
      </c>
      <c r="H1256" t="s">
        <v>7</v>
      </c>
      <c r="I1256">
        <v>58.8</v>
      </c>
    </row>
    <row r="1257" spans="5:9" ht="15.75" hidden="1" customHeight="1" x14ac:dyDescent="0.2">
      <c r="E1257" t="s">
        <v>486</v>
      </c>
      <c r="F1257">
        <v>140</v>
      </c>
      <c r="G1257" t="s">
        <v>243</v>
      </c>
      <c r="H1257" t="s">
        <v>7</v>
      </c>
      <c r="I1257">
        <v>3.3332999999999999</v>
      </c>
    </row>
    <row r="1258" spans="5:9" ht="15.75" hidden="1" customHeight="1" x14ac:dyDescent="0.2">
      <c r="E1258" t="s">
        <v>487</v>
      </c>
      <c r="F1258">
        <v>141</v>
      </c>
      <c r="G1258" t="s">
        <v>243</v>
      </c>
      <c r="H1258" t="s">
        <v>7</v>
      </c>
      <c r="I1258">
        <v>1.7142999999999999</v>
      </c>
    </row>
    <row r="1259" spans="5:9" ht="15.75" hidden="1" customHeight="1" x14ac:dyDescent="0.2">
      <c r="E1259" t="s">
        <v>446</v>
      </c>
      <c r="F1259">
        <v>142</v>
      </c>
      <c r="G1259" t="s">
        <v>243</v>
      </c>
      <c r="H1259" t="s">
        <v>7</v>
      </c>
      <c r="I1259">
        <v>19.5</v>
      </c>
    </row>
    <row r="1260" spans="5:9" ht="15.75" hidden="1" customHeight="1" x14ac:dyDescent="0.2">
      <c r="E1260" t="s">
        <v>447</v>
      </c>
      <c r="F1260">
        <v>143</v>
      </c>
      <c r="G1260" t="s">
        <v>243</v>
      </c>
      <c r="H1260" t="s">
        <v>7</v>
      </c>
      <c r="I1260">
        <v>7.5</v>
      </c>
    </row>
    <row r="1261" spans="5:9" ht="15.75" hidden="1" customHeight="1" x14ac:dyDescent="0.2">
      <c r="E1261" t="s">
        <v>448</v>
      </c>
      <c r="F1261">
        <v>144</v>
      </c>
      <c r="G1261" t="s">
        <v>243</v>
      </c>
      <c r="H1261" t="s">
        <v>7</v>
      </c>
      <c r="I1261">
        <v>2</v>
      </c>
    </row>
    <row r="1262" spans="5:9" ht="15.75" hidden="1" customHeight="1" x14ac:dyDescent="0.2">
      <c r="E1262" t="s">
        <v>449</v>
      </c>
      <c r="F1262">
        <v>145</v>
      </c>
      <c r="G1262" t="s">
        <v>243</v>
      </c>
      <c r="H1262" t="s">
        <v>7</v>
      </c>
      <c r="I1262">
        <v>2</v>
      </c>
    </row>
    <row r="1263" spans="5:9" ht="15.75" hidden="1" customHeight="1" x14ac:dyDescent="0.2">
      <c r="E1263" t="s">
        <v>450</v>
      </c>
      <c r="F1263">
        <v>146</v>
      </c>
      <c r="G1263" t="s">
        <v>243</v>
      </c>
      <c r="H1263" t="s">
        <v>7</v>
      </c>
      <c r="I1263">
        <v>1.5</v>
      </c>
    </row>
    <row r="1264" spans="5:9" ht="15.75" hidden="1" customHeight="1" x14ac:dyDescent="0.2">
      <c r="E1264" t="s">
        <v>451</v>
      </c>
      <c r="F1264">
        <v>147</v>
      </c>
      <c r="G1264" t="s">
        <v>243</v>
      </c>
      <c r="H1264" t="s">
        <v>7</v>
      </c>
      <c r="I1264">
        <v>1.5</v>
      </c>
    </row>
    <row r="1265" spans="5:9" ht="15.75" hidden="1" customHeight="1" x14ac:dyDescent="0.2">
      <c r="E1265" t="s">
        <v>488</v>
      </c>
      <c r="F1265">
        <v>148</v>
      </c>
      <c r="G1265" t="s">
        <v>243</v>
      </c>
      <c r="H1265" t="s">
        <v>7</v>
      </c>
      <c r="I1265">
        <v>2</v>
      </c>
    </row>
    <row r="1266" spans="5:9" ht="15.75" hidden="1" customHeight="1" x14ac:dyDescent="0.2">
      <c r="E1266" t="s">
        <v>452</v>
      </c>
      <c r="F1266">
        <v>149</v>
      </c>
      <c r="G1266" t="s">
        <v>243</v>
      </c>
      <c r="H1266" t="s">
        <v>7</v>
      </c>
      <c r="I1266">
        <v>7.5</v>
      </c>
    </row>
    <row r="1267" spans="5:9" ht="15.75" hidden="1" customHeight="1" x14ac:dyDescent="0.2">
      <c r="E1267" t="s">
        <v>453</v>
      </c>
      <c r="F1267">
        <v>150</v>
      </c>
      <c r="G1267" t="s">
        <v>243</v>
      </c>
      <c r="H1267" t="s">
        <v>7</v>
      </c>
      <c r="I1267">
        <v>1.5</v>
      </c>
    </row>
    <row r="1268" spans="5:9" ht="15.75" hidden="1" customHeight="1" x14ac:dyDescent="0.2">
      <c r="E1268" t="s">
        <v>454</v>
      </c>
      <c r="F1268">
        <v>151</v>
      </c>
      <c r="G1268" t="s">
        <v>243</v>
      </c>
      <c r="H1268" t="s">
        <v>7</v>
      </c>
      <c r="I1268">
        <v>5</v>
      </c>
    </row>
    <row r="1269" spans="5:9" ht="15.75" hidden="1" customHeight="1" x14ac:dyDescent="0.2">
      <c r="E1269" t="s">
        <v>455</v>
      </c>
      <c r="F1269">
        <v>152</v>
      </c>
      <c r="G1269" t="s">
        <v>243</v>
      </c>
      <c r="H1269" t="s">
        <v>7</v>
      </c>
      <c r="I1269">
        <v>1.5</v>
      </c>
    </row>
    <row r="1270" spans="5:9" ht="15.75" hidden="1" customHeight="1" x14ac:dyDescent="0.2">
      <c r="E1270" t="s">
        <v>456</v>
      </c>
      <c r="F1270">
        <v>153</v>
      </c>
      <c r="G1270" t="s">
        <v>243</v>
      </c>
      <c r="H1270" t="s">
        <v>7</v>
      </c>
      <c r="I1270">
        <v>1</v>
      </c>
    </row>
    <row r="1271" spans="5:9" ht="15.75" hidden="1" customHeight="1" x14ac:dyDescent="0.2">
      <c r="E1271" t="s">
        <v>489</v>
      </c>
      <c r="F1271">
        <v>154</v>
      </c>
      <c r="G1271" t="s">
        <v>243</v>
      </c>
      <c r="H1271" t="s">
        <v>7</v>
      </c>
      <c r="I1271">
        <v>4.6666999999999996</v>
      </c>
    </row>
    <row r="1272" spans="5:9" ht="15.75" hidden="1" customHeight="1" x14ac:dyDescent="0.2">
      <c r="E1272" t="s">
        <v>457</v>
      </c>
      <c r="F1272">
        <v>155</v>
      </c>
      <c r="G1272" t="s">
        <v>243</v>
      </c>
      <c r="H1272" t="s">
        <v>7</v>
      </c>
      <c r="I1272">
        <v>1</v>
      </c>
    </row>
    <row r="1273" spans="5:9" ht="15.75" hidden="1" customHeight="1" x14ac:dyDescent="0.2">
      <c r="E1273" t="s">
        <v>362</v>
      </c>
      <c r="F1273">
        <v>156</v>
      </c>
      <c r="G1273" t="s">
        <v>243</v>
      </c>
      <c r="H1273" t="s">
        <v>7</v>
      </c>
      <c r="I1273">
        <v>2</v>
      </c>
    </row>
    <row r="1274" spans="5:9" ht="15.75" hidden="1" customHeight="1" x14ac:dyDescent="0.2">
      <c r="E1274" t="s">
        <v>491</v>
      </c>
      <c r="F1274">
        <v>157</v>
      </c>
      <c r="G1274" t="s">
        <v>243</v>
      </c>
      <c r="H1274" t="s">
        <v>7</v>
      </c>
      <c r="I1274">
        <v>20.16</v>
      </c>
    </row>
    <row r="1275" spans="5:9" ht="15.75" hidden="1" customHeight="1" x14ac:dyDescent="0.2">
      <c r="E1275" t="s">
        <v>492</v>
      </c>
      <c r="F1275">
        <v>158</v>
      </c>
      <c r="G1275" t="s">
        <v>243</v>
      </c>
      <c r="H1275" t="s">
        <v>7</v>
      </c>
      <c r="I1275">
        <v>8.8000000000000007</v>
      </c>
    </row>
    <row r="1276" spans="5:9" ht="15.75" hidden="1" customHeight="1" x14ac:dyDescent="0.2">
      <c r="E1276" t="s">
        <v>493</v>
      </c>
      <c r="F1276">
        <v>159</v>
      </c>
      <c r="G1276" t="s">
        <v>243</v>
      </c>
      <c r="H1276" t="s">
        <v>7</v>
      </c>
      <c r="I1276">
        <v>7.5833000000000004</v>
      </c>
    </row>
    <row r="1277" spans="5:9" ht="15.75" hidden="1" customHeight="1" x14ac:dyDescent="0.2">
      <c r="E1277" t="s">
        <v>494</v>
      </c>
      <c r="F1277">
        <v>160</v>
      </c>
      <c r="G1277" t="s">
        <v>243</v>
      </c>
      <c r="H1277" t="s">
        <v>7</v>
      </c>
      <c r="I1277">
        <v>9</v>
      </c>
    </row>
    <row r="1278" spans="5:9" ht="15.75" hidden="1" customHeight="1" x14ac:dyDescent="0.2">
      <c r="E1278" t="s">
        <v>496</v>
      </c>
      <c r="F1278">
        <v>161</v>
      </c>
      <c r="G1278" t="s">
        <v>243</v>
      </c>
      <c r="H1278" t="s">
        <v>7</v>
      </c>
      <c r="I1278">
        <v>3.75</v>
      </c>
    </row>
    <row r="1279" spans="5:9" ht="15.75" hidden="1" customHeight="1" x14ac:dyDescent="0.2">
      <c r="E1279" t="s">
        <v>497</v>
      </c>
      <c r="F1279">
        <v>162</v>
      </c>
      <c r="G1279" t="s">
        <v>243</v>
      </c>
      <c r="H1279" t="s">
        <v>7</v>
      </c>
      <c r="I1279">
        <v>13.5</v>
      </c>
    </row>
    <row r="1280" spans="5:9" ht="15.75" hidden="1" customHeight="1" x14ac:dyDescent="0.2">
      <c r="E1280" t="s">
        <v>459</v>
      </c>
      <c r="F1280">
        <v>163</v>
      </c>
      <c r="G1280" t="s">
        <v>243</v>
      </c>
      <c r="H1280" t="s">
        <v>7</v>
      </c>
      <c r="I1280">
        <v>11</v>
      </c>
    </row>
    <row r="1281" spans="5:9" ht="15.75" hidden="1" customHeight="1" x14ac:dyDescent="0.2">
      <c r="E1281" t="s">
        <v>460</v>
      </c>
      <c r="F1281">
        <v>164</v>
      </c>
      <c r="G1281" t="s">
        <v>243</v>
      </c>
      <c r="H1281" t="s">
        <v>7</v>
      </c>
      <c r="I1281">
        <v>1</v>
      </c>
    </row>
    <row r="1282" spans="5:9" ht="15.75" hidden="1" customHeight="1" x14ac:dyDescent="0.2">
      <c r="E1282" t="s">
        <v>461</v>
      </c>
      <c r="F1282">
        <v>165</v>
      </c>
      <c r="G1282" t="s">
        <v>243</v>
      </c>
      <c r="H1282" t="s">
        <v>7</v>
      </c>
      <c r="I1282">
        <v>13.5</v>
      </c>
    </row>
    <row r="1283" spans="5:9" ht="15.75" hidden="1" customHeight="1" x14ac:dyDescent="0.2">
      <c r="E1283" t="s">
        <v>462</v>
      </c>
      <c r="F1283">
        <v>166</v>
      </c>
      <c r="G1283" t="s">
        <v>243</v>
      </c>
      <c r="H1283" t="s">
        <v>7</v>
      </c>
      <c r="I1283">
        <v>1</v>
      </c>
    </row>
    <row r="1284" spans="5:9" ht="15.75" hidden="1" customHeight="1" x14ac:dyDescent="0.2">
      <c r="E1284" t="s">
        <v>463</v>
      </c>
      <c r="F1284">
        <v>167</v>
      </c>
      <c r="G1284" t="s">
        <v>243</v>
      </c>
      <c r="H1284" t="s">
        <v>7</v>
      </c>
      <c r="I1284">
        <v>12.375</v>
      </c>
    </row>
    <row r="1285" spans="5:9" ht="15.75" hidden="1" customHeight="1" x14ac:dyDescent="0.2">
      <c r="E1285" t="s">
        <v>464</v>
      </c>
      <c r="F1285">
        <v>168</v>
      </c>
      <c r="G1285" t="s">
        <v>243</v>
      </c>
      <c r="H1285" t="s">
        <v>7</v>
      </c>
      <c r="I1285">
        <v>1</v>
      </c>
    </row>
    <row r="1286" spans="5:9" ht="15.75" hidden="1" customHeight="1" x14ac:dyDescent="0.2">
      <c r="E1286" t="s">
        <v>465</v>
      </c>
      <c r="F1286">
        <v>169</v>
      </c>
      <c r="G1286" t="s">
        <v>243</v>
      </c>
      <c r="H1286" t="s">
        <v>7</v>
      </c>
      <c r="I1286">
        <v>1</v>
      </c>
    </row>
    <row r="1287" spans="5:9" ht="15.75" hidden="1" customHeight="1" x14ac:dyDescent="0.2">
      <c r="E1287" t="s">
        <v>466</v>
      </c>
      <c r="F1287">
        <v>170</v>
      </c>
      <c r="G1287" t="s">
        <v>243</v>
      </c>
      <c r="H1287" t="s">
        <v>7</v>
      </c>
      <c r="I1287">
        <v>13.5</v>
      </c>
    </row>
    <row r="1288" spans="5:9" ht="15.75" hidden="1" customHeight="1" x14ac:dyDescent="0.2">
      <c r="E1288" t="s">
        <v>467</v>
      </c>
      <c r="F1288">
        <v>171</v>
      </c>
      <c r="G1288" t="s">
        <v>243</v>
      </c>
      <c r="H1288" t="s">
        <v>7</v>
      </c>
      <c r="I1288">
        <v>1</v>
      </c>
    </row>
    <row r="1289" spans="5:9" ht="15.75" hidden="1" customHeight="1" x14ac:dyDescent="0.2">
      <c r="E1289" t="s">
        <v>468</v>
      </c>
      <c r="F1289">
        <v>172</v>
      </c>
      <c r="G1289" t="s">
        <v>243</v>
      </c>
      <c r="H1289" t="s">
        <v>7</v>
      </c>
      <c r="I1289">
        <v>12.375</v>
      </c>
    </row>
    <row r="1290" spans="5:9" ht="15.75" hidden="1" customHeight="1" x14ac:dyDescent="0.2">
      <c r="E1290" t="s">
        <v>469</v>
      </c>
      <c r="F1290">
        <v>173</v>
      </c>
      <c r="G1290" t="s">
        <v>243</v>
      </c>
      <c r="H1290" t="s">
        <v>7</v>
      </c>
      <c r="I1290">
        <v>10.5</v>
      </c>
    </row>
    <row r="1291" spans="5:9" ht="15.75" hidden="1" customHeight="1" x14ac:dyDescent="0.2">
      <c r="E1291" t="s">
        <v>470</v>
      </c>
      <c r="F1291">
        <v>174</v>
      </c>
      <c r="G1291" t="s">
        <v>243</v>
      </c>
      <c r="H1291" t="s">
        <v>7</v>
      </c>
      <c r="I1291">
        <v>10</v>
      </c>
    </row>
    <row r="1292" spans="5:9" ht="15.75" hidden="1" customHeight="1" x14ac:dyDescent="0.2">
      <c r="E1292" t="s">
        <v>471</v>
      </c>
      <c r="F1292">
        <v>175</v>
      </c>
      <c r="G1292" t="s">
        <v>243</v>
      </c>
      <c r="H1292" t="s">
        <v>7</v>
      </c>
      <c r="I1292">
        <v>2.5</v>
      </c>
    </row>
    <row r="1293" spans="5:9" ht="15.75" hidden="1" customHeight="1" x14ac:dyDescent="0.2">
      <c r="E1293" t="s">
        <v>472</v>
      </c>
      <c r="F1293">
        <v>176</v>
      </c>
      <c r="G1293" t="s">
        <v>243</v>
      </c>
      <c r="H1293" t="s">
        <v>7</v>
      </c>
      <c r="I1293">
        <v>9.75</v>
      </c>
    </row>
    <row r="1294" spans="5:9" ht="15.75" hidden="1" customHeight="1" x14ac:dyDescent="0.2">
      <c r="E1294" t="s">
        <v>362</v>
      </c>
      <c r="F1294">
        <v>177</v>
      </c>
      <c r="G1294" t="s">
        <v>243</v>
      </c>
      <c r="H1294" t="s">
        <v>7</v>
      </c>
      <c r="I1294">
        <v>1.1667000000000001</v>
      </c>
    </row>
    <row r="1295" spans="5:9" ht="15.75" hidden="1" customHeight="1" x14ac:dyDescent="0.2">
      <c r="E1295" t="s">
        <v>473</v>
      </c>
      <c r="F1295">
        <v>178</v>
      </c>
      <c r="G1295" t="s">
        <v>243</v>
      </c>
      <c r="H1295" t="s">
        <v>7</v>
      </c>
      <c r="I1295">
        <v>11.25</v>
      </c>
    </row>
    <row r="1296" spans="5:9" ht="15.75" hidden="1" customHeight="1" x14ac:dyDescent="0.2">
      <c r="E1296" t="s">
        <v>474</v>
      </c>
      <c r="F1296">
        <v>179</v>
      </c>
      <c r="G1296" t="s">
        <v>243</v>
      </c>
      <c r="H1296" t="s">
        <v>7</v>
      </c>
      <c r="I1296">
        <v>8.4</v>
      </c>
    </row>
    <row r="1297" spans="5:9" ht="15.75" hidden="1" customHeight="1" x14ac:dyDescent="0.2">
      <c r="E1297" t="s">
        <v>499</v>
      </c>
      <c r="F1297">
        <v>180</v>
      </c>
      <c r="G1297" t="s">
        <v>243</v>
      </c>
      <c r="H1297" t="s">
        <v>7</v>
      </c>
      <c r="I1297">
        <v>9.5</v>
      </c>
    </row>
    <row r="1298" spans="5:9" ht="15.75" hidden="1" customHeight="1" x14ac:dyDescent="0.2">
      <c r="E1298" t="s">
        <v>500</v>
      </c>
      <c r="F1298">
        <v>181</v>
      </c>
      <c r="G1298" t="s">
        <v>243</v>
      </c>
      <c r="H1298" t="s">
        <v>7</v>
      </c>
      <c r="I1298">
        <v>20.125</v>
      </c>
    </row>
    <row r="1299" spans="5:9" ht="15.75" hidden="1" customHeight="1" x14ac:dyDescent="0.2">
      <c r="E1299" t="s">
        <v>501</v>
      </c>
      <c r="F1299">
        <v>182</v>
      </c>
      <c r="G1299" t="s">
        <v>243</v>
      </c>
      <c r="H1299" t="s">
        <v>7</v>
      </c>
      <c r="I1299">
        <v>100.1</v>
      </c>
    </row>
    <row r="1300" spans="5:9" ht="15.75" hidden="1" customHeight="1" x14ac:dyDescent="0.2">
      <c r="E1300" t="s">
        <v>502</v>
      </c>
      <c r="F1300">
        <v>183</v>
      </c>
      <c r="G1300" t="s">
        <v>243</v>
      </c>
      <c r="H1300" t="s">
        <v>7</v>
      </c>
      <c r="I1300">
        <v>3.7037</v>
      </c>
    </row>
    <row r="1301" spans="5:9" ht="15.75" hidden="1" customHeight="1" x14ac:dyDescent="0.2">
      <c r="E1301" t="s">
        <v>503</v>
      </c>
      <c r="F1301">
        <v>184</v>
      </c>
      <c r="G1301" t="s">
        <v>243</v>
      </c>
      <c r="H1301" t="s">
        <v>7</v>
      </c>
      <c r="I1301">
        <v>24.285699999999999</v>
      </c>
    </row>
    <row r="1302" spans="5:9" ht="15.75" hidden="1" customHeight="1" x14ac:dyDescent="0.2">
      <c r="E1302" t="s">
        <v>504</v>
      </c>
      <c r="F1302">
        <v>185</v>
      </c>
      <c r="G1302" t="s">
        <v>243</v>
      </c>
      <c r="H1302" t="s">
        <v>7</v>
      </c>
      <c r="I1302">
        <v>6</v>
      </c>
    </row>
    <row r="1303" spans="5:9" ht="15.75" hidden="1" customHeight="1" x14ac:dyDescent="0.2">
      <c r="E1303" t="s">
        <v>505</v>
      </c>
      <c r="F1303">
        <v>186</v>
      </c>
      <c r="G1303" t="s">
        <v>243</v>
      </c>
      <c r="H1303" t="s">
        <v>7</v>
      </c>
      <c r="I1303">
        <v>7.8571</v>
      </c>
    </row>
    <row r="1304" spans="5:9" ht="15.75" hidden="1" customHeight="1" x14ac:dyDescent="0.2">
      <c r="E1304" t="s">
        <v>287</v>
      </c>
      <c r="F1304">
        <v>1</v>
      </c>
      <c r="G1304" t="s">
        <v>245</v>
      </c>
      <c r="H1304" t="s">
        <v>8</v>
      </c>
      <c r="I1304">
        <v>301.13690000000003</v>
      </c>
    </row>
    <row r="1305" spans="5:9" ht="15.75" hidden="1" customHeight="1" x14ac:dyDescent="0.2">
      <c r="E1305" t="s">
        <v>350</v>
      </c>
      <c r="F1305">
        <v>2</v>
      </c>
      <c r="G1305" t="s">
        <v>245</v>
      </c>
      <c r="H1305" t="s">
        <v>8</v>
      </c>
      <c r="I1305">
        <v>247.5</v>
      </c>
    </row>
    <row r="1306" spans="5:9" ht="15.75" hidden="1" customHeight="1" x14ac:dyDescent="0.2">
      <c r="E1306" t="s">
        <v>351</v>
      </c>
      <c r="F1306">
        <v>3</v>
      </c>
      <c r="G1306" t="s">
        <v>245</v>
      </c>
      <c r="H1306" t="s">
        <v>8</v>
      </c>
      <c r="I1306">
        <v>18919.4997</v>
      </c>
    </row>
    <row r="1307" spans="5:9" ht="15.75" hidden="1" customHeight="1" x14ac:dyDescent="0.2">
      <c r="E1307" t="s">
        <v>352</v>
      </c>
      <c r="F1307">
        <v>4</v>
      </c>
      <c r="G1307" t="s">
        <v>245</v>
      </c>
      <c r="H1307" t="s">
        <v>8</v>
      </c>
      <c r="I1307">
        <v>8124.3706000000002</v>
      </c>
    </row>
    <row r="1308" spans="5:9" ht="15.75" hidden="1" customHeight="1" x14ac:dyDescent="0.2">
      <c r="E1308" t="s">
        <v>354</v>
      </c>
      <c r="F1308">
        <v>5</v>
      </c>
      <c r="G1308" t="s">
        <v>245</v>
      </c>
      <c r="H1308" t="s">
        <v>8</v>
      </c>
      <c r="I1308">
        <v>12198.390299999999</v>
      </c>
    </row>
    <row r="1309" spans="5:9" ht="15.75" hidden="1" customHeight="1" x14ac:dyDescent="0.2">
      <c r="E1309" t="s">
        <v>356</v>
      </c>
      <c r="F1309">
        <v>6</v>
      </c>
      <c r="G1309" t="s">
        <v>245</v>
      </c>
      <c r="H1309" t="s">
        <v>8</v>
      </c>
      <c r="I1309">
        <v>12198.390299999999</v>
      </c>
    </row>
    <row r="1310" spans="5:9" ht="15.75" hidden="1" customHeight="1" x14ac:dyDescent="0.2">
      <c r="E1310" t="s">
        <v>358</v>
      </c>
      <c r="F1310">
        <v>7</v>
      </c>
      <c r="G1310" t="s">
        <v>245</v>
      </c>
      <c r="H1310" t="s">
        <v>8</v>
      </c>
      <c r="I1310">
        <v>8</v>
      </c>
    </row>
    <row r="1311" spans="5:9" ht="15.75" hidden="1" customHeight="1" x14ac:dyDescent="0.2">
      <c r="E1311" t="s">
        <v>359</v>
      </c>
      <c r="F1311">
        <v>8</v>
      </c>
      <c r="G1311" t="s">
        <v>245</v>
      </c>
      <c r="H1311" t="s">
        <v>8</v>
      </c>
      <c r="I1311">
        <v>615.63260000000002</v>
      </c>
    </row>
    <row r="1312" spans="5:9" ht="15.75" hidden="1" customHeight="1" x14ac:dyDescent="0.2">
      <c r="E1312" t="s">
        <v>360</v>
      </c>
      <c r="F1312">
        <v>9</v>
      </c>
      <c r="G1312" t="s">
        <v>245</v>
      </c>
      <c r="H1312" t="s">
        <v>8</v>
      </c>
      <c r="I1312">
        <v>12</v>
      </c>
    </row>
    <row r="1313" spans="5:9" ht="15.75" hidden="1" customHeight="1" x14ac:dyDescent="0.2">
      <c r="E1313" t="s">
        <v>361</v>
      </c>
      <c r="F1313">
        <v>10</v>
      </c>
      <c r="G1313" t="s">
        <v>245</v>
      </c>
      <c r="H1313" t="s">
        <v>8</v>
      </c>
      <c r="I1313">
        <v>186.02799999999999</v>
      </c>
    </row>
    <row r="1314" spans="5:9" ht="15.75" hidden="1" customHeight="1" x14ac:dyDescent="0.2">
      <c r="E1314" t="s">
        <v>362</v>
      </c>
      <c r="F1314">
        <v>11</v>
      </c>
      <c r="G1314" t="s">
        <v>245</v>
      </c>
      <c r="H1314" t="s">
        <v>8</v>
      </c>
      <c r="I1314">
        <v>17.4145</v>
      </c>
    </row>
    <row r="1315" spans="5:9" ht="15.75" hidden="1" customHeight="1" x14ac:dyDescent="0.2">
      <c r="E1315" t="s">
        <v>363</v>
      </c>
      <c r="F1315">
        <v>12</v>
      </c>
      <c r="G1315" t="s">
        <v>245</v>
      </c>
      <c r="H1315" t="s">
        <v>8</v>
      </c>
      <c r="I1315" t="s">
        <v>364</v>
      </c>
    </row>
    <row r="1316" spans="5:9" ht="15.75" hidden="1" customHeight="1" x14ac:dyDescent="0.2">
      <c r="E1316" t="s">
        <v>365</v>
      </c>
      <c r="F1316">
        <v>13</v>
      </c>
      <c r="G1316" t="s">
        <v>245</v>
      </c>
      <c r="H1316" t="s">
        <v>8</v>
      </c>
      <c r="I1316" t="s">
        <v>364</v>
      </c>
    </row>
    <row r="1317" spans="5:9" ht="15.75" hidden="1" customHeight="1" x14ac:dyDescent="0.2">
      <c r="E1317" t="s">
        <v>369</v>
      </c>
      <c r="F1317">
        <v>14</v>
      </c>
      <c r="G1317" t="s">
        <v>245</v>
      </c>
      <c r="H1317" t="s">
        <v>8</v>
      </c>
      <c r="I1317">
        <v>4.7549000000000001</v>
      </c>
    </row>
    <row r="1318" spans="5:9" ht="15.75" hidden="1" customHeight="1" x14ac:dyDescent="0.2">
      <c r="E1318" t="s">
        <v>370</v>
      </c>
      <c r="F1318">
        <v>15</v>
      </c>
      <c r="G1318" t="s">
        <v>245</v>
      </c>
      <c r="H1318" t="s">
        <v>8</v>
      </c>
      <c r="I1318">
        <v>1092.3242</v>
      </c>
    </row>
    <row r="1319" spans="5:9" ht="15.75" hidden="1" customHeight="1" x14ac:dyDescent="0.2">
      <c r="E1319" t="s">
        <v>371</v>
      </c>
      <c r="F1319">
        <v>16</v>
      </c>
      <c r="G1319" t="s">
        <v>245</v>
      </c>
      <c r="H1319" t="s">
        <v>8</v>
      </c>
      <c r="I1319">
        <v>1103.6351999999999</v>
      </c>
    </row>
    <row r="1320" spans="5:9" ht="15.75" hidden="1" customHeight="1" x14ac:dyDescent="0.2">
      <c r="E1320" t="s">
        <v>372</v>
      </c>
      <c r="F1320">
        <v>17</v>
      </c>
      <c r="G1320" t="s">
        <v>245</v>
      </c>
      <c r="H1320" t="s">
        <v>8</v>
      </c>
      <c r="I1320">
        <v>2597.3573000000001</v>
      </c>
    </row>
    <row r="1321" spans="5:9" ht="15.75" hidden="1" customHeight="1" x14ac:dyDescent="0.2">
      <c r="E1321" t="s">
        <v>373</v>
      </c>
      <c r="F1321">
        <v>18</v>
      </c>
      <c r="G1321" t="s">
        <v>245</v>
      </c>
      <c r="H1321" t="s">
        <v>8</v>
      </c>
      <c r="I1321">
        <v>232.535</v>
      </c>
    </row>
    <row r="1322" spans="5:9" ht="15.75" hidden="1" customHeight="1" x14ac:dyDescent="0.2">
      <c r="E1322" t="s">
        <v>374</v>
      </c>
      <c r="F1322">
        <v>19</v>
      </c>
      <c r="G1322" t="s">
        <v>245</v>
      </c>
      <c r="H1322" t="s">
        <v>8</v>
      </c>
      <c r="I1322">
        <v>4.7549000000000001</v>
      </c>
    </row>
    <row r="1323" spans="5:9" ht="15.75" hidden="1" customHeight="1" x14ac:dyDescent="0.2">
      <c r="E1323" t="s">
        <v>375</v>
      </c>
      <c r="F1323">
        <v>20</v>
      </c>
      <c r="G1323" t="s">
        <v>245</v>
      </c>
      <c r="H1323" t="s">
        <v>8</v>
      </c>
      <c r="I1323">
        <v>562.59220000000005</v>
      </c>
    </row>
    <row r="1324" spans="5:9" ht="15.75" hidden="1" customHeight="1" x14ac:dyDescent="0.2">
      <c r="E1324" t="s">
        <v>376</v>
      </c>
      <c r="F1324">
        <v>21</v>
      </c>
      <c r="G1324" t="s">
        <v>245</v>
      </c>
      <c r="H1324" t="s">
        <v>8</v>
      </c>
      <c r="I1324">
        <v>299.81740000000002</v>
      </c>
    </row>
    <row r="1325" spans="5:9" ht="15.75" hidden="1" customHeight="1" x14ac:dyDescent="0.2">
      <c r="E1325" t="s">
        <v>377</v>
      </c>
      <c r="F1325">
        <v>22</v>
      </c>
      <c r="G1325" t="s">
        <v>245</v>
      </c>
      <c r="H1325" t="s">
        <v>8</v>
      </c>
      <c r="I1325">
        <v>1589.2056</v>
      </c>
    </row>
    <row r="1326" spans="5:9" ht="15.75" hidden="1" customHeight="1" x14ac:dyDescent="0.2">
      <c r="E1326" t="s">
        <v>378</v>
      </c>
      <c r="F1326">
        <v>23</v>
      </c>
      <c r="G1326" t="s">
        <v>245</v>
      </c>
      <c r="H1326" t="s">
        <v>8</v>
      </c>
      <c r="I1326">
        <v>4.7549000000000001</v>
      </c>
    </row>
    <row r="1327" spans="5:9" ht="15.75" hidden="1" customHeight="1" x14ac:dyDescent="0.2">
      <c r="E1327" t="s">
        <v>379</v>
      </c>
      <c r="F1327">
        <v>24</v>
      </c>
      <c r="G1327" t="s">
        <v>245</v>
      </c>
      <c r="H1327" t="s">
        <v>8</v>
      </c>
      <c r="I1327">
        <v>0</v>
      </c>
    </row>
    <row r="1328" spans="5:9" ht="15.75" hidden="1" customHeight="1" x14ac:dyDescent="0.2">
      <c r="E1328" t="s">
        <v>380</v>
      </c>
      <c r="F1328">
        <v>25</v>
      </c>
      <c r="G1328" t="s">
        <v>245</v>
      </c>
      <c r="H1328" t="s">
        <v>8</v>
      </c>
      <c r="I1328">
        <v>137.02950000000001</v>
      </c>
    </row>
    <row r="1329" spans="5:9" ht="15.75" hidden="1" customHeight="1" x14ac:dyDescent="0.2">
      <c r="E1329" t="s">
        <v>381</v>
      </c>
      <c r="F1329">
        <v>26</v>
      </c>
      <c r="G1329" t="s">
        <v>245</v>
      </c>
      <c r="H1329" t="s">
        <v>8</v>
      </c>
      <c r="I1329">
        <v>121.5</v>
      </c>
    </row>
    <row r="1330" spans="5:9" ht="15.75" hidden="1" customHeight="1" x14ac:dyDescent="0.2">
      <c r="E1330" t="s">
        <v>382</v>
      </c>
      <c r="F1330">
        <v>27</v>
      </c>
      <c r="G1330" t="s">
        <v>245</v>
      </c>
      <c r="H1330" t="s">
        <v>8</v>
      </c>
      <c r="I1330">
        <v>157.4041</v>
      </c>
    </row>
    <row r="1331" spans="5:9" ht="15.75" hidden="1" customHeight="1" x14ac:dyDescent="0.2">
      <c r="E1331" t="s">
        <v>383</v>
      </c>
      <c r="F1331">
        <v>28</v>
      </c>
      <c r="G1331" t="s">
        <v>245</v>
      </c>
      <c r="H1331" t="s">
        <v>8</v>
      </c>
      <c r="I1331">
        <v>317.83530000000002</v>
      </c>
    </row>
    <row r="1332" spans="5:9" ht="15.75" hidden="1" customHeight="1" x14ac:dyDescent="0.2">
      <c r="E1332" t="s">
        <v>385</v>
      </c>
      <c r="F1332">
        <v>29</v>
      </c>
      <c r="G1332" t="s">
        <v>245</v>
      </c>
      <c r="H1332" t="s">
        <v>8</v>
      </c>
      <c r="I1332">
        <v>12198.390299999999</v>
      </c>
    </row>
    <row r="1333" spans="5:9" ht="15.75" hidden="1" customHeight="1" x14ac:dyDescent="0.2">
      <c r="E1333" t="s">
        <v>387</v>
      </c>
      <c r="F1333">
        <v>30</v>
      </c>
      <c r="G1333" t="s">
        <v>245</v>
      </c>
      <c r="H1333" t="s">
        <v>8</v>
      </c>
      <c r="I1333">
        <v>982.53859999999997</v>
      </c>
    </row>
    <row r="1334" spans="5:9" ht="15.75" hidden="1" customHeight="1" x14ac:dyDescent="0.2">
      <c r="E1334" t="s">
        <v>388</v>
      </c>
      <c r="F1334">
        <v>31</v>
      </c>
      <c r="G1334" t="s">
        <v>245</v>
      </c>
      <c r="H1334" t="s">
        <v>8</v>
      </c>
      <c r="I1334">
        <v>2512.6491000000001</v>
      </c>
    </row>
    <row r="1335" spans="5:9" ht="15.75" hidden="1" customHeight="1" x14ac:dyDescent="0.2">
      <c r="E1335" t="s">
        <v>389</v>
      </c>
      <c r="F1335">
        <v>32</v>
      </c>
      <c r="G1335" t="s">
        <v>245</v>
      </c>
      <c r="H1335" t="s">
        <v>8</v>
      </c>
      <c r="I1335">
        <v>2564.5039000000002</v>
      </c>
    </row>
    <row r="1336" spans="5:9" ht="15.75" hidden="1" customHeight="1" x14ac:dyDescent="0.2">
      <c r="E1336" t="s">
        <v>390</v>
      </c>
      <c r="F1336">
        <v>33</v>
      </c>
      <c r="G1336" t="s">
        <v>245</v>
      </c>
      <c r="H1336" t="s">
        <v>8</v>
      </c>
      <c r="I1336">
        <v>2568.4600999999998</v>
      </c>
    </row>
    <row r="1337" spans="5:9" ht="15.75" hidden="1" customHeight="1" x14ac:dyDescent="0.2">
      <c r="E1337" t="s">
        <v>391</v>
      </c>
      <c r="F1337">
        <v>34</v>
      </c>
      <c r="G1337" t="s">
        <v>245</v>
      </c>
      <c r="H1337" t="s">
        <v>8</v>
      </c>
      <c r="I1337">
        <v>2959.8128000000002</v>
      </c>
    </row>
    <row r="1338" spans="5:9" ht="15.75" hidden="1" customHeight="1" x14ac:dyDescent="0.2">
      <c r="E1338" t="s">
        <v>393</v>
      </c>
      <c r="F1338">
        <v>35</v>
      </c>
      <c r="G1338" t="s">
        <v>245</v>
      </c>
      <c r="H1338" t="s">
        <v>8</v>
      </c>
      <c r="I1338">
        <v>280</v>
      </c>
    </row>
    <row r="1339" spans="5:9" ht="15.75" hidden="1" customHeight="1" x14ac:dyDescent="0.2">
      <c r="E1339" t="s">
        <v>394</v>
      </c>
      <c r="F1339">
        <v>36</v>
      </c>
      <c r="G1339" t="s">
        <v>245</v>
      </c>
      <c r="H1339" t="s">
        <v>8</v>
      </c>
      <c r="I1339">
        <v>30098.391199999998</v>
      </c>
    </row>
    <row r="1340" spans="5:9" ht="15.75" hidden="1" customHeight="1" x14ac:dyDescent="0.2">
      <c r="E1340" t="s">
        <v>395</v>
      </c>
      <c r="F1340">
        <v>37</v>
      </c>
      <c r="G1340" t="s">
        <v>245</v>
      </c>
      <c r="H1340" t="s">
        <v>8</v>
      </c>
      <c r="I1340">
        <v>2533.5369999999998</v>
      </c>
    </row>
    <row r="1341" spans="5:9" ht="15.75" hidden="1" customHeight="1" x14ac:dyDescent="0.2">
      <c r="E1341" t="s">
        <v>396</v>
      </c>
      <c r="F1341">
        <v>38</v>
      </c>
      <c r="G1341" t="s">
        <v>245</v>
      </c>
      <c r="H1341" t="s">
        <v>8</v>
      </c>
      <c r="I1341">
        <v>2533.5369999999998</v>
      </c>
    </row>
    <row r="1342" spans="5:9" ht="15.75" hidden="1" customHeight="1" x14ac:dyDescent="0.2">
      <c r="E1342" t="s">
        <v>397</v>
      </c>
      <c r="F1342">
        <v>39</v>
      </c>
      <c r="G1342" t="s">
        <v>245</v>
      </c>
      <c r="H1342" t="s">
        <v>8</v>
      </c>
      <c r="I1342">
        <v>7607.8576999999996</v>
      </c>
    </row>
    <row r="1343" spans="5:9" ht="15.75" hidden="1" customHeight="1" x14ac:dyDescent="0.2">
      <c r="E1343" t="s">
        <v>398</v>
      </c>
      <c r="F1343">
        <v>40</v>
      </c>
      <c r="G1343" t="s">
        <v>245</v>
      </c>
      <c r="H1343" t="s">
        <v>8</v>
      </c>
      <c r="I1343">
        <v>6579.2542999999996</v>
      </c>
    </row>
    <row r="1344" spans="5:9" ht="15.75" hidden="1" customHeight="1" x14ac:dyDescent="0.2">
      <c r="E1344" t="s">
        <v>399</v>
      </c>
      <c r="F1344">
        <v>41</v>
      </c>
      <c r="G1344" t="s">
        <v>245</v>
      </c>
      <c r="H1344" t="s">
        <v>8</v>
      </c>
      <c r="I1344">
        <v>4.7549000000000001</v>
      </c>
    </row>
    <row r="1345" spans="5:9" ht="15.75" hidden="1" customHeight="1" x14ac:dyDescent="0.2">
      <c r="E1345" t="s">
        <v>400</v>
      </c>
      <c r="F1345">
        <v>42</v>
      </c>
      <c r="G1345" t="s">
        <v>245</v>
      </c>
      <c r="H1345" t="s">
        <v>8</v>
      </c>
      <c r="I1345">
        <v>4.7549000000000001</v>
      </c>
    </row>
    <row r="1346" spans="5:9" ht="15.75" hidden="1" customHeight="1" x14ac:dyDescent="0.2">
      <c r="E1346" t="s">
        <v>401</v>
      </c>
      <c r="F1346">
        <v>43</v>
      </c>
      <c r="G1346" t="s">
        <v>245</v>
      </c>
      <c r="H1346" t="s">
        <v>8</v>
      </c>
      <c r="I1346">
        <v>23.2193</v>
      </c>
    </row>
    <row r="1347" spans="5:9" ht="15.75" hidden="1" customHeight="1" x14ac:dyDescent="0.2">
      <c r="E1347" t="s">
        <v>402</v>
      </c>
      <c r="F1347">
        <v>44</v>
      </c>
      <c r="G1347" t="s">
        <v>245</v>
      </c>
      <c r="H1347" t="s">
        <v>8</v>
      </c>
      <c r="I1347">
        <v>23.2193</v>
      </c>
    </row>
    <row r="1348" spans="5:9" ht="15.75" hidden="1" customHeight="1" x14ac:dyDescent="0.2">
      <c r="E1348" t="s">
        <v>403</v>
      </c>
      <c r="F1348">
        <v>45</v>
      </c>
      <c r="G1348" t="s">
        <v>245</v>
      </c>
      <c r="H1348" t="s">
        <v>8</v>
      </c>
      <c r="I1348">
        <v>4.7549000000000001</v>
      </c>
    </row>
    <row r="1349" spans="5:9" ht="15.75" hidden="1" customHeight="1" x14ac:dyDescent="0.2">
      <c r="E1349" t="s">
        <v>404</v>
      </c>
      <c r="F1349">
        <v>46</v>
      </c>
      <c r="G1349" t="s">
        <v>245</v>
      </c>
      <c r="H1349" t="s">
        <v>8</v>
      </c>
      <c r="I1349">
        <v>4.7549000000000001</v>
      </c>
    </row>
    <row r="1350" spans="5:9" ht="15.75" hidden="1" customHeight="1" x14ac:dyDescent="0.2">
      <c r="E1350" t="s">
        <v>405</v>
      </c>
      <c r="F1350">
        <v>47</v>
      </c>
      <c r="G1350" t="s">
        <v>245</v>
      </c>
      <c r="H1350" t="s">
        <v>8</v>
      </c>
      <c r="I1350">
        <v>49.128700000000002</v>
      </c>
    </row>
    <row r="1351" spans="5:9" ht="15.75" hidden="1" customHeight="1" x14ac:dyDescent="0.2">
      <c r="E1351" t="s">
        <v>406</v>
      </c>
      <c r="F1351">
        <v>48</v>
      </c>
      <c r="G1351" t="s">
        <v>245</v>
      </c>
      <c r="H1351" t="s">
        <v>8</v>
      </c>
      <c r="I1351">
        <v>23.2193</v>
      </c>
    </row>
    <row r="1352" spans="5:9" ht="15.75" hidden="1" customHeight="1" x14ac:dyDescent="0.2">
      <c r="E1352" t="s">
        <v>376</v>
      </c>
      <c r="F1352">
        <v>49</v>
      </c>
      <c r="G1352" t="s">
        <v>245</v>
      </c>
      <c r="H1352" t="s">
        <v>8</v>
      </c>
      <c r="I1352">
        <v>23.2193</v>
      </c>
    </row>
    <row r="1353" spans="5:9" ht="15.75" hidden="1" customHeight="1" x14ac:dyDescent="0.2">
      <c r="E1353" t="s">
        <v>407</v>
      </c>
      <c r="F1353">
        <v>50</v>
      </c>
      <c r="G1353" t="s">
        <v>245</v>
      </c>
      <c r="H1353" t="s">
        <v>8</v>
      </c>
      <c r="I1353">
        <v>2821.6772999999998</v>
      </c>
    </row>
    <row r="1354" spans="5:9" ht="15.75" hidden="1" customHeight="1" x14ac:dyDescent="0.2">
      <c r="E1354" t="s">
        <v>408</v>
      </c>
      <c r="F1354">
        <v>51</v>
      </c>
      <c r="G1354" t="s">
        <v>245</v>
      </c>
      <c r="H1354" t="s">
        <v>8</v>
      </c>
      <c r="I1354">
        <v>5318.4359999999997</v>
      </c>
    </row>
    <row r="1355" spans="5:9" ht="15.75" hidden="1" customHeight="1" x14ac:dyDescent="0.2">
      <c r="E1355" t="s">
        <v>409</v>
      </c>
      <c r="F1355">
        <v>52</v>
      </c>
      <c r="G1355" t="s">
        <v>245</v>
      </c>
      <c r="H1355" t="s">
        <v>8</v>
      </c>
      <c r="I1355">
        <v>245</v>
      </c>
    </row>
    <row r="1356" spans="5:9" ht="15.75" hidden="1" customHeight="1" x14ac:dyDescent="0.2">
      <c r="E1356" t="s">
        <v>410</v>
      </c>
      <c r="F1356">
        <v>53</v>
      </c>
      <c r="G1356" t="s">
        <v>245</v>
      </c>
      <c r="H1356" t="s">
        <v>8</v>
      </c>
      <c r="I1356">
        <v>325.52879999999999</v>
      </c>
    </row>
    <row r="1357" spans="5:9" ht="15.75" hidden="1" customHeight="1" x14ac:dyDescent="0.2">
      <c r="E1357" t="s">
        <v>411</v>
      </c>
      <c r="F1357">
        <v>54</v>
      </c>
      <c r="G1357" t="s">
        <v>245</v>
      </c>
      <c r="H1357" t="s">
        <v>8</v>
      </c>
      <c r="I1357">
        <v>61319.141199999998</v>
      </c>
    </row>
    <row r="1358" spans="5:9" ht="15.75" hidden="1" customHeight="1" x14ac:dyDescent="0.2">
      <c r="E1358" t="s">
        <v>412</v>
      </c>
      <c r="F1358">
        <v>55</v>
      </c>
      <c r="G1358" t="s">
        <v>245</v>
      </c>
      <c r="H1358" t="s">
        <v>8</v>
      </c>
      <c r="I1358">
        <v>2515.4220999999998</v>
      </c>
    </row>
    <row r="1359" spans="5:9" ht="15.75" hidden="1" customHeight="1" x14ac:dyDescent="0.2">
      <c r="E1359" t="s">
        <v>413</v>
      </c>
      <c r="F1359">
        <v>56</v>
      </c>
      <c r="G1359" t="s">
        <v>245</v>
      </c>
      <c r="H1359" t="s">
        <v>8</v>
      </c>
      <c r="I1359">
        <v>325.52879999999999</v>
      </c>
    </row>
    <row r="1360" spans="5:9" ht="15.75" hidden="1" customHeight="1" x14ac:dyDescent="0.2">
      <c r="E1360" t="s">
        <v>414</v>
      </c>
      <c r="F1360">
        <v>57</v>
      </c>
      <c r="G1360" t="s">
        <v>245</v>
      </c>
      <c r="H1360" t="s">
        <v>8</v>
      </c>
      <c r="I1360">
        <v>29011.7968</v>
      </c>
    </row>
    <row r="1361" spans="5:9" ht="15.75" hidden="1" customHeight="1" x14ac:dyDescent="0.2">
      <c r="E1361" t="s">
        <v>415</v>
      </c>
      <c r="F1361">
        <v>58</v>
      </c>
      <c r="G1361" t="s">
        <v>245</v>
      </c>
      <c r="H1361" t="s">
        <v>8</v>
      </c>
      <c r="I1361">
        <v>29011.7968</v>
      </c>
    </row>
    <row r="1362" spans="5:9" ht="15.75" hidden="1" customHeight="1" x14ac:dyDescent="0.2">
      <c r="E1362" t="s">
        <v>416</v>
      </c>
      <c r="F1362">
        <v>59</v>
      </c>
      <c r="G1362" t="s">
        <v>245</v>
      </c>
      <c r="H1362" t="s">
        <v>8</v>
      </c>
      <c r="I1362">
        <v>31453.795699999999</v>
      </c>
    </row>
    <row r="1363" spans="5:9" ht="15.75" hidden="1" customHeight="1" x14ac:dyDescent="0.2">
      <c r="E1363" t="s">
        <v>417</v>
      </c>
      <c r="F1363">
        <v>60</v>
      </c>
      <c r="G1363" t="s">
        <v>245</v>
      </c>
      <c r="H1363" t="s">
        <v>8</v>
      </c>
      <c r="I1363">
        <v>31453.795699999999</v>
      </c>
    </row>
    <row r="1364" spans="5:9" ht="15.75" hidden="1" customHeight="1" x14ac:dyDescent="0.2">
      <c r="E1364" t="s">
        <v>418</v>
      </c>
      <c r="F1364">
        <v>61</v>
      </c>
      <c r="G1364" t="s">
        <v>245</v>
      </c>
      <c r="H1364" t="s">
        <v>8</v>
      </c>
      <c r="I1364">
        <v>348.69</v>
      </c>
    </row>
    <row r="1365" spans="5:9" ht="15.75" hidden="1" customHeight="1" x14ac:dyDescent="0.2">
      <c r="E1365" t="s">
        <v>419</v>
      </c>
      <c r="F1365">
        <v>62</v>
      </c>
      <c r="G1365" t="s">
        <v>245</v>
      </c>
      <c r="H1365" t="s">
        <v>8</v>
      </c>
      <c r="I1365">
        <v>348.69</v>
      </c>
    </row>
    <row r="1366" spans="5:9" ht="15.75" hidden="1" customHeight="1" x14ac:dyDescent="0.2">
      <c r="E1366" t="s">
        <v>421</v>
      </c>
      <c r="F1366">
        <v>63</v>
      </c>
      <c r="G1366" t="s">
        <v>245</v>
      </c>
      <c r="H1366" t="s">
        <v>8</v>
      </c>
      <c r="I1366">
        <v>0</v>
      </c>
    </row>
    <row r="1367" spans="5:9" ht="15.75" hidden="1" customHeight="1" x14ac:dyDescent="0.2">
      <c r="E1367" t="s">
        <v>422</v>
      </c>
      <c r="F1367">
        <v>64</v>
      </c>
      <c r="G1367" t="s">
        <v>245</v>
      </c>
      <c r="H1367" t="s">
        <v>8</v>
      </c>
      <c r="I1367">
        <v>134.43610000000001</v>
      </c>
    </row>
    <row r="1368" spans="5:9" ht="15.75" hidden="1" customHeight="1" x14ac:dyDescent="0.2">
      <c r="E1368" t="s">
        <v>423</v>
      </c>
      <c r="F1368">
        <v>65</v>
      </c>
      <c r="G1368" t="s">
        <v>245</v>
      </c>
      <c r="H1368" t="s">
        <v>8</v>
      </c>
      <c r="I1368">
        <v>4.7549000000000001</v>
      </c>
    </row>
    <row r="1369" spans="5:9" ht="15.75" hidden="1" customHeight="1" x14ac:dyDescent="0.2">
      <c r="E1369" t="s">
        <v>424</v>
      </c>
      <c r="F1369">
        <v>66</v>
      </c>
      <c r="G1369" t="s">
        <v>245</v>
      </c>
      <c r="H1369" t="s">
        <v>8</v>
      </c>
      <c r="I1369">
        <v>4.7549000000000001</v>
      </c>
    </row>
    <row r="1370" spans="5:9" ht="15.75" hidden="1" customHeight="1" x14ac:dyDescent="0.2">
      <c r="E1370" t="s">
        <v>425</v>
      </c>
      <c r="F1370">
        <v>67</v>
      </c>
      <c r="G1370" t="s">
        <v>245</v>
      </c>
      <c r="H1370" t="s">
        <v>8</v>
      </c>
      <c r="I1370">
        <v>12</v>
      </c>
    </row>
    <row r="1371" spans="5:9" ht="15.75" hidden="1" customHeight="1" x14ac:dyDescent="0.2">
      <c r="E1371" t="s">
        <v>426</v>
      </c>
      <c r="F1371">
        <v>68</v>
      </c>
      <c r="G1371" t="s">
        <v>245</v>
      </c>
      <c r="H1371" t="s">
        <v>8</v>
      </c>
      <c r="I1371">
        <v>12</v>
      </c>
    </row>
    <row r="1372" spans="5:9" ht="15.75" hidden="1" customHeight="1" x14ac:dyDescent="0.2">
      <c r="E1372" t="s">
        <v>427</v>
      </c>
      <c r="F1372">
        <v>69</v>
      </c>
      <c r="G1372" t="s">
        <v>245</v>
      </c>
      <c r="H1372" t="s">
        <v>8</v>
      </c>
      <c r="I1372">
        <v>17.4145</v>
      </c>
    </row>
    <row r="1373" spans="5:9" ht="15.75" hidden="1" customHeight="1" x14ac:dyDescent="0.2">
      <c r="E1373" t="s">
        <v>428</v>
      </c>
      <c r="F1373">
        <v>70</v>
      </c>
      <c r="G1373" t="s">
        <v>245</v>
      </c>
      <c r="H1373" t="s">
        <v>8</v>
      </c>
      <c r="I1373">
        <v>17.4145</v>
      </c>
    </row>
    <row r="1374" spans="5:9" ht="15.75" hidden="1" customHeight="1" x14ac:dyDescent="0.2">
      <c r="E1374" t="s">
        <v>429</v>
      </c>
      <c r="F1374">
        <v>71</v>
      </c>
      <c r="G1374" t="s">
        <v>245</v>
      </c>
      <c r="H1374" t="s">
        <v>8</v>
      </c>
      <c r="I1374">
        <v>31.019600000000001</v>
      </c>
    </row>
    <row r="1375" spans="5:9" ht="15.75" hidden="1" customHeight="1" x14ac:dyDescent="0.2">
      <c r="E1375" t="s">
        <v>430</v>
      </c>
      <c r="F1375">
        <v>72</v>
      </c>
      <c r="G1375" t="s">
        <v>245</v>
      </c>
      <c r="H1375" t="s">
        <v>8</v>
      </c>
      <c r="I1375">
        <v>31.019600000000001</v>
      </c>
    </row>
    <row r="1376" spans="5:9" ht="15.75" hidden="1" customHeight="1" x14ac:dyDescent="0.2">
      <c r="E1376" t="s">
        <v>370</v>
      </c>
      <c r="F1376">
        <v>73</v>
      </c>
      <c r="G1376" t="s">
        <v>245</v>
      </c>
      <c r="H1376" t="s">
        <v>8</v>
      </c>
      <c r="I1376">
        <v>0</v>
      </c>
    </row>
    <row r="1377" spans="5:9" ht="15.75" hidden="1" customHeight="1" x14ac:dyDescent="0.2">
      <c r="E1377" t="s">
        <v>373</v>
      </c>
      <c r="F1377">
        <v>74</v>
      </c>
      <c r="G1377" t="s">
        <v>245</v>
      </c>
      <c r="H1377" t="s">
        <v>8</v>
      </c>
      <c r="I1377" t="s">
        <v>364</v>
      </c>
    </row>
    <row r="1378" spans="5:9" ht="15.75" hidden="1" customHeight="1" x14ac:dyDescent="0.2">
      <c r="E1378" t="s">
        <v>374</v>
      </c>
      <c r="F1378">
        <v>75</v>
      </c>
      <c r="G1378" t="s">
        <v>245</v>
      </c>
      <c r="H1378" t="s">
        <v>8</v>
      </c>
      <c r="I1378" t="s">
        <v>364</v>
      </c>
    </row>
    <row r="1379" spans="5:9" ht="15.75" hidden="1" customHeight="1" x14ac:dyDescent="0.2">
      <c r="E1379" t="s">
        <v>375</v>
      </c>
      <c r="F1379">
        <v>76</v>
      </c>
      <c r="G1379" t="s">
        <v>245</v>
      </c>
      <c r="H1379" t="s">
        <v>8</v>
      </c>
      <c r="I1379" t="s">
        <v>364</v>
      </c>
    </row>
    <row r="1380" spans="5:9" ht="15.75" hidden="1" customHeight="1" x14ac:dyDescent="0.2">
      <c r="E1380" t="s">
        <v>376</v>
      </c>
      <c r="F1380">
        <v>77</v>
      </c>
      <c r="G1380" t="s">
        <v>245</v>
      </c>
      <c r="H1380" t="s">
        <v>8</v>
      </c>
      <c r="I1380" t="s">
        <v>364</v>
      </c>
    </row>
    <row r="1381" spans="5:9" ht="15.75" hidden="1" customHeight="1" x14ac:dyDescent="0.2">
      <c r="E1381" t="s">
        <v>382</v>
      </c>
      <c r="F1381">
        <v>78</v>
      </c>
      <c r="G1381" t="s">
        <v>245</v>
      </c>
      <c r="H1381" t="s">
        <v>8</v>
      </c>
      <c r="I1381">
        <v>0</v>
      </c>
    </row>
    <row r="1382" spans="5:9" ht="15.75" hidden="1" customHeight="1" x14ac:dyDescent="0.2">
      <c r="E1382" t="s">
        <v>383</v>
      </c>
      <c r="F1382">
        <v>79</v>
      </c>
      <c r="G1382" t="s">
        <v>245</v>
      </c>
      <c r="H1382" t="s">
        <v>8</v>
      </c>
      <c r="I1382" t="s">
        <v>364</v>
      </c>
    </row>
    <row r="1383" spans="5:9" ht="15.75" hidden="1" customHeight="1" x14ac:dyDescent="0.2">
      <c r="E1383" t="s">
        <v>395</v>
      </c>
      <c r="F1383">
        <v>80</v>
      </c>
      <c r="G1383" t="s">
        <v>245</v>
      </c>
      <c r="H1383" t="s">
        <v>8</v>
      </c>
      <c r="I1383">
        <v>0</v>
      </c>
    </row>
    <row r="1384" spans="5:9" ht="15.75" hidden="1" customHeight="1" x14ac:dyDescent="0.2">
      <c r="E1384" t="s">
        <v>397</v>
      </c>
      <c r="F1384">
        <v>81</v>
      </c>
      <c r="G1384" t="s">
        <v>245</v>
      </c>
      <c r="H1384" t="s">
        <v>8</v>
      </c>
      <c r="I1384">
        <v>0</v>
      </c>
    </row>
    <row r="1385" spans="5:9" ht="15.75" hidden="1" customHeight="1" x14ac:dyDescent="0.2">
      <c r="E1385" t="s">
        <v>399</v>
      </c>
      <c r="F1385">
        <v>82</v>
      </c>
      <c r="G1385" t="s">
        <v>245</v>
      </c>
      <c r="H1385" t="s">
        <v>8</v>
      </c>
      <c r="I1385" t="s">
        <v>364</v>
      </c>
    </row>
    <row r="1386" spans="5:9" ht="15.75" hidden="1" customHeight="1" x14ac:dyDescent="0.2">
      <c r="E1386" t="s">
        <v>400</v>
      </c>
      <c r="F1386">
        <v>83</v>
      </c>
      <c r="G1386" t="s">
        <v>245</v>
      </c>
      <c r="H1386" t="s">
        <v>8</v>
      </c>
      <c r="I1386" t="s">
        <v>364</v>
      </c>
    </row>
    <row r="1387" spans="5:9" ht="15.75" hidden="1" customHeight="1" x14ac:dyDescent="0.2">
      <c r="E1387" t="s">
        <v>401</v>
      </c>
      <c r="F1387">
        <v>84</v>
      </c>
      <c r="G1387" t="s">
        <v>245</v>
      </c>
      <c r="H1387" t="s">
        <v>8</v>
      </c>
      <c r="I1387">
        <v>0</v>
      </c>
    </row>
    <row r="1388" spans="5:9" ht="15.75" hidden="1" customHeight="1" x14ac:dyDescent="0.2">
      <c r="E1388" t="s">
        <v>402</v>
      </c>
      <c r="F1388">
        <v>85</v>
      </c>
      <c r="G1388" t="s">
        <v>245</v>
      </c>
      <c r="H1388" t="s">
        <v>8</v>
      </c>
      <c r="I1388">
        <v>0</v>
      </c>
    </row>
    <row r="1389" spans="5:9" ht="15.75" hidden="1" customHeight="1" x14ac:dyDescent="0.2">
      <c r="E1389" t="s">
        <v>403</v>
      </c>
      <c r="F1389">
        <v>86</v>
      </c>
      <c r="G1389" t="s">
        <v>245</v>
      </c>
      <c r="H1389" t="s">
        <v>8</v>
      </c>
      <c r="I1389" t="s">
        <v>364</v>
      </c>
    </row>
    <row r="1390" spans="5:9" ht="15.75" hidden="1" customHeight="1" x14ac:dyDescent="0.2">
      <c r="E1390" t="s">
        <v>404</v>
      </c>
      <c r="F1390">
        <v>87</v>
      </c>
      <c r="G1390" t="s">
        <v>245</v>
      </c>
      <c r="H1390" t="s">
        <v>8</v>
      </c>
      <c r="I1390" t="s">
        <v>364</v>
      </c>
    </row>
    <row r="1391" spans="5:9" ht="15.75" hidden="1" customHeight="1" x14ac:dyDescent="0.2">
      <c r="E1391" t="s">
        <v>405</v>
      </c>
      <c r="F1391">
        <v>88</v>
      </c>
      <c r="G1391" t="s">
        <v>245</v>
      </c>
      <c r="H1391" t="s">
        <v>8</v>
      </c>
      <c r="I1391">
        <v>0</v>
      </c>
    </row>
    <row r="1392" spans="5:9" ht="15.75" hidden="1" customHeight="1" x14ac:dyDescent="0.2">
      <c r="E1392" t="s">
        <v>406</v>
      </c>
      <c r="F1392">
        <v>89</v>
      </c>
      <c r="G1392" t="s">
        <v>245</v>
      </c>
      <c r="H1392" t="s">
        <v>8</v>
      </c>
      <c r="I1392">
        <v>0</v>
      </c>
    </row>
    <row r="1393" spans="5:9" ht="15.75" hidden="1" customHeight="1" x14ac:dyDescent="0.2">
      <c r="E1393" t="s">
        <v>376</v>
      </c>
      <c r="F1393">
        <v>90</v>
      </c>
      <c r="G1393" t="s">
        <v>245</v>
      </c>
      <c r="H1393" t="s">
        <v>8</v>
      </c>
      <c r="I1393">
        <v>0</v>
      </c>
    </row>
    <row r="1394" spans="5:9" ht="15.75" hidden="1" customHeight="1" x14ac:dyDescent="0.2">
      <c r="E1394" t="s">
        <v>409</v>
      </c>
      <c r="F1394">
        <v>91</v>
      </c>
      <c r="G1394" t="s">
        <v>245</v>
      </c>
      <c r="H1394" t="s">
        <v>8</v>
      </c>
      <c r="I1394">
        <v>0</v>
      </c>
    </row>
    <row r="1395" spans="5:9" ht="15.75" hidden="1" customHeight="1" x14ac:dyDescent="0.2">
      <c r="E1395" t="s">
        <v>410</v>
      </c>
      <c r="F1395">
        <v>92</v>
      </c>
      <c r="G1395" t="s">
        <v>245</v>
      </c>
      <c r="H1395" t="s">
        <v>8</v>
      </c>
      <c r="I1395">
        <v>0</v>
      </c>
    </row>
    <row r="1396" spans="5:9" ht="15.75" hidden="1" customHeight="1" x14ac:dyDescent="0.2">
      <c r="E1396" t="s">
        <v>413</v>
      </c>
      <c r="F1396">
        <v>93</v>
      </c>
      <c r="G1396" t="s">
        <v>245</v>
      </c>
      <c r="H1396" t="s">
        <v>8</v>
      </c>
      <c r="I1396">
        <v>0</v>
      </c>
    </row>
    <row r="1397" spans="5:9" ht="15.75" hidden="1" customHeight="1" x14ac:dyDescent="0.2">
      <c r="E1397" t="s">
        <v>414</v>
      </c>
      <c r="F1397">
        <v>94</v>
      </c>
      <c r="G1397" t="s">
        <v>245</v>
      </c>
      <c r="H1397" t="s">
        <v>8</v>
      </c>
      <c r="I1397" t="s">
        <v>364</v>
      </c>
    </row>
    <row r="1398" spans="5:9" ht="15.75" hidden="1" customHeight="1" x14ac:dyDescent="0.2">
      <c r="E1398" t="s">
        <v>417</v>
      </c>
      <c r="F1398">
        <v>95</v>
      </c>
      <c r="G1398" t="s">
        <v>245</v>
      </c>
      <c r="H1398" t="s">
        <v>8</v>
      </c>
      <c r="I1398" t="s">
        <v>364</v>
      </c>
    </row>
    <row r="1399" spans="5:9" ht="15.75" hidden="1" customHeight="1" x14ac:dyDescent="0.2">
      <c r="E1399" t="s">
        <v>440</v>
      </c>
      <c r="F1399">
        <v>96</v>
      </c>
      <c r="G1399" t="s">
        <v>245</v>
      </c>
      <c r="H1399" t="s">
        <v>8</v>
      </c>
      <c r="I1399">
        <v>0</v>
      </c>
    </row>
    <row r="1400" spans="5:9" ht="15.75" hidden="1" customHeight="1" x14ac:dyDescent="0.2">
      <c r="E1400" t="s">
        <v>441</v>
      </c>
      <c r="F1400">
        <v>97</v>
      </c>
      <c r="G1400" t="s">
        <v>245</v>
      </c>
      <c r="H1400" t="s">
        <v>8</v>
      </c>
      <c r="I1400" t="s">
        <v>364</v>
      </c>
    </row>
    <row r="1401" spans="5:9" ht="15.75" hidden="1" customHeight="1" x14ac:dyDescent="0.2">
      <c r="E1401" t="s">
        <v>442</v>
      </c>
      <c r="F1401">
        <v>98</v>
      </c>
      <c r="G1401" t="s">
        <v>245</v>
      </c>
      <c r="H1401" t="s">
        <v>8</v>
      </c>
      <c r="I1401" t="s">
        <v>364</v>
      </c>
    </row>
    <row r="1402" spans="5:9" ht="15.75" hidden="1" customHeight="1" x14ac:dyDescent="0.2">
      <c r="E1402" t="s">
        <v>443</v>
      </c>
      <c r="F1402">
        <v>99</v>
      </c>
      <c r="G1402" t="s">
        <v>245</v>
      </c>
      <c r="H1402" t="s">
        <v>8</v>
      </c>
      <c r="I1402">
        <v>0</v>
      </c>
    </row>
    <row r="1403" spans="5:9" ht="15.75" hidden="1" customHeight="1" x14ac:dyDescent="0.2">
      <c r="E1403" t="s">
        <v>444</v>
      </c>
      <c r="F1403">
        <v>100</v>
      </c>
      <c r="G1403" t="s">
        <v>245</v>
      </c>
      <c r="H1403" t="s">
        <v>8</v>
      </c>
      <c r="I1403">
        <v>827.71119999999996</v>
      </c>
    </row>
    <row r="1404" spans="5:9" ht="15.75" hidden="1" customHeight="1" x14ac:dyDescent="0.2">
      <c r="E1404" t="s">
        <v>362</v>
      </c>
      <c r="F1404">
        <v>101</v>
      </c>
      <c r="G1404" t="s">
        <v>245</v>
      </c>
      <c r="H1404" t="s">
        <v>8</v>
      </c>
      <c r="I1404" t="s">
        <v>364</v>
      </c>
    </row>
    <row r="1405" spans="5:9" ht="15.75" hidden="1" customHeight="1" x14ac:dyDescent="0.2">
      <c r="E1405" t="s">
        <v>446</v>
      </c>
      <c r="F1405">
        <v>102</v>
      </c>
      <c r="G1405" t="s">
        <v>245</v>
      </c>
      <c r="H1405" t="s">
        <v>8</v>
      </c>
      <c r="I1405" t="s">
        <v>364</v>
      </c>
    </row>
    <row r="1406" spans="5:9" ht="15.75" hidden="1" customHeight="1" x14ac:dyDescent="0.2">
      <c r="E1406" t="s">
        <v>447</v>
      </c>
      <c r="F1406">
        <v>103</v>
      </c>
      <c r="G1406" t="s">
        <v>245</v>
      </c>
      <c r="H1406" t="s">
        <v>8</v>
      </c>
      <c r="I1406">
        <v>0</v>
      </c>
    </row>
    <row r="1407" spans="5:9" ht="15.75" hidden="1" customHeight="1" x14ac:dyDescent="0.2">
      <c r="E1407" t="s">
        <v>448</v>
      </c>
      <c r="F1407">
        <v>104</v>
      </c>
      <c r="G1407" t="s">
        <v>245</v>
      </c>
      <c r="H1407" t="s">
        <v>8</v>
      </c>
      <c r="I1407">
        <v>0</v>
      </c>
    </row>
    <row r="1408" spans="5:9" ht="15.75" hidden="1" customHeight="1" x14ac:dyDescent="0.2">
      <c r="E1408" t="s">
        <v>449</v>
      </c>
      <c r="F1408">
        <v>105</v>
      </c>
      <c r="G1408" t="s">
        <v>245</v>
      </c>
      <c r="H1408" t="s">
        <v>8</v>
      </c>
      <c r="I1408">
        <v>0</v>
      </c>
    </row>
    <row r="1409" spans="5:9" ht="15.75" hidden="1" customHeight="1" x14ac:dyDescent="0.2">
      <c r="E1409" t="s">
        <v>450</v>
      </c>
      <c r="F1409">
        <v>106</v>
      </c>
      <c r="G1409" t="s">
        <v>245</v>
      </c>
      <c r="H1409" t="s">
        <v>8</v>
      </c>
      <c r="I1409">
        <v>0</v>
      </c>
    </row>
    <row r="1410" spans="5:9" ht="15.75" hidden="1" customHeight="1" x14ac:dyDescent="0.2">
      <c r="E1410" t="s">
        <v>451</v>
      </c>
      <c r="F1410">
        <v>107</v>
      </c>
      <c r="G1410" t="s">
        <v>245</v>
      </c>
      <c r="H1410" t="s">
        <v>8</v>
      </c>
      <c r="I1410">
        <v>0</v>
      </c>
    </row>
    <row r="1411" spans="5:9" ht="15.75" hidden="1" customHeight="1" x14ac:dyDescent="0.2">
      <c r="E1411" t="s">
        <v>452</v>
      </c>
      <c r="F1411">
        <v>108</v>
      </c>
      <c r="G1411" t="s">
        <v>245</v>
      </c>
      <c r="H1411" t="s">
        <v>8</v>
      </c>
      <c r="I1411">
        <v>0</v>
      </c>
    </row>
    <row r="1412" spans="5:9" ht="15.75" hidden="1" customHeight="1" x14ac:dyDescent="0.2">
      <c r="E1412" t="s">
        <v>453</v>
      </c>
      <c r="F1412">
        <v>109</v>
      </c>
      <c r="G1412" t="s">
        <v>245</v>
      </c>
      <c r="H1412" t="s">
        <v>8</v>
      </c>
      <c r="I1412">
        <v>0</v>
      </c>
    </row>
    <row r="1413" spans="5:9" ht="15.75" hidden="1" customHeight="1" x14ac:dyDescent="0.2">
      <c r="E1413" t="s">
        <v>454</v>
      </c>
      <c r="F1413">
        <v>110</v>
      </c>
      <c r="G1413" t="s">
        <v>245</v>
      </c>
      <c r="H1413" t="s">
        <v>8</v>
      </c>
      <c r="I1413">
        <v>0</v>
      </c>
    </row>
    <row r="1414" spans="5:9" ht="15.75" hidden="1" customHeight="1" x14ac:dyDescent="0.2">
      <c r="E1414" t="s">
        <v>455</v>
      </c>
      <c r="F1414">
        <v>111</v>
      </c>
      <c r="G1414" t="s">
        <v>245</v>
      </c>
      <c r="H1414" t="s">
        <v>8</v>
      </c>
      <c r="I1414">
        <v>0</v>
      </c>
    </row>
    <row r="1415" spans="5:9" ht="15.75" hidden="1" customHeight="1" x14ac:dyDescent="0.2">
      <c r="E1415" t="s">
        <v>456</v>
      </c>
      <c r="F1415">
        <v>112</v>
      </c>
      <c r="G1415" t="s">
        <v>245</v>
      </c>
      <c r="H1415" t="s">
        <v>8</v>
      </c>
      <c r="I1415">
        <v>0</v>
      </c>
    </row>
    <row r="1416" spans="5:9" ht="15.75" hidden="1" customHeight="1" x14ac:dyDescent="0.2">
      <c r="E1416" t="s">
        <v>457</v>
      </c>
      <c r="F1416">
        <v>113</v>
      </c>
      <c r="G1416" t="s">
        <v>245</v>
      </c>
      <c r="H1416" t="s">
        <v>8</v>
      </c>
      <c r="I1416">
        <v>0</v>
      </c>
    </row>
    <row r="1417" spans="5:9" ht="15.75" hidden="1" customHeight="1" x14ac:dyDescent="0.2">
      <c r="E1417" t="s">
        <v>459</v>
      </c>
      <c r="F1417">
        <v>114</v>
      </c>
      <c r="G1417" t="s">
        <v>245</v>
      </c>
      <c r="H1417" t="s">
        <v>8</v>
      </c>
      <c r="I1417" t="s">
        <v>364</v>
      </c>
    </row>
    <row r="1418" spans="5:9" ht="15.75" hidden="1" customHeight="1" x14ac:dyDescent="0.2">
      <c r="E1418" t="s">
        <v>460</v>
      </c>
      <c r="F1418">
        <v>115</v>
      </c>
      <c r="G1418" t="s">
        <v>245</v>
      </c>
      <c r="H1418" t="s">
        <v>8</v>
      </c>
      <c r="I1418" t="s">
        <v>364</v>
      </c>
    </row>
    <row r="1419" spans="5:9" ht="15.75" hidden="1" customHeight="1" x14ac:dyDescent="0.2">
      <c r="E1419" t="s">
        <v>461</v>
      </c>
      <c r="F1419">
        <v>116</v>
      </c>
      <c r="G1419" t="s">
        <v>245</v>
      </c>
      <c r="H1419" t="s">
        <v>8</v>
      </c>
      <c r="I1419">
        <v>0</v>
      </c>
    </row>
    <row r="1420" spans="5:9" ht="15.75" hidden="1" customHeight="1" x14ac:dyDescent="0.2">
      <c r="E1420" t="s">
        <v>462</v>
      </c>
      <c r="F1420">
        <v>117</v>
      </c>
      <c r="G1420" t="s">
        <v>245</v>
      </c>
      <c r="H1420" t="s">
        <v>8</v>
      </c>
      <c r="I1420" t="s">
        <v>364</v>
      </c>
    </row>
    <row r="1421" spans="5:9" ht="15.75" hidden="1" customHeight="1" x14ac:dyDescent="0.2">
      <c r="E1421" t="s">
        <v>463</v>
      </c>
      <c r="F1421">
        <v>118</v>
      </c>
      <c r="G1421" t="s">
        <v>245</v>
      </c>
      <c r="H1421" t="s">
        <v>8</v>
      </c>
      <c r="I1421">
        <v>0</v>
      </c>
    </row>
    <row r="1422" spans="5:9" ht="15.75" hidden="1" customHeight="1" x14ac:dyDescent="0.2">
      <c r="E1422" t="s">
        <v>464</v>
      </c>
      <c r="F1422">
        <v>119</v>
      </c>
      <c r="G1422" t="s">
        <v>245</v>
      </c>
      <c r="H1422" t="s">
        <v>8</v>
      </c>
      <c r="I1422" t="s">
        <v>364</v>
      </c>
    </row>
    <row r="1423" spans="5:9" ht="15.75" hidden="1" customHeight="1" x14ac:dyDescent="0.2">
      <c r="E1423" t="s">
        <v>465</v>
      </c>
      <c r="F1423">
        <v>120</v>
      </c>
      <c r="G1423" t="s">
        <v>245</v>
      </c>
      <c r="H1423" t="s">
        <v>8</v>
      </c>
      <c r="I1423" t="s">
        <v>364</v>
      </c>
    </row>
    <row r="1424" spans="5:9" ht="15.75" hidden="1" customHeight="1" x14ac:dyDescent="0.2">
      <c r="E1424" t="s">
        <v>466</v>
      </c>
      <c r="F1424">
        <v>121</v>
      </c>
      <c r="G1424" t="s">
        <v>245</v>
      </c>
      <c r="H1424" t="s">
        <v>8</v>
      </c>
      <c r="I1424">
        <v>0</v>
      </c>
    </row>
    <row r="1425" spans="5:9" ht="15.75" hidden="1" customHeight="1" x14ac:dyDescent="0.2">
      <c r="E1425" t="s">
        <v>467</v>
      </c>
      <c r="F1425">
        <v>122</v>
      </c>
      <c r="G1425" t="s">
        <v>245</v>
      </c>
      <c r="H1425" t="s">
        <v>8</v>
      </c>
      <c r="I1425" t="s">
        <v>364</v>
      </c>
    </row>
    <row r="1426" spans="5:9" ht="15.75" hidden="1" customHeight="1" x14ac:dyDescent="0.2">
      <c r="E1426" t="s">
        <v>468</v>
      </c>
      <c r="F1426">
        <v>123</v>
      </c>
      <c r="G1426" t="s">
        <v>245</v>
      </c>
      <c r="H1426" t="s">
        <v>8</v>
      </c>
      <c r="I1426">
        <v>0</v>
      </c>
    </row>
    <row r="1427" spans="5:9" ht="15.75" hidden="1" customHeight="1" x14ac:dyDescent="0.2">
      <c r="E1427" t="s">
        <v>469</v>
      </c>
      <c r="F1427">
        <v>124</v>
      </c>
      <c r="G1427" t="s">
        <v>245</v>
      </c>
      <c r="H1427" t="s">
        <v>8</v>
      </c>
      <c r="I1427">
        <v>0</v>
      </c>
    </row>
    <row r="1428" spans="5:9" ht="15.75" hidden="1" customHeight="1" x14ac:dyDescent="0.2">
      <c r="E1428" t="s">
        <v>470</v>
      </c>
      <c r="F1428">
        <v>125</v>
      </c>
      <c r="G1428" t="s">
        <v>245</v>
      </c>
      <c r="H1428" t="s">
        <v>8</v>
      </c>
      <c r="I1428">
        <v>0</v>
      </c>
    </row>
    <row r="1429" spans="5:9" ht="15.75" hidden="1" customHeight="1" x14ac:dyDescent="0.2">
      <c r="E1429" t="s">
        <v>471</v>
      </c>
      <c r="F1429">
        <v>126</v>
      </c>
      <c r="G1429" t="s">
        <v>245</v>
      </c>
      <c r="H1429" t="s">
        <v>8</v>
      </c>
      <c r="I1429">
        <v>0</v>
      </c>
    </row>
    <row r="1430" spans="5:9" ht="15.75" hidden="1" customHeight="1" x14ac:dyDescent="0.2">
      <c r="E1430" t="s">
        <v>472</v>
      </c>
      <c r="F1430">
        <v>127</v>
      </c>
      <c r="G1430" t="s">
        <v>245</v>
      </c>
      <c r="H1430" t="s">
        <v>8</v>
      </c>
      <c r="I1430">
        <v>0</v>
      </c>
    </row>
    <row r="1431" spans="5:9" ht="15.75" hidden="1" customHeight="1" x14ac:dyDescent="0.2">
      <c r="E1431" t="s">
        <v>473</v>
      </c>
      <c r="F1431">
        <v>128</v>
      </c>
      <c r="G1431" t="s">
        <v>245</v>
      </c>
      <c r="H1431" t="s">
        <v>8</v>
      </c>
      <c r="I1431">
        <v>0</v>
      </c>
    </row>
    <row r="1432" spans="5:9" ht="15.75" hidden="1" customHeight="1" x14ac:dyDescent="0.2">
      <c r="E1432" t="s">
        <v>474</v>
      </c>
      <c r="F1432">
        <v>129</v>
      </c>
      <c r="G1432" t="s">
        <v>245</v>
      </c>
      <c r="H1432" t="s">
        <v>8</v>
      </c>
      <c r="I1432">
        <v>0</v>
      </c>
    </row>
    <row r="1433" spans="5:9" ht="15.75" hidden="1" customHeight="1" x14ac:dyDescent="0.2">
      <c r="E1433" t="s">
        <v>476</v>
      </c>
      <c r="F1433">
        <v>130</v>
      </c>
      <c r="G1433" t="s">
        <v>245</v>
      </c>
      <c r="H1433" t="s">
        <v>8</v>
      </c>
      <c r="I1433">
        <v>0</v>
      </c>
    </row>
    <row r="1434" spans="5:9" ht="15.75" hidden="1" customHeight="1" x14ac:dyDescent="0.2">
      <c r="E1434" t="s">
        <v>478</v>
      </c>
      <c r="F1434">
        <v>131</v>
      </c>
      <c r="G1434" t="s">
        <v>245</v>
      </c>
      <c r="H1434" t="s">
        <v>8</v>
      </c>
      <c r="I1434">
        <v>52.303800000000003</v>
      </c>
    </row>
    <row r="1435" spans="5:9" ht="15.75" hidden="1" customHeight="1" x14ac:dyDescent="0.2">
      <c r="E1435" t="s">
        <v>440</v>
      </c>
      <c r="F1435">
        <v>132</v>
      </c>
      <c r="G1435" t="s">
        <v>245</v>
      </c>
      <c r="H1435" t="s">
        <v>8</v>
      </c>
      <c r="I1435">
        <v>23.2193</v>
      </c>
    </row>
    <row r="1436" spans="5:9" ht="15.75" hidden="1" customHeight="1" x14ac:dyDescent="0.2">
      <c r="E1436" t="s">
        <v>441</v>
      </c>
      <c r="F1436">
        <v>133</v>
      </c>
      <c r="G1436" t="s">
        <v>245</v>
      </c>
      <c r="H1436" t="s">
        <v>8</v>
      </c>
      <c r="I1436">
        <v>12</v>
      </c>
    </row>
    <row r="1437" spans="5:9" ht="15.75" hidden="1" customHeight="1" x14ac:dyDescent="0.2">
      <c r="E1437" t="s">
        <v>442</v>
      </c>
      <c r="F1437">
        <v>134</v>
      </c>
      <c r="G1437" t="s">
        <v>245</v>
      </c>
      <c r="H1437" t="s">
        <v>8</v>
      </c>
      <c r="I1437">
        <v>12</v>
      </c>
    </row>
    <row r="1438" spans="5:9" ht="15.75" hidden="1" customHeight="1" x14ac:dyDescent="0.2">
      <c r="E1438" t="s">
        <v>443</v>
      </c>
      <c r="F1438">
        <v>135</v>
      </c>
      <c r="G1438" t="s">
        <v>245</v>
      </c>
      <c r="H1438" t="s">
        <v>8</v>
      </c>
      <c r="I1438">
        <v>186561.87779999999</v>
      </c>
    </row>
    <row r="1439" spans="5:9" ht="15.75" hidden="1" customHeight="1" x14ac:dyDescent="0.2">
      <c r="E1439" t="s">
        <v>362</v>
      </c>
      <c r="F1439">
        <v>136</v>
      </c>
      <c r="G1439" t="s">
        <v>245</v>
      </c>
      <c r="H1439" t="s">
        <v>8</v>
      </c>
      <c r="I1439">
        <v>62.269799999999996</v>
      </c>
    </row>
    <row r="1440" spans="5:9" ht="15.75" hidden="1" customHeight="1" x14ac:dyDescent="0.2">
      <c r="E1440" t="s">
        <v>482</v>
      </c>
      <c r="F1440">
        <v>137</v>
      </c>
      <c r="G1440" t="s">
        <v>245</v>
      </c>
      <c r="H1440" t="s">
        <v>8</v>
      </c>
      <c r="I1440">
        <v>1524.0397</v>
      </c>
    </row>
    <row r="1441" spans="5:9" ht="15.75" hidden="1" customHeight="1" x14ac:dyDescent="0.2">
      <c r="E1441" t="s">
        <v>483</v>
      </c>
      <c r="F1441">
        <v>138</v>
      </c>
      <c r="G1441" t="s">
        <v>245</v>
      </c>
      <c r="H1441" t="s">
        <v>8</v>
      </c>
      <c r="I1441">
        <v>15830.8495</v>
      </c>
    </row>
    <row r="1442" spans="5:9" ht="15.75" hidden="1" customHeight="1" x14ac:dyDescent="0.2">
      <c r="E1442" t="s">
        <v>484</v>
      </c>
      <c r="F1442">
        <v>139</v>
      </c>
      <c r="G1442" t="s">
        <v>245</v>
      </c>
      <c r="H1442" t="s">
        <v>8</v>
      </c>
      <c r="I1442">
        <v>80893.950100000002</v>
      </c>
    </row>
    <row r="1443" spans="5:9" ht="15.75" hidden="1" customHeight="1" x14ac:dyDescent="0.2">
      <c r="E1443" t="s">
        <v>486</v>
      </c>
      <c r="F1443">
        <v>140</v>
      </c>
      <c r="G1443" t="s">
        <v>245</v>
      </c>
      <c r="H1443" t="s">
        <v>8</v>
      </c>
      <c r="I1443">
        <v>260.45940000000002</v>
      </c>
    </row>
    <row r="1444" spans="5:9" ht="15.75" hidden="1" customHeight="1" x14ac:dyDescent="0.2">
      <c r="E1444" t="s">
        <v>487</v>
      </c>
      <c r="F1444">
        <v>141</v>
      </c>
      <c r="G1444" t="s">
        <v>245</v>
      </c>
      <c r="H1444" t="s">
        <v>8</v>
      </c>
      <c r="I1444">
        <v>85.421000000000006</v>
      </c>
    </row>
    <row r="1445" spans="5:9" ht="15.75" hidden="1" customHeight="1" x14ac:dyDescent="0.2">
      <c r="E1445" t="s">
        <v>446</v>
      </c>
      <c r="F1445">
        <v>142</v>
      </c>
      <c r="G1445" t="s">
        <v>245</v>
      </c>
      <c r="H1445" t="s">
        <v>8</v>
      </c>
      <c r="I1445">
        <v>4434.9047</v>
      </c>
    </row>
    <row r="1446" spans="5:9" ht="15.75" hidden="1" customHeight="1" x14ac:dyDescent="0.2">
      <c r="E1446" t="s">
        <v>447</v>
      </c>
      <c r="F1446">
        <v>143</v>
      </c>
      <c r="G1446" t="s">
        <v>245</v>
      </c>
      <c r="H1446" t="s">
        <v>8</v>
      </c>
      <c r="I1446">
        <v>780</v>
      </c>
    </row>
    <row r="1447" spans="5:9" ht="15.75" hidden="1" customHeight="1" x14ac:dyDescent="0.2">
      <c r="E1447" t="s">
        <v>448</v>
      </c>
      <c r="F1447">
        <v>144</v>
      </c>
      <c r="G1447" t="s">
        <v>245</v>
      </c>
      <c r="H1447" t="s">
        <v>8</v>
      </c>
      <c r="I1447">
        <v>31.019600000000001</v>
      </c>
    </row>
    <row r="1448" spans="5:9" ht="15.75" hidden="1" customHeight="1" x14ac:dyDescent="0.2">
      <c r="E1448" t="s">
        <v>449</v>
      </c>
      <c r="F1448">
        <v>145</v>
      </c>
      <c r="G1448" t="s">
        <v>245</v>
      </c>
      <c r="H1448" t="s">
        <v>8</v>
      </c>
      <c r="I1448">
        <v>36.189500000000002</v>
      </c>
    </row>
    <row r="1449" spans="5:9" ht="15.75" hidden="1" customHeight="1" x14ac:dyDescent="0.2">
      <c r="E1449" t="s">
        <v>450</v>
      </c>
      <c r="F1449">
        <v>146</v>
      </c>
      <c r="G1449" t="s">
        <v>245</v>
      </c>
      <c r="H1449" t="s">
        <v>8</v>
      </c>
      <c r="I1449">
        <v>12</v>
      </c>
    </row>
    <row r="1450" spans="5:9" ht="15.75" hidden="1" customHeight="1" x14ac:dyDescent="0.2">
      <c r="E1450" t="s">
        <v>451</v>
      </c>
      <c r="F1450">
        <v>147</v>
      </c>
      <c r="G1450" t="s">
        <v>245</v>
      </c>
      <c r="H1450" t="s">
        <v>8</v>
      </c>
      <c r="I1450">
        <v>12</v>
      </c>
    </row>
    <row r="1451" spans="5:9" ht="15.75" hidden="1" customHeight="1" x14ac:dyDescent="0.2">
      <c r="E1451" t="s">
        <v>488</v>
      </c>
      <c r="F1451">
        <v>148</v>
      </c>
      <c r="G1451" t="s">
        <v>245</v>
      </c>
      <c r="H1451" t="s">
        <v>8</v>
      </c>
      <c r="I1451">
        <v>48</v>
      </c>
    </row>
    <row r="1452" spans="5:9" ht="15.75" hidden="1" customHeight="1" x14ac:dyDescent="0.2">
      <c r="E1452" t="s">
        <v>452</v>
      </c>
      <c r="F1452">
        <v>149</v>
      </c>
      <c r="G1452" t="s">
        <v>245</v>
      </c>
      <c r="H1452" t="s">
        <v>8</v>
      </c>
      <c r="I1452">
        <v>571.10320000000002</v>
      </c>
    </row>
    <row r="1453" spans="5:9" ht="15.75" hidden="1" customHeight="1" x14ac:dyDescent="0.2">
      <c r="E1453" t="s">
        <v>453</v>
      </c>
      <c r="F1453">
        <v>150</v>
      </c>
      <c r="G1453" t="s">
        <v>245</v>
      </c>
      <c r="H1453" t="s">
        <v>8</v>
      </c>
      <c r="I1453">
        <v>12</v>
      </c>
    </row>
    <row r="1454" spans="5:9" ht="15.75" hidden="1" customHeight="1" x14ac:dyDescent="0.2">
      <c r="E1454" t="s">
        <v>454</v>
      </c>
      <c r="F1454">
        <v>151</v>
      </c>
      <c r="G1454" t="s">
        <v>245</v>
      </c>
      <c r="H1454" t="s">
        <v>8</v>
      </c>
      <c r="I1454">
        <v>237.74440000000001</v>
      </c>
    </row>
    <row r="1455" spans="5:9" ht="15.75" hidden="1" customHeight="1" x14ac:dyDescent="0.2">
      <c r="E1455" t="s">
        <v>455</v>
      </c>
      <c r="F1455">
        <v>152</v>
      </c>
      <c r="G1455" t="s">
        <v>245</v>
      </c>
      <c r="H1455" t="s">
        <v>8</v>
      </c>
      <c r="I1455">
        <v>12</v>
      </c>
    </row>
    <row r="1456" spans="5:9" ht="15.75" hidden="1" customHeight="1" x14ac:dyDescent="0.2">
      <c r="E1456" t="s">
        <v>456</v>
      </c>
      <c r="F1456">
        <v>153</v>
      </c>
      <c r="G1456" t="s">
        <v>245</v>
      </c>
      <c r="H1456" t="s">
        <v>8</v>
      </c>
      <c r="I1456">
        <v>8</v>
      </c>
    </row>
    <row r="1457" spans="5:9" ht="15.75" hidden="1" customHeight="1" x14ac:dyDescent="0.2">
      <c r="E1457" t="s">
        <v>489</v>
      </c>
      <c r="F1457">
        <v>154</v>
      </c>
      <c r="G1457" t="s">
        <v>245</v>
      </c>
      <c r="H1457" t="s">
        <v>8</v>
      </c>
      <c r="I1457">
        <v>248.03729999999999</v>
      </c>
    </row>
    <row r="1458" spans="5:9" ht="15.75" hidden="1" customHeight="1" x14ac:dyDescent="0.2">
      <c r="E1458" t="s">
        <v>457</v>
      </c>
      <c r="F1458">
        <v>155</v>
      </c>
      <c r="G1458" t="s">
        <v>245</v>
      </c>
      <c r="H1458" t="s">
        <v>8</v>
      </c>
      <c r="I1458">
        <v>8</v>
      </c>
    </row>
    <row r="1459" spans="5:9" ht="15.75" hidden="1" customHeight="1" x14ac:dyDescent="0.2">
      <c r="E1459" t="s">
        <v>362</v>
      </c>
      <c r="F1459">
        <v>156</v>
      </c>
      <c r="G1459" t="s">
        <v>245</v>
      </c>
      <c r="H1459" t="s">
        <v>8</v>
      </c>
      <c r="I1459">
        <v>63.398499999999999</v>
      </c>
    </row>
    <row r="1460" spans="5:9" ht="15.75" hidden="1" customHeight="1" x14ac:dyDescent="0.2">
      <c r="E1460" t="s">
        <v>491</v>
      </c>
      <c r="F1460">
        <v>157</v>
      </c>
      <c r="G1460" t="s">
        <v>245</v>
      </c>
      <c r="H1460" t="s">
        <v>8</v>
      </c>
      <c r="I1460">
        <v>9168.5966000000008</v>
      </c>
    </row>
    <row r="1461" spans="5:9" ht="15.75" hidden="1" customHeight="1" x14ac:dyDescent="0.2">
      <c r="E1461" t="s">
        <v>492</v>
      </c>
      <c r="F1461">
        <v>158</v>
      </c>
      <c r="G1461" t="s">
        <v>245</v>
      </c>
      <c r="H1461" t="s">
        <v>8</v>
      </c>
      <c r="I1461">
        <v>1198.2242000000001</v>
      </c>
    </row>
    <row r="1462" spans="5:9" ht="15.75" hidden="1" customHeight="1" x14ac:dyDescent="0.2">
      <c r="E1462" t="s">
        <v>493</v>
      </c>
      <c r="F1462">
        <v>159</v>
      </c>
      <c r="G1462" t="s">
        <v>245</v>
      </c>
      <c r="H1462" t="s">
        <v>8</v>
      </c>
      <c r="I1462">
        <v>805.33630000000005</v>
      </c>
    </row>
    <row r="1463" spans="5:9" ht="15.75" hidden="1" customHeight="1" x14ac:dyDescent="0.2">
      <c r="E1463" t="s">
        <v>494</v>
      </c>
      <c r="F1463">
        <v>160</v>
      </c>
      <c r="G1463" t="s">
        <v>245</v>
      </c>
      <c r="H1463" t="s">
        <v>8</v>
      </c>
      <c r="I1463">
        <v>1170.2518</v>
      </c>
    </row>
    <row r="1464" spans="5:9" ht="15.75" hidden="1" customHeight="1" x14ac:dyDescent="0.2">
      <c r="E1464" t="s">
        <v>496</v>
      </c>
      <c r="F1464">
        <v>161</v>
      </c>
      <c r="G1464" t="s">
        <v>245</v>
      </c>
      <c r="H1464" t="s">
        <v>8</v>
      </c>
      <c r="I1464">
        <v>475.16759999999999</v>
      </c>
    </row>
    <row r="1465" spans="5:9" ht="15.75" hidden="1" customHeight="1" x14ac:dyDescent="0.2">
      <c r="E1465" t="s">
        <v>497</v>
      </c>
      <c r="F1465">
        <v>162</v>
      </c>
      <c r="G1465" t="s">
        <v>245</v>
      </c>
      <c r="H1465" t="s">
        <v>8</v>
      </c>
      <c r="I1465">
        <v>3154.0862000000002</v>
      </c>
    </row>
    <row r="1466" spans="5:9" ht="15.75" hidden="1" customHeight="1" x14ac:dyDescent="0.2">
      <c r="E1466" t="s">
        <v>459</v>
      </c>
      <c r="F1466">
        <v>163</v>
      </c>
      <c r="G1466" t="s">
        <v>245</v>
      </c>
      <c r="H1466" t="s">
        <v>8</v>
      </c>
      <c r="I1466">
        <v>988.44330000000002</v>
      </c>
    </row>
    <row r="1467" spans="5:9" ht="15.75" hidden="1" customHeight="1" x14ac:dyDescent="0.2">
      <c r="E1467" t="s">
        <v>460</v>
      </c>
      <c r="F1467">
        <v>164</v>
      </c>
      <c r="G1467" t="s">
        <v>245</v>
      </c>
      <c r="H1467" t="s">
        <v>8</v>
      </c>
      <c r="I1467">
        <v>4.7549000000000001</v>
      </c>
    </row>
    <row r="1468" spans="5:9" ht="15.75" hidden="1" customHeight="1" x14ac:dyDescent="0.2">
      <c r="E1468" t="s">
        <v>461</v>
      </c>
      <c r="F1468">
        <v>165</v>
      </c>
      <c r="G1468" t="s">
        <v>245</v>
      </c>
      <c r="H1468" t="s">
        <v>8</v>
      </c>
      <c r="I1468">
        <v>1566</v>
      </c>
    </row>
    <row r="1469" spans="5:9" ht="15.75" hidden="1" customHeight="1" x14ac:dyDescent="0.2">
      <c r="E1469" t="s">
        <v>462</v>
      </c>
      <c r="F1469">
        <v>166</v>
      </c>
      <c r="G1469" t="s">
        <v>245</v>
      </c>
      <c r="H1469" t="s">
        <v>8</v>
      </c>
      <c r="I1469">
        <v>4.7549000000000001</v>
      </c>
    </row>
    <row r="1470" spans="5:9" ht="15.75" hidden="1" customHeight="1" x14ac:dyDescent="0.2">
      <c r="E1470" t="s">
        <v>463</v>
      </c>
      <c r="F1470">
        <v>167</v>
      </c>
      <c r="G1470" t="s">
        <v>245</v>
      </c>
      <c r="H1470" t="s">
        <v>8</v>
      </c>
      <c r="I1470">
        <v>1402.0853999999999</v>
      </c>
    </row>
    <row r="1471" spans="5:9" ht="15.75" hidden="1" customHeight="1" x14ac:dyDescent="0.2">
      <c r="E1471" t="s">
        <v>464</v>
      </c>
      <c r="F1471">
        <v>168</v>
      </c>
      <c r="G1471" t="s">
        <v>245</v>
      </c>
      <c r="H1471" t="s">
        <v>8</v>
      </c>
      <c r="I1471">
        <v>4.7549000000000001</v>
      </c>
    </row>
    <row r="1472" spans="5:9" ht="15.75" hidden="1" customHeight="1" x14ac:dyDescent="0.2">
      <c r="E1472" t="s">
        <v>465</v>
      </c>
      <c r="F1472">
        <v>169</v>
      </c>
      <c r="G1472" t="s">
        <v>245</v>
      </c>
      <c r="H1472" t="s">
        <v>8</v>
      </c>
      <c r="I1472">
        <v>4.7549000000000001</v>
      </c>
    </row>
    <row r="1473" spans="5:9" ht="15.75" hidden="1" customHeight="1" x14ac:dyDescent="0.2">
      <c r="E1473" t="s">
        <v>466</v>
      </c>
      <c r="F1473">
        <v>170</v>
      </c>
      <c r="G1473" t="s">
        <v>245</v>
      </c>
      <c r="H1473" t="s">
        <v>8</v>
      </c>
      <c r="I1473">
        <v>1566</v>
      </c>
    </row>
    <row r="1474" spans="5:9" ht="15.75" hidden="1" customHeight="1" x14ac:dyDescent="0.2">
      <c r="E1474" t="s">
        <v>467</v>
      </c>
      <c r="F1474">
        <v>171</v>
      </c>
      <c r="G1474" t="s">
        <v>245</v>
      </c>
      <c r="H1474" t="s">
        <v>8</v>
      </c>
      <c r="I1474">
        <v>4.7549000000000001</v>
      </c>
    </row>
    <row r="1475" spans="5:9" ht="15.75" hidden="1" customHeight="1" x14ac:dyDescent="0.2">
      <c r="E1475" t="s">
        <v>468</v>
      </c>
      <c r="F1475">
        <v>172</v>
      </c>
      <c r="G1475" t="s">
        <v>245</v>
      </c>
      <c r="H1475" t="s">
        <v>8</v>
      </c>
      <c r="I1475">
        <v>1402.0853999999999</v>
      </c>
    </row>
    <row r="1476" spans="5:9" ht="15.75" hidden="1" customHeight="1" x14ac:dyDescent="0.2">
      <c r="E1476" t="s">
        <v>469</v>
      </c>
      <c r="F1476">
        <v>173</v>
      </c>
      <c r="G1476" t="s">
        <v>245</v>
      </c>
      <c r="H1476" t="s">
        <v>8</v>
      </c>
      <c r="I1476">
        <v>1089.1259</v>
      </c>
    </row>
    <row r="1477" spans="5:9" ht="15.75" hidden="1" customHeight="1" x14ac:dyDescent="0.2">
      <c r="E1477" t="s">
        <v>470</v>
      </c>
      <c r="F1477">
        <v>174</v>
      </c>
      <c r="G1477" t="s">
        <v>245</v>
      </c>
      <c r="H1477" t="s">
        <v>8</v>
      </c>
      <c r="I1477">
        <v>629.07479999999998</v>
      </c>
    </row>
    <row r="1478" spans="5:9" ht="15.75" hidden="1" customHeight="1" x14ac:dyDescent="0.2">
      <c r="E1478" t="s">
        <v>471</v>
      </c>
      <c r="F1478">
        <v>175</v>
      </c>
      <c r="G1478" t="s">
        <v>245</v>
      </c>
      <c r="H1478" t="s">
        <v>8</v>
      </c>
      <c r="I1478">
        <v>38.7744</v>
      </c>
    </row>
    <row r="1479" spans="5:9" ht="15.75" hidden="1" customHeight="1" x14ac:dyDescent="0.2">
      <c r="E1479" t="s">
        <v>472</v>
      </c>
      <c r="F1479">
        <v>176</v>
      </c>
      <c r="G1479" t="s">
        <v>245</v>
      </c>
      <c r="H1479" t="s">
        <v>8</v>
      </c>
      <c r="I1479">
        <v>797.05529999999999</v>
      </c>
    </row>
    <row r="1480" spans="5:9" ht="15.75" hidden="1" customHeight="1" x14ac:dyDescent="0.2">
      <c r="E1480" t="s">
        <v>362</v>
      </c>
      <c r="F1480">
        <v>177</v>
      </c>
      <c r="G1480" t="s">
        <v>245</v>
      </c>
      <c r="H1480" t="s">
        <v>8</v>
      </c>
      <c r="I1480">
        <v>31.5</v>
      </c>
    </row>
    <row r="1481" spans="5:9" ht="15.75" hidden="1" customHeight="1" x14ac:dyDescent="0.2">
      <c r="E1481" t="s">
        <v>473</v>
      </c>
      <c r="F1481">
        <v>178</v>
      </c>
      <c r="G1481" t="s">
        <v>245</v>
      </c>
      <c r="H1481" t="s">
        <v>8</v>
      </c>
      <c r="I1481">
        <v>1235.3393000000001</v>
      </c>
    </row>
    <row r="1482" spans="5:9" ht="15.75" hidden="1" customHeight="1" x14ac:dyDescent="0.2">
      <c r="E1482" t="s">
        <v>474</v>
      </c>
      <c r="F1482">
        <v>179</v>
      </c>
      <c r="G1482" t="s">
        <v>245</v>
      </c>
      <c r="H1482" t="s">
        <v>8</v>
      </c>
      <c r="I1482">
        <v>686.69380000000001</v>
      </c>
    </row>
    <row r="1483" spans="5:9" ht="15.75" hidden="1" customHeight="1" x14ac:dyDescent="0.2">
      <c r="E1483" t="s">
        <v>499</v>
      </c>
      <c r="F1483">
        <v>180</v>
      </c>
      <c r="G1483" t="s">
        <v>245</v>
      </c>
      <c r="H1483" t="s">
        <v>8</v>
      </c>
      <c r="I1483">
        <v>1398.0318</v>
      </c>
    </row>
    <row r="1484" spans="5:9" ht="15.75" hidden="1" customHeight="1" x14ac:dyDescent="0.2">
      <c r="E1484" t="s">
        <v>500</v>
      </c>
      <c r="F1484">
        <v>181</v>
      </c>
      <c r="G1484" t="s">
        <v>245</v>
      </c>
      <c r="H1484" t="s">
        <v>8</v>
      </c>
      <c r="I1484">
        <v>4771.3662999999997</v>
      </c>
    </row>
    <row r="1485" spans="5:9" ht="15.75" hidden="1" customHeight="1" x14ac:dyDescent="0.2">
      <c r="E1485" t="s">
        <v>501</v>
      </c>
      <c r="F1485">
        <v>182</v>
      </c>
      <c r="G1485" t="s">
        <v>245</v>
      </c>
      <c r="H1485" t="s">
        <v>8</v>
      </c>
      <c r="I1485">
        <v>190025.48860000001</v>
      </c>
    </row>
    <row r="1486" spans="5:9" ht="15.75" hidden="1" customHeight="1" x14ac:dyDescent="0.2">
      <c r="E1486" t="s">
        <v>502</v>
      </c>
      <c r="F1486">
        <v>183</v>
      </c>
      <c r="G1486" t="s">
        <v>245</v>
      </c>
      <c r="H1486" t="s">
        <v>8</v>
      </c>
      <c r="I1486">
        <v>1229.3746000000001</v>
      </c>
    </row>
    <row r="1487" spans="5:9" ht="15.75" hidden="1" customHeight="1" x14ac:dyDescent="0.2">
      <c r="E1487" t="s">
        <v>503</v>
      </c>
      <c r="F1487">
        <v>184</v>
      </c>
      <c r="G1487" t="s">
        <v>245</v>
      </c>
      <c r="H1487" t="s">
        <v>8</v>
      </c>
      <c r="I1487">
        <v>8772.2394999999997</v>
      </c>
    </row>
    <row r="1488" spans="5:9" ht="15.75" hidden="1" customHeight="1" x14ac:dyDescent="0.2">
      <c r="E1488" t="s">
        <v>504</v>
      </c>
      <c r="F1488">
        <v>185</v>
      </c>
      <c r="G1488" t="s">
        <v>245</v>
      </c>
      <c r="H1488" t="s">
        <v>8</v>
      </c>
      <c r="I1488">
        <v>344.15640000000002</v>
      </c>
    </row>
    <row r="1489" spans="5:9" ht="15.75" hidden="1" customHeight="1" x14ac:dyDescent="0.2">
      <c r="E1489" t="s">
        <v>505</v>
      </c>
      <c r="F1489">
        <v>186</v>
      </c>
      <c r="G1489" t="s">
        <v>245</v>
      </c>
      <c r="H1489" t="s">
        <v>8</v>
      </c>
      <c r="I1489">
        <v>720.80129999999997</v>
      </c>
    </row>
    <row r="1490" spans="5:9" ht="15.75" hidden="1" customHeight="1" x14ac:dyDescent="0.2">
      <c r="E1490" t="s">
        <v>287</v>
      </c>
      <c r="F1490">
        <v>1</v>
      </c>
      <c r="G1490" t="s">
        <v>247</v>
      </c>
      <c r="H1490" t="s">
        <v>9</v>
      </c>
      <c r="I1490">
        <v>1.4999999999999999E-2</v>
      </c>
    </row>
    <row r="1491" spans="5:9" ht="15.75" hidden="1" customHeight="1" x14ac:dyDescent="0.2">
      <c r="E1491" t="s">
        <v>350</v>
      </c>
      <c r="F1491">
        <v>2</v>
      </c>
      <c r="G1491" t="s">
        <v>247</v>
      </c>
      <c r="H1491" t="s">
        <v>9</v>
      </c>
      <c r="I1491">
        <v>1.3100000000000001E-2</v>
      </c>
    </row>
    <row r="1492" spans="5:9" ht="15.75" hidden="1" customHeight="1" x14ac:dyDescent="0.2">
      <c r="E1492" t="s">
        <v>351</v>
      </c>
      <c r="F1492">
        <v>3</v>
      </c>
      <c r="G1492" t="s">
        <v>247</v>
      </c>
      <c r="H1492" t="s">
        <v>9</v>
      </c>
      <c r="I1492">
        <v>0.23669999999999999</v>
      </c>
    </row>
    <row r="1493" spans="5:9" ht="15.75" hidden="1" customHeight="1" x14ac:dyDescent="0.2">
      <c r="E1493" t="s">
        <v>352</v>
      </c>
      <c r="F1493">
        <v>4</v>
      </c>
      <c r="G1493" t="s">
        <v>247</v>
      </c>
      <c r="H1493" t="s">
        <v>9</v>
      </c>
      <c r="I1493">
        <v>0.13469999999999999</v>
      </c>
    </row>
    <row r="1494" spans="5:9" ht="15.75" hidden="1" customHeight="1" x14ac:dyDescent="0.2">
      <c r="E1494" t="s">
        <v>354</v>
      </c>
      <c r="F1494">
        <v>5</v>
      </c>
      <c r="G1494" t="s">
        <v>247</v>
      </c>
      <c r="H1494" t="s">
        <v>9</v>
      </c>
      <c r="I1494">
        <v>0.17660000000000001</v>
      </c>
    </row>
    <row r="1495" spans="5:9" ht="15.75" hidden="1" customHeight="1" x14ac:dyDescent="0.2">
      <c r="E1495" t="s">
        <v>356</v>
      </c>
      <c r="F1495">
        <v>6</v>
      </c>
      <c r="G1495" t="s">
        <v>247</v>
      </c>
      <c r="H1495" t="s">
        <v>9</v>
      </c>
      <c r="I1495">
        <v>0.17660000000000001</v>
      </c>
    </row>
    <row r="1496" spans="5:9" ht="15.75" hidden="1" customHeight="1" x14ac:dyDescent="0.2">
      <c r="E1496" t="s">
        <v>358</v>
      </c>
      <c r="F1496">
        <v>7</v>
      </c>
      <c r="G1496" t="s">
        <v>247</v>
      </c>
      <c r="H1496" t="s">
        <v>9</v>
      </c>
      <c r="I1496">
        <v>1.2999999999999999E-3</v>
      </c>
    </row>
    <row r="1497" spans="5:9" ht="15.75" hidden="1" customHeight="1" x14ac:dyDescent="0.2">
      <c r="E1497" t="s">
        <v>359</v>
      </c>
      <c r="F1497">
        <v>8</v>
      </c>
      <c r="G1497" t="s">
        <v>247</v>
      </c>
      <c r="H1497" t="s">
        <v>9</v>
      </c>
      <c r="I1497">
        <v>2.41E-2</v>
      </c>
    </row>
    <row r="1498" spans="5:9" ht="15.75" hidden="1" customHeight="1" x14ac:dyDescent="0.2">
      <c r="E1498" t="s">
        <v>360</v>
      </c>
      <c r="F1498">
        <v>9</v>
      </c>
      <c r="G1498" t="s">
        <v>247</v>
      </c>
      <c r="H1498" t="s">
        <v>9</v>
      </c>
      <c r="I1498">
        <v>1.6999999999999999E-3</v>
      </c>
    </row>
    <row r="1499" spans="5:9" ht="15.75" hidden="1" customHeight="1" x14ac:dyDescent="0.2">
      <c r="E1499" t="s">
        <v>361</v>
      </c>
      <c r="F1499">
        <v>10</v>
      </c>
      <c r="G1499" t="s">
        <v>247</v>
      </c>
      <c r="H1499" t="s">
        <v>9</v>
      </c>
      <c r="I1499">
        <v>1.09E-2</v>
      </c>
    </row>
    <row r="1500" spans="5:9" ht="15.75" hidden="1" customHeight="1" x14ac:dyDescent="0.2">
      <c r="E1500" t="s">
        <v>362</v>
      </c>
      <c r="F1500">
        <v>11</v>
      </c>
      <c r="G1500" t="s">
        <v>247</v>
      </c>
      <c r="H1500" t="s">
        <v>9</v>
      </c>
      <c r="I1500">
        <v>2.2000000000000001E-3</v>
      </c>
    </row>
    <row r="1501" spans="5:9" ht="15.75" hidden="1" customHeight="1" x14ac:dyDescent="0.2">
      <c r="E1501" t="s">
        <v>363</v>
      </c>
      <c r="F1501">
        <v>12</v>
      </c>
      <c r="G1501" t="s">
        <v>247</v>
      </c>
      <c r="H1501" t="s">
        <v>9</v>
      </c>
      <c r="I1501" t="s">
        <v>364</v>
      </c>
    </row>
    <row r="1502" spans="5:9" ht="15.75" hidden="1" customHeight="1" x14ac:dyDescent="0.2">
      <c r="E1502" t="s">
        <v>365</v>
      </c>
      <c r="F1502">
        <v>13</v>
      </c>
      <c r="G1502" t="s">
        <v>247</v>
      </c>
      <c r="H1502" t="s">
        <v>9</v>
      </c>
      <c r="I1502" t="s">
        <v>364</v>
      </c>
    </row>
    <row r="1503" spans="5:9" ht="15.75" hidden="1" customHeight="1" x14ac:dyDescent="0.2">
      <c r="E1503" t="s">
        <v>369</v>
      </c>
      <c r="F1503">
        <v>14</v>
      </c>
      <c r="G1503" t="s">
        <v>247</v>
      </c>
      <c r="H1503" t="s">
        <v>9</v>
      </c>
      <c r="I1503">
        <v>8.9999999999999998E-4</v>
      </c>
    </row>
    <row r="1504" spans="5:9" ht="15.75" hidden="1" customHeight="1" x14ac:dyDescent="0.2">
      <c r="E1504" t="s">
        <v>370</v>
      </c>
      <c r="F1504">
        <v>15</v>
      </c>
      <c r="G1504" t="s">
        <v>247</v>
      </c>
      <c r="H1504" t="s">
        <v>9</v>
      </c>
      <c r="I1504">
        <v>3.5400000000000001E-2</v>
      </c>
    </row>
    <row r="1505" spans="5:9" ht="15.75" hidden="1" customHeight="1" x14ac:dyDescent="0.2">
      <c r="E1505" t="s">
        <v>371</v>
      </c>
      <c r="F1505">
        <v>16</v>
      </c>
      <c r="G1505" t="s">
        <v>247</v>
      </c>
      <c r="H1505" t="s">
        <v>9</v>
      </c>
      <c r="I1505">
        <v>3.56E-2</v>
      </c>
    </row>
    <row r="1506" spans="5:9" ht="15.75" hidden="1" customHeight="1" x14ac:dyDescent="0.2">
      <c r="E1506" t="s">
        <v>372</v>
      </c>
      <c r="F1506">
        <v>17</v>
      </c>
      <c r="G1506" t="s">
        <v>247</v>
      </c>
      <c r="H1506" t="s">
        <v>9</v>
      </c>
      <c r="I1506">
        <v>6.3E-2</v>
      </c>
    </row>
    <row r="1507" spans="5:9" ht="15.75" hidden="1" customHeight="1" x14ac:dyDescent="0.2">
      <c r="E1507" t="s">
        <v>373</v>
      </c>
      <c r="F1507">
        <v>18</v>
      </c>
      <c r="G1507" t="s">
        <v>247</v>
      </c>
      <c r="H1507" t="s">
        <v>9</v>
      </c>
      <c r="I1507">
        <v>1.26E-2</v>
      </c>
    </row>
    <row r="1508" spans="5:9" ht="15.75" hidden="1" customHeight="1" x14ac:dyDescent="0.2">
      <c r="E1508" t="s">
        <v>374</v>
      </c>
      <c r="F1508">
        <v>19</v>
      </c>
      <c r="G1508" t="s">
        <v>247</v>
      </c>
      <c r="H1508" t="s">
        <v>9</v>
      </c>
      <c r="I1508">
        <v>8.9999999999999998E-4</v>
      </c>
    </row>
    <row r="1509" spans="5:9" ht="15.75" hidden="1" customHeight="1" x14ac:dyDescent="0.2">
      <c r="E1509" t="s">
        <v>375</v>
      </c>
      <c r="F1509">
        <v>20</v>
      </c>
      <c r="G1509" t="s">
        <v>247</v>
      </c>
      <c r="H1509" t="s">
        <v>9</v>
      </c>
      <c r="I1509">
        <v>2.2700000000000001E-2</v>
      </c>
    </row>
    <row r="1510" spans="5:9" ht="15.75" hidden="1" customHeight="1" x14ac:dyDescent="0.2">
      <c r="E1510" t="s">
        <v>376</v>
      </c>
      <c r="F1510">
        <v>21</v>
      </c>
      <c r="G1510" t="s">
        <v>247</v>
      </c>
      <c r="H1510" t="s">
        <v>9</v>
      </c>
      <c r="I1510">
        <v>1.49E-2</v>
      </c>
    </row>
    <row r="1511" spans="5:9" ht="15.75" hidden="1" customHeight="1" x14ac:dyDescent="0.2">
      <c r="E1511" t="s">
        <v>377</v>
      </c>
      <c r="F1511">
        <v>22</v>
      </c>
      <c r="G1511" t="s">
        <v>247</v>
      </c>
      <c r="H1511" t="s">
        <v>9</v>
      </c>
      <c r="I1511">
        <v>4.5400000000000003E-2</v>
      </c>
    </row>
    <row r="1512" spans="5:9" ht="15.75" hidden="1" customHeight="1" x14ac:dyDescent="0.2">
      <c r="E1512" t="s">
        <v>378</v>
      </c>
      <c r="F1512">
        <v>23</v>
      </c>
      <c r="G1512" t="s">
        <v>247</v>
      </c>
      <c r="H1512" t="s">
        <v>9</v>
      </c>
      <c r="I1512">
        <v>8.9999999999999998E-4</v>
      </c>
    </row>
    <row r="1513" spans="5:9" ht="15.75" hidden="1" customHeight="1" x14ac:dyDescent="0.2">
      <c r="E1513" t="s">
        <v>379</v>
      </c>
      <c r="F1513">
        <v>24</v>
      </c>
      <c r="G1513" t="s">
        <v>247</v>
      </c>
      <c r="H1513" t="s">
        <v>9</v>
      </c>
      <c r="I1513">
        <v>0</v>
      </c>
    </row>
    <row r="1514" spans="5:9" ht="15.75" hidden="1" customHeight="1" x14ac:dyDescent="0.2">
      <c r="E1514" t="s">
        <v>380</v>
      </c>
      <c r="F1514">
        <v>25</v>
      </c>
      <c r="G1514" t="s">
        <v>247</v>
      </c>
      <c r="H1514" t="s">
        <v>9</v>
      </c>
      <c r="I1514">
        <v>8.8999999999999999E-3</v>
      </c>
    </row>
    <row r="1515" spans="5:9" ht="15.75" hidden="1" customHeight="1" x14ac:dyDescent="0.2">
      <c r="E1515" t="s">
        <v>381</v>
      </c>
      <c r="F1515">
        <v>26</v>
      </c>
      <c r="G1515" t="s">
        <v>247</v>
      </c>
      <c r="H1515" t="s">
        <v>9</v>
      </c>
      <c r="I1515">
        <v>8.2000000000000007E-3</v>
      </c>
    </row>
    <row r="1516" spans="5:9" ht="15.75" hidden="1" customHeight="1" x14ac:dyDescent="0.2">
      <c r="E1516" t="s">
        <v>382</v>
      </c>
      <c r="F1516">
        <v>27</v>
      </c>
      <c r="G1516" t="s">
        <v>247</v>
      </c>
      <c r="H1516" t="s">
        <v>9</v>
      </c>
      <c r="I1516">
        <v>9.7000000000000003E-3</v>
      </c>
    </row>
    <row r="1517" spans="5:9" ht="15.75" hidden="1" customHeight="1" x14ac:dyDescent="0.2">
      <c r="E1517" t="s">
        <v>383</v>
      </c>
      <c r="F1517">
        <v>28</v>
      </c>
      <c r="G1517" t="s">
        <v>247</v>
      </c>
      <c r="H1517" t="s">
        <v>9</v>
      </c>
      <c r="I1517">
        <v>1.55E-2</v>
      </c>
    </row>
    <row r="1518" spans="5:9" ht="15.75" hidden="1" customHeight="1" x14ac:dyDescent="0.2">
      <c r="E1518" t="s">
        <v>385</v>
      </c>
      <c r="F1518">
        <v>29</v>
      </c>
      <c r="G1518" t="s">
        <v>247</v>
      </c>
      <c r="H1518" t="s">
        <v>9</v>
      </c>
      <c r="I1518">
        <v>0.17660000000000001</v>
      </c>
    </row>
    <row r="1519" spans="5:9" ht="15.75" hidden="1" customHeight="1" x14ac:dyDescent="0.2">
      <c r="E1519" t="s">
        <v>387</v>
      </c>
      <c r="F1519">
        <v>30</v>
      </c>
      <c r="G1519" t="s">
        <v>247</v>
      </c>
      <c r="H1519" t="s">
        <v>9</v>
      </c>
      <c r="I1519">
        <v>3.2899999999999999E-2</v>
      </c>
    </row>
    <row r="1520" spans="5:9" ht="15.75" hidden="1" customHeight="1" x14ac:dyDescent="0.2">
      <c r="E1520" t="s">
        <v>388</v>
      </c>
      <c r="F1520">
        <v>31</v>
      </c>
      <c r="G1520" t="s">
        <v>247</v>
      </c>
      <c r="H1520" t="s">
        <v>9</v>
      </c>
      <c r="I1520">
        <v>6.1600000000000002E-2</v>
      </c>
    </row>
    <row r="1521" spans="5:9" ht="15.75" hidden="1" customHeight="1" x14ac:dyDescent="0.2">
      <c r="E1521" t="s">
        <v>389</v>
      </c>
      <c r="F1521">
        <v>32</v>
      </c>
      <c r="G1521" t="s">
        <v>247</v>
      </c>
      <c r="H1521" t="s">
        <v>9</v>
      </c>
      <c r="I1521">
        <v>6.25E-2</v>
      </c>
    </row>
    <row r="1522" spans="5:9" ht="15.75" hidden="1" customHeight="1" x14ac:dyDescent="0.2">
      <c r="E1522" t="s">
        <v>390</v>
      </c>
      <c r="F1522">
        <v>33</v>
      </c>
      <c r="G1522" t="s">
        <v>247</v>
      </c>
      <c r="H1522" t="s">
        <v>9</v>
      </c>
      <c r="I1522">
        <v>6.25E-2</v>
      </c>
    </row>
    <row r="1523" spans="5:9" ht="15.75" hidden="1" customHeight="1" x14ac:dyDescent="0.2">
      <c r="E1523" t="s">
        <v>391</v>
      </c>
      <c r="F1523">
        <v>34</v>
      </c>
      <c r="G1523" t="s">
        <v>247</v>
      </c>
      <c r="H1523" t="s">
        <v>9</v>
      </c>
      <c r="I1523">
        <v>6.8699999999999997E-2</v>
      </c>
    </row>
    <row r="1524" spans="5:9" ht="15.75" hidden="1" customHeight="1" x14ac:dyDescent="0.2">
      <c r="E1524" t="s">
        <v>393</v>
      </c>
      <c r="F1524">
        <v>35</v>
      </c>
      <c r="G1524" t="s">
        <v>247</v>
      </c>
      <c r="H1524" t="s">
        <v>9</v>
      </c>
      <c r="I1524">
        <v>1.43E-2</v>
      </c>
    </row>
    <row r="1525" spans="5:9" ht="15.75" hidden="1" customHeight="1" x14ac:dyDescent="0.2">
      <c r="E1525" t="s">
        <v>394</v>
      </c>
      <c r="F1525">
        <v>36</v>
      </c>
      <c r="G1525" t="s">
        <v>247</v>
      </c>
      <c r="H1525" t="s">
        <v>9</v>
      </c>
      <c r="I1525">
        <v>0.32250000000000001</v>
      </c>
    </row>
    <row r="1526" spans="5:9" ht="15.75" hidden="1" customHeight="1" x14ac:dyDescent="0.2">
      <c r="E1526" t="s">
        <v>395</v>
      </c>
      <c r="F1526">
        <v>37</v>
      </c>
      <c r="G1526" t="s">
        <v>247</v>
      </c>
      <c r="H1526" t="s">
        <v>9</v>
      </c>
      <c r="I1526">
        <v>6.1899999999999997E-2</v>
      </c>
    </row>
    <row r="1527" spans="5:9" ht="15.75" hidden="1" customHeight="1" x14ac:dyDescent="0.2">
      <c r="E1527" t="s">
        <v>396</v>
      </c>
      <c r="F1527">
        <v>38</v>
      </c>
      <c r="G1527" t="s">
        <v>247</v>
      </c>
      <c r="H1527" t="s">
        <v>9</v>
      </c>
      <c r="I1527">
        <v>6.1899999999999997E-2</v>
      </c>
    </row>
    <row r="1528" spans="5:9" ht="15.75" hidden="1" customHeight="1" x14ac:dyDescent="0.2">
      <c r="E1528" t="s">
        <v>397</v>
      </c>
      <c r="F1528">
        <v>39</v>
      </c>
      <c r="G1528" t="s">
        <v>247</v>
      </c>
      <c r="H1528" t="s">
        <v>9</v>
      </c>
      <c r="I1528">
        <v>0.12889999999999999</v>
      </c>
    </row>
    <row r="1529" spans="5:9" ht="15.75" hidden="1" customHeight="1" x14ac:dyDescent="0.2">
      <c r="E1529" t="s">
        <v>398</v>
      </c>
      <c r="F1529">
        <v>40</v>
      </c>
      <c r="G1529" t="s">
        <v>247</v>
      </c>
      <c r="H1529" t="s">
        <v>9</v>
      </c>
      <c r="I1529">
        <v>0.11700000000000001</v>
      </c>
    </row>
    <row r="1530" spans="5:9" ht="15.75" hidden="1" customHeight="1" x14ac:dyDescent="0.2">
      <c r="E1530" t="s">
        <v>399</v>
      </c>
      <c r="F1530">
        <v>41</v>
      </c>
      <c r="G1530" t="s">
        <v>247</v>
      </c>
      <c r="H1530" t="s">
        <v>9</v>
      </c>
      <c r="I1530">
        <v>8.9999999999999998E-4</v>
      </c>
    </row>
    <row r="1531" spans="5:9" ht="15.75" hidden="1" customHeight="1" x14ac:dyDescent="0.2">
      <c r="E1531" t="s">
        <v>400</v>
      </c>
      <c r="F1531">
        <v>42</v>
      </c>
      <c r="G1531" t="s">
        <v>247</v>
      </c>
      <c r="H1531" t="s">
        <v>9</v>
      </c>
      <c r="I1531">
        <v>8.9999999999999998E-4</v>
      </c>
    </row>
    <row r="1532" spans="5:9" ht="15.75" hidden="1" customHeight="1" x14ac:dyDescent="0.2">
      <c r="E1532" t="s">
        <v>401</v>
      </c>
      <c r="F1532">
        <v>43</v>
      </c>
      <c r="G1532" t="s">
        <v>247</v>
      </c>
      <c r="H1532" t="s">
        <v>9</v>
      </c>
      <c r="I1532">
        <v>2.7000000000000001E-3</v>
      </c>
    </row>
    <row r="1533" spans="5:9" ht="15.75" hidden="1" customHeight="1" x14ac:dyDescent="0.2">
      <c r="E1533" t="s">
        <v>402</v>
      </c>
      <c r="F1533">
        <v>44</v>
      </c>
      <c r="G1533" t="s">
        <v>247</v>
      </c>
      <c r="H1533" t="s">
        <v>9</v>
      </c>
      <c r="I1533">
        <v>2.7000000000000001E-3</v>
      </c>
    </row>
    <row r="1534" spans="5:9" ht="15.75" hidden="1" customHeight="1" x14ac:dyDescent="0.2">
      <c r="E1534" t="s">
        <v>403</v>
      </c>
      <c r="F1534">
        <v>45</v>
      </c>
      <c r="G1534" t="s">
        <v>247</v>
      </c>
      <c r="H1534" t="s">
        <v>9</v>
      </c>
      <c r="I1534">
        <v>8.9999999999999998E-4</v>
      </c>
    </row>
    <row r="1535" spans="5:9" ht="15.75" hidden="1" customHeight="1" x14ac:dyDescent="0.2">
      <c r="E1535" t="s">
        <v>404</v>
      </c>
      <c r="F1535">
        <v>46</v>
      </c>
      <c r="G1535" t="s">
        <v>247</v>
      </c>
      <c r="H1535" t="s">
        <v>9</v>
      </c>
      <c r="I1535">
        <v>8.9999999999999998E-4</v>
      </c>
    </row>
    <row r="1536" spans="5:9" ht="15.75" hidden="1" customHeight="1" x14ac:dyDescent="0.2">
      <c r="E1536" t="s">
        <v>405</v>
      </c>
      <c r="F1536">
        <v>47</v>
      </c>
      <c r="G1536" t="s">
        <v>247</v>
      </c>
      <c r="H1536" t="s">
        <v>9</v>
      </c>
      <c r="I1536">
        <v>4.4999999999999997E-3</v>
      </c>
    </row>
    <row r="1537" spans="5:9" ht="15.75" hidden="1" customHeight="1" x14ac:dyDescent="0.2">
      <c r="E1537" t="s">
        <v>406</v>
      </c>
      <c r="F1537">
        <v>48</v>
      </c>
      <c r="G1537" t="s">
        <v>247</v>
      </c>
      <c r="H1537" t="s">
        <v>9</v>
      </c>
      <c r="I1537">
        <v>2.7000000000000001E-3</v>
      </c>
    </row>
    <row r="1538" spans="5:9" ht="15.75" hidden="1" customHeight="1" x14ac:dyDescent="0.2">
      <c r="E1538" t="s">
        <v>376</v>
      </c>
      <c r="F1538">
        <v>49</v>
      </c>
      <c r="G1538" t="s">
        <v>247</v>
      </c>
      <c r="H1538" t="s">
        <v>9</v>
      </c>
      <c r="I1538">
        <v>2.7000000000000001E-3</v>
      </c>
    </row>
    <row r="1539" spans="5:9" ht="15.75" hidden="1" customHeight="1" x14ac:dyDescent="0.2">
      <c r="E1539" t="s">
        <v>407</v>
      </c>
      <c r="F1539">
        <v>50</v>
      </c>
      <c r="G1539" t="s">
        <v>247</v>
      </c>
      <c r="H1539" t="s">
        <v>9</v>
      </c>
      <c r="I1539">
        <v>6.6600000000000006E-2</v>
      </c>
    </row>
    <row r="1540" spans="5:9" ht="15.75" hidden="1" customHeight="1" x14ac:dyDescent="0.2">
      <c r="E1540" t="s">
        <v>408</v>
      </c>
      <c r="F1540">
        <v>51</v>
      </c>
      <c r="G1540" t="s">
        <v>247</v>
      </c>
      <c r="H1540" t="s">
        <v>9</v>
      </c>
      <c r="I1540">
        <v>0.1016</v>
      </c>
    </row>
    <row r="1541" spans="5:9" ht="15.75" hidden="1" customHeight="1" x14ac:dyDescent="0.2">
      <c r="E1541" t="s">
        <v>409</v>
      </c>
      <c r="F1541">
        <v>52</v>
      </c>
      <c r="G1541" t="s">
        <v>247</v>
      </c>
      <c r="H1541" t="s">
        <v>9</v>
      </c>
      <c r="I1541">
        <v>1.3100000000000001E-2</v>
      </c>
    </row>
    <row r="1542" spans="5:9" ht="15.75" hidden="1" customHeight="1" x14ac:dyDescent="0.2">
      <c r="E1542" t="s">
        <v>410</v>
      </c>
      <c r="F1542">
        <v>53</v>
      </c>
      <c r="G1542" t="s">
        <v>247</v>
      </c>
      <c r="H1542" t="s">
        <v>9</v>
      </c>
      <c r="I1542">
        <v>1.5800000000000002E-2</v>
      </c>
    </row>
    <row r="1543" spans="5:9" ht="15.75" hidden="1" customHeight="1" x14ac:dyDescent="0.2">
      <c r="E1543" t="s">
        <v>411</v>
      </c>
      <c r="F1543">
        <v>54</v>
      </c>
      <c r="G1543" t="s">
        <v>247</v>
      </c>
      <c r="H1543" t="s">
        <v>9</v>
      </c>
      <c r="I1543">
        <v>0.51829999999999998</v>
      </c>
    </row>
    <row r="1544" spans="5:9" ht="15.75" hidden="1" customHeight="1" x14ac:dyDescent="0.2">
      <c r="E1544" t="s">
        <v>412</v>
      </c>
      <c r="F1544">
        <v>55</v>
      </c>
      <c r="G1544" t="s">
        <v>247</v>
      </c>
      <c r="H1544" t="s">
        <v>9</v>
      </c>
      <c r="I1544">
        <v>6.1699999999999998E-2</v>
      </c>
    </row>
    <row r="1545" spans="5:9" ht="15.75" hidden="1" customHeight="1" x14ac:dyDescent="0.2">
      <c r="E1545" t="s">
        <v>413</v>
      </c>
      <c r="F1545">
        <v>56</v>
      </c>
      <c r="G1545" t="s">
        <v>247</v>
      </c>
      <c r="H1545" t="s">
        <v>9</v>
      </c>
      <c r="I1545">
        <v>1.5800000000000002E-2</v>
      </c>
    </row>
    <row r="1546" spans="5:9" ht="15.75" hidden="1" customHeight="1" x14ac:dyDescent="0.2">
      <c r="E1546" t="s">
        <v>414</v>
      </c>
      <c r="F1546">
        <v>57</v>
      </c>
      <c r="G1546" t="s">
        <v>247</v>
      </c>
      <c r="H1546" t="s">
        <v>9</v>
      </c>
      <c r="I1546">
        <v>0.31469999999999998</v>
      </c>
    </row>
    <row r="1547" spans="5:9" ht="15.75" hidden="1" customHeight="1" x14ac:dyDescent="0.2">
      <c r="E1547" t="s">
        <v>415</v>
      </c>
      <c r="F1547">
        <v>58</v>
      </c>
      <c r="G1547" t="s">
        <v>247</v>
      </c>
      <c r="H1547" t="s">
        <v>9</v>
      </c>
      <c r="I1547">
        <v>0.31469999999999998</v>
      </c>
    </row>
    <row r="1548" spans="5:9" ht="15.75" hidden="1" customHeight="1" x14ac:dyDescent="0.2">
      <c r="E1548" t="s">
        <v>416</v>
      </c>
      <c r="F1548">
        <v>59</v>
      </c>
      <c r="G1548" t="s">
        <v>247</v>
      </c>
      <c r="H1548" t="s">
        <v>9</v>
      </c>
      <c r="I1548">
        <v>0.33210000000000001</v>
      </c>
    </row>
    <row r="1549" spans="5:9" ht="15.75" hidden="1" customHeight="1" x14ac:dyDescent="0.2">
      <c r="E1549" t="s">
        <v>417</v>
      </c>
      <c r="F1549">
        <v>60</v>
      </c>
      <c r="G1549" t="s">
        <v>247</v>
      </c>
      <c r="H1549" t="s">
        <v>9</v>
      </c>
      <c r="I1549">
        <v>0.33210000000000001</v>
      </c>
    </row>
    <row r="1550" spans="5:9" ht="15.75" hidden="1" customHeight="1" x14ac:dyDescent="0.2">
      <c r="E1550" t="s">
        <v>418</v>
      </c>
      <c r="F1550">
        <v>61</v>
      </c>
      <c r="G1550" t="s">
        <v>247</v>
      </c>
      <c r="H1550" t="s">
        <v>9</v>
      </c>
      <c r="I1550">
        <v>1.6500000000000001E-2</v>
      </c>
    </row>
    <row r="1551" spans="5:9" ht="15.75" hidden="1" customHeight="1" x14ac:dyDescent="0.2">
      <c r="E1551" t="s">
        <v>419</v>
      </c>
      <c r="F1551">
        <v>62</v>
      </c>
      <c r="G1551" t="s">
        <v>247</v>
      </c>
      <c r="H1551" t="s">
        <v>9</v>
      </c>
      <c r="I1551">
        <v>1.6500000000000001E-2</v>
      </c>
    </row>
    <row r="1552" spans="5:9" ht="15.75" hidden="1" customHeight="1" x14ac:dyDescent="0.2">
      <c r="E1552" t="s">
        <v>421</v>
      </c>
      <c r="F1552">
        <v>63</v>
      </c>
      <c r="G1552" t="s">
        <v>247</v>
      </c>
      <c r="H1552" t="s">
        <v>9</v>
      </c>
      <c r="I1552">
        <v>0</v>
      </c>
    </row>
    <row r="1553" spans="5:9" ht="15.75" hidden="1" customHeight="1" x14ac:dyDescent="0.2">
      <c r="E1553" t="s">
        <v>422</v>
      </c>
      <c r="F1553">
        <v>64</v>
      </c>
      <c r="G1553" t="s">
        <v>247</v>
      </c>
      <c r="H1553" t="s">
        <v>9</v>
      </c>
      <c r="I1553">
        <v>8.6999999999999994E-3</v>
      </c>
    </row>
    <row r="1554" spans="5:9" ht="15.75" hidden="1" customHeight="1" x14ac:dyDescent="0.2">
      <c r="E1554" t="s">
        <v>423</v>
      </c>
      <c r="F1554">
        <v>65</v>
      </c>
      <c r="G1554" t="s">
        <v>247</v>
      </c>
      <c r="H1554" t="s">
        <v>9</v>
      </c>
      <c r="I1554">
        <v>8.9999999999999998E-4</v>
      </c>
    </row>
    <row r="1555" spans="5:9" ht="15.75" hidden="1" customHeight="1" x14ac:dyDescent="0.2">
      <c r="E1555" t="s">
        <v>424</v>
      </c>
      <c r="F1555">
        <v>66</v>
      </c>
      <c r="G1555" t="s">
        <v>247</v>
      </c>
      <c r="H1555" t="s">
        <v>9</v>
      </c>
      <c r="I1555">
        <v>8.9999999999999998E-4</v>
      </c>
    </row>
    <row r="1556" spans="5:9" ht="15.75" hidden="1" customHeight="1" x14ac:dyDescent="0.2">
      <c r="E1556" t="s">
        <v>425</v>
      </c>
      <c r="F1556">
        <v>67</v>
      </c>
      <c r="G1556" t="s">
        <v>247</v>
      </c>
      <c r="H1556" t="s">
        <v>9</v>
      </c>
      <c r="I1556">
        <v>1.6999999999999999E-3</v>
      </c>
    </row>
    <row r="1557" spans="5:9" ht="15.75" hidden="1" customHeight="1" x14ac:dyDescent="0.2">
      <c r="E1557" t="s">
        <v>426</v>
      </c>
      <c r="F1557">
        <v>68</v>
      </c>
      <c r="G1557" t="s">
        <v>247</v>
      </c>
      <c r="H1557" t="s">
        <v>9</v>
      </c>
      <c r="I1557">
        <v>1.6999999999999999E-3</v>
      </c>
    </row>
    <row r="1558" spans="5:9" ht="15.75" hidden="1" customHeight="1" x14ac:dyDescent="0.2">
      <c r="E1558" t="s">
        <v>427</v>
      </c>
      <c r="F1558">
        <v>69</v>
      </c>
      <c r="G1558" t="s">
        <v>247</v>
      </c>
      <c r="H1558" t="s">
        <v>9</v>
      </c>
      <c r="I1558">
        <v>2.2000000000000001E-3</v>
      </c>
    </row>
    <row r="1559" spans="5:9" ht="15.75" hidden="1" customHeight="1" x14ac:dyDescent="0.2">
      <c r="E1559" t="s">
        <v>428</v>
      </c>
      <c r="F1559">
        <v>70</v>
      </c>
      <c r="G1559" t="s">
        <v>247</v>
      </c>
      <c r="H1559" t="s">
        <v>9</v>
      </c>
      <c r="I1559">
        <v>2.2000000000000001E-3</v>
      </c>
    </row>
    <row r="1560" spans="5:9" ht="15.75" hidden="1" customHeight="1" x14ac:dyDescent="0.2">
      <c r="E1560" t="s">
        <v>429</v>
      </c>
      <c r="F1560">
        <v>71</v>
      </c>
      <c r="G1560" t="s">
        <v>247</v>
      </c>
      <c r="H1560" t="s">
        <v>9</v>
      </c>
      <c r="I1560">
        <v>3.3E-3</v>
      </c>
    </row>
    <row r="1561" spans="5:9" ht="15.75" hidden="1" customHeight="1" x14ac:dyDescent="0.2">
      <c r="E1561" t="s">
        <v>430</v>
      </c>
      <c r="F1561">
        <v>72</v>
      </c>
      <c r="G1561" t="s">
        <v>247</v>
      </c>
      <c r="H1561" t="s">
        <v>9</v>
      </c>
      <c r="I1561">
        <v>3.3E-3</v>
      </c>
    </row>
    <row r="1562" spans="5:9" ht="15.75" hidden="1" customHeight="1" x14ac:dyDescent="0.2">
      <c r="E1562" t="s">
        <v>370</v>
      </c>
      <c r="F1562">
        <v>73</v>
      </c>
      <c r="G1562" t="s">
        <v>247</v>
      </c>
      <c r="H1562" t="s">
        <v>9</v>
      </c>
      <c r="I1562">
        <v>0</v>
      </c>
    </row>
    <row r="1563" spans="5:9" ht="15.75" hidden="1" customHeight="1" x14ac:dyDescent="0.2">
      <c r="E1563" t="s">
        <v>373</v>
      </c>
      <c r="F1563">
        <v>74</v>
      </c>
      <c r="G1563" t="s">
        <v>247</v>
      </c>
      <c r="H1563" t="s">
        <v>9</v>
      </c>
      <c r="I1563" t="s">
        <v>364</v>
      </c>
    </row>
    <row r="1564" spans="5:9" ht="15.75" hidden="1" customHeight="1" x14ac:dyDescent="0.2">
      <c r="E1564" t="s">
        <v>374</v>
      </c>
      <c r="F1564">
        <v>75</v>
      </c>
      <c r="G1564" t="s">
        <v>247</v>
      </c>
      <c r="H1564" t="s">
        <v>9</v>
      </c>
      <c r="I1564" t="s">
        <v>364</v>
      </c>
    </row>
    <row r="1565" spans="5:9" ht="15.75" hidden="1" customHeight="1" x14ac:dyDescent="0.2">
      <c r="E1565" t="s">
        <v>375</v>
      </c>
      <c r="F1565">
        <v>76</v>
      </c>
      <c r="G1565" t="s">
        <v>247</v>
      </c>
      <c r="H1565" t="s">
        <v>9</v>
      </c>
      <c r="I1565" t="s">
        <v>364</v>
      </c>
    </row>
    <row r="1566" spans="5:9" ht="15.75" hidden="1" customHeight="1" x14ac:dyDescent="0.2">
      <c r="E1566" t="s">
        <v>376</v>
      </c>
      <c r="F1566">
        <v>77</v>
      </c>
      <c r="G1566" t="s">
        <v>247</v>
      </c>
      <c r="H1566" t="s">
        <v>9</v>
      </c>
      <c r="I1566" t="s">
        <v>364</v>
      </c>
    </row>
    <row r="1567" spans="5:9" ht="15.75" hidden="1" customHeight="1" x14ac:dyDescent="0.2">
      <c r="E1567" t="s">
        <v>382</v>
      </c>
      <c r="F1567">
        <v>78</v>
      </c>
      <c r="G1567" t="s">
        <v>247</v>
      </c>
      <c r="H1567" t="s">
        <v>9</v>
      </c>
      <c r="I1567">
        <v>0</v>
      </c>
    </row>
    <row r="1568" spans="5:9" ht="15.75" hidden="1" customHeight="1" x14ac:dyDescent="0.2">
      <c r="E1568" t="s">
        <v>383</v>
      </c>
      <c r="F1568">
        <v>79</v>
      </c>
      <c r="G1568" t="s">
        <v>247</v>
      </c>
      <c r="H1568" t="s">
        <v>9</v>
      </c>
      <c r="I1568" t="s">
        <v>364</v>
      </c>
    </row>
    <row r="1569" spans="5:9" ht="15.75" hidden="1" customHeight="1" x14ac:dyDescent="0.2">
      <c r="E1569" t="s">
        <v>395</v>
      </c>
      <c r="F1569">
        <v>80</v>
      </c>
      <c r="G1569" t="s">
        <v>247</v>
      </c>
      <c r="H1569" t="s">
        <v>9</v>
      </c>
      <c r="I1569">
        <v>0</v>
      </c>
    </row>
    <row r="1570" spans="5:9" ht="15.75" hidden="1" customHeight="1" x14ac:dyDescent="0.2">
      <c r="E1570" t="s">
        <v>397</v>
      </c>
      <c r="F1570">
        <v>81</v>
      </c>
      <c r="G1570" t="s">
        <v>247</v>
      </c>
      <c r="H1570" t="s">
        <v>9</v>
      </c>
      <c r="I1570">
        <v>0</v>
      </c>
    </row>
    <row r="1571" spans="5:9" ht="15.75" hidden="1" customHeight="1" x14ac:dyDescent="0.2">
      <c r="E1571" t="s">
        <v>399</v>
      </c>
      <c r="F1571">
        <v>82</v>
      </c>
      <c r="G1571" t="s">
        <v>247</v>
      </c>
      <c r="H1571" t="s">
        <v>9</v>
      </c>
      <c r="I1571" t="s">
        <v>364</v>
      </c>
    </row>
    <row r="1572" spans="5:9" ht="15.75" hidden="1" customHeight="1" x14ac:dyDescent="0.2">
      <c r="E1572" t="s">
        <v>400</v>
      </c>
      <c r="F1572">
        <v>83</v>
      </c>
      <c r="G1572" t="s">
        <v>247</v>
      </c>
      <c r="H1572" t="s">
        <v>9</v>
      </c>
      <c r="I1572" t="s">
        <v>364</v>
      </c>
    </row>
    <row r="1573" spans="5:9" ht="15.75" hidden="1" customHeight="1" x14ac:dyDescent="0.2">
      <c r="E1573" t="s">
        <v>401</v>
      </c>
      <c r="F1573">
        <v>84</v>
      </c>
      <c r="G1573" t="s">
        <v>247</v>
      </c>
      <c r="H1573" t="s">
        <v>9</v>
      </c>
      <c r="I1573">
        <v>0</v>
      </c>
    </row>
    <row r="1574" spans="5:9" ht="15.75" hidden="1" customHeight="1" x14ac:dyDescent="0.2">
      <c r="E1574" t="s">
        <v>402</v>
      </c>
      <c r="F1574">
        <v>85</v>
      </c>
      <c r="G1574" t="s">
        <v>247</v>
      </c>
      <c r="H1574" t="s">
        <v>9</v>
      </c>
      <c r="I1574">
        <v>0</v>
      </c>
    </row>
    <row r="1575" spans="5:9" ht="15.75" hidden="1" customHeight="1" x14ac:dyDescent="0.2">
      <c r="E1575" t="s">
        <v>403</v>
      </c>
      <c r="F1575">
        <v>86</v>
      </c>
      <c r="G1575" t="s">
        <v>247</v>
      </c>
      <c r="H1575" t="s">
        <v>9</v>
      </c>
      <c r="I1575" t="s">
        <v>364</v>
      </c>
    </row>
    <row r="1576" spans="5:9" ht="15.75" hidden="1" customHeight="1" x14ac:dyDescent="0.2">
      <c r="E1576" t="s">
        <v>404</v>
      </c>
      <c r="F1576">
        <v>87</v>
      </c>
      <c r="G1576" t="s">
        <v>247</v>
      </c>
      <c r="H1576" t="s">
        <v>9</v>
      </c>
      <c r="I1576" t="s">
        <v>364</v>
      </c>
    </row>
    <row r="1577" spans="5:9" ht="15.75" hidden="1" customHeight="1" x14ac:dyDescent="0.2">
      <c r="E1577" t="s">
        <v>405</v>
      </c>
      <c r="F1577">
        <v>88</v>
      </c>
      <c r="G1577" t="s">
        <v>247</v>
      </c>
      <c r="H1577" t="s">
        <v>9</v>
      </c>
      <c r="I1577">
        <v>0</v>
      </c>
    </row>
    <row r="1578" spans="5:9" ht="15.75" hidden="1" customHeight="1" x14ac:dyDescent="0.2">
      <c r="E1578" t="s">
        <v>406</v>
      </c>
      <c r="F1578">
        <v>89</v>
      </c>
      <c r="G1578" t="s">
        <v>247</v>
      </c>
      <c r="H1578" t="s">
        <v>9</v>
      </c>
      <c r="I1578">
        <v>0</v>
      </c>
    </row>
    <row r="1579" spans="5:9" ht="15.75" hidden="1" customHeight="1" x14ac:dyDescent="0.2">
      <c r="E1579" t="s">
        <v>376</v>
      </c>
      <c r="F1579">
        <v>90</v>
      </c>
      <c r="G1579" t="s">
        <v>247</v>
      </c>
      <c r="H1579" t="s">
        <v>9</v>
      </c>
      <c r="I1579">
        <v>0</v>
      </c>
    </row>
    <row r="1580" spans="5:9" ht="15.75" hidden="1" customHeight="1" x14ac:dyDescent="0.2">
      <c r="E1580" t="s">
        <v>409</v>
      </c>
      <c r="F1580">
        <v>91</v>
      </c>
      <c r="G1580" t="s">
        <v>247</v>
      </c>
      <c r="H1580" t="s">
        <v>9</v>
      </c>
      <c r="I1580">
        <v>0</v>
      </c>
    </row>
    <row r="1581" spans="5:9" ht="15.75" hidden="1" customHeight="1" x14ac:dyDescent="0.2">
      <c r="E1581" t="s">
        <v>410</v>
      </c>
      <c r="F1581">
        <v>92</v>
      </c>
      <c r="G1581" t="s">
        <v>247</v>
      </c>
      <c r="H1581" t="s">
        <v>9</v>
      </c>
      <c r="I1581">
        <v>0</v>
      </c>
    </row>
    <row r="1582" spans="5:9" ht="15.75" hidden="1" customHeight="1" x14ac:dyDescent="0.2">
      <c r="E1582" t="s">
        <v>413</v>
      </c>
      <c r="F1582">
        <v>93</v>
      </c>
      <c r="G1582" t="s">
        <v>247</v>
      </c>
      <c r="H1582" t="s">
        <v>9</v>
      </c>
      <c r="I1582">
        <v>0</v>
      </c>
    </row>
    <row r="1583" spans="5:9" ht="15.75" hidden="1" customHeight="1" x14ac:dyDescent="0.2">
      <c r="E1583" t="s">
        <v>414</v>
      </c>
      <c r="F1583">
        <v>94</v>
      </c>
      <c r="G1583" t="s">
        <v>247</v>
      </c>
      <c r="H1583" t="s">
        <v>9</v>
      </c>
      <c r="I1583" t="s">
        <v>364</v>
      </c>
    </row>
    <row r="1584" spans="5:9" ht="15.75" hidden="1" customHeight="1" x14ac:dyDescent="0.2">
      <c r="E1584" t="s">
        <v>417</v>
      </c>
      <c r="F1584">
        <v>95</v>
      </c>
      <c r="G1584" t="s">
        <v>247</v>
      </c>
      <c r="H1584" t="s">
        <v>9</v>
      </c>
      <c r="I1584" t="s">
        <v>364</v>
      </c>
    </row>
    <row r="1585" spans="5:9" ht="15.75" hidden="1" customHeight="1" x14ac:dyDescent="0.2">
      <c r="E1585" t="s">
        <v>440</v>
      </c>
      <c r="F1585">
        <v>96</v>
      </c>
      <c r="G1585" t="s">
        <v>247</v>
      </c>
      <c r="H1585" t="s">
        <v>9</v>
      </c>
      <c r="I1585">
        <v>0</v>
      </c>
    </row>
    <row r="1586" spans="5:9" ht="15.75" hidden="1" customHeight="1" x14ac:dyDescent="0.2">
      <c r="E1586" t="s">
        <v>441</v>
      </c>
      <c r="F1586">
        <v>97</v>
      </c>
      <c r="G1586" t="s">
        <v>247</v>
      </c>
      <c r="H1586" t="s">
        <v>9</v>
      </c>
      <c r="I1586" t="s">
        <v>364</v>
      </c>
    </row>
    <row r="1587" spans="5:9" ht="15.75" hidden="1" customHeight="1" x14ac:dyDescent="0.2">
      <c r="E1587" t="s">
        <v>442</v>
      </c>
      <c r="F1587">
        <v>98</v>
      </c>
      <c r="G1587" t="s">
        <v>247</v>
      </c>
      <c r="H1587" t="s">
        <v>9</v>
      </c>
      <c r="I1587" t="s">
        <v>364</v>
      </c>
    </row>
    <row r="1588" spans="5:9" ht="15.75" hidden="1" customHeight="1" x14ac:dyDescent="0.2">
      <c r="E1588" t="s">
        <v>443</v>
      </c>
      <c r="F1588">
        <v>99</v>
      </c>
      <c r="G1588" t="s">
        <v>247</v>
      </c>
      <c r="H1588" t="s">
        <v>9</v>
      </c>
      <c r="I1588">
        <v>0</v>
      </c>
    </row>
    <row r="1589" spans="5:9" ht="15.75" hidden="1" customHeight="1" x14ac:dyDescent="0.2">
      <c r="E1589" t="s">
        <v>444</v>
      </c>
      <c r="F1589">
        <v>100</v>
      </c>
      <c r="G1589" t="s">
        <v>247</v>
      </c>
      <c r="H1589" t="s">
        <v>9</v>
      </c>
      <c r="I1589">
        <v>2.9399999999999999E-2</v>
      </c>
    </row>
    <row r="1590" spans="5:9" ht="15.75" hidden="1" customHeight="1" x14ac:dyDescent="0.2">
      <c r="E1590" t="s">
        <v>362</v>
      </c>
      <c r="F1590">
        <v>101</v>
      </c>
      <c r="G1590" t="s">
        <v>247</v>
      </c>
      <c r="H1590" t="s">
        <v>9</v>
      </c>
      <c r="I1590" t="s">
        <v>364</v>
      </c>
    </row>
    <row r="1591" spans="5:9" ht="15.75" hidden="1" customHeight="1" x14ac:dyDescent="0.2">
      <c r="E1591" t="s">
        <v>446</v>
      </c>
      <c r="F1591">
        <v>102</v>
      </c>
      <c r="G1591" t="s">
        <v>247</v>
      </c>
      <c r="H1591" t="s">
        <v>9</v>
      </c>
      <c r="I1591" t="s">
        <v>364</v>
      </c>
    </row>
    <row r="1592" spans="5:9" ht="15.75" hidden="1" customHeight="1" x14ac:dyDescent="0.2">
      <c r="E1592" t="s">
        <v>447</v>
      </c>
      <c r="F1592">
        <v>103</v>
      </c>
      <c r="G1592" t="s">
        <v>247</v>
      </c>
      <c r="H1592" t="s">
        <v>9</v>
      </c>
      <c r="I1592">
        <v>0</v>
      </c>
    </row>
    <row r="1593" spans="5:9" ht="15.75" hidden="1" customHeight="1" x14ac:dyDescent="0.2">
      <c r="E1593" t="s">
        <v>448</v>
      </c>
      <c r="F1593">
        <v>104</v>
      </c>
      <c r="G1593" t="s">
        <v>247</v>
      </c>
      <c r="H1593" t="s">
        <v>9</v>
      </c>
      <c r="I1593">
        <v>0</v>
      </c>
    </row>
    <row r="1594" spans="5:9" ht="15.75" hidden="1" customHeight="1" x14ac:dyDescent="0.2">
      <c r="E1594" t="s">
        <v>449</v>
      </c>
      <c r="F1594">
        <v>105</v>
      </c>
      <c r="G1594" t="s">
        <v>247</v>
      </c>
      <c r="H1594" t="s">
        <v>9</v>
      </c>
      <c r="I1594">
        <v>0</v>
      </c>
    </row>
    <row r="1595" spans="5:9" ht="15.75" hidden="1" customHeight="1" x14ac:dyDescent="0.2">
      <c r="E1595" t="s">
        <v>450</v>
      </c>
      <c r="F1595">
        <v>106</v>
      </c>
      <c r="G1595" t="s">
        <v>247</v>
      </c>
      <c r="H1595" t="s">
        <v>9</v>
      </c>
      <c r="I1595">
        <v>0</v>
      </c>
    </row>
    <row r="1596" spans="5:9" ht="15.75" hidden="1" customHeight="1" x14ac:dyDescent="0.2">
      <c r="E1596" t="s">
        <v>451</v>
      </c>
      <c r="F1596">
        <v>107</v>
      </c>
      <c r="G1596" t="s">
        <v>247</v>
      </c>
      <c r="H1596" t="s">
        <v>9</v>
      </c>
      <c r="I1596">
        <v>0</v>
      </c>
    </row>
    <row r="1597" spans="5:9" ht="15.75" hidden="1" customHeight="1" x14ac:dyDescent="0.2">
      <c r="E1597" t="s">
        <v>452</v>
      </c>
      <c r="F1597">
        <v>108</v>
      </c>
      <c r="G1597" t="s">
        <v>247</v>
      </c>
      <c r="H1597" t="s">
        <v>9</v>
      </c>
      <c r="I1597">
        <v>0</v>
      </c>
    </row>
    <row r="1598" spans="5:9" ht="15.75" hidden="1" customHeight="1" x14ac:dyDescent="0.2">
      <c r="E1598" t="s">
        <v>453</v>
      </c>
      <c r="F1598">
        <v>109</v>
      </c>
      <c r="G1598" t="s">
        <v>247</v>
      </c>
      <c r="H1598" t="s">
        <v>9</v>
      </c>
      <c r="I1598">
        <v>0</v>
      </c>
    </row>
    <row r="1599" spans="5:9" ht="15.75" hidden="1" customHeight="1" x14ac:dyDescent="0.2">
      <c r="E1599" t="s">
        <v>454</v>
      </c>
      <c r="F1599">
        <v>110</v>
      </c>
      <c r="G1599" t="s">
        <v>247</v>
      </c>
      <c r="H1599" t="s">
        <v>9</v>
      </c>
      <c r="I1599">
        <v>0</v>
      </c>
    </row>
    <row r="1600" spans="5:9" ht="15.75" hidden="1" customHeight="1" x14ac:dyDescent="0.2">
      <c r="E1600" t="s">
        <v>455</v>
      </c>
      <c r="F1600">
        <v>111</v>
      </c>
      <c r="G1600" t="s">
        <v>247</v>
      </c>
      <c r="H1600" t="s">
        <v>9</v>
      </c>
      <c r="I1600">
        <v>0</v>
      </c>
    </row>
    <row r="1601" spans="5:9" ht="15.75" hidden="1" customHeight="1" x14ac:dyDescent="0.2">
      <c r="E1601" t="s">
        <v>456</v>
      </c>
      <c r="F1601">
        <v>112</v>
      </c>
      <c r="G1601" t="s">
        <v>247</v>
      </c>
      <c r="H1601" t="s">
        <v>9</v>
      </c>
      <c r="I1601">
        <v>0</v>
      </c>
    </row>
    <row r="1602" spans="5:9" ht="15.75" hidden="1" customHeight="1" x14ac:dyDescent="0.2">
      <c r="E1602" t="s">
        <v>457</v>
      </c>
      <c r="F1602">
        <v>113</v>
      </c>
      <c r="G1602" t="s">
        <v>247</v>
      </c>
      <c r="H1602" t="s">
        <v>9</v>
      </c>
      <c r="I1602">
        <v>0</v>
      </c>
    </row>
    <row r="1603" spans="5:9" ht="15.75" hidden="1" customHeight="1" x14ac:dyDescent="0.2">
      <c r="E1603" t="s">
        <v>459</v>
      </c>
      <c r="F1603">
        <v>114</v>
      </c>
      <c r="G1603" t="s">
        <v>247</v>
      </c>
      <c r="H1603" t="s">
        <v>9</v>
      </c>
      <c r="I1603" t="s">
        <v>364</v>
      </c>
    </row>
    <row r="1604" spans="5:9" ht="15.75" hidden="1" customHeight="1" x14ac:dyDescent="0.2">
      <c r="E1604" t="s">
        <v>460</v>
      </c>
      <c r="F1604">
        <v>115</v>
      </c>
      <c r="G1604" t="s">
        <v>247</v>
      </c>
      <c r="H1604" t="s">
        <v>9</v>
      </c>
      <c r="I1604" t="s">
        <v>364</v>
      </c>
    </row>
    <row r="1605" spans="5:9" ht="15.75" hidden="1" customHeight="1" x14ac:dyDescent="0.2">
      <c r="E1605" t="s">
        <v>461</v>
      </c>
      <c r="F1605">
        <v>116</v>
      </c>
      <c r="G1605" t="s">
        <v>247</v>
      </c>
      <c r="H1605" t="s">
        <v>9</v>
      </c>
      <c r="I1605">
        <v>0</v>
      </c>
    </row>
    <row r="1606" spans="5:9" ht="15.75" hidden="1" customHeight="1" x14ac:dyDescent="0.2">
      <c r="E1606" t="s">
        <v>462</v>
      </c>
      <c r="F1606">
        <v>117</v>
      </c>
      <c r="G1606" t="s">
        <v>247</v>
      </c>
      <c r="H1606" t="s">
        <v>9</v>
      </c>
      <c r="I1606" t="s">
        <v>364</v>
      </c>
    </row>
    <row r="1607" spans="5:9" ht="15.75" hidden="1" customHeight="1" x14ac:dyDescent="0.2">
      <c r="E1607" t="s">
        <v>463</v>
      </c>
      <c r="F1607">
        <v>118</v>
      </c>
      <c r="G1607" t="s">
        <v>247</v>
      </c>
      <c r="H1607" t="s">
        <v>9</v>
      </c>
      <c r="I1607">
        <v>0</v>
      </c>
    </row>
    <row r="1608" spans="5:9" ht="15.75" hidden="1" customHeight="1" x14ac:dyDescent="0.2">
      <c r="E1608" t="s">
        <v>464</v>
      </c>
      <c r="F1608">
        <v>119</v>
      </c>
      <c r="G1608" t="s">
        <v>247</v>
      </c>
      <c r="H1608" t="s">
        <v>9</v>
      </c>
      <c r="I1608" t="s">
        <v>364</v>
      </c>
    </row>
    <row r="1609" spans="5:9" ht="15.75" hidden="1" customHeight="1" x14ac:dyDescent="0.2">
      <c r="E1609" t="s">
        <v>465</v>
      </c>
      <c r="F1609">
        <v>120</v>
      </c>
      <c r="G1609" t="s">
        <v>247</v>
      </c>
      <c r="H1609" t="s">
        <v>9</v>
      </c>
      <c r="I1609" t="s">
        <v>364</v>
      </c>
    </row>
    <row r="1610" spans="5:9" ht="15.75" hidden="1" customHeight="1" x14ac:dyDescent="0.2">
      <c r="E1610" t="s">
        <v>466</v>
      </c>
      <c r="F1610">
        <v>121</v>
      </c>
      <c r="G1610" t="s">
        <v>247</v>
      </c>
      <c r="H1610" t="s">
        <v>9</v>
      </c>
      <c r="I1610">
        <v>0</v>
      </c>
    </row>
    <row r="1611" spans="5:9" ht="15.75" hidden="1" customHeight="1" x14ac:dyDescent="0.2">
      <c r="E1611" t="s">
        <v>467</v>
      </c>
      <c r="F1611">
        <v>122</v>
      </c>
      <c r="G1611" t="s">
        <v>247</v>
      </c>
      <c r="H1611" t="s">
        <v>9</v>
      </c>
      <c r="I1611" t="s">
        <v>364</v>
      </c>
    </row>
    <row r="1612" spans="5:9" ht="15.75" hidden="1" customHeight="1" x14ac:dyDescent="0.2">
      <c r="E1612" t="s">
        <v>468</v>
      </c>
      <c r="F1612">
        <v>123</v>
      </c>
      <c r="G1612" t="s">
        <v>247</v>
      </c>
      <c r="H1612" t="s">
        <v>9</v>
      </c>
      <c r="I1612">
        <v>0</v>
      </c>
    </row>
    <row r="1613" spans="5:9" ht="15.75" hidden="1" customHeight="1" x14ac:dyDescent="0.2">
      <c r="E1613" t="s">
        <v>469</v>
      </c>
      <c r="F1613">
        <v>124</v>
      </c>
      <c r="G1613" t="s">
        <v>247</v>
      </c>
      <c r="H1613" t="s">
        <v>9</v>
      </c>
      <c r="I1613">
        <v>0</v>
      </c>
    </row>
    <row r="1614" spans="5:9" ht="15.75" hidden="1" customHeight="1" x14ac:dyDescent="0.2">
      <c r="E1614" t="s">
        <v>470</v>
      </c>
      <c r="F1614">
        <v>125</v>
      </c>
      <c r="G1614" t="s">
        <v>247</v>
      </c>
      <c r="H1614" t="s">
        <v>9</v>
      </c>
      <c r="I1614">
        <v>0</v>
      </c>
    </row>
    <row r="1615" spans="5:9" ht="15.75" hidden="1" customHeight="1" x14ac:dyDescent="0.2">
      <c r="E1615" t="s">
        <v>471</v>
      </c>
      <c r="F1615">
        <v>126</v>
      </c>
      <c r="G1615" t="s">
        <v>247</v>
      </c>
      <c r="H1615" t="s">
        <v>9</v>
      </c>
      <c r="I1615">
        <v>0</v>
      </c>
    </row>
    <row r="1616" spans="5:9" ht="15.75" hidden="1" customHeight="1" x14ac:dyDescent="0.2">
      <c r="E1616" t="s">
        <v>472</v>
      </c>
      <c r="F1616">
        <v>127</v>
      </c>
      <c r="G1616" t="s">
        <v>247</v>
      </c>
      <c r="H1616" t="s">
        <v>9</v>
      </c>
      <c r="I1616">
        <v>0</v>
      </c>
    </row>
    <row r="1617" spans="5:9" ht="15.75" hidden="1" customHeight="1" x14ac:dyDescent="0.2">
      <c r="E1617" t="s">
        <v>473</v>
      </c>
      <c r="F1617">
        <v>128</v>
      </c>
      <c r="G1617" t="s">
        <v>247</v>
      </c>
      <c r="H1617" t="s">
        <v>9</v>
      </c>
      <c r="I1617">
        <v>0</v>
      </c>
    </row>
    <row r="1618" spans="5:9" ht="15.75" hidden="1" customHeight="1" x14ac:dyDescent="0.2">
      <c r="E1618" t="s">
        <v>474</v>
      </c>
      <c r="F1618">
        <v>129</v>
      </c>
      <c r="G1618" t="s">
        <v>247</v>
      </c>
      <c r="H1618" t="s">
        <v>9</v>
      </c>
      <c r="I1618">
        <v>0</v>
      </c>
    </row>
    <row r="1619" spans="5:9" ht="15.75" hidden="1" customHeight="1" x14ac:dyDescent="0.2">
      <c r="E1619" t="s">
        <v>476</v>
      </c>
      <c r="F1619">
        <v>130</v>
      </c>
      <c r="G1619" t="s">
        <v>247</v>
      </c>
      <c r="H1619" t="s">
        <v>9</v>
      </c>
      <c r="I1619">
        <v>0</v>
      </c>
    </row>
    <row r="1620" spans="5:9" ht="15.75" hidden="1" customHeight="1" x14ac:dyDescent="0.2">
      <c r="E1620" t="s">
        <v>478</v>
      </c>
      <c r="F1620">
        <v>131</v>
      </c>
      <c r="G1620" t="s">
        <v>247</v>
      </c>
      <c r="H1620" t="s">
        <v>9</v>
      </c>
      <c r="I1620">
        <v>4.7000000000000002E-3</v>
      </c>
    </row>
    <row r="1621" spans="5:9" ht="15.75" hidden="1" customHeight="1" x14ac:dyDescent="0.2">
      <c r="E1621" t="s">
        <v>440</v>
      </c>
      <c r="F1621">
        <v>132</v>
      </c>
      <c r="G1621" t="s">
        <v>247</v>
      </c>
      <c r="H1621" t="s">
        <v>9</v>
      </c>
      <c r="I1621">
        <v>2.7000000000000001E-3</v>
      </c>
    </row>
    <row r="1622" spans="5:9" ht="15.75" hidden="1" customHeight="1" x14ac:dyDescent="0.2">
      <c r="E1622" t="s">
        <v>441</v>
      </c>
      <c r="F1622">
        <v>133</v>
      </c>
      <c r="G1622" t="s">
        <v>247</v>
      </c>
      <c r="H1622" t="s">
        <v>9</v>
      </c>
      <c r="I1622">
        <v>1.6999999999999999E-3</v>
      </c>
    </row>
    <row r="1623" spans="5:9" ht="15.75" hidden="1" customHeight="1" x14ac:dyDescent="0.2">
      <c r="E1623" t="s">
        <v>442</v>
      </c>
      <c r="F1623">
        <v>134</v>
      </c>
      <c r="G1623" t="s">
        <v>247</v>
      </c>
      <c r="H1623" t="s">
        <v>9</v>
      </c>
      <c r="I1623">
        <v>1.6999999999999999E-3</v>
      </c>
    </row>
    <row r="1624" spans="5:9" ht="15.75" hidden="1" customHeight="1" x14ac:dyDescent="0.2">
      <c r="E1624" t="s">
        <v>443</v>
      </c>
      <c r="F1624">
        <v>135</v>
      </c>
      <c r="G1624" t="s">
        <v>247</v>
      </c>
      <c r="H1624" t="s">
        <v>9</v>
      </c>
      <c r="I1624">
        <v>1.0883</v>
      </c>
    </row>
    <row r="1625" spans="5:9" ht="15.75" hidden="1" customHeight="1" x14ac:dyDescent="0.2">
      <c r="E1625" t="s">
        <v>362</v>
      </c>
      <c r="F1625">
        <v>136</v>
      </c>
      <c r="G1625" t="s">
        <v>247</v>
      </c>
      <c r="H1625" t="s">
        <v>9</v>
      </c>
      <c r="I1625">
        <v>5.1999999999999998E-3</v>
      </c>
    </row>
    <row r="1626" spans="5:9" ht="15.75" hidden="1" customHeight="1" x14ac:dyDescent="0.2">
      <c r="E1626" t="s">
        <v>482</v>
      </c>
      <c r="F1626">
        <v>137</v>
      </c>
      <c r="G1626" t="s">
        <v>247</v>
      </c>
      <c r="H1626" t="s">
        <v>9</v>
      </c>
      <c r="I1626">
        <v>4.41E-2</v>
      </c>
    </row>
    <row r="1627" spans="5:9" ht="15.75" hidden="1" customHeight="1" x14ac:dyDescent="0.2">
      <c r="E1627" t="s">
        <v>483</v>
      </c>
      <c r="F1627">
        <v>138</v>
      </c>
      <c r="G1627" t="s">
        <v>247</v>
      </c>
      <c r="H1627" t="s">
        <v>9</v>
      </c>
      <c r="I1627">
        <v>0.2102</v>
      </c>
    </row>
    <row r="1628" spans="5:9" ht="15.75" hidden="1" customHeight="1" x14ac:dyDescent="0.2">
      <c r="E1628" t="s">
        <v>484</v>
      </c>
      <c r="F1628">
        <v>139</v>
      </c>
      <c r="G1628" t="s">
        <v>247</v>
      </c>
      <c r="H1628" t="s">
        <v>9</v>
      </c>
      <c r="I1628">
        <v>0.62350000000000005</v>
      </c>
    </row>
    <row r="1629" spans="5:9" ht="15.75" hidden="1" customHeight="1" x14ac:dyDescent="0.2">
      <c r="E1629" t="s">
        <v>486</v>
      </c>
      <c r="F1629">
        <v>140</v>
      </c>
      <c r="G1629" t="s">
        <v>247</v>
      </c>
      <c r="H1629" t="s">
        <v>9</v>
      </c>
      <c r="I1629">
        <v>1.3599999999999999E-2</v>
      </c>
    </row>
    <row r="1630" spans="5:9" ht="15.75" hidden="1" customHeight="1" x14ac:dyDescent="0.2">
      <c r="E1630" t="s">
        <v>487</v>
      </c>
      <c r="F1630">
        <v>141</v>
      </c>
      <c r="G1630" t="s">
        <v>247</v>
      </c>
      <c r="H1630" t="s">
        <v>9</v>
      </c>
      <c r="I1630">
        <v>6.4999999999999997E-3</v>
      </c>
    </row>
    <row r="1631" spans="5:9" ht="15.75" hidden="1" customHeight="1" x14ac:dyDescent="0.2">
      <c r="E1631" t="s">
        <v>446</v>
      </c>
      <c r="F1631">
        <v>142</v>
      </c>
      <c r="G1631" t="s">
        <v>247</v>
      </c>
      <c r="H1631" t="s">
        <v>9</v>
      </c>
      <c r="I1631">
        <v>0.09</v>
      </c>
    </row>
    <row r="1632" spans="5:9" ht="15.75" hidden="1" customHeight="1" x14ac:dyDescent="0.2">
      <c r="E1632" t="s">
        <v>447</v>
      </c>
      <c r="F1632">
        <v>143</v>
      </c>
      <c r="G1632" t="s">
        <v>247</v>
      </c>
      <c r="H1632" t="s">
        <v>9</v>
      </c>
      <c r="I1632">
        <v>2.8199999999999999E-2</v>
      </c>
    </row>
    <row r="1633" spans="5:9" ht="15.75" hidden="1" customHeight="1" x14ac:dyDescent="0.2">
      <c r="E1633" t="s">
        <v>448</v>
      </c>
      <c r="F1633">
        <v>144</v>
      </c>
      <c r="G1633" t="s">
        <v>247</v>
      </c>
      <c r="H1633" t="s">
        <v>9</v>
      </c>
      <c r="I1633">
        <v>3.3E-3</v>
      </c>
    </row>
    <row r="1634" spans="5:9" ht="15.75" hidden="1" customHeight="1" x14ac:dyDescent="0.2">
      <c r="E1634" t="s">
        <v>449</v>
      </c>
      <c r="F1634">
        <v>145</v>
      </c>
      <c r="G1634" t="s">
        <v>247</v>
      </c>
      <c r="H1634" t="s">
        <v>9</v>
      </c>
      <c r="I1634">
        <v>3.5999999999999999E-3</v>
      </c>
    </row>
    <row r="1635" spans="5:9" ht="15.75" hidden="1" customHeight="1" x14ac:dyDescent="0.2">
      <c r="E1635" t="s">
        <v>450</v>
      </c>
      <c r="F1635">
        <v>146</v>
      </c>
      <c r="G1635" t="s">
        <v>247</v>
      </c>
      <c r="H1635" t="s">
        <v>9</v>
      </c>
      <c r="I1635">
        <v>1.6999999999999999E-3</v>
      </c>
    </row>
    <row r="1636" spans="5:9" ht="15.75" hidden="1" customHeight="1" x14ac:dyDescent="0.2">
      <c r="E1636" t="s">
        <v>451</v>
      </c>
      <c r="F1636">
        <v>147</v>
      </c>
      <c r="G1636" t="s">
        <v>247</v>
      </c>
      <c r="H1636" t="s">
        <v>9</v>
      </c>
      <c r="I1636">
        <v>1.6999999999999999E-3</v>
      </c>
    </row>
    <row r="1637" spans="5:9" ht="15.75" hidden="1" customHeight="1" x14ac:dyDescent="0.2">
      <c r="E1637" t="s">
        <v>488</v>
      </c>
      <c r="F1637">
        <v>148</v>
      </c>
      <c r="G1637" t="s">
        <v>247</v>
      </c>
      <c r="H1637" t="s">
        <v>9</v>
      </c>
      <c r="I1637">
        <v>4.4000000000000003E-3</v>
      </c>
    </row>
    <row r="1638" spans="5:9" ht="15.75" hidden="1" customHeight="1" x14ac:dyDescent="0.2">
      <c r="E1638" t="s">
        <v>452</v>
      </c>
      <c r="F1638">
        <v>149</v>
      </c>
      <c r="G1638" t="s">
        <v>247</v>
      </c>
      <c r="H1638" t="s">
        <v>9</v>
      </c>
      <c r="I1638">
        <v>2.29E-2</v>
      </c>
    </row>
    <row r="1639" spans="5:9" ht="15.75" hidden="1" customHeight="1" x14ac:dyDescent="0.2">
      <c r="E1639" t="s">
        <v>453</v>
      </c>
      <c r="F1639">
        <v>150</v>
      </c>
      <c r="G1639" t="s">
        <v>247</v>
      </c>
      <c r="H1639" t="s">
        <v>9</v>
      </c>
      <c r="I1639">
        <v>1.6999999999999999E-3</v>
      </c>
    </row>
    <row r="1640" spans="5:9" ht="15.75" hidden="1" customHeight="1" x14ac:dyDescent="0.2">
      <c r="E1640" t="s">
        <v>454</v>
      </c>
      <c r="F1640">
        <v>151</v>
      </c>
      <c r="G1640" t="s">
        <v>247</v>
      </c>
      <c r="H1640" t="s">
        <v>9</v>
      </c>
      <c r="I1640">
        <v>1.2800000000000001E-2</v>
      </c>
    </row>
    <row r="1641" spans="5:9" ht="15.75" hidden="1" customHeight="1" x14ac:dyDescent="0.2">
      <c r="E1641" t="s">
        <v>455</v>
      </c>
      <c r="F1641">
        <v>152</v>
      </c>
      <c r="G1641" t="s">
        <v>247</v>
      </c>
      <c r="H1641" t="s">
        <v>9</v>
      </c>
      <c r="I1641">
        <v>1.6999999999999999E-3</v>
      </c>
    </row>
    <row r="1642" spans="5:9" ht="15.75" hidden="1" customHeight="1" x14ac:dyDescent="0.2">
      <c r="E1642" t="s">
        <v>456</v>
      </c>
      <c r="F1642">
        <v>153</v>
      </c>
      <c r="G1642" t="s">
        <v>247</v>
      </c>
      <c r="H1642" t="s">
        <v>9</v>
      </c>
      <c r="I1642">
        <v>1.2999999999999999E-3</v>
      </c>
    </row>
    <row r="1643" spans="5:9" ht="15.75" hidden="1" customHeight="1" x14ac:dyDescent="0.2">
      <c r="E1643" t="s">
        <v>489</v>
      </c>
      <c r="F1643">
        <v>154</v>
      </c>
      <c r="G1643" t="s">
        <v>247</v>
      </c>
      <c r="H1643" t="s">
        <v>9</v>
      </c>
      <c r="I1643">
        <v>1.32E-2</v>
      </c>
    </row>
    <row r="1644" spans="5:9" ht="15.75" hidden="1" customHeight="1" x14ac:dyDescent="0.2">
      <c r="E1644" t="s">
        <v>457</v>
      </c>
      <c r="F1644">
        <v>155</v>
      </c>
      <c r="G1644" t="s">
        <v>247</v>
      </c>
      <c r="H1644" t="s">
        <v>9</v>
      </c>
      <c r="I1644">
        <v>1.2999999999999999E-3</v>
      </c>
    </row>
    <row r="1645" spans="5:9" ht="15.75" hidden="1" customHeight="1" x14ac:dyDescent="0.2">
      <c r="E1645" t="s">
        <v>362</v>
      </c>
      <c r="F1645">
        <v>156</v>
      </c>
      <c r="G1645" t="s">
        <v>247</v>
      </c>
      <c r="H1645" t="s">
        <v>9</v>
      </c>
      <c r="I1645">
        <v>5.3E-3</v>
      </c>
    </row>
    <row r="1646" spans="5:9" ht="15.75" hidden="1" customHeight="1" x14ac:dyDescent="0.2">
      <c r="E1646" t="s">
        <v>491</v>
      </c>
      <c r="F1646">
        <v>157</v>
      </c>
      <c r="G1646" t="s">
        <v>247</v>
      </c>
      <c r="H1646" t="s">
        <v>9</v>
      </c>
      <c r="I1646">
        <v>0.14599999999999999</v>
      </c>
    </row>
    <row r="1647" spans="5:9" ht="15.75" hidden="1" customHeight="1" x14ac:dyDescent="0.2">
      <c r="E1647" t="s">
        <v>492</v>
      </c>
      <c r="F1647">
        <v>158</v>
      </c>
      <c r="G1647" t="s">
        <v>247</v>
      </c>
      <c r="H1647" t="s">
        <v>9</v>
      </c>
      <c r="I1647">
        <v>3.7600000000000001E-2</v>
      </c>
    </row>
    <row r="1648" spans="5:9" ht="15.75" hidden="1" customHeight="1" x14ac:dyDescent="0.2">
      <c r="E1648" t="s">
        <v>493</v>
      </c>
      <c r="F1648">
        <v>159</v>
      </c>
      <c r="G1648" t="s">
        <v>247</v>
      </c>
      <c r="H1648" t="s">
        <v>9</v>
      </c>
      <c r="I1648">
        <v>2.8899999999999999E-2</v>
      </c>
    </row>
    <row r="1649" spans="5:9" ht="15.75" hidden="1" customHeight="1" x14ac:dyDescent="0.2">
      <c r="E1649" t="s">
        <v>494</v>
      </c>
      <c r="F1649">
        <v>160</v>
      </c>
      <c r="G1649" t="s">
        <v>247</v>
      </c>
      <c r="H1649" t="s">
        <v>9</v>
      </c>
      <c r="I1649">
        <v>3.6999999999999998E-2</v>
      </c>
    </row>
    <row r="1650" spans="5:9" ht="15.75" hidden="1" customHeight="1" x14ac:dyDescent="0.2">
      <c r="E1650" t="s">
        <v>496</v>
      </c>
      <c r="F1650">
        <v>161</v>
      </c>
      <c r="G1650" t="s">
        <v>247</v>
      </c>
      <c r="H1650" t="s">
        <v>9</v>
      </c>
      <c r="I1650">
        <v>2.0299999999999999E-2</v>
      </c>
    </row>
    <row r="1651" spans="5:9" ht="15.75" hidden="1" customHeight="1" x14ac:dyDescent="0.2">
      <c r="E1651" t="s">
        <v>497</v>
      </c>
      <c r="F1651">
        <v>162</v>
      </c>
      <c r="G1651" t="s">
        <v>247</v>
      </c>
      <c r="H1651" t="s">
        <v>9</v>
      </c>
      <c r="I1651">
        <v>7.17E-2</v>
      </c>
    </row>
    <row r="1652" spans="5:9" ht="15.75" hidden="1" customHeight="1" x14ac:dyDescent="0.2">
      <c r="E1652" t="s">
        <v>459</v>
      </c>
      <c r="F1652">
        <v>163</v>
      </c>
      <c r="G1652" t="s">
        <v>247</v>
      </c>
      <c r="H1652" t="s">
        <v>9</v>
      </c>
      <c r="I1652">
        <v>3.3099999999999997E-2</v>
      </c>
    </row>
    <row r="1653" spans="5:9" ht="15.75" hidden="1" customHeight="1" x14ac:dyDescent="0.2">
      <c r="E1653" t="s">
        <v>460</v>
      </c>
      <c r="F1653">
        <v>164</v>
      </c>
      <c r="G1653" t="s">
        <v>247</v>
      </c>
      <c r="H1653" t="s">
        <v>9</v>
      </c>
      <c r="I1653">
        <v>8.9999999999999998E-4</v>
      </c>
    </row>
    <row r="1654" spans="5:9" ht="15.75" hidden="1" customHeight="1" x14ac:dyDescent="0.2">
      <c r="E1654" t="s">
        <v>461</v>
      </c>
      <c r="F1654">
        <v>165</v>
      </c>
      <c r="G1654" t="s">
        <v>247</v>
      </c>
      <c r="H1654" t="s">
        <v>9</v>
      </c>
      <c r="I1654">
        <v>4.4999999999999998E-2</v>
      </c>
    </row>
    <row r="1655" spans="5:9" ht="15.75" hidden="1" customHeight="1" x14ac:dyDescent="0.2">
      <c r="E1655" t="s">
        <v>462</v>
      </c>
      <c r="F1655">
        <v>166</v>
      </c>
      <c r="G1655" t="s">
        <v>247</v>
      </c>
      <c r="H1655" t="s">
        <v>9</v>
      </c>
      <c r="I1655">
        <v>8.9999999999999998E-4</v>
      </c>
    </row>
    <row r="1656" spans="5:9" ht="15.75" hidden="1" customHeight="1" x14ac:dyDescent="0.2">
      <c r="E1656" t="s">
        <v>463</v>
      </c>
      <c r="F1656">
        <v>167</v>
      </c>
      <c r="G1656" t="s">
        <v>247</v>
      </c>
      <c r="H1656" t="s">
        <v>9</v>
      </c>
      <c r="I1656">
        <v>4.1799999999999997E-2</v>
      </c>
    </row>
    <row r="1657" spans="5:9" ht="15.75" hidden="1" customHeight="1" x14ac:dyDescent="0.2">
      <c r="E1657" t="s">
        <v>464</v>
      </c>
      <c r="F1657">
        <v>168</v>
      </c>
      <c r="G1657" t="s">
        <v>247</v>
      </c>
      <c r="H1657" t="s">
        <v>9</v>
      </c>
      <c r="I1657">
        <v>8.9999999999999998E-4</v>
      </c>
    </row>
    <row r="1658" spans="5:9" ht="15.75" hidden="1" customHeight="1" x14ac:dyDescent="0.2">
      <c r="E1658" t="s">
        <v>465</v>
      </c>
      <c r="F1658">
        <v>169</v>
      </c>
      <c r="G1658" t="s">
        <v>247</v>
      </c>
      <c r="H1658" t="s">
        <v>9</v>
      </c>
      <c r="I1658">
        <v>8.9999999999999998E-4</v>
      </c>
    </row>
    <row r="1659" spans="5:9" ht="15.75" hidden="1" customHeight="1" x14ac:dyDescent="0.2">
      <c r="E1659" t="s">
        <v>466</v>
      </c>
      <c r="F1659">
        <v>170</v>
      </c>
      <c r="G1659" t="s">
        <v>247</v>
      </c>
      <c r="H1659" t="s">
        <v>9</v>
      </c>
      <c r="I1659">
        <v>4.4999999999999998E-2</v>
      </c>
    </row>
    <row r="1660" spans="5:9" ht="15.75" hidden="1" customHeight="1" x14ac:dyDescent="0.2">
      <c r="E1660" t="s">
        <v>467</v>
      </c>
      <c r="F1660">
        <v>171</v>
      </c>
      <c r="G1660" t="s">
        <v>247</v>
      </c>
      <c r="H1660" t="s">
        <v>9</v>
      </c>
      <c r="I1660">
        <v>8.9999999999999998E-4</v>
      </c>
    </row>
    <row r="1661" spans="5:9" ht="15.75" hidden="1" customHeight="1" x14ac:dyDescent="0.2">
      <c r="E1661" t="s">
        <v>468</v>
      </c>
      <c r="F1661">
        <v>172</v>
      </c>
      <c r="G1661" t="s">
        <v>247</v>
      </c>
      <c r="H1661" t="s">
        <v>9</v>
      </c>
      <c r="I1661">
        <v>4.1799999999999997E-2</v>
      </c>
    </row>
    <row r="1662" spans="5:9" ht="15.75" hidden="1" customHeight="1" x14ac:dyDescent="0.2">
      <c r="E1662" t="s">
        <v>469</v>
      </c>
      <c r="F1662">
        <v>173</v>
      </c>
      <c r="G1662" t="s">
        <v>247</v>
      </c>
      <c r="H1662" t="s">
        <v>9</v>
      </c>
      <c r="I1662">
        <v>3.5299999999999998E-2</v>
      </c>
    </row>
    <row r="1663" spans="5:9" ht="15.75" hidden="1" customHeight="1" x14ac:dyDescent="0.2">
      <c r="E1663" t="s">
        <v>470</v>
      </c>
      <c r="F1663">
        <v>174</v>
      </c>
      <c r="G1663" t="s">
        <v>247</v>
      </c>
      <c r="H1663" t="s">
        <v>9</v>
      </c>
      <c r="I1663">
        <v>2.4500000000000001E-2</v>
      </c>
    </row>
    <row r="1664" spans="5:9" ht="15.75" hidden="1" customHeight="1" x14ac:dyDescent="0.2">
      <c r="E1664" t="s">
        <v>471</v>
      </c>
      <c r="F1664">
        <v>175</v>
      </c>
      <c r="G1664" t="s">
        <v>247</v>
      </c>
      <c r="H1664" t="s">
        <v>9</v>
      </c>
      <c r="I1664">
        <v>3.8E-3</v>
      </c>
    </row>
    <row r="1665" spans="5:9" ht="15.75" hidden="1" customHeight="1" x14ac:dyDescent="0.2">
      <c r="E1665" t="s">
        <v>472</v>
      </c>
      <c r="F1665">
        <v>176</v>
      </c>
      <c r="G1665" t="s">
        <v>247</v>
      </c>
      <c r="H1665" t="s">
        <v>9</v>
      </c>
      <c r="I1665">
        <v>2.87E-2</v>
      </c>
    </row>
    <row r="1666" spans="5:9" ht="15.75" hidden="1" customHeight="1" x14ac:dyDescent="0.2">
      <c r="E1666" t="s">
        <v>362</v>
      </c>
      <c r="F1666">
        <v>177</v>
      </c>
      <c r="G1666" t="s">
        <v>247</v>
      </c>
      <c r="H1666" t="s">
        <v>9</v>
      </c>
      <c r="I1666">
        <v>3.3E-3</v>
      </c>
    </row>
    <row r="1667" spans="5:9" ht="15.75" hidden="1" customHeight="1" x14ac:dyDescent="0.2">
      <c r="E1667" t="s">
        <v>473</v>
      </c>
      <c r="F1667">
        <v>178</v>
      </c>
      <c r="G1667" t="s">
        <v>247</v>
      </c>
      <c r="H1667" t="s">
        <v>9</v>
      </c>
      <c r="I1667">
        <v>3.8399999999999997E-2</v>
      </c>
    </row>
    <row r="1668" spans="5:9" ht="15.75" hidden="1" customHeight="1" x14ac:dyDescent="0.2">
      <c r="E1668" t="s">
        <v>474</v>
      </c>
      <c r="F1668">
        <v>179</v>
      </c>
      <c r="G1668" t="s">
        <v>247</v>
      </c>
      <c r="H1668" t="s">
        <v>9</v>
      </c>
      <c r="I1668">
        <v>2.5899999999999999E-2</v>
      </c>
    </row>
    <row r="1669" spans="5:9" ht="15.75" hidden="1" customHeight="1" x14ac:dyDescent="0.2">
      <c r="E1669" t="s">
        <v>499</v>
      </c>
      <c r="F1669">
        <v>180</v>
      </c>
      <c r="G1669" t="s">
        <v>247</v>
      </c>
      <c r="H1669" t="s">
        <v>9</v>
      </c>
      <c r="I1669">
        <v>4.1700000000000001E-2</v>
      </c>
    </row>
    <row r="1670" spans="5:9" ht="15.75" hidden="1" customHeight="1" x14ac:dyDescent="0.2">
      <c r="E1670" t="s">
        <v>500</v>
      </c>
      <c r="F1670">
        <v>181</v>
      </c>
      <c r="G1670" t="s">
        <v>247</v>
      </c>
      <c r="H1670" t="s">
        <v>9</v>
      </c>
      <c r="I1670">
        <v>9.4500000000000001E-2</v>
      </c>
    </row>
    <row r="1671" spans="5:9" ht="15.75" hidden="1" customHeight="1" x14ac:dyDescent="0.2">
      <c r="E1671" t="s">
        <v>501</v>
      </c>
      <c r="F1671">
        <v>182</v>
      </c>
      <c r="G1671" t="s">
        <v>247</v>
      </c>
      <c r="H1671" t="s">
        <v>9</v>
      </c>
      <c r="I1671">
        <v>1.1017999999999999</v>
      </c>
    </row>
    <row r="1672" spans="5:9" ht="15.75" hidden="1" customHeight="1" x14ac:dyDescent="0.2">
      <c r="E1672" t="s">
        <v>502</v>
      </c>
      <c r="F1672">
        <v>183</v>
      </c>
      <c r="G1672" t="s">
        <v>247</v>
      </c>
      <c r="H1672" t="s">
        <v>9</v>
      </c>
      <c r="I1672">
        <v>3.8300000000000001E-2</v>
      </c>
    </row>
    <row r="1673" spans="5:9" ht="15.75" hidden="1" customHeight="1" x14ac:dyDescent="0.2">
      <c r="E1673" t="s">
        <v>503</v>
      </c>
      <c r="F1673">
        <v>184</v>
      </c>
      <c r="G1673" t="s">
        <v>247</v>
      </c>
      <c r="H1673" t="s">
        <v>9</v>
      </c>
      <c r="I1673">
        <v>0.14180000000000001</v>
      </c>
    </row>
    <row r="1674" spans="5:9" ht="15.75" hidden="1" customHeight="1" x14ac:dyDescent="0.2">
      <c r="E1674" t="s">
        <v>504</v>
      </c>
      <c r="F1674">
        <v>185</v>
      </c>
      <c r="G1674" t="s">
        <v>247</v>
      </c>
      <c r="H1674" t="s">
        <v>9</v>
      </c>
      <c r="I1674">
        <v>1.6400000000000001E-2</v>
      </c>
    </row>
    <row r="1675" spans="5:9" ht="15.75" hidden="1" customHeight="1" x14ac:dyDescent="0.2">
      <c r="E1675" t="s">
        <v>505</v>
      </c>
      <c r="F1675">
        <v>186</v>
      </c>
      <c r="G1675" t="s">
        <v>247</v>
      </c>
      <c r="H1675" t="s">
        <v>9</v>
      </c>
      <c r="I1675">
        <v>2.6800000000000001E-2</v>
      </c>
    </row>
    <row r="1676" spans="5:9" ht="15.75" hidden="1" customHeight="1" x14ac:dyDescent="0.2">
      <c r="E1676" t="s">
        <v>287</v>
      </c>
      <c r="F1676">
        <v>1</v>
      </c>
      <c r="G1676" t="s">
        <v>249</v>
      </c>
      <c r="H1676" t="s">
        <v>10</v>
      </c>
      <c r="I1676">
        <v>14</v>
      </c>
    </row>
    <row r="1677" spans="5:9" ht="15.75" hidden="1" customHeight="1" x14ac:dyDescent="0.2">
      <c r="E1677" t="s">
        <v>350</v>
      </c>
      <c r="F1677">
        <v>2</v>
      </c>
      <c r="G1677" t="s">
        <v>249</v>
      </c>
      <c r="H1677" t="s">
        <v>10</v>
      </c>
      <c r="I1677">
        <v>11</v>
      </c>
    </row>
    <row r="1678" spans="5:9" ht="15.75" hidden="1" customHeight="1" x14ac:dyDescent="0.2">
      <c r="E1678" t="s">
        <v>351</v>
      </c>
      <c r="F1678">
        <v>3</v>
      </c>
      <c r="G1678" t="s">
        <v>249</v>
      </c>
      <c r="H1678" t="s">
        <v>10</v>
      </c>
      <c r="I1678">
        <v>119</v>
      </c>
    </row>
    <row r="1679" spans="5:9" ht="15.75" hidden="1" customHeight="1" x14ac:dyDescent="0.2">
      <c r="E1679" t="s">
        <v>352</v>
      </c>
      <c r="F1679">
        <v>4</v>
      </c>
      <c r="G1679" t="s">
        <v>249</v>
      </c>
      <c r="H1679" t="s">
        <v>10</v>
      </c>
      <c r="I1679">
        <v>88</v>
      </c>
    </row>
    <row r="1680" spans="5:9" ht="15.75" hidden="1" customHeight="1" x14ac:dyDescent="0.2">
      <c r="E1680" t="s">
        <v>354</v>
      </c>
      <c r="F1680">
        <v>5</v>
      </c>
      <c r="G1680" t="s">
        <v>249</v>
      </c>
      <c r="H1680" t="s">
        <v>10</v>
      </c>
      <c r="I1680">
        <v>93</v>
      </c>
    </row>
    <row r="1681" spans="5:9" ht="15.75" hidden="1" customHeight="1" x14ac:dyDescent="0.2">
      <c r="E1681" t="s">
        <v>356</v>
      </c>
      <c r="F1681">
        <v>6</v>
      </c>
      <c r="G1681" t="s">
        <v>249</v>
      </c>
      <c r="H1681" t="s">
        <v>10</v>
      </c>
      <c r="I1681">
        <v>93</v>
      </c>
    </row>
    <row r="1682" spans="5:9" ht="15.75" hidden="1" customHeight="1" x14ac:dyDescent="0.2">
      <c r="E1682" t="s">
        <v>358</v>
      </c>
      <c r="F1682">
        <v>7</v>
      </c>
      <c r="G1682" t="s">
        <v>249</v>
      </c>
      <c r="H1682" t="s">
        <v>10</v>
      </c>
      <c r="I1682">
        <v>4</v>
      </c>
    </row>
    <row r="1683" spans="5:9" ht="15.75" hidden="1" customHeight="1" x14ac:dyDescent="0.2">
      <c r="E1683" t="s">
        <v>359</v>
      </c>
      <c r="F1683">
        <v>8</v>
      </c>
      <c r="G1683" t="s">
        <v>249</v>
      </c>
      <c r="H1683" t="s">
        <v>10</v>
      </c>
      <c r="I1683">
        <v>29</v>
      </c>
    </row>
    <row r="1684" spans="5:9" ht="15.75" hidden="1" customHeight="1" x14ac:dyDescent="0.2">
      <c r="E1684" t="s">
        <v>360</v>
      </c>
      <c r="F1684">
        <v>9</v>
      </c>
      <c r="G1684" t="s">
        <v>249</v>
      </c>
      <c r="H1684" t="s">
        <v>10</v>
      </c>
      <c r="I1684">
        <v>4</v>
      </c>
    </row>
    <row r="1685" spans="5:9" ht="15.75" hidden="1" customHeight="1" x14ac:dyDescent="0.2">
      <c r="E1685" t="s">
        <v>361</v>
      </c>
      <c r="F1685">
        <v>10</v>
      </c>
      <c r="G1685" t="s">
        <v>249</v>
      </c>
      <c r="H1685" t="s">
        <v>10</v>
      </c>
      <c r="I1685">
        <v>12</v>
      </c>
    </row>
    <row r="1686" spans="5:9" ht="15.75" hidden="1" customHeight="1" x14ac:dyDescent="0.2">
      <c r="E1686" t="s">
        <v>362</v>
      </c>
      <c r="F1686">
        <v>11</v>
      </c>
      <c r="G1686" t="s">
        <v>249</v>
      </c>
      <c r="H1686" t="s">
        <v>10</v>
      </c>
      <c r="I1686">
        <v>5</v>
      </c>
    </row>
    <row r="1687" spans="5:9" ht="15.75" hidden="1" customHeight="1" x14ac:dyDescent="0.2">
      <c r="E1687" t="s">
        <v>363</v>
      </c>
      <c r="F1687">
        <v>12</v>
      </c>
      <c r="G1687" t="s">
        <v>249</v>
      </c>
      <c r="H1687" t="s">
        <v>10</v>
      </c>
      <c r="I1687">
        <v>0</v>
      </c>
    </row>
    <row r="1688" spans="5:9" ht="15.75" hidden="1" customHeight="1" x14ac:dyDescent="0.2">
      <c r="E1688" t="s">
        <v>365</v>
      </c>
      <c r="F1688">
        <v>13</v>
      </c>
      <c r="G1688" t="s">
        <v>249</v>
      </c>
      <c r="H1688" t="s">
        <v>10</v>
      </c>
      <c r="I1688">
        <v>0</v>
      </c>
    </row>
    <row r="1689" spans="5:9" ht="15.75" hidden="1" customHeight="1" x14ac:dyDescent="0.2">
      <c r="E1689" t="s">
        <v>369</v>
      </c>
      <c r="F1689">
        <v>14</v>
      </c>
      <c r="G1689" t="s">
        <v>249</v>
      </c>
      <c r="H1689" t="s">
        <v>10</v>
      </c>
      <c r="I1689">
        <v>3</v>
      </c>
    </row>
    <row r="1690" spans="5:9" ht="15.75" hidden="1" customHeight="1" x14ac:dyDescent="0.2">
      <c r="E1690" t="s">
        <v>370</v>
      </c>
      <c r="F1690">
        <v>15</v>
      </c>
      <c r="G1690" t="s">
        <v>249</v>
      </c>
      <c r="H1690" t="s">
        <v>10</v>
      </c>
      <c r="I1690">
        <v>25</v>
      </c>
    </row>
    <row r="1691" spans="5:9" ht="15.75" hidden="1" customHeight="1" x14ac:dyDescent="0.2">
      <c r="E1691" t="s">
        <v>371</v>
      </c>
      <c r="F1691">
        <v>16</v>
      </c>
      <c r="G1691" t="s">
        <v>249</v>
      </c>
      <c r="H1691" t="s">
        <v>10</v>
      </c>
      <c r="I1691">
        <v>25</v>
      </c>
    </row>
    <row r="1692" spans="5:9" ht="15.75" hidden="1" customHeight="1" x14ac:dyDescent="0.2">
      <c r="E1692" t="s">
        <v>372</v>
      </c>
      <c r="F1692">
        <v>17</v>
      </c>
      <c r="G1692" t="s">
        <v>249</v>
      </c>
      <c r="H1692" t="s">
        <v>10</v>
      </c>
      <c r="I1692">
        <v>38</v>
      </c>
    </row>
    <row r="1693" spans="5:9" ht="15.75" hidden="1" customHeight="1" x14ac:dyDescent="0.2">
      <c r="E1693" t="s">
        <v>373</v>
      </c>
      <c r="F1693">
        <v>18</v>
      </c>
      <c r="G1693" t="s">
        <v>249</v>
      </c>
      <c r="H1693" t="s">
        <v>10</v>
      </c>
      <c r="I1693">
        <v>12</v>
      </c>
    </row>
    <row r="1694" spans="5:9" ht="15.75" hidden="1" customHeight="1" x14ac:dyDescent="0.2">
      <c r="E1694" t="s">
        <v>374</v>
      </c>
      <c r="F1694">
        <v>19</v>
      </c>
      <c r="G1694" t="s">
        <v>249</v>
      </c>
      <c r="H1694" t="s">
        <v>10</v>
      </c>
      <c r="I1694">
        <v>3</v>
      </c>
    </row>
    <row r="1695" spans="5:9" ht="15.75" hidden="1" customHeight="1" x14ac:dyDescent="0.2">
      <c r="E1695" t="s">
        <v>375</v>
      </c>
      <c r="F1695">
        <v>20</v>
      </c>
      <c r="G1695" t="s">
        <v>249</v>
      </c>
      <c r="H1695" t="s">
        <v>10</v>
      </c>
      <c r="I1695">
        <v>18</v>
      </c>
    </row>
    <row r="1696" spans="5:9" ht="15.75" hidden="1" customHeight="1" x14ac:dyDescent="0.2">
      <c r="E1696" t="s">
        <v>376</v>
      </c>
      <c r="F1696">
        <v>21</v>
      </c>
      <c r="G1696" t="s">
        <v>249</v>
      </c>
      <c r="H1696" t="s">
        <v>10</v>
      </c>
      <c r="I1696">
        <v>13</v>
      </c>
    </row>
    <row r="1697" spans="5:9" ht="15.75" hidden="1" customHeight="1" x14ac:dyDescent="0.2">
      <c r="E1697" t="s">
        <v>377</v>
      </c>
      <c r="F1697">
        <v>22</v>
      </c>
      <c r="G1697" t="s">
        <v>249</v>
      </c>
      <c r="H1697" t="s">
        <v>10</v>
      </c>
      <c r="I1697">
        <v>27</v>
      </c>
    </row>
    <row r="1698" spans="5:9" ht="15.75" hidden="1" customHeight="1" x14ac:dyDescent="0.2">
      <c r="E1698" t="s">
        <v>378</v>
      </c>
      <c r="F1698">
        <v>23</v>
      </c>
      <c r="G1698" t="s">
        <v>249</v>
      </c>
      <c r="H1698" t="s">
        <v>10</v>
      </c>
      <c r="I1698">
        <v>3</v>
      </c>
    </row>
    <row r="1699" spans="5:9" ht="15.75" hidden="1" customHeight="1" x14ac:dyDescent="0.2">
      <c r="E1699" t="s">
        <v>379</v>
      </c>
      <c r="F1699">
        <v>24</v>
      </c>
      <c r="G1699" t="s">
        <v>249</v>
      </c>
      <c r="H1699" t="s">
        <v>10</v>
      </c>
      <c r="I1699">
        <v>4</v>
      </c>
    </row>
    <row r="1700" spans="5:9" ht="15.75" hidden="1" customHeight="1" x14ac:dyDescent="0.2">
      <c r="E1700" t="s">
        <v>380</v>
      </c>
      <c r="F1700">
        <v>25</v>
      </c>
      <c r="G1700" t="s">
        <v>249</v>
      </c>
      <c r="H1700" t="s">
        <v>10</v>
      </c>
      <c r="I1700">
        <v>11</v>
      </c>
    </row>
    <row r="1701" spans="5:9" ht="15.75" hidden="1" customHeight="1" x14ac:dyDescent="0.2">
      <c r="E1701" t="s">
        <v>381</v>
      </c>
      <c r="F1701">
        <v>26</v>
      </c>
      <c r="G1701" t="s">
        <v>249</v>
      </c>
      <c r="H1701" t="s">
        <v>10</v>
      </c>
      <c r="I1701">
        <v>9</v>
      </c>
    </row>
    <row r="1702" spans="5:9" ht="15.75" hidden="1" customHeight="1" x14ac:dyDescent="0.2">
      <c r="E1702" t="s">
        <v>382</v>
      </c>
      <c r="F1702">
        <v>27</v>
      </c>
      <c r="G1702" t="s">
        <v>249</v>
      </c>
      <c r="H1702" t="s">
        <v>10</v>
      </c>
      <c r="I1702">
        <v>13</v>
      </c>
    </row>
    <row r="1703" spans="5:9" ht="15.75" hidden="1" customHeight="1" x14ac:dyDescent="0.2">
      <c r="E1703" t="s">
        <v>383</v>
      </c>
      <c r="F1703">
        <v>28</v>
      </c>
      <c r="G1703" t="s">
        <v>249</v>
      </c>
      <c r="H1703" t="s">
        <v>10</v>
      </c>
      <c r="I1703">
        <v>15</v>
      </c>
    </row>
    <row r="1704" spans="5:9" ht="15.75" hidden="1" customHeight="1" x14ac:dyDescent="0.2">
      <c r="E1704" t="s">
        <v>385</v>
      </c>
      <c r="F1704">
        <v>29</v>
      </c>
      <c r="G1704" t="s">
        <v>249</v>
      </c>
      <c r="H1704" t="s">
        <v>10</v>
      </c>
      <c r="I1704">
        <v>93</v>
      </c>
    </row>
    <row r="1705" spans="5:9" ht="15.75" hidden="1" customHeight="1" x14ac:dyDescent="0.2">
      <c r="E1705" t="s">
        <v>387</v>
      </c>
      <c r="F1705">
        <v>30</v>
      </c>
      <c r="G1705" t="s">
        <v>249</v>
      </c>
      <c r="H1705" t="s">
        <v>10</v>
      </c>
      <c r="I1705">
        <v>29</v>
      </c>
    </row>
    <row r="1706" spans="5:9" ht="15.75" hidden="1" customHeight="1" x14ac:dyDescent="0.2">
      <c r="E1706" t="s">
        <v>388</v>
      </c>
      <c r="F1706">
        <v>31</v>
      </c>
      <c r="G1706" t="s">
        <v>249</v>
      </c>
      <c r="H1706" t="s">
        <v>10</v>
      </c>
      <c r="I1706">
        <v>39</v>
      </c>
    </row>
    <row r="1707" spans="5:9" ht="15.75" hidden="1" customHeight="1" x14ac:dyDescent="0.2">
      <c r="E1707" t="s">
        <v>389</v>
      </c>
      <c r="F1707">
        <v>32</v>
      </c>
      <c r="G1707" t="s">
        <v>249</v>
      </c>
      <c r="H1707" t="s">
        <v>10</v>
      </c>
      <c r="I1707">
        <v>41</v>
      </c>
    </row>
    <row r="1708" spans="5:9" ht="15.75" hidden="1" customHeight="1" x14ac:dyDescent="0.2">
      <c r="E1708" t="s">
        <v>390</v>
      </c>
      <c r="F1708">
        <v>33</v>
      </c>
      <c r="G1708" t="s">
        <v>249</v>
      </c>
      <c r="H1708" t="s">
        <v>10</v>
      </c>
      <c r="I1708">
        <v>40</v>
      </c>
    </row>
    <row r="1709" spans="5:9" ht="15.75" hidden="1" customHeight="1" x14ac:dyDescent="0.2">
      <c r="E1709" t="s">
        <v>391</v>
      </c>
      <c r="F1709">
        <v>34</v>
      </c>
      <c r="G1709" t="s">
        <v>249</v>
      </c>
      <c r="H1709" t="s">
        <v>10</v>
      </c>
      <c r="I1709">
        <v>39</v>
      </c>
    </row>
    <row r="1710" spans="5:9" ht="15.75" hidden="1" customHeight="1" x14ac:dyDescent="0.2">
      <c r="E1710" t="s">
        <v>393</v>
      </c>
      <c r="F1710">
        <v>35</v>
      </c>
      <c r="G1710" t="s">
        <v>249</v>
      </c>
      <c r="H1710" t="s">
        <v>10</v>
      </c>
      <c r="I1710">
        <v>28</v>
      </c>
    </row>
    <row r="1711" spans="5:9" ht="15.75" hidden="1" customHeight="1" x14ac:dyDescent="0.2">
      <c r="E1711" t="s">
        <v>394</v>
      </c>
      <c r="F1711">
        <v>36</v>
      </c>
      <c r="G1711" t="s">
        <v>249</v>
      </c>
      <c r="H1711" t="s">
        <v>10</v>
      </c>
      <c r="I1711">
        <v>135</v>
      </c>
    </row>
    <row r="1712" spans="5:9" ht="15.75" hidden="1" customHeight="1" x14ac:dyDescent="0.2">
      <c r="E1712" t="s">
        <v>395</v>
      </c>
      <c r="F1712">
        <v>37</v>
      </c>
      <c r="G1712" t="s">
        <v>249</v>
      </c>
      <c r="H1712" t="s">
        <v>10</v>
      </c>
      <c r="I1712">
        <v>42</v>
      </c>
    </row>
    <row r="1713" spans="5:9" ht="15.75" hidden="1" customHeight="1" x14ac:dyDescent="0.2">
      <c r="E1713" t="s">
        <v>396</v>
      </c>
      <c r="F1713">
        <v>38</v>
      </c>
      <c r="G1713" t="s">
        <v>249</v>
      </c>
      <c r="H1713" t="s">
        <v>10</v>
      </c>
      <c r="I1713">
        <v>42</v>
      </c>
    </row>
    <row r="1714" spans="5:9" ht="15.75" hidden="1" customHeight="1" x14ac:dyDescent="0.2">
      <c r="E1714" t="s">
        <v>397</v>
      </c>
      <c r="F1714">
        <v>39</v>
      </c>
      <c r="G1714" t="s">
        <v>249</v>
      </c>
      <c r="H1714" t="s">
        <v>10</v>
      </c>
      <c r="I1714">
        <v>64</v>
      </c>
    </row>
    <row r="1715" spans="5:9" ht="15.75" hidden="1" customHeight="1" x14ac:dyDescent="0.2">
      <c r="E1715" t="s">
        <v>398</v>
      </c>
      <c r="F1715">
        <v>40</v>
      </c>
      <c r="G1715" t="s">
        <v>249</v>
      </c>
      <c r="H1715" t="s">
        <v>10</v>
      </c>
      <c r="I1715">
        <v>51</v>
      </c>
    </row>
    <row r="1716" spans="5:9" ht="15.75" hidden="1" customHeight="1" x14ac:dyDescent="0.2">
      <c r="E1716" t="s">
        <v>399</v>
      </c>
      <c r="F1716">
        <v>41</v>
      </c>
      <c r="G1716" t="s">
        <v>249</v>
      </c>
      <c r="H1716" t="s">
        <v>10</v>
      </c>
      <c r="I1716">
        <v>3</v>
      </c>
    </row>
    <row r="1717" spans="5:9" ht="15.75" hidden="1" customHeight="1" x14ac:dyDescent="0.2">
      <c r="E1717" t="s">
        <v>400</v>
      </c>
      <c r="F1717">
        <v>42</v>
      </c>
      <c r="G1717" t="s">
        <v>249</v>
      </c>
      <c r="H1717" t="s">
        <v>10</v>
      </c>
      <c r="I1717">
        <v>3</v>
      </c>
    </row>
    <row r="1718" spans="5:9" ht="15.75" hidden="1" customHeight="1" x14ac:dyDescent="0.2">
      <c r="E1718" t="s">
        <v>401</v>
      </c>
      <c r="F1718">
        <v>43</v>
      </c>
      <c r="G1718" t="s">
        <v>249</v>
      </c>
      <c r="H1718" t="s">
        <v>10</v>
      </c>
      <c r="I1718">
        <v>5</v>
      </c>
    </row>
    <row r="1719" spans="5:9" ht="15.75" hidden="1" customHeight="1" x14ac:dyDescent="0.2">
      <c r="E1719" t="s">
        <v>402</v>
      </c>
      <c r="F1719">
        <v>44</v>
      </c>
      <c r="G1719" t="s">
        <v>249</v>
      </c>
      <c r="H1719" t="s">
        <v>10</v>
      </c>
      <c r="I1719">
        <v>5</v>
      </c>
    </row>
    <row r="1720" spans="5:9" ht="15.75" hidden="1" customHeight="1" x14ac:dyDescent="0.2">
      <c r="E1720" t="s">
        <v>403</v>
      </c>
      <c r="F1720">
        <v>45</v>
      </c>
      <c r="G1720" t="s">
        <v>249</v>
      </c>
      <c r="H1720" t="s">
        <v>10</v>
      </c>
      <c r="I1720">
        <v>3</v>
      </c>
    </row>
    <row r="1721" spans="5:9" ht="15.75" hidden="1" customHeight="1" x14ac:dyDescent="0.2">
      <c r="E1721" t="s">
        <v>404</v>
      </c>
      <c r="F1721">
        <v>46</v>
      </c>
      <c r="G1721" t="s">
        <v>249</v>
      </c>
      <c r="H1721" t="s">
        <v>10</v>
      </c>
      <c r="I1721">
        <v>3</v>
      </c>
    </row>
    <row r="1722" spans="5:9" ht="15.75" hidden="1" customHeight="1" x14ac:dyDescent="0.2">
      <c r="E1722" t="s">
        <v>405</v>
      </c>
      <c r="F1722">
        <v>47</v>
      </c>
      <c r="G1722" t="s">
        <v>249</v>
      </c>
      <c r="H1722" t="s">
        <v>10</v>
      </c>
      <c r="I1722">
        <v>7</v>
      </c>
    </row>
    <row r="1723" spans="5:9" ht="15.75" hidden="1" customHeight="1" x14ac:dyDescent="0.2">
      <c r="E1723" t="s">
        <v>406</v>
      </c>
      <c r="F1723">
        <v>48</v>
      </c>
      <c r="G1723" t="s">
        <v>249</v>
      </c>
      <c r="H1723" t="s">
        <v>10</v>
      </c>
      <c r="I1723">
        <v>5</v>
      </c>
    </row>
    <row r="1724" spans="5:9" ht="15.75" hidden="1" customHeight="1" x14ac:dyDescent="0.2">
      <c r="E1724" t="s">
        <v>376</v>
      </c>
      <c r="F1724">
        <v>49</v>
      </c>
      <c r="G1724" t="s">
        <v>249</v>
      </c>
      <c r="H1724" t="s">
        <v>10</v>
      </c>
      <c r="I1724">
        <v>5</v>
      </c>
    </row>
    <row r="1725" spans="5:9" ht="15.75" hidden="1" customHeight="1" x14ac:dyDescent="0.2">
      <c r="E1725" t="s">
        <v>407</v>
      </c>
      <c r="F1725">
        <v>50</v>
      </c>
      <c r="G1725" t="s">
        <v>249</v>
      </c>
      <c r="H1725" t="s">
        <v>10</v>
      </c>
      <c r="I1725">
        <v>41</v>
      </c>
    </row>
    <row r="1726" spans="5:9" ht="15.75" hidden="1" customHeight="1" x14ac:dyDescent="0.2">
      <c r="E1726" t="s">
        <v>408</v>
      </c>
      <c r="F1726">
        <v>51</v>
      </c>
      <c r="G1726" t="s">
        <v>249</v>
      </c>
      <c r="H1726" t="s">
        <v>10</v>
      </c>
      <c r="I1726">
        <v>56</v>
      </c>
    </row>
    <row r="1727" spans="5:9" ht="15.75" hidden="1" customHeight="1" x14ac:dyDescent="0.2">
      <c r="E1727" t="s">
        <v>409</v>
      </c>
      <c r="F1727">
        <v>52</v>
      </c>
      <c r="G1727" t="s">
        <v>249</v>
      </c>
      <c r="H1727" t="s">
        <v>10</v>
      </c>
      <c r="I1727">
        <v>14</v>
      </c>
    </row>
    <row r="1728" spans="5:9" ht="15.75" hidden="1" customHeight="1" x14ac:dyDescent="0.2">
      <c r="E1728" t="s">
        <v>410</v>
      </c>
      <c r="F1728">
        <v>53</v>
      </c>
      <c r="G1728" t="s">
        <v>249</v>
      </c>
      <c r="H1728" t="s">
        <v>10</v>
      </c>
      <c r="I1728">
        <v>19</v>
      </c>
    </row>
    <row r="1729" spans="5:9" ht="15.75" hidden="1" customHeight="1" x14ac:dyDescent="0.2">
      <c r="E1729" t="s">
        <v>411</v>
      </c>
      <c r="F1729">
        <v>54</v>
      </c>
      <c r="G1729" t="s">
        <v>249</v>
      </c>
      <c r="H1729" t="s">
        <v>10</v>
      </c>
      <c r="I1729">
        <v>221</v>
      </c>
    </row>
    <row r="1730" spans="5:9" ht="15.75" hidden="1" customHeight="1" x14ac:dyDescent="0.2">
      <c r="E1730" t="s">
        <v>412</v>
      </c>
      <c r="F1730">
        <v>55</v>
      </c>
      <c r="G1730" t="s">
        <v>249</v>
      </c>
      <c r="H1730" t="s">
        <v>10</v>
      </c>
      <c r="I1730">
        <v>50</v>
      </c>
    </row>
    <row r="1731" spans="5:9" ht="15.75" hidden="1" customHeight="1" x14ac:dyDescent="0.2">
      <c r="E1731" t="s">
        <v>413</v>
      </c>
      <c r="F1731">
        <v>56</v>
      </c>
      <c r="G1731" t="s">
        <v>249</v>
      </c>
      <c r="H1731" t="s">
        <v>10</v>
      </c>
      <c r="I1731">
        <v>19</v>
      </c>
    </row>
    <row r="1732" spans="5:9" ht="15.75" hidden="1" customHeight="1" x14ac:dyDescent="0.2">
      <c r="E1732" t="s">
        <v>414</v>
      </c>
      <c r="F1732">
        <v>57</v>
      </c>
      <c r="G1732" t="s">
        <v>249</v>
      </c>
      <c r="H1732" t="s">
        <v>10</v>
      </c>
      <c r="I1732">
        <v>119</v>
      </c>
    </row>
    <row r="1733" spans="5:9" ht="15.75" hidden="1" customHeight="1" x14ac:dyDescent="0.2">
      <c r="E1733" t="s">
        <v>415</v>
      </c>
      <c r="F1733">
        <v>58</v>
      </c>
      <c r="G1733" t="s">
        <v>249</v>
      </c>
      <c r="H1733" t="s">
        <v>10</v>
      </c>
      <c r="I1733">
        <v>119</v>
      </c>
    </row>
    <row r="1734" spans="5:9" ht="15.75" hidden="1" customHeight="1" x14ac:dyDescent="0.2">
      <c r="E1734" t="s">
        <v>416</v>
      </c>
      <c r="F1734">
        <v>59</v>
      </c>
      <c r="G1734" t="s">
        <v>249</v>
      </c>
      <c r="H1734" t="s">
        <v>10</v>
      </c>
      <c r="I1734">
        <v>118</v>
      </c>
    </row>
    <row r="1735" spans="5:9" ht="15.75" hidden="1" customHeight="1" x14ac:dyDescent="0.2">
      <c r="E1735" t="s">
        <v>417</v>
      </c>
      <c r="F1735">
        <v>60</v>
      </c>
      <c r="G1735" t="s">
        <v>249</v>
      </c>
      <c r="H1735" t="s">
        <v>10</v>
      </c>
      <c r="I1735">
        <v>118</v>
      </c>
    </row>
    <row r="1736" spans="5:9" ht="15.75" hidden="1" customHeight="1" x14ac:dyDescent="0.2">
      <c r="E1736" t="s">
        <v>418</v>
      </c>
      <c r="F1736">
        <v>61</v>
      </c>
      <c r="G1736" t="s">
        <v>249</v>
      </c>
      <c r="H1736" t="s">
        <v>10</v>
      </c>
      <c r="I1736">
        <v>17</v>
      </c>
    </row>
    <row r="1737" spans="5:9" ht="15.75" hidden="1" customHeight="1" x14ac:dyDescent="0.2">
      <c r="E1737" t="s">
        <v>419</v>
      </c>
      <c r="F1737">
        <v>62</v>
      </c>
      <c r="G1737" t="s">
        <v>249</v>
      </c>
      <c r="H1737" t="s">
        <v>10</v>
      </c>
      <c r="I1737">
        <v>17</v>
      </c>
    </row>
    <row r="1738" spans="5:9" ht="15.75" hidden="1" customHeight="1" x14ac:dyDescent="0.2">
      <c r="E1738" t="s">
        <v>421</v>
      </c>
      <c r="F1738">
        <v>63</v>
      </c>
      <c r="G1738" t="s">
        <v>249</v>
      </c>
      <c r="H1738" t="s">
        <v>10</v>
      </c>
      <c r="I1738">
        <v>1</v>
      </c>
    </row>
    <row r="1739" spans="5:9" ht="15.75" hidden="1" customHeight="1" x14ac:dyDescent="0.2">
      <c r="E1739" t="s">
        <v>422</v>
      </c>
      <c r="F1739">
        <v>64</v>
      </c>
      <c r="G1739" t="s">
        <v>249</v>
      </c>
      <c r="H1739" t="s">
        <v>10</v>
      </c>
      <c r="I1739">
        <v>15</v>
      </c>
    </row>
    <row r="1740" spans="5:9" ht="15.75" hidden="1" customHeight="1" x14ac:dyDescent="0.2">
      <c r="E1740" t="s">
        <v>423</v>
      </c>
      <c r="F1740">
        <v>65</v>
      </c>
      <c r="G1740" t="s">
        <v>249</v>
      </c>
      <c r="H1740" t="s">
        <v>10</v>
      </c>
      <c r="I1740">
        <v>3</v>
      </c>
    </row>
    <row r="1741" spans="5:9" ht="15.75" hidden="1" customHeight="1" x14ac:dyDescent="0.2">
      <c r="E1741" t="s">
        <v>424</v>
      </c>
      <c r="F1741">
        <v>66</v>
      </c>
      <c r="G1741" t="s">
        <v>249</v>
      </c>
      <c r="H1741" t="s">
        <v>10</v>
      </c>
      <c r="I1741">
        <v>3</v>
      </c>
    </row>
    <row r="1742" spans="5:9" ht="15.75" hidden="1" customHeight="1" x14ac:dyDescent="0.2">
      <c r="E1742" t="s">
        <v>425</v>
      </c>
      <c r="F1742">
        <v>67</v>
      </c>
      <c r="G1742" t="s">
        <v>249</v>
      </c>
      <c r="H1742" t="s">
        <v>10</v>
      </c>
      <c r="I1742">
        <v>4</v>
      </c>
    </row>
    <row r="1743" spans="5:9" ht="15.75" hidden="1" customHeight="1" x14ac:dyDescent="0.2">
      <c r="E1743" t="s">
        <v>426</v>
      </c>
      <c r="F1743">
        <v>68</v>
      </c>
      <c r="G1743" t="s">
        <v>249</v>
      </c>
      <c r="H1743" t="s">
        <v>10</v>
      </c>
      <c r="I1743">
        <v>4</v>
      </c>
    </row>
    <row r="1744" spans="5:9" ht="15.75" hidden="1" customHeight="1" x14ac:dyDescent="0.2">
      <c r="E1744" t="s">
        <v>427</v>
      </c>
      <c r="F1744">
        <v>69</v>
      </c>
      <c r="G1744" t="s">
        <v>249</v>
      </c>
      <c r="H1744" t="s">
        <v>10</v>
      </c>
      <c r="I1744">
        <v>5</v>
      </c>
    </row>
    <row r="1745" spans="5:9" ht="15.75" hidden="1" customHeight="1" x14ac:dyDescent="0.2">
      <c r="E1745" t="s">
        <v>428</v>
      </c>
      <c r="F1745">
        <v>70</v>
      </c>
      <c r="G1745" t="s">
        <v>249</v>
      </c>
      <c r="H1745" t="s">
        <v>10</v>
      </c>
      <c r="I1745">
        <v>5</v>
      </c>
    </row>
    <row r="1746" spans="5:9" ht="15.75" hidden="1" customHeight="1" x14ac:dyDescent="0.2">
      <c r="E1746" t="s">
        <v>429</v>
      </c>
      <c r="F1746">
        <v>71</v>
      </c>
      <c r="G1746" t="s">
        <v>249</v>
      </c>
      <c r="H1746" t="s">
        <v>10</v>
      </c>
      <c r="I1746">
        <v>6</v>
      </c>
    </row>
    <row r="1747" spans="5:9" ht="15.75" hidden="1" customHeight="1" x14ac:dyDescent="0.2">
      <c r="E1747" t="s">
        <v>430</v>
      </c>
      <c r="F1747">
        <v>72</v>
      </c>
      <c r="G1747" t="s">
        <v>249</v>
      </c>
      <c r="H1747" t="s">
        <v>10</v>
      </c>
      <c r="I1747">
        <v>6</v>
      </c>
    </row>
    <row r="1748" spans="5:9" ht="15.75" hidden="1" customHeight="1" x14ac:dyDescent="0.2">
      <c r="E1748" t="s">
        <v>370</v>
      </c>
      <c r="F1748">
        <v>73</v>
      </c>
      <c r="G1748" t="s">
        <v>249</v>
      </c>
      <c r="H1748" t="s">
        <v>10</v>
      </c>
      <c r="I1748">
        <v>1</v>
      </c>
    </row>
    <row r="1749" spans="5:9" ht="15.75" hidden="1" customHeight="1" x14ac:dyDescent="0.2">
      <c r="E1749" t="s">
        <v>373</v>
      </c>
      <c r="F1749">
        <v>74</v>
      </c>
      <c r="G1749" t="s">
        <v>249</v>
      </c>
      <c r="H1749" t="s">
        <v>10</v>
      </c>
      <c r="I1749">
        <v>0</v>
      </c>
    </row>
    <row r="1750" spans="5:9" ht="15.75" hidden="1" customHeight="1" x14ac:dyDescent="0.2">
      <c r="E1750" t="s">
        <v>374</v>
      </c>
      <c r="F1750">
        <v>75</v>
      </c>
      <c r="G1750" t="s">
        <v>249</v>
      </c>
      <c r="H1750" t="s">
        <v>10</v>
      </c>
      <c r="I1750">
        <v>0</v>
      </c>
    </row>
    <row r="1751" spans="5:9" ht="15.75" hidden="1" customHeight="1" x14ac:dyDescent="0.2">
      <c r="E1751" t="s">
        <v>375</v>
      </c>
      <c r="F1751">
        <v>76</v>
      </c>
      <c r="G1751" t="s">
        <v>249</v>
      </c>
      <c r="H1751" t="s">
        <v>10</v>
      </c>
      <c r="I1751">
        <v>0</v>
      </c>
    </row>
    <row r="1752" spans="5:9" ht="15.75" hidden="1" customHeight="1" x14ac:dyDescent="0.2">
      <c r="E1752" t="s">
        <v>376</v>
      </c>
      <c r="F1752">
        <v>77</v>
      </c>
      <c r="G1752" t="s">
        <v>249</v>
      </c>
      <c r="H1752" t="s">
        <v>10</v>
      </c>
      <c r="I1752">
        <v>0</v>
      </c>
    </row>
    <row r="1753" spans="5:9" ht="15.75" hidden="1" customHeight="1" x14ac:dyDescent="0.2">
      <c r="E1753" t="s">
        <v>382</v>
      </c>
      <c r="F1753">
        <v>78</v>
      </c>
      <c r="G1753" t="s">
        <v>249</v>
      </c>
      <c r="H1753" t="s">
        <v>10</v>
      </c>
      <c r="I1753">
        <v>1</v>
      </c>
    </row>
    <row r="1754" spans="5:9" ht="15.75" hidden="1" customHeight="1" x14ac:dyDescent="0.2">
      <c r="E1754" t="s">
        <v>383</v>
      </c>
      <c r="F1754">
        <v>79</v>
      </c>
      <c r="G1754" t="s">
        <v>249</v>
      </c>
      <c r="H1754" t="s">
        <v>10</v>
      </c>
      <c r="I1754">
        <v>0</v>
      </c>
    </row>
    <row r="1755" spans="5:9" ht="15.75" hidden="1" customHeight="1" x14ac:dyDescent="0.2">
      <c r="E1755" t="s">
        <v>395</v>
      </c>
      <c r="F1755">
        <v>80</v>
      </c>
      <c r="G1755" t="s">
        <v>249</v>
      </c>
      <c r="H1755" t="s">
        <v>10</v>
      </c>
      <c r="I1755">
        <v>1</v>
      </c>
    </row>
    <row r="1756" spans="5:9" ht="15.75" hidden="1" customHeight="1" x14ac:dyDescent="0.2">
      <c r="E1756" t="s">
        <v>397</v>
      </c>
      <c r="F1756">
        <v>81</v>
      </c>
      <c r="G1756" t="s">
        <v>249</v>
      </c>
      <c r="H1756" t="s">
        <v>10</v>
      </c>
      <c r="I1756">
        <v>1</v>
      </c>
    </row>
    <row r="1757" spans="5:9" ht="15.75" hidden="1" customHeight="1" x14ac:dyDescent="0.2">
      <c r="E1757" t="s">
        <v>399</v>
      </c>
      <c r="F1757">
        <v>82</v>
      </c>
      <c r="G1757" t="s">
        <v>249</v>
      </c>
      <c r="H1757" t="s">
        <v>10</v>
      </c>
      <c r="I1757">
        <v>0</v>
      </c>
    </row>
    <row r="1758" spans="5:9" ht="15.75" hidden="1" customHeight="1" x14ac:dyDescent="0.2">
      <c r="E1758" t="s">
        <v>400</v>
      </c>
      <c r="F1758">
        <v>83</v>
      </c>
      <c r="G1758" t="s">
        <v>249</v>
      </c>
      <c r="H1758" t="s">
        <v>10</v>
      </c>
      <c r="I1758">
        <v>0</v>
      </c>
    </row>
    <row r="1759" spans="5:9" ht="15.75" hidden="1" customHeight="1" x14ac:dyDescent="0.2">
      <c r="E1759" t="s">
        <v>401</v>
      </c>
      <c r="F1759">
        <v>84</v>
      </c>
      <c r="G1759" t="s">
        <v>249</v>
      </c>
      <c r="H1759" t="s">
        <v>10</v>
      </c>
      <c r="I1759">
        <v>1</v>
      </c>
    </row>
    <row r="1760" spans="5:9" ht="15.75" hidden="1" customHeight="1" x14ac:dyDescent="0.2">
      <c r="E1760" t="s">
        <v>402</v>
      </c>
      <c r="F1760">
        <v>85</v>
      </c>
      <c r="G1760" t="s">
        <v>249</v>
      </c>
      <c r="H1760" t="s">
        <v>10</v>
      </c>
      <c r="I1760">
        <v>1</v>
      </c>
    </row>
    <row r="1761" spans="5:9" ht="15.75" hidden="1" customHeight="1" x14ac:dyDescent="0.2">
      <c r="E1761" t="s">
        <v>403</v>
      </c>
      <c r="F1761">
        <v>86</v>
      </c>
      <c r="G1761" t="s">
        <v>249</v>
      </c>
      <c r="H1761" t="s">
        <v>10</v>
      </c>
      <c r="I1761">
        <v>0</v>
      </c>
    </row>
    <row r="1762" spans="5:9" ht="15.75" hidden="1" customHeight="1" x14ac:dyDescent="0.2">
      <c r="E1762" t="s">
        <v>404</v>
      </c>
      <c r="F1762">
        <v>87</v>
      </c>
      <c r="G1762" t="s">
        <v>249</v>
      </c>
      <c r="H1762" t="s">
        <v>10</v>
      </c>
      <c r="I1762">
        <v>0</v>
      </c>
    </row>
    <row r="1763" spans="5:9" ht="15.75" hidden="1" customHeight="1" x14ac:dyDescent="0.2">
      <c r="E1763" t="s">
        <v>405</v>
      </c>
      <c r="F1763">
        <v>88</v>
      </c>
      <c r="G1763" t="s">
        <v>249</v>
      </c>
      <c r="H1763" t="s">
        <v>10</v>
      </c>
      <c r="I1763">
        <v>1</v>
      </c>
    </row>
    <row r="1764" spans="5:9" ht="15.75" hidden="1" customHeight="1" x14ac:dyDescent="0.2">
      <c r="E1764" t="s">
        <v>406</v>
      </c>
      <c r="F1764">
        <v>89</v>
      </c>
      <c r="G1764" t="s">
        <v>249</v>
      </c>
      <c r="H1764" t="s">
        <v>10</v>
      </c>
      <c r="I1764">
        <v>1</v>
      </c>
    </row>
    <row r="1765" spans="5:9" ht="15.75" hidden="1" customHeight="1" x14ac:dyDescent="0.2">
      <c r="E1765" t="s">
        <v>376</v>
      </c>
      <c r="F1765">
        <v>90</v>
      </c>
      <c r="G1765" t="s">
        <v>249</v>
      </c>
      <c r="H1765" t="s">
        <v>10</v>
      </c>
      <c r="I1765">
        <v>1</v>
      </c>
    </row>
    <row r="1766" spans="5:9" ht="15.75" hidden="1" customHeight="1" x14ac:dyDescent="0.2">
      <c r="E1766" t="s">
        <v>409</v>
      </c>
      <c r="F1766">
        <v>91</v>
      </c>
      <c r="G1766" t="s">
        <v>249</v>
      </c>
      <c r="H1766" t="s">
        <v>10</v>
      </c>
      <c r="I1766">
        <v>1</v>
      </c>
    </row>
    <row r="1767" spans="5:9" ht="15.75" hidden="1" customHeight="1" x14ac:dyDescent="0.2">
      <c r="E1767" t="s">
        <v>410</v>
      </c>
      <c r="F1767">
        <v>92</v>
      </c>
      <c r="G1767" t="s">
        <v>249</v>
      </c>
      <c r="H1767" t="s">
        <v>10</v>
      </c>
      <c r="I1767">
        <v>3</v>
      </c>
    </row>
    <row r="1768" spans="5:9" ht="15.75" hidden="1" customHeight="1" x14ac:dyDescent="0.2">
      <c r="E1768" t="s">
        <v>413</v>
      </c>
      <c r="F1768">
        <v>93</v>
      </c>
      <c r="G1768" t="s">
        <v>249</v>
      </c>
      <c r="H1768" t="s">
        <v>10</v>
      </c>
      <c r="I1768">
        <v>3</v>
      </c>
    </row>
    <row r="1769" spans="5:9" ht="15.75" hidden="1" customHeight="1" x14ac:dyDescent="0.2">
      <c r="E1769" t="s">
        <v>414</v>
      </c>
      <c r="F1769">
        <v>94</v>
      </c>
      <c r="G1769" t="s">
        <v>249</v>
      </c>
      <c r="H1769" t="s">
        <v>10</v>
      </c>
      <c r="I1769">
        <v>0</v>
      </c>
    </row>
    <row r="1770" spans="5:9" ht="15.75" hidden="1" customHeight="1" x14ac:dyDescent="0.2">
      <c r="E1770" t="s">
        <v>417</v>
      </c>
      <c r="F1770">
        <v>95</v>
      </c>
      <c r="G1770" t="s">
        <v>249</v>
      </c>
      <c r="H1770" t="s">
        <v>10</v>
      </c>
      <c r="I1770">
        <v>0</v>
      </c>
    </row>
    <row r="1771" spans="5:9" ht="15.75" hidden="1" customHeight="1" x14ac:dyDescent="0.2">
      <c r="E1771" t="s">
        <v>440</v>
      </c>
      <c r="F1771">
        <v>96</v>
      </c>
      <c r="G1771" t="s">
        <v>249</v>
      </c>
      <c r="H1771" t="s">
        <v>10</v>
      </c>
      <c r="I1771">
        <v>1</v>
      </c>
    </row>
    <row r="1772" spans="5:9" ht="15.75" hidden="1" customHeight="1" x14ac:dyDescent="0.2">
      <c r="E1772" t="s">
        <v>441</v>
      </c>
      <c r="F1772">
        <v>97</v>
      </c>
      <c r="G1772" t="s">
        <v>249</v>
      </c>
      <c r="H1772" t="s">
        <v>10</v>
      </c>
      <c r="I1772">
        <v>0</v>
      </c>
    </row>
    <row r="1773" spans="5:9" ht="15.75" hidden="1" customHeight="1" x14ac:dyDescent="0.2">
      <c r="E1773" t="s">
        <v>442</v>
      </c>
      <c r="F1773">
        <v>98</v>
      </c>
      <c r="G1773" t="s">
        <v>249</v>
      </c>
      <c r="H1773" t="s">
        <v>10</v>
      </c>
      <c r="I1773">
        <v>0</v>
      </c>
    </row>
    <row r="1774" spans="5:9" ht="15.75" hidden="1" customHeight="1" x14ac:dyDescent="0.2">
      <c r="E1774" t="s">
        <v>443</v>
      </c>
      <c r="F1774">
        <v>99</v>
      </c>
      <c r="G1774" t="s">
        <v>249</v>
      </c>
      <c r="H1774" t="s">
        <v>10</v>
      </c>
      <c r="I1774">
        <v>1</v>
      </c>
    </row>
    <row r="1775" spans="5:9" ht="15.75" hidden="1" customHeight="1" x14ac:dyDescent="0.2">
      <c r="E1775" t="s">
        <v>444</v>
      </c>
      <c r="F1775">
        <v>100</v>
      </c>
      <c r="G1775" t="s">
        <v>249</v>
      </c>
      <c r="H1775" t="s">
        <v>10</v>
      </c>
      <c r="I1775">
        <v>30</v>
      </c>
    </row>
    <row r="1776" spans="5:9" ht="15.75" hidden="1" customHeight="1" x14ac:dyDescent="0.2">
      <c r="E1776" t="s">
        <v>362</v>
      </c>
      <c r="F1776">
        <v>101</v>
      </c>
      <c r="G1776" t="s">
        <v>249</v>
      </c>
      <c r="H1776" t="s">
        <v>10</v>
      </c>
      <c r="I1776">
        <v>0</v>
      </c>
    </row>
    <row r="1777" spans="5:9" ht="15.75" hidden="1" customHeight="1" x14ac:dyDescent="0.2">
      <c r="E1777" t="s">
        <v>446</v>
      </c>
      <c r="F1777">
        <v>102</v>
      </c>
      <c r="G1777" t="s">
        <v>249</v>
      </c>
      <c r="H1777" t="s">
        <v>10</v>
      </c>
      <c r="I1777">
        <v>0</v>
      </c>
    </row>
    <row r="1778" spans="5:9" ht="15.75" hidden="1" customHeight="1" x14ac:dyDescent="0.2">
      <c r="E1778" t="s">
        <v>447</v>
      </c>
      <c r="F1778">
        <v>103</v>
      </c>
      <c r="G1778" t="s">
        <v>249</v>
      </c>
      <c r="H1778" t="s">
        <v>10</v>
      </c>
      <c r="I1778">
        <v>1</v>
      </c>
    </row>
    <row r="1779" spans="5:9" ht="15.75" hidden="1" customHeight="1" x14ac:dyDescent="0.2">
      <c r="E1779" t="s">
        <v>448</v>
      </c>
      <c r="F1779">
        <v>104</v>
      </c>
      <c r="G1779" t="s">
        <v>249</v>
      </c>
      <c r="H1779" t="s">
        <v>10</v>
      </c>
      <c r="I1779">
        <v>1</v>
      </c>
    </row>
    <row r="1780" spans="5:9" ht="15.75" hidden="1" customHeight="1" x14ac:dyDescent="0.2">
      <c r="E1780" t="s">
        <v>449</v>
      </c>
      <c r="F1780">
        <v>105</v>
      </c>
      <c r="G1780" t="s">
        <v>249</v>
      </c>
      <c r="H1780" t="s">
        <v>10</v>
      </c>
      <c r="I1780">
        <v>1</v>
      </c>
    </row>
    <row r="1781" spans="5:9" ht="15.75" hidden="1" customHeight="1" x14ac:dyDescent="0.2">
      <c r="E1781" t="s">
        <v>450</v>
      </c>
      <c r="F1781">
        <v>106</v>
      </c>
      <c r="G1781" t="s">
        <v>249</v>
      </c>
      <c r="H1781" t="s">
        <v>10</v>
      </c>
      <c r="I1781">
        <v>1</v>
      </c>
    </row>
    <row r="1782" spans="5:9" ht="15.75" hidden="1" customHeight="1" x14ac:dyDescent="0.2">
      <c r="E1782" t="s">
        <v>451</v>
      </c>
      <c r="F1782">
        <v>107</v>
      </c>
      <c r="G1782" t="s">
        <v>249</v>
      </c>
      <c r="H1782" t="s">
        <v>10</v>
      </c>
      <c r="I1782">
        <v>1</v>
      </c>
    </row>
    <row r="1783" spans="5:9" ht="15.75" hidden="1" customHeight="1" x14ac:dyDescent="0.2">
      <c r="E1783" t="s">
        <v>452</v>
      </c>
      <c r="F1783">
        <v>108</v>
      </c>
      <c r="G1783" t="s">
        <v>249</v>
      </c>
      <c r="H1783" t="s">
        <v>10</v>
      </c>
      <c r="I1783">
        <v>1</v>
      </c>
    </row>
    <row r="1784" spans="5:9" ht="15.75" hidden="1" customHeight="1" x14ac:dyDescent="0.2">
      <c r="E1784" t="s">
        <v>453</v>
      </c>
      <c r="F1784">
        <v>109</v>
      </c>
      <c r="G1784" t="s">
        <v>249</v>
      </c>
      <c r="H1784" t="s">
        <v>10</v>
      </c>
      <c r="I1784">
        <v>1</v>
      </c>
    </row>
    <row r="1785" spans="5:9" ht="15.75" hidden="1" customHeight="1" x14ac:dyDescent="0.2">
      <c r="E1785" t="s">
        <v>454</v>
      </c>
      <c r="F1785">
        <v>110</v>
      </c>
      <c r="G1785" t="s">
        <v>249</v>
      </c>
      <c r="H1785" t="s">
        <v>10</v>
      </c>
      <c r="I1785">
        <v>1</v>
      </c>
    </row>
    <row r="1786" spans="5:9" ht="15.75" hidden="1" customHeight="1" x14ac:dyDescent="0.2">
      <c r="E1786" t="s">
        <v>455</v>
      </c>
      <c r="F1786">
        <v>111</v>
      </c>
      <c r="G1786" t="s">
        <v>249</v>
      </c>
      <c r="H1786" t="s">
        <v>10</v>
      </c>
      <c r="I1786">
        <v>1</v>
      </c>
    </row>
    <row r="1787" spans="5:9" ht="15.75" hidden="1" customHeight="1" x14ac:dyDescent="0.2">
      <c r="E1787" t="s">
        <v>456</v>
      </c>
      <c r="F1787">
        <v>112</v>
      </c>
      <c r="G1787" t="s">
        <v>249</v>
      </c>
      <c r="H1787" t="s">
        <v>10</v>
      </c>
      <c r="I1787">
        <v>1</v>
      </c>
    </row>
    <row r="1788" spans="5:9" ht="15.75" hidden="1" customHeight="1" x14ac:dyDescent="0.2">
      <c r="E1788" t="s">
        <v>457</v>
      </c>
      <c r="F1788">
        <v>113</v>
      </c>
      <c r="G1788" t="s">
        <v>249</v>
      </c>
      <c r="H1788" t="s">
        <v>10</v>
      </c>
      <c r="I1788">
        <v>1</v>
      </c>
    </row>
    <row r="1789" spans="5:9" ht="15.75" hidden="1" customHeight="1" x14ac:dyDescent="0.2">
      <c r="E1789" t="s">
        <v>459</v>
      </c>
      <c r="F1789">
        <v>114</v>
      </c>
      <c r="G1789" t="s">
        <v>249</v>
      </c>
      <c r="H1789" t="s">
        <v>10</v>
      </c>
      <c r="I1789">
        <v>0</v>
      </c>
    </row>
    <row r="1790" spans="5:9" ht="15.75" hidden="1" customHeight="1" x14ac:dyDescent="0.2">
      <c r="E1790" t="s">
        <v>460</v>
      </c>
      <c r="F1790">
        <v>115</v>
      </c>
      <c r="G1790" t="s">
        <v>249</v>
      </c>
      <c r="H1790" t="s">
        <v>10</v>
      </c>
      <c r="I1790">
        <v>0</v>
      </c>
    </row>
    <row r="1791" spans="5:9" ht="15.75" hidden="1" customHeight="1" x14ac:dyDescent="0.2">
      <c r="E1791" t="s">
        <v>461</v>
      </c>
      <c r="F1791">
        <v>116</v>
      </c>
      <c r="G1791" t="s">
        <v>249</v>
      </c>
      <c r="H1791" t="s">
        <v>10</v>
      </c>
      <c r="I1791">
        <v>1</v>
      </c>
    </row>
    <row r="1792" spans="5:9" ht="15.75" hidden="1" customHeight="1" x14ac:dyDescent="0.2">
      <c r="E1792" t="s">
        <v>462</v>
      </c>
      <c r="F1792">
        <v>117</v>
      </c>
      <c r="G1792" t="s">
        <v>249</v>
      </c>
      <c r="H1792" t="s">
        <v>10</v>
      </c>
      <c r="I1792">
        <v>0</v>
      </c>
    </row>
    <row r="1793" spans="5:9" ht="15.75" hidden="1" customHeight="1" x14ac:dyDescent="0.2">
      <c r="E1793" t="s">
        <v>463</v>
      </c>
      <c r="F1793">
        <v>118</v>
      </c>
      <c r="G1793" t="s">
        <v>249</v>
      </c>
      <c r="H1793" t="s">
        <v>10</v>
      </c>
      <c r="I1793">
        <v>1</v>
      </c>
    </row>
    <row r="1794" spans="5:9" ht="15.75" hidden="1" customHeight="1" x14ac:dyDescent="0.2">
      <c r="E1794" t="s">
        <v>464</v>
      </c>
      <c r="F1794">
        <v>119</v>
      </c>
      <c r="G1794" t="s">
        <v>249</v>
      </c>
      <c r="H1794" t="s">
        <v>10</v>
      </c>
      <c r="I1794">
        <v>0</v>
      </c>
    </row>
    <row r="1795" spans="5:9" ht="15.75" hidden="1" customHeight="1" x14ac:dyDescent="0.2">
      <c r="E1795" t="s">
        <v>465</v>
      </c>
      <c r="F1795">
        <v>120</v>
      </c>
      <c r="G1795" t="s">
        <v>249</v>
      </c>
      <c r="H1795" t="s">
        <v>10</v>
      </c>
      <c r="I1795">
        <v>0</v>
      </c>
    </row>
    <row r="1796" spans="5:9" ht="15.75" hidden="1" customHeight="1" x14ac:dyDescent="0.2">
      <c r="E1796" t="s">
        <v>466</v>
      </c>
      <c r="F1796">
        <v>121</v>
      </c>
      <c r="G1796" t="s">
        <v>249</v>
      </c>
      <c r="H1796" t="s">
        <v>10</v>
      </c>
      <c r="I1796">
        <v>1</v>
      </c>
    </row>
    <row r="1797" spans="5:9" ht="15.75" hidden="1" customHeight="1" x14ac:dyDescent="0.2">
      <c r="E1797" t="s">
        <v>467</v>
      </c>
      <c r="F1797">
        <v>122</v>
      </c>
      <c r="G1797" t="s">
        <v>249</v>
      </c>
      <c r="H1797" t="s">
        <v>10</v>
      </c>
      <c r="I1797">
        <v>0</v>
      </c>
    </row>
    <row r="1798" spans="5:9" ht="15.75" hidden="1" customHeight="1" x14ac:dyDescent="0.2">
      <c r="E1798" t="s">
        <v>468</v>
      </c>
      <c r="F1798">
        <v>123</v>
      </c>
      <c r="G1798" t="s">
        <v>249</v>
      </c>
      <c r="H1798" t="s">
        <v>10</v>
      </c>
      <c r="I1798">
        <v>1</v>
      </c>
    </row>
    <row r="1799" spans="5:9" ht="15.75" hidden="1" customHeight="1" x14ac:dyDescent="0.2">
      <c r="E1799" t="s">
        <v>469</v>
      </c>
      <c r="F1799">
        <v>124</v>
      </c>
      <c r="G1799" t="s">
        <v>249</v>
      </c>
      <c r="H1799" t="s">
        <v>10</v>
      </c>
      <c r="I1799">
        <v>1</v>
      </c>
    </row>
    <row r="1800" spans="5:9" ht="15.75" hidden="1" customHeight="1" x14ac:dyDescent="0.2">
      <c r="E1800" t="s">
        <v>470</v>
      </c>
      <c r="F1800">
        <v>125</v>
      </c>
      <c r="G1800" t="s">
        <v>249</v>
      </c>
      <c r="H1800" t="s">
        <v>10</v>
      </c>
      <c r="I1800">
        <v>1</v>
      </c>
    </row>
    <row r="1801" spans="5:9" ht="15.75" hidden="1" customHeight="1" x14ac:dyDescent="0.2">
      <c r="E1801" t="s">
        <v>471</v>
      </c>
      <c r="F1801">
        <v>126</v>
      </c>
      <c r="G1801" t="s">
        <v>249</v>
      </c>
      <c r="H1801" t="s">
        <v>10</v>
      </c>
      <c r="I1801">
        <v>1</v>
      </c>
    </row>
    <row r="1802" spans="5:9" ht="15.75" hidden="1" customHeight="1" x14ac:dyDescent="0.2">
      <c r="E1802" t="s">
        <v>472</v>
      </c>
      <c r="F1802">
        <v>127</v>
      </c>
      <c r="G1802" t="s">
        <v>249</v>
      </c>
      <c r="H1802" t="s">
        <v>10</v>
      </c>
      <c r="I1802">
        <v>1</v>
      </c>
    </row>
    <row r="1803" spans="5:9" ht="15.75" hidden="1" customHeight="1" x14ac:dyDescent="0.2">
      <c r="E1803" t="s">
        <v>473</v>
      </c>
      <c r="F1803">
        <v>128</v>
      </c>
      <c r="G1803" t="s">
        <v>249</v>
      </c>
      <c r="H1803" t="s">
        <v>10</v>
      </c>
      <c r="I1803">
        <v>1</v>
      </c>
    </row>
    <row r="1804" spans="5:9" ht="15.75" hidden="1" customHeight="1" x14ac:dyDescent="0.2">
      <c r="E1804" t="s">
        <v>474</v>
      </c>
      <c r="F1804">
        <v>129</v>
      </c>
      <c r="G1804" t="s">
        <v>249</v>
      </c>
      <c r="H1804" t="s">
        <v>10</v>
      </c>
      <c r="I1804">
        <v>1</v>
      </c>
    </row>
    <row r="1805" spans="5:9" ht="15.75" hidden="1" customHeight="1" x14ac:dyDescent="0.2">
      <c r="E1805" t="s">
        <v>476</v>
      </c>
      <c r="F1805">
        <v>130</v>
      </c>
      <c r="G1805" t="s">
        <v>249</v>
      </c>
      <c r="H1805" t="s">
        <v>10</v>
      </c>
      <c r="I1805">
        <v>4</v>
      </c>
    </row>
    <row r="1806" spans="5:9" ht="15.75" hidden="1" customHeight="1" x14ac:dyDescent="0.2">
      <c r="E1806" t="s">
        <v>478</v>
      </c>
      <c r="F1806">
        <v>131</v>
      </c>
      <c r="G1806" t="s">
        <v>249</v>
      </c>
      <c r="H1806" t="s">
        <v>10</v>
      </c>
      <c r="I1806">
        <v>11</v>
      </c>
    </row>
    <row r="1807" spans="5:9" ht="15.75" hidden="1" customHeight="1" x14ac:dyDescent="0.2">
      <c r="E1807" t="s">
        <v>440</v>
      </c>
      <c r="F1807">
        <v>132</v>
      </c>
      <c r="G1807" t="s">
        <v>249</v>
      </c>
      <c r="H1807" t="s">
        <v>10</v>
      </c>
      <c r="I1807">
        <v>5</v>
      </c>
    </row>
    <row r="1808" spans="5:9" ht="15.75" hidden="1" customHeight="1" x14ac:dyDescent="0.2">
      <c r="E1808" t="s">
        <v>441</v>
      </c>
      <c r="F1808">
        <v>133</v>
      </c>
      <c r="G1808" t="s">
        <v>249</v>
      </c>
      <c r="H1808" t="s">
        <v>10</v>
      </c>
      <c r="I1808">
        <v>4</v>
      </c>
    </row>
    <row r="1809" spans="5:9" ht="15.75" hidden="1" customHeight="1" x14ac:dyDescent="0.2">
      <c r="E1809" t="s">
        <v>442</v>
      </c>
      <c r="F1809">
        <v>134</v>
      </c>
      <c r="G1809" t="s">
        <v>249</v>
      </c>
      <c r="H1809" t="s">
        <v>10</v>
      </c>
      <c r="I1809">
        <v>4</v>
      </c>
    </row>
    <row r="1810" spans="5:9" ht="15.75" hidden="1" customHeight="1" x14ac:dyDescent="0.2">
      <c r="E1810" t="s">
        <v>443</v>
      </c>
      <c r="F1810">
        <v>135</v>
      </c>
      <c r="G1810" t="s">
        <v>249</v>
      </c>
      <c r="H1810" t="s">
        <v>10</v>
      </c>
      <c r="I1810">
        <v>370</v>
      </c>
    </row>
    <row r="1811" spans="5:9" ht="15.75" hidden="1" customHeight="1" x14ac:dyDescent="0.2">
      <c r="E1811" t="s">
        <v>362</v>
      </c>
      <c r="F1811">
        <v>136</v>
      </c>
      <c r="G1811" t="s">
        <v>249</v>
      </c>
      <c r="H1811" t="s">
        <v>10</v>
      </c>
      <c r="I1811">
        <v>12</v>
      </c>
    </row>
    <row r="1812" spans="5:9" ht="15.75" hidden="1" customHeight="1" x14ac:dyDescent="0.2">
      <c r="E1812" t="s">
        <v>482</v>
      </c>
      <c r="F1812">
        <v>137</v>
      </c>
      <c r="G1812" t="s">
        <v>249</v>
      </c>
      <c r="H1812" t="s">
        <v>10</v>
      </c>
      <c r="I1812">
        <v>29</v>
      </c>
    </row>
    <row r="1813" spans="5:9" ht="15.75" hidden="1" customHeight="1" x14ac:dyDescent="0.2">
      <c r="E1813" t="s">
        <v>483</v>
      </c>
      <c r="F1813">
        <v>138</v>
      </c>
      <c r="G1813" t="s">
        <v>249</v>
      </c>
      <c r="H1813" t="s">
        <v>10</v>
      </c>
      <c r="I1813">
        <v>94</v>
      </c>
    </row>
    <row r="1814" spans="5:9" ht="15.75" hidden="1" customHeight="1" x14ac:dyDescent="0.2">
      <c r="E1814" t="s">
        <v>484</v>
      </c>
      <c r="F1814">
        <v>139</v>
      </c>
      <c r="G1814" t="s">
        <v>249</v>
      </c>
      <c r="H1814" t="s">
        <v>10</v>
      </c>
      <c r="I1814">
        <v>217</v>
      </c>
    </row>
    <row r="1815" spans="5:9" ht="15.75" hidden="1" customHeight="1" x14ac:dyDescent="0.2">
      <c r="E1815" t="s">
        <v>486</v>
      </c>
      <c r="F1815">
        <v>140</v>
      </c>
      <c r="G1815" t="s">
        <v>249</v>
      </c>
      <c r="H1815" t="s">
        <v>10</v>
      </c>
      <c r="I1815">
        <v>20</v>
      </c>
    </row>
    <row r="1816" spans="5:9" ht="15.75" hidden="1" customHeight="1" x14ac:dyDescent="0.2">
      <c r="E1816" t="s">
        <v>487</v>
      </c>
      <c r="F1816">
        <v>141</v>
      </c>
      <c r="G1816" t="s">
        <v>249</v>
      </c>
      <c r="H1816" t="s">
        <v>10</v>
      </c>
      <c r="I1816">
        <v>15</v>
      </c>
    </row>
    <row r="1817" spans="5:9" ht="15.75" hidden="1" customHeight="1" x14ac:dyDescent="0.2">
      <c r="E1817" t="s">
        <v>446</v>
      </c>
      <c r="F1817">
        <v>142</v>
      </c>
      <c r="G1817" t="s">
        <v>249</v>
      </c>
      <c r="H1817" t="s">
        <v>10</v>
      </c>
      <c r="I1817">
        <v>51</v>
      </c>
    </row>
    <row r="1818" spans="5:9" ht="15.75" hidden="1" customHeight="1" x14ac:dyDescent="0.2">
      <c r="E1818" t="s">
        <v>447</v>
      </c>
      <c r="F1818">
        <v>143</v>
      </c>
      <c r="G1818" t="s">
        <v>249</v>
      </c>
      <c r="H1818" t="s">
        <v>10</v>
      </c>
      <c r="I1818">
        <v>26</v>
      </c>
    </row>
    <row r="1819" spans="5:9" ht="15.75" hidden="1" customHeight="1" x14ac:dyDescent="0.2">
      <c r="E1819" t="s">
        <v>448</v>
      </c>
      <c r="F1819">
        <v>144</v>
      </c>
      <c r="G1819" t="s">
        <v>249</v>
      </c>
      <c r="H1819" t="s">
        <v>10</v>
      </c>
      <c r="I1819">
        <v>6</v>
      </c>
    </row>
    <row r="1820" spans="5:9" ht="15.75" hidden="1" customHeight="1" x14ac:dyDescent="0.2">
      <c r="E1820" t="s">
        <v>449</v>
      </c>
      <c r="F1820">
        <v>145</v>
      </c>
      <c r="G1820" t="s">
        <v>249</v>
      </c>
      <c r="H1820" t="s">
        <v>10</v>
      </c>
      <c r="I1820">
        <v>7</v>
      </c>
    </row>
    <row r="1821" spans="5:9" ht="15.75" hidden="1" customHeight="1" x14ac:dyDescent="0.2">
      <c r="E1821" t="s">
        <v>450</v>
      </c>
      <c r="F1821">
        <v>146</v>
      </c>
      <c r="G1821" t="s">
        <v>249</v>
      </c>
      <c r="H1821" t="s">
        <v>10</v>
      </c>
      <c r="I1821">
        <v>4</v>
      </c>
    </row>
    <row r="1822" spans="5:9" ht="15.75" hidden="1" customHeight="1" x14ac:dyDescent="0.2">
      <c r="E1822" t="s">
        <v>451</v>
      </c>
      <c r="F1822">
        <v>147</v>
      </c>
      <c r="G1822" t="s">
        <v>249</v>
      </c>
      <c r="H1822" t="s">
        <v>10</v>
      </c>
      <c r="I1822">
        <v>4</v>
      </c>
    </row>
    <row r="1823" spans="5:9" ht="15.75" hidden="1" customHeight="1" x14ac:dyDescent="0.2">
      <c r="E1823" t="s">
        <v>488</v>
      </c>
      <c r="F1823">
        <v>148</v>
      </c>
      <c r="G1823" t="s">
        <v>249</v>
      </c>
      <c r="H1823" t="s">
        <v>10</v>
      </c>
      <c r="I1823">
        <v>8</v>
      </c>
    </row>
    <row r="1824" spans="5:9" ht="15.75" hidden="1" customHeight="1" x14ac:dyDescent="0.2">
      <c r="E1824" t="s">
        <v>452</v>
      </c>
      <c r="F1824">
        <v>149</v>
      </c>
      <c r="G1824" t="s">
        <v>249</v>
      </c>
      <c r="H1824" t="s">
        <v>10</v>
      </c>
      <c r="I1824">
        <v>20</v>
      </c>
    </row>
    <row r="1825" spans="5:9" ht="15.75" hidden="1" customHeight="1" x14ac:dyDescent="0.2">
      <c r="E1825" t="s">
        <v>453</v>
      </c>
      <c r="F1825">
        <v>150</v>
      </c>
      <c r="G1825" t="s">
        <v>249</v>
      </c>
      <c r="H1825" t="s">
        <v>10</v>
      </c>
      <c r="I1825">
        <v>4</v>
      </c>
    </row>
    <row r="1826" spans="5:9" ht="15.75" hidden="1" customHeight="1" x14ac:dyDescent="0.2">
      <c r="E1826" t="s">
        <v>454</v>
      </c>
      <c r="F1826">
        <v>151</v>
      </c>
      <c r="G1826" t="s">
        <v>249</v>
      </c>
      <c r="H1826" t="s">
        <v>10</v>
      </c>
      <c r="I1826">
        <v>15</v>
      </c>
    </row>
    <row r="1827" spans="5:9" ht="15.75" hidden="1" customHeight="1" x14ac:dyDescent="0.2">
      <c r="E1827" t="s">
        <v>455</v>
      </c>
      <c r="F1827">
        <v>152</v>
      </c>
      <c r="G1827" t="s">
        <v>249</v>
      </c>
      <c r="H1827" t="s">
        <v>10</v>
      </c>
      <c r="I1827">
        <v>4</v>
      </c>
    </row>
    <row r="1828" spans="5:9" ht="15.75" hidden="1" customHeight="1" x14ac:dyDescent="0.2">
      <c r="E1828" t="s">
        <v>456</v>
      </c>
      <c r="F1828">
        <v>153</v>
      </c>
      <c r="G1828" t="s">
        <v>249</v>
      </c>
      <c r="H1828" t="s">
        <v>10</v>
      </c>
      <c r="I1828">
        <v>4</v>
      </c>
    </row>
    <row r="1829" spans="5:9" ht="15.75" hidden="1" customHeight="1" x14ac:dyDescent="0.2">
      <c r="E1829" t="s">
        <v>489</v>
      </c>
      <c r="F1829">
        <v>154</v>
      </c>
      <c r="G1829" t="s">
        <v>249</v>
      </c>
      <c r="H1829" t="s">
        <v>10</v>
      </c>
      <c r="I1829">
        <v>16</v>
      </c>
    </row>
    <row r="1830" spans="5:9" ht="15.75" hidden="1" customHeight="1" x14ac:dyDescent="0.2">
      <c r="E1830" t="s">
        <v>457</v>
      </c>
      <c r="F1830">
        <v>155</v>
      </c>
      <c r="G1830" t="s">
        <v>249</v>
      </c>
      <c r="H1830" t="s">
        <v>10</v>
      </c>
      <c r="I1830">
        <v>4</v>
      </c>
    </row>
    <row r="1831" spans="5:9" ht="15.75" hidden="1" customHeight="1" x14ac:dyDescent="0.2">
      <c r="E1831" t="s">
        <v>362</v>
      </c>
      <c r="F1831">
        <v>156</v>
      </c>
      <c r="G1831" t="s">
        <v>249</v>
      </c>
      <c r="H1831" t="s">
        <v>10</v>
      </c>
      <c r="I1831">
        <v>10</v>
      </c>
    </row>
    <row r="1832" spans="5:9" ht="15.75" hidden="1" customHeight="1" x14ac:dyDescent="0.2">
      <c r="E1832" t="s">
        <v>491</v>
      </c>
      <c r="F1832">
        <v>157</v>
      </c>
      <c r="G1832" t="s">
        <v>249</v>
      </c>
      <c r="H1832" t="s">
        <v>10</v>
      </c>
      <c r="I1832">
        <v>81</v>
      </c>
    </row>
    <row r="1833" spans="5:9" ht="15.75" hidden="1" customHeight="1" x14ac:dyDescent="0.2">
      <c r="E1833" t="s">
        <v>492</v>
      </c>
      <c r="F1833">
        <v>158</v>
      </c>
      <c r="G1833" t="s">
        <v>249</v>
      </c>
      <c r="H1833" t="s">
        <v>10</v>
      </c>
      <c r="I1833">
        <v>31</v>
      </c>
    </row>
    <row r="1834" spans="5:9" ht="15.75" hidden="1" customHeight="1" x14ac:dyDescent="0.2">
      <c r="E1834" t="s">
        <v>493</v>
      </c>
      <c r="F1834">
        <v>159</v>
      </c>
      <c r="G1834" t="s">
        <v>249</v>
      </c>
      <c r="H1834" t="s">
        <v>10</v>
      </c>
      <c r="I1834">
        <v>25</v>
      </c>
    </row>
    <row r="1835" spans="5:9" ht="15.75" hidden="1" customHeight="1" x14ac:dyDescent="0.2">
      <c r="E1835" t="s">
        <v>494</v>
      </c>
      <c r="F1835">
        <v>160</v>
      </c>
      <c r="G1835" t="s">
        <v>249</v>
      </c>
      <c r="H1835" t="s">
        <v>10</v>
      </c>
      <c r="I1835">
        <v>28</v>
      </c>
    </row>
    <row r="1836" spans="5:9" ht="15.75" hidden="1" customHeight="1" x14ac:dyDescent="0.2">
      <c r="E1836" t="s">
        <v>496</v>
      </c>
      <c r="F1836">
        <v>161</v>
      </c>
      <c r="G1836" t="s">
        <v>249</v>
      </c>
      <c r="H1836" t="s">
        <v>10</v>
      </c>
      <c r="I1836">
        <v>31</v>
      </c>
    </row>
    <row r="1837" spans="5:9" ht="15.75" hidden="1" customHeight="1" x14ac:dyDescent="0.2">
      <c r="E1837" t="s">
        <v>497</v>
      </c>
      <c r="F1837">
        <v>162</v>
      </c>
      <c r="G1837" t="s">
        <v>249</v>
      </c>
      <c r="H1837" t="s">
        <v>10</v>
      </c>
      <c r="I1837">
        <v>55</v>
      </c>
    </row>
    <row r="1838" spans="5:9" ht="15.75" hidden="1" customHeight="1" x14ac:dyDescent="0.2">
      <c r="E1838" t="s">
        <v>459</v>
      </c>
      <c r="F1838">
        <v>163</v>
      </c>
      <c r="G1838" t="s">
        <v>249</v>
      </c>
      <c r="H1838" t="s">
        <v>10</v>
      </c>
      <c r="I1838">
        <v>23</v>
      </c>
    </row>
    <row r="1839" spans="5:9" ht="15.75" hidden="1" customHeight="1" x14ac:dyDescent="0.2">
      <c r="E1839" t="s">
        <v>460</v>
      </c>
      <c r="F1839">
        <v>164</v>
      </c>
      <c r="G1839" t="s">
        <v>249</v>
      </c>
      <c r="H1839" t="s">
        <v>10</v>
      </c>
      <c r="I1839">
        <v>3</v>
      </c>
    </row>
    <row r="1840" spans="5:9" ht="15.75" hidden="1" customHeight="1" x14ac:dyDescent="0.2">
      <c r="E1840" t="s">
        <v>461</v>
      </c>
      <c r="F1840">
        <v>165</v>
      </c>
      <c r="G1840" t="s">
        <v>249</v>
      </c>
      <c r="H1840" t="s">
        <v>10</v>
      </c>
      <c r="I1840">
        <v>29</v>
      </c>
    </row>
    <row r="1841" spans="5:9" ht="15.75" hidden="1" customHeight="1" x14ac:dyDescent="0.2">
      <c r="E1841" t="s">
        <v>462</v>
      </c>
      <c r="F1841">
        <v>166</v>
      </c>
      <c r="G1841" t="s">
        <v>249</v>
      </c>
      <c r="H1841" t="s">
        <v>10</v>
      </c>
      <c r="I1841">
        <v>3</v>
      </c>
    </row>
    <row r="1842" spans="5:9" ht="15.75" hidden="1" customHeight="1" x14ac:dyDescent="0.2">
      <c r="E1842" t="s">
        <v>463</v>
      </c>
      <c r="F1842">
        <v>167</v>
      </c>
      <c r="G1842" t="s">
        <v>249</v>
      </c>
      <c r="H1842" t="s">
        <v>10</v>
      </c>
      <c r="I1842">
        <v>29</v>
      </c>
    </row>
    <row r="1843" spans="5:9" ht="15.75" hidden="1" customHeight="1" x14ac:dyDescent="0.2">
      <c r="E1843" t="s">
        <v>464</v>
      </c>
      <c r="F1843">
        <v>168</v>
      </c>
      <c r="G1843" t="s">
        <v>249</v>
      </c>
      <c r="H1843" t="s">
        <v>10</v>
      </c>
      <c r="I1843">
        <v>3</v>
      </c>
    </row>
    <row r="1844" spans="5:9" ht="15.75" hidden="1" customHeight="1" x14ac:dyDescent="0.2">
      <c r="E1844" t="s">
        <v>465</v>
      </c>
      <c r="F1844">
        <v>169</v>
      </c>
      <c r="G1844" t="s">
        <v>249</v>
      </c>
      <c r="H1844" t="s">
        <v>10</v>
      </c>
      <c r="I1844">
        <v>3</v>
      </c>
    </row>
    <row r="1845" spans="5:9" ht="15.75" hidden="1" customHeight="1" x14ac:dyDescent="0.2">
      <c r="E1845" t="s">
        <v>466</v>
      </c>
      <c r="F1845">
        <v>170</v>
      </c>
      <c r="G1845" t="s">
        <v>249</v>
      </c>
      <c r="H1845" t="s">
        <v>10</v>
      </c>
      <c r="I1845">
        <v>29</v>
      </c>
    </row>
    <row r="1846" spans="5:9" ht="15.75" hidden="1" customHeight="1" x14ac:dyDescent="0.2">
      <c r="E1846" t="s">
        <v>467</v>
      </c>
      <c r="F1846">
        <v>171</v>
      </c>
      <c r="G1846" t="s">
        <v>249</v>
      </c>
      <c r="H1846" t="s">
        <v>10</v>
      </c>
      <c r="I1846">
        <v>3</v>
      </c>
    </row>
    <row r="1847" spans="5:9" ht="15.75" hidden="1" customHeight="1" x14ac:dyDescent="0.2">
      <c r="E1847" t="s">
        <v>468</v>
      </c>
      <c r="F1847">
        <v>172</v>
      </c>
      <c r="G1847" t="s">
        <v>249</v>
      </c>
      <c r="H1847" t="s">
        <v>10</v>
      </c>
      <c r="I1847">
        <v>29</v>
      </c>
    </row>
    <row r="1848" spans="5:9" ht="15.75" hidden="1" customHeight="1" x14ac:dyDescent="0.2">
      <c r="E1848" t="s">
        <v>469</v>
      </c>
      <c r="F1848">
        <v>173</v>
      </c>
      <c r="G1848" t="s">
        <v>249</v>
      </c>
      <c r="H1848" t="s">
        <v>10</v>
      </c>
      <c r="I1848">
        <v>24</v>
      </c>
    </row>
    <row r="1849" spans="5:9" ht="15.75" hidden="1" customHeight="1" x14ac:dyDescent="0.2">
      <c r="E1849" t="s">
        <v>470</v>
      </c>
      <c r="F1849">
        <v>174</v>
      </c>
      <c r="G1849" t="s">
        <v>249</v>
      </c>
      <c r="H1849" t="s">
        <v>10</v>
      </c>
      <c r="I1849">
        <v>17</v>
      </c>
    </row>
    <row r="1850" spans="5:9" ht="15.75" hidden="1" customHeight="1" x14ac:dyDescent="0.2">
      <c r="E1850" t="s">
        <v>471</v>
      </c>
      <c r="F1850">
        <v>175</v>
      </c>
      <c r="G1850" t="s">
        <v>249</v>
      </c>
      <c r="H1850" t="s">
        <v>10</v>
      </c>
      <c r="I1850">
        <v>6</v>
      </c>
    </row>
    <row r="1851" spans="5:9" ht="15.75" hidden="1" customHeight="1" x14ac:dyDescent="0.2">
      <c r="E1851" t="s">
        <v>472</v>
      </c>
      <c r="F1851">
        <v>176</v>
      </c>
      <c r="G1851" t="s">
        <v>249</v>
      </c>
      <c r="H1851" t="s">
        <v>10</v>
      </c>
      <c r="I1851">
        <v>20</v>
      </c>
    </row>
    <row r="1852" spans="5:9" ht="15.75" hidden="1" customHeight="1" x14ac:dyDescent="0.2">
      <c r="E1852" t="s">
        <v>362</v>
      </c>
      <c r="F1852">
        <v>177</v>
      </c>
      <c r="G1852" t="s">
        <v>249</v>
      </c>
      <c r="H1852" t="s">
        <v>10</v>
      </c>
      <c r="I1852">
        <v>9</v>
      </c>
    </row>
    <row r="1853" spans="5:9" ht="15.75" hidden="1" customHeight="1" x14ac:dyDescent="0.2">
      <c r="E1853" t="s">
        <v>473</v>
      </c>
      <c r="F1853">
        <v>178</v>
      </c>
      <c r="G1853" t="s">
        <v>249</v>
      </c>
      <c r="H1853" t="s">
        <v>10</v>
      </c>
      <c r="I1853">
        <v>25</v>
      </c>
    </row>
    <row r="1854" spans="5:9" ht="15.75" hidden="1" customHeight="1" x14ac:dyDescent="0.2">
      <c r="E1854" t="s">
        <v>474</v>
      </c>
      <c r="F1854">
        <v>179</v>
      </c>
      <c r="G1854" t="s">
        <v>249</v>
      </c>
      <c r="H1854" t="s">
        <v>10</v>
      </c>
      <c r="I1854">
        <v>20</v>
      </c>
    </row>
    <row r="1855" spans="5:9" ht="15.75" hidden="1" customHeight="1" x14ac:dyDescent="0.2">
      <c r="E1855" t="s">
        <v>499</v>
      </c>
      <c r="F1855">
        <v>180</v>
      </c>
      <c r="G1855" t="s">
        <v>249</v>
      </c>
      <c r="H1855" t="s">
        <v>10</v>
      </c>
      <c r="I1855">
        <v>33</v>
      </c>
    </row>
    <row r="1856" spans="5:9" ht="15.75" hidden="1" customHeight="1" x14ac:dyDescent="0.2">
      <c r="E1856" t="s">
        <v>500</v>
      </c>
      <c r="F1856">
        <v>181</v>
      </c>
      <c r="G1856" t="s">
        <v>249</v>
      </c>
      <c r="H1856" t="s">
        <v>10</v>
      </c>
      <c r="I1856">
        <v>47</v>
      </c>
    </row>
    <row r="1857" spans="5:9" ht="15.75" hidden="1" customHeight="1" x14ac:dyDescent="0.2">
      <c r="E1857" t="s">
        <v>501</v>
      </c>
      <c r="F1857">
        <v>182</v>
      </c>
      <c r="G1857" t="s">
        <v>249</v>
      </c>
      <c r="H1857" t="s">
        <v>10</v>
      </c>
      <c r="I1857">
        <v>291</v>
      </c>
    </row>
    <row r="1858" spans="5:9" ht="15.75" hidden="1" customHeight="1" x14ac:dyDescent="0.2">
      <c r="E1858" t="s">
        <v>502</v>
      </c>
      <c r="F1858">
        <v>183</v>
      </c>
      <c r="G1858" t="s">
        <v>249</v>
      </c>
      <c r="H1858" t="s">
        <v>10</v>
      </c>
      <c r="I1858">
        <v>67</v>
      </c>
    </row>
    <row r="1859" spans="5:9" ht="15.75" hidden="1" customHeight="1" x14ac:dyDescent="0.2">
      <c r="E1859" t="s">
        <v>503</v>
      </c>
      <c r="F1859">
        <v>184</v>
      </c>
      <c r="G1859" t="s">
        <v>249</v>
      </c>
      <c r="H1859" t="s">
        <v>10</v>
      </c>
      <c r="I1859">
        <v>71</v>
      </c>
    </row>
    <row r="1860" spans="5:9" ht="15.75" hidden="1" customHeight="1" x14ac:dyDescent="0.2">
      <c r="E1860" t="s">
        <v>504</v>
      </c>
      <c r="F1860">
        <v>185</v>
      </c>
      <c r="G1860" t="s">
        <v>249</v>
      </c>
      <c r="H1860" t="s">
        <v>10</v>
      </c>
      <c r="I1860">
        <v>16</v>
      </c>
    </row>
    <row r="1861" spans="5:9" ht="15.75" hidden="1" customHeight="1" x14ac:dyDescent="0.2">
      <c r="E1861" t="s">
        <v>505</v>
      </c>
      <c r="F1861">
        <v>186</v>
      </c>
      <c r="G1861" t="s">
        <v>249</v>
      </c>
      <c r="H1861" t="s">
        <v>10</v>
      </c>
      <c r="I1861">
        <v>22</v>
      </c>
    </row>
    <row r="1862" spans="5:9" ht="15.75" hidden="1" customHeight="1" x14ac:dyDescent="0.2">
      <c r="E1862" t="s">
        <v>287</v>
      </c>
      <c r="F1862">
        <v>1</v>
      </c>
      <c r="G1862" t="s">
        <v>251</v>
      </c>
      <c r="H1862" t="s">
        <v>11</v>
      </c>
      <c r="I1862">
        <v>12</v>
      </c>
    </row>
    <row r="1863" spans="5:9" ht="15.75" hidden="1" customHeight="1" x14ac:dyDescent="0.2">
      <c r="E1863" t="s">
        <v>350</v>
      </c>
      <c r="F1863">
        <v>2</v>
      </c>
      <c r="G1863" t="s">
        <v>251</v>
      </c>
      <c r="H1863" t="s">
        <v>11</v>
      </c>
      <c r="I1863">
        <v>8</v>
      </c>
    </row>
    <row r="1864" spans="5:9" ht="15.75" hidden="1" customHeight="1" x14ac:dyDescent="0.2">
      <c r="E1864" t="s">
        <v>351</v>
      </c>
      <c r="F1864">
        <v>3</v>
      </c>
      <c r="G1864" t="s">
        <v>251</v>
      </c>
      <c r="H1864" t="s">
        <v>11</v>
      </c>
      <c r="I1864">
        <v>55</v>
      </c>
    </row>
    <row r="1865" spans="5:9" ht="15.75" hidden="1" customHeight="1" x14ac:dyDescent="0.2">
      <c r="E1865" t="s">
        <v>352</v>
      </c>
      <c r="F1865">
        <v>4</v>
      </c>
      <c r="G1865" t="s">
        <v>251</v>
      </c>
      <c r="H1865" t="s">
        <v>11</v>
      </c>
      <c r="I1865">
        <v>46</v>
      </c>
    </row>
    <row r="1866" spans="5:9" ht="15.75" hidden="1" customHeight="1" x14ac:dyDescent="0.2">
      <c r="E1866" t="s">
        <v>354</v>
      </c>
      <c r="F1866">
        <v>5</v>
      </c>
      <c r="G1866" t="s">
        <v>251</v>
      </c>
      <c r="H1866" t="s">
        <v>11</v>
      </c>
      <c r="I1866">
        <v>29</v>
      </c>
    </row>
    <row r="1867" spans="5:9" ht="15.75" hidden="1" customHeight="1" x14ac:dyDescent="0.2">
      <c r="E1867" t="s">
        <v>356</v>
      </c>
      <c r="F1867">
        <v>6</v>
      </c>
      <c r="G1867" t="s">
        <v>251</v>
      </c>
      <c r="H1867" t="s">
        <v>11</v>
      </c>
      <c r="I1867">
        <v>29</v>
      </c>
    </row>
    <row r="1868" spans="5:9" ht="15.75" hidden="1" customHeight="1" x14ac:dyDescent="0.2">
      <c r="E1868" t="s">
        <v>358</v>
      </c>
      <c r="F1868">
        <v>7</v>
      </c>
      <c r="G1868" t="s">
        <v>251</v>
      </c>
      <c r="H1868" t="s">
        <v>11</v>
      </c>
      <c r="I1868">
        <v>4</v>
      </c>
    </row>
    <row r="1869" spans="5:9" ht="15.75" hidden="1" customHeight="1" x14ac:dyDescent="0.2">
      <c r="E1869" t="s">
        <v>359</v>
      </c>
      <c r="F1869">
        <v>8</v>
      </c>
      <c r="G1869" t="s">
        <v>251</v>
      </c>
      <c r="H1869" t="s">
        <v>11</v>
      </c>
      <c r="I1869">
        <v>18</v>
      </c>
    </row>
    <row r="1870" spans="5:9" ht="15.75" hidden="1" customHeight="1" x14ac:dyDescent="0.2">
      <c r="E1870" t="s">
        <v>360</v>
      </c>
      <c r="F1870">
        <v>9</v>
      </c>
      <c r="G1870" t="s">
        <v>251</v>
      </c>
      <c r="H1870" t="s">
        <v>11</v>
      </c>
      <c r="I1870">
        <v>4</v>
      </c>
    </row>
    <row r="1871" spans="5:9" ht="15.75" hidden="1" customHeight="1" x14ac:dyDescent="0.2">
      <c r="E1871" t="s">
        <v>361</v>
      </c>
      <c r="F1871">
        <v>10</v>
      </c>
      <c r="G1871" t="s">
        <v>251</v>
      </c>
      <c r="H1871" t="s">
        <v>11</v>
      </c>
      <c r="I1871">
        <v>10</v>
      </c>
    </row>
    <row r="1872" spans="5:9" ht="15.75" hidden="1" customHeight="1" x14ac:dyDescent="0.2">
      <c r="E1872" t="s">
        <v>362</v>
      </c>
      <c r="F1872">
        <v>11</v>
      </c>
      <c r="G1872" t="s">
        <v>251</v>
      </c>
      <c r="H1872" t="s">
        <v>11</v>
      </c>
      <c r="I1872">
        <v>5</v>
      </c>
    </row>
    <row r="1873" spans="5:9" ht="15.75" hidden="1" customHeight="1" x14ac:dyDescent="0.2">
      <c r="E1873" t="s">
        <v>363</v>
      </c>
      <c r="F1873">
        <v>12</v>
      </c>
      <c r="G1873" t="s">
        <v>251</v>
      </c>
      <c r="H1873" t="s">
        <v>11</v>
      </c>
      <c r="I1873">
        <v>0</v>
      </c>
    </row>
    <row r="1874" spans="5:9" ht="15.75" hidden="1" customHeight="1" x14ac:dyDescent="0.2">
      <c r="E1874" t="s">
        <v>365</v>
      </c>
      <c r="F1874">
        <v>13</v>
      </c>
      <c r="G1874" t="s">
        <v>251</v>
      </c>
      <c r="H1874" t="s">
        <v>11</v>
      </c>
      <c r="I1874">
        <v>0</v>
      </c>
    </row>
    <row r="1875" spans="5:9" ht="15.75" hidden="1" customHeight="1" x14ac:dyDescent="0.2">
      <c r="E1875" t="s">
        <v>369</v>
      </c>
      <c r="F1875">
        <v>14</v>
      </c>
      <c r="G1875" t="s">
        <v>251</v>
      </c>
      <c r="H1875" t="s">
        <v>11</v>
      </c>
      <c r="I1875">
        <v>3</v>
      </c>
    </row>
    <row r="1876" spans="5:9" ht="15.75" hidden="1" customHeight="1" x14ac:dyDescent="0.2">
      <c r="E1876" t="s">
        <v>370</v>
      </c>
      <c r="F1876">
        <v>15</v>
      </c>
      <c r="G1876" t="s">
        <v>251</v>
      </c>
      <c r="H1876" t="s">
        <v>11</v>
      </c>
      <c r="I1876">
        <v>19</v>
      </c>
    </row>
    <row r="1877" spans="5:9" ht="15.75" hidden="1" customHeight="1" x14ac:dyDescent="0.2">
      <c r="E1877" t="s">
        <v>371</v>
      </c>
      <c r="F1877">
        <v>16</v>
      </c>
      <c r="G1877" t="s">
        <v>251</v>
      </c>
      <c r="H1877" t="s">
        <v>11</v>
      </c>
      <c r="I1877">
        <v>20</v>
      </c>
    </row>
    <row r="1878" spans="5:9" ht="15.75" hidden="1" customHeight="1" x14ac:dyDescent="0.2">
      <c r="E1878" t="s">
        <v>372</v>
      </c>
      <c r="F1878">
        <v>17</v>
      </c>
      <c r="G1878" t="s">
        <v>251</v>
      </c>
      <c r="H1878" t="s">
        <v>11</v>
      </c>
      <c r="I1878">
        <v>27</v>
      </c>
    </row>
    <row r="1879" spans="5:9" ht="15.75" hidden="1" customHeight="1" x14ac:dyDescent="0.2">
      <c r="E1879" t="s">
        <v>373</v>
      </c>
      <c r="F1879">
        <v>18</v>
      </c>
      <c r="G1879" t="s">
        <v>251</v>
      </c>
      <c r="H1879" t="s">
        <v>11</v>
      </c>
      <c r="I1879">
        <v>10</v>
      </c>
    </row>
    <row r="1880" spans="5:9" ht="15.75" hidden="1" customHeight="1" x14ac:dyDescent="0.2">
      <c r="E1880" t="s">
        <v>374</v>
      </c>
      <c r="F1880">
        <v>19</v>
      </c>
      <c r="G1880" t="s">
        <v>251</v>
      </c>
      <c r="H1880" t="s">
        <v>11</v>
      </c>
      <c r="I1880">
        <v>3</v>
      </c>
    </row>
    <row r="1881" spans="5:9" ht="15.75" hidden="1" customHeight="1" x14ac:dyDescent="0.2">
      <c r="E1881" t="s">
        <v>375</v>
      </c>
      <c r="F1881">
        <v>20</v>
      </c>
      <c r="G1881" t="s">
        <v>251</v>
      </c>
      <c r="H1881" t="s">
        <v>11</v>
      </c>
      <c r="I1881">
        <v>15</v>
      </c>
    </row>
    <row r="1882" spans="5:9" ht="15.75" hidden="1" customHeight="1" x14ac:dyDescent="0.2">
      <c r="E1882" t="s">
        <v>376</v>
      </c>
      <c r="F1882">
        <v>21</v>
      </c>
      <c r="G1882" t="s">
        <v>251</v>
      </c>
      <c r="H1882" t="s">
        <v>11</v>
      </c>
      <c r="I1882">
        <v>11</v>
      </c>
    </row>
    <row r="1883" spans="5:9" ht="15.75" hidden="1" customHeight="1" x14ac:dyDescent="0.2">
      <c r="E1883" t="s">
        <v>377</v>
      </c>
      <c r="F1883">
        <v>22</v>
      </c>
      <c r="G1883" t="s">
        <v>251</v>
      </c>
      <c r="H1883" t="s">
        <v>11</v>
      </c>
      <c r="I1883">
        <v>17</v>
      </c>
    </row>
    <row r="1884" spans="5:9" ht="15.75" hidden="1" customHeight="1" x14ac:dyDescent="0.2">
      <c r="E1884" t="s">
        <v>378</v>
      </c>
      <c r="F1884">
        <v>23</v>
      </c>
      <c r="G1884" t="s">
        <v>251</v>
      </c>
      <c r="H1884" t="s">
        <v>11</v>
      </c>
      <c r="I1884">
        <v>3</v>
      </c>
    </row>
    <row r="1885" spans="5:9" ht="15.75" hidden="1" customHeight="1" x14ac:dyDescent="0.2">
      <c r="E1885" t="s">
        <v>379</v>
      </c>
      <c r="F1885">
        <v>24</v>
      </c>
      <c r="G1885" t="s">
        <v>251</v>
      </c>
      <c r="H1885" t="s">
        <v>11</v>
      </c>
      <c r="I1885">
        <v>4</v>
      </c>
    </row>
    <row r="1886" spans="5:9" ht="15.75" hidden="1" customHeight="1" x14ac:dyDescent="0.2">
      <c r="E1886" t="s">
        <v>380</v>
      </c>
      <c r="F1886">
        <v>25</v>
      </c>
      <c r="G1886" t="s">
        <v>251</v>
      </c>
      <c r="H1886" t="s">
        <v>11</v>
      </c>
      <c r="I1886">
        <v>10</v>
      </c>
    </row>
    <row r="1887" spans="5:9" ht="15.75" hidden="1" customHeight="1" x14ac:dyDescent="0.2">
      <c r="E1887" t="s">
        <v>381</v>
      </c>
      <c r="F1887">
        <v>26</v>
      </c>
      <c r="G1887" t="s">
        <v>251</v>
      </c>
      <c r="H1887" t="s">
        <v>11</v>
      </c>
      <c r="I1887">
        <v>8</v>
      </c>
    </row>
    <row r="1888" spans="5:9" ht="15.75" hidden="1" customHeight="1" x14ac:dyDescent="0.2">
      <c r="E1888" t="s">
        <v>382</v>
      </c>
      <c r="F1888">
        <v>27</v>
      </c>
      <c r="G1888" t="s">
        <v>251</v>
      </c>
      <c r="H1888" t="s">
        <v>11</v>
      </c>
      <c r="I1888">
        <v>11</v>
      </c>
    </row>
    <row r="1889" spans="5:9" ht="15.75" hidden="1" customHeight="1" x14ac:dyDescent="0.2">
      <c r="E1889" t="s">
        <v>383</v>
      </c>
      <c r="F1889">
        <v>28</v>
      </c>
      <c r="G1889" t="s">
        <v>251</v>
      </c>
      <c r="H1889" t="s">
        <v>11</v>
      </c>
      <c r="I1889">
        <v>11</v>
      </c>
    </row>
    <row r="1890" spans="5:9" ht="15.75" hidden="1" customHeight="1" x14ac:dyDescent="0.2">
      <c r="E1890" t="s">
        <v>385</v>
      </c>
      <c r="F1890">
        <v>29</v>
      </c>
      <c r="G1890" t="s">
        <v>251</v>
      </c>
      <c r="H1890" t="s">
        <v>11</v>
      </c>
      <c r="I1890">
        <v>29</v>
      </c>
    </row>
    <row r="1891" spans="5:9" ht="15.75" hidden="1" customHeight="1" x14ac:dyDescent="0.2">
      <c r="E1891" t="s">
        <v>387</v>
      </c>
      <c r="F1891">
        <v>30</v>
      </c>
      <c r="G1891" t="s">
        <v>251</v>
      </c>
      <c r="H1891" t="s">
        <v>11</v>
      </c>
      <c r="I1891">
        <v>18</v>
      </c>
    </row>
    <row r="1892" spans="5:9" ht="15.75" hidden="1" customHeight="1" x14ac:dyDescent="0.2">
      <c r="E1892" t="s">
        <v>388</v>
      </c>
      <c r="F1892">
        <v>31</v>
      </c>
      <c r="G1892" t="s">
        <v>251</v>
      </c>
      <c r="H1892" t="s">
        <v>11</v>
      </c>
      <c r="I1892">
        <v>19</v>
      </c>
    </row>
    <row r="1893" spans="5:9" ht="15.75" hidden="1" customHeight="1" x14ac:dyDescent="0.2">
      <c r="E1893" t="s">
        <v>389</v>
      </c>
      <c r="F1893">
        <v>32</v>
      </c>
      <c r="G1893" t="s">
        <v>251</v>
      </c>
      <c r="H1893" t="s">
        <v>11</v>
      </c>
      <c r="I1893">
        <v>18</v>
      </c>
    </row>
    <row r="1894" spans="5:9" ht="15.75" hidden="1" customHeight="1" x14ac:dyDescent="0.2">
      <c r="E1894" t="s">
        <v>390</v>
      </c>
      <c r="F1894">
        <v>33</v>
      </c>
      <c r="G1894" t="s">
        <v>251</v>
      </c>
      <c r="H1894" t="s">
        <v>11</v>
      </c>
      <c r="I1894">
        <v>20</v>
      </c>
    </row>
    <row r="1895" spans="5:9" ht="15.75" hidden="1" customHeight="1" x14ac:dyDescent="0.2">
      <c r="E1895" t="s">
        <v>391</v>
      </c>
      <c r="F1895">
        <v>34</v>
      </c>
      <c r="G1895" t="s">
        <v>251</v>
      </c>
      <c r="H1895" t="s">
        <v>11</v>
      </c>
      <c r="I1895">
        <v>18</v>
      </c>
    </row>
    <row r="1896" spans="5:9" ht="15.75" hidden="1" customHeight="1" x14ac:dyDescent="0.2">
      <c r="E1896" t="s">
        <v>393</v>
      </c>
      <c r="F1896">
        <v>35</v>
      </c>
      <c r="G1896" t="s">
        <v>251</v>
      </c>
      <c r="H1896" t="s">
        <v>11</v>
      </c>
      <c r="I1896">
        <v>16</v>
      </c>
    </row>
    <row r="1897" spans="5:9" ht="15.75" hidden="1" customHeight="1" x14ac:dyDescent="0.2">
      <c r="E1897" t="s">
        <v>394</v>
      </c>
      <c r="F1897">
        <v>36</v>
      </c>
      <c r="G1897" t="s">
        <v>251</v>
      </c>
      <c r="H1897" t="s">
        <v>11</v>
      </c>
      <c r="I1897">
        <v>46</v>
      </c>
    </row>
    <row r="1898" spans="5:9" ht="15.75" hidden="1" customHeight="1" x14ac:dyDescent="0.2">
      <c r="E1898" t="s">
        <v>395</v>
      </c>
      <c r="F1898">
        <v>37</v>
      </c>
      <c r="G1898" t="s">
        <v>251</v>
      </c>
      <c r="H1898" t="s">
        <v>11</v>
      </c>
      <c r="I1898">
        <v>26</v>
      </c>
    </row>
    <row r="1899" spans="5:9" ht="15.75" hidden="1" customHeight="1" x14ac:dyDescent="0.2">
      <c r="E1899" t="s">
        <v>396</v>
      </c>
      <c r="F1899">
        <v>38</v>
      </c>
      <c r="G1899" t="s">
        <v>251</v>
      </c>
      <c r="H1899" t="s">
        <v>11</v>
      </c>
      <c r="I1899">
        <v>26</v>
      </c>
    </row>
    <row r="1900" spans="5:9" ht="15.75" hidden="1" customHeight="1" x14ac:dyDescent="0.2">
      <c r="E1900" t="s">
        <v>397</v>
      </c>
      <c r="F1900">
        <v>39</v>
      </c>
      <c r="G1900" t="s">
        <v>251</v>
      </c>
      <c r="H1900" t="s">
        <v>11</v>
      </c>
      <c r="I1900">
        <v>28</v>
      </c>
    </row>
    <row r="1901" spans="5:9" ht="15.75" hidden="1" customHeight="1" x14ac:dyDescent="0.2">
      <c r="E1901" t="s">
        <v>398</v>
      </c>
      <c r="F1901">
        <v>40</v>
      </c>
      <c r="G1901" t="s">
        <v>251</v>
      </c>
      <c r="H1901" t="s">
        <v>11</v>
      </c>
      <c r="I1901">
        <v>22</v>
      </c>
    </row>
    <row r="1902" spans="5:9" ht="15.75" hidden="1" customHeight="1" x14ac:dyDescent="0.2">
      <c r="E1902" t="s">
        <v>399</v>
      </c>
      <c r="F1902">
        <v>41</v>
      </c>
      <c r="G1902" t="s">
        <v>251</v>
      </c>
      <c r="H1902" t="s">
        <v>11</v>
      </c>
      <c r="I1902">
        <v>3</v>
      </c>
    </row>
    <row r="1903" spans="5:9" ht="15.75" hidden="1" customHeight="1" x14ac:dyDescent="0.2">
      <c r="E1903" t="s">
        <v>400</v>
      </c>
      <c r="F1903">
        <v>42</v>
      </c>
      <c r="G1903" t="s">
        <v>251</v>
      </c>
      <c r="H1903" t="s">
        <v>11</v>
      </c>
      <c r="I1903">
        <v>3</v>
      </c>
    </row>
    <row r="1904" spans="5:9" ht="15.75" hidden="1" customHeight="1" x14ac:dyDescent="0.2">
      <c r="E1904" t="s">
        <v>401</v>
      </c>
      <c r="F1904">
        <v>43</v>
      </c>
      <c r="G1904" t="s">
        <v>251</v>
      </c>
      <c r="H1904" t="s">
        <v>11</v>
      </c>
      <c r="I1904">
        <v>5</v>
      </c>
    </row>
    <row r="1905" spans="5:9" ht="15.75" hidden="1" customHeight="1" x14ac:dyDescent="0.2">
      <c r="E1905" t="s">
        <v>402</v>
      </c>
      <c r="F1905">
        <v>44</v>
      </c>
      <c r="G1905" t="s">
        <v>251</v>
      </c>
      <c r="H1905" t="s">
        <v>11</v>
      </c>
      <c r="I1905">
        <v>5</v>
      </c>
    </row>
    <row r="1906" spans="5:9" ht="15.75" hidden="1" customHeight="1" x14ac:dyDescent="0.2">
      <c r="E1906" t="s">
        <v>403</v>
      </c>
      <c r="F1906">
        <v>45</v>
      </c>
      <c r="G1906" t="s">
        <v>251</v>
      </c>
      <c r="H1906" t="s">
        <v>11</v>
      </c>
      <c r="I1906">
        <v>3</v>
      </c>
    </row>
    <row r="1907" spans="5:9" ht="15.75" hidden="1" customHeight="1" x14ac:dyDescent="0.2">
      <c r="E1907" t="s">
        <v>404</v>
      </c>
      <c r="F1907">
        <v>46</v>
      </c>
      <c r="G1907" t="s">
        <v>251</v>
      </c>
      <c r="H1907" t="s">
        <v>11</v>
      </c>
      <c r="I1907">
        <v>3</v>
      </c>
    </row>
    <row r="1908" spans="5:9" ht="15.75" hidden="1" customHeight="1" x14ac:dyDescent="0.2">
      <c r="E1908" t="s">
        <v>405</v>
      </c>
      <c r="F1908">
        <v>47</v>
      </c>
      <c r="G1908" t="s">
        <v>251</v>
      </c>
      <c r="H1908" t="s">
        <v>11</v>
      </c>
      <c r="I1908">
        <v>7</v>
      </c>
    </row>
    <row r="1909" spans="5:9" ht="15.75" hidden="1" customHeight="1" x14ac:dyDescent="0.2">
      <c r="E1909" t="s">
        <v>406</v>
      </c>
      <c r="F1909">
        <v>48</v>
      </c>
      <c r="G1909" t="s">
        <v>251</v>
      </c>
      <c r="H1909" t="s">
        <v>11</v>
      </c>
      <c r="I1909">
        <v>5</v>
      </c>
    </row>
    <row r="1910" spans="5:9" ht="15.75" hidden="1" customHeight="1" x14ac:dyDescent="0.2">
      <c r="E1910" t="s">
        <v>376</v>
      </c>
      <c r="F1910">
        <v>49</v>
      </c>
      <c r="G1910" t="s">
        <v>251</v>
      </c>
      <c r="H1910" t="s">
        <v>11</v>
      </c>
      <c r="I1910">
        <v>5</v>
      </c>
    </row>
    <row r="1911" spans="5:9" ht="15.75" hidden="1" customHeight="1" x14ac:dyDescent="0.2">
      <c r="E1911" t="s">
        <v>407</v>
      </c>
      <c r="F1911">
        <v>50</v>
      </c>
      <c r="G1911" t="s">
        <v>251</v>
      </c>
      <c r="H1911" t="s">
        <v>11</v>
      </c>
      <c r="I1911">
        <v>29</v>
      </c>
    </row>
    <row r="1912" spans="5:9" ht="15.75" hidden="1" customHeight="1" x14ac:dyDescent="0.2">
      <c r="E1912" t="s">
        <v>408</v>
      </c>
      <c r="F1912">
        <v>51</v>
      </c>
      <c r="G1912" t="s">
        <v>251</v>
      </c>
      <c r="H1912" t="s">
        <v>11</v>
      </c>
      <c r="I1912">
        <v>39</v>
      </c>
    </row>
    <row r="1913" spans="5:9" ht="15.75" hidden="1" customHeight="1" x14ac:dyDescent="0.2">
      <c r="E1913" t="s">
        <v>409</v>
      </c>
      <c r="F1913">
        <v>52</v>
      </c>
      <c r="G1913" t="s">
        <v>251</v>
      </c>
      <c r="H1913" t="s">
        <v>11</v>
      </c>
      <c r="I1913">
        <v>8</v>
      </c>
    </row>
    <row r="1914" spans="5:9" ht="15.75" hidden="1" customHeight="1" x14ac:dyDescent="0.2">
      <c r="E1914" t="s">
        <v>410</v>
      </c>
      <c r="F1914">
        <v>53</v>
      </c>
      <c r="G1914" t="s">
        <v>251</v>
      </c>
      <c r="H1914" t="s">
        <v>11</v>
      </c>
      <c r="I1914">
        <v>14</v>
      </c>
    </row>
    <row r="1915" spans="5:9" ht="15.75" hidden="1" customHeight="1" x14ac:dyDescent="0.2">
      <c r="E1915" t="s">
        <v>411</v>
      </c>
      <c r="F1915">
        <v>54</v>
      </c>
      <c r="G1915" t="s">
        <v>251</v>
      </c>
      <c r="H1915" t="s">
        <v>11</v>
      </c>
      <c r="I1915">
        <v>70</v>
      </c>
    </row>
    <row r="1916" spans="5:9" ht="15.75" hidden="1" customHeight="1" x14ac:dyDescent="0.2">
      <c r="E1916" t="s">
        <v>412</v>
      </c>
      <c r="F1916">
        <v>55</v>
      </c>
      <c r="G1916" t="s">
        <v>251</v>
      </c>
      <c r="H1916" t="s">
        <v>11</v>
      </c>
      <c r="I1916">
        <v>25</v>
      </c>
    </row>
    <row r="1917" spans="5:9" ht="15.75" hidden="1" customHeight="1" x14ac:dyDescent="0.2">
      <c r="E1917" t="s">
        <v>413</v>
      </c>
      <c r="F1917">
        <v>56</v>
      </c>
      <c r="G1917" t="s">
        <v>251</v>
      </c>
      <c r="H1917" t="s">
        <v>11</v>
      </c>
      <c r="I1917">
        <v>14</v>
      </c>
    </row>
    <row r="1918" spans="5:9" ht="15.75" hidden="1" customHeight="1" x14ac:dyDescent="0.2">
      <c r="E1918" t="s">
        <v>414</v>
      </c>
      <c r="F1918">
        <v>57</v>
      </c>
      <c r="G1918" t="s">
        <v>251</v>
      </c>
      <c r="H1918" t="s">
        <v>11</v>
      </c>
      <c r="I1918">
        <v>49</v>
      </c>
    </row>
    <row r="1919" spans="5:9" ht="15.75" hidden="1" customHeight="1" x14ac:dyDescent="0.2">
      <c r="E1919" t="s">
        <v>415</v>
      </c>
      <c r="F1919">
        <v>58</v>
      </c>
      <c r="G1919" t="s">
        <v>251</v>
      </c>
      <c r="H1919" t="s">
        <v>11</v>
      </c>
      <c r="I1919">
        <v>49</v>
      </c>
    </row>
    <row r="1920" spans="5:9" ht="15.75" hidden="1" customHeight="1" x14ac:dyDescent="0.2">
      <c r="E1920" t="s">
        <v>416</v>
      </c>
      <c r="F1920">
        <v>59</v>
      </c>
      <c r="G1920" t="s">
        <v>251</v>
      </c>
      <c r="H1920" t="s">
        <v>11</v>
      </c>
      <c r="I1920">
        <v>56</v>
      </c>
    </row>
    <row r="1921" spans="5:9" ht="15.75" hidden="1" customHeight="1" x14ac:dyDescent="0.2">
      <c r="E1921" t="s">
        <v>417</v>
      </c>
      <c r="F1921">
        <v>60</v>
      </c>
      <c r="G1921" t="s">
        <v>251</v>
      </c>
      <c r="H1921" t="s">
        <v>11</v>
      </c>
      <c r="I1921">
        <v>56</v>
      </c>
    </row>
    <row r="1922" spans="5:9" ht="15.75" hidden="1" customHeight="1" x14ac:dyDescent="0.2">
      <c r="E1922" t="s">
        <v>418</v>
      </c>
      <c r="F1922">
        <v>61</v>
      </c>
      <c r="G1922" t="s">
        <v>251</v>
      </c>
      <c r="H1922" t="s">
        <v>11</v>
      </c>
      <c r="I1922">
        <v>15</v>
      </c>
    </row>
    <row r="1923" spans="5:9" ht="15.75" hidden="1" customHeight="1" x14ac:dyDescent="0.2">
      <c r="E1923" t="s">
        <v>419</v>
      </c>
      <c r="F1923">
        <v>62</v>
      </c>
      <c r="G1923" t="s">
        <v>251</v>
      </c>
      <c r="H1923" t="s">
        <v>11</v>
      </c>
      <c r="I1923">
        <v>15</v>
      </c>
    </row>
    <row r="1924" spans="5:9" ht="15.75" hidden="1" customHeight="1" x14ac:dyDescent="0.2">
      <c r="E1924" t="s">
        <v>421</v>
      </c>
      <c r="F1924">
        <v>63</v>
      </c>
      <c r="G1924" t="s">
        <v>251</v>
      </c>
      <c r="H1924" t="s">
        <v>11</v>
      </c>
      <c r="I1924">
        <v>1</v>
      </c>
    </row>
    <row r="1925" spans="5:9" ht="15.75" hidden="1" customHeight="1" x14ac:dyDescent="0.2">
      <c r="E1925" t="s">
        <v>422</v>
      </c>
      <c r="F1925">
        <v>64</v>
      </c>
      <c r="G1925" t="s">
        <v>251</v>
      </c>
      <c r="H1925" t="s">
        <v>11</v>
      </c>
      <c r="I1925">
        <v>12</v>
      </c>
    </row>
    <row r="1926" spans="5:9" ht="15.75" hidden="1" customHeight="1" x14ac:dyDescent="0.2">
      <c r="E1926" t="s">
        <v>423</v>
      </c>
      <c r="F1926">
        <v>65</v>
      </c>
      <c r="G1926" t="s">
        <v>251</v>
      </c>
      <c r="H1926" t="s">
        <v>11</v>
      </c>
      <c r="I1926">
        <v>3</v>
      </c>
    </row>
    <row r="1927" spans="5:9" ht="15.75" hidden="1" customHeight="1" x14ac:dyDescent="0.2">
      <c r="E1927" t="s">
        <v>424</v>
      </c>
      <c r="F1927">
        <v>66</v>
      </c>
      <c r="G1927" t="s">
        <v>251</v>
      </c>
      <c r="H1927" t="s">
        <v>11</v>
      </c>
      <c r="I1927">
        <v>3</v>
      </c>
    </row>
    <row r="1928" spans="5:9" ht="15.75" hidden="1" customHeight="1" x14ac:dyDescent="0.2">
      <c r="E1928" t="s">
        <v>425</v>
      </c>
      <c r="F1928">
        <v>67</v>
      </c>
      <c r="G1928" t="s">
        <v>251</v>
      </c>
      <c r="H1928" t="s">
        <v>11</v>
      </c>
      <c r="I1928">
        <v>4</v>
      </c>
    </row>
    <row r="1929" spans="5:9" ht="15.75" hidden="1" customHeight="1" x14ac:dyDescent="0.2">
      <c r="E1929" t="s">
        <v>426</v>
      </c>
      <c r="F1929">
        <v>68</v>
      </c>
      <c r="G1929" t="s">
        <v>251</v>
      </c>
      <c r="H1929" t="s">
        <v>11</v>
      </c>
      <c r="I1929">
        <v>4</v>
      </c>
    </row>
    <row r="1930" spans="5:9" ht="15.75" hidden="1" customHeight="1" x14ac:dyDescent="0.2">
      <c r="E1930" t="s">
        <v>427</v>
      </c>
      <c r="F1930">
        <v>69</v>
      </c>
      <c r="G1930" t="s">
        <v>251</v>
      </c>
      <c r="H1930" t="s">
        <v>11</v>
      </c>
      <c r="I1930">
        <v>5</v>
      </c>
    </row>
    <row r="1931" spans="5:9" ht="15.75" hidden="1" customHeight="1" x14ac:dyDescent="0.2">
      <c r="E1931" t="s">
        <v>428</v>
      </c>
      <c r="F1931">
        <v>70</v>
      </c>
      <c r="G1931" t="s">
        <v>251</v>
      </c>
      <c r="H1931" t="s">
        <v>11</v>
      </c>
      <c r="I1931">
        <v>5</v>
      </c>
    </row>
    <row r="1932" spans="5:9" ht="15.75" hidden="1" customHeight="1" x14ac:dyDescent="0.2">
      <c r="E1932" t="s">
        <v>429</v>
      </c>
      <c r="F1932">
        <v>71</v>
      </c>
      <c r="G1932" t="s">
        <v>251</v>
      </c>
      <c r="H1932" t="s">
        <v>11</v>
      </c>
      <c r="I1932">
        <v>6</v>
      </c>
    </row>
    <row r="1933" spans="5:9" ht="15.75" hidden="1" customHeight="1" x14ac:dyDescent="0.2">
      <c r="E1933" t="s">
        <v>430</v>
      </c>
      <c r="F1933">
        <v>72</v>
      </c>
      <c r="G1933" t="s">
        <v>251</v>
      </c>
      <c r="H1933" t="s">
        <v>11</v>
      </c>
      <c r="I1933">
        <v>6</v>
      </c>
    </row>
    <row r="1934" spans="5:9" ht="15.75" hidden="1" customHeight="1" x14ac:dyDescent="0.2">
      <c r="E1934" t="s">
        <v>370</v>
      </c>
      <c r="F1934">
        <v>73</v>
      </c>
      <c r="G1934" t="s">
        <v>251</v>
      </c>
      <c r="H1934" t="s">
        <v>11</v>
      </c>
      <c r="I1934">
        <v>1</v>
      </c>
    </row>
    <row r="1935" spans="5:9" ht="15.75" hidden="1" customHeight="1" x14ac:dyDescent="0.2">
      <c r="E1935" t="s">
        <v>373</v>
      </c>
      <c r="F1935">
        <v>74</v>
      </c>
      <c r="G1935" t="s">
        <v>251</v>
      </c>
      <c r="H1935" t="s">
        <v>11</v>
      </c>
      <c r="I1935">
        <v>0</v>
      </c>
    </row>
    <row r="1936" spans="5:9" ht="15.75" hidden="1" customHeight="1" x14ac:dyDescent="0.2">
      <c r="E1936" t="s">
        <v>374</v>
      </c>
      <c r="F1936">
        <v>75</v>
      </c>
      <c r="G1936" t="s">
        <v>251</v>
      </c>
      <c r="H1936" t="s">
        <v>11</v>
      </c>
      <c r="I1936">
        <v>0</v>
      </c>
    </row>
    <row r="1937" spans="5:9" ht="15.75" hidden="1" customHeight="1" x14ac:dyDescent="0.2">
      <c r="E1937" t="s">
        <v>375</v>
      </c>
      <c r="F1937">
        <v>76</v>
      </c>
      <c r="G1937" t="s">
        <v>251</v>
      </c>
      <c r="H1937" t="s">
        <v>11</v>
      </c>
      <c r="I1937">
        <v>0</v>
      </c>
    </row>
    <row r="1938" spans="5:9" ht="15.75" hidden="1" customHeight="1" x14ac:dyDescent="0.2">
      <c r="E1938" t="s">
        <v>376</v>
      </c>
      <c r="F1938">
        <v>77</v>
      </c>
      <c r="G1938" t="s">
        <v>251</v>
      </c>
      <c r="H1938" t="s">
        <v>11</v>
      </c>
      <c r="I1938">
        <v>0</v>
      </c>
    </row>
    <row r="1939" spans="5:9" ht="15.75" hidden="1" customHeight="1" x14ac:dyDescent="0.2">
      <c r="E1939" t="s">
        <v>382</v>
      </c>
      <c r="F1939">
        <v>78</v>
      </c>
      <c r="G1939" t="s">
        <v>251</v>
      </c>
      <c r="H1939" t="s">
        <v>11</v>
      </c>
      <c r="I1939">
        <v>1</v>
      </c>
    </row>
    <row r="1940" spans="5:9" ht="15.75" hidden="1" customHeight="1" x14ac:dyDescent="0.2">
      <c r="E1940" t="s">
        <v>383</v>
      </c>
      <c r="F1940">
        <v>79</v>
      </c>
      <c r="G1940" t="s">
        <v>251</v>
      </c>
      <c r="H1940" t="s">
        <v>11</v>
      </c>
      <c r="I1940">
        <v>0</v>
      </c>
    </row>
    <row r="1941" spans="5:9" ht="15.75" hidden="1" customHeight="1" x14ac:dyDescent="0.2">
      <c r="E1941" t="s">
        <v>395</v>
      </c>
      <c r="F1941">
        <v>80</v>
      </c>
      <c r="G1941" t="s">
        <v>251</v>
      </c>
      <c r="H1941" t="s">
        <v>11</v>
      </c>
      <c r="I1941">
        <v>1</v>
      </c>
    </row>
    <row r="1942" spans="5:9" ht="15.75" hidden="1" customHeight="1" x14ac:dyDescent="0.2">
      <c r="E1942" t="s">
        <v>397</v>
      </c>
      <c r="F1942">
        <v>81</v>
      </c>
      <c r="G1942" t="s">
        <v>251</v>
      </c>
      <c r="H1942" t="s">
        <v>11</v>
      </c>
      <c r="I1942">
        <v>1</v>
      </c>
    </row>
    <row r="1943" spans="5:9" ht="15.75" hidden="1" customHeight="1" x14ac:dyDescent="0.2">
      <c r="E1943" t="s">
        <v>399</v>
      </c>
      <c r="F1943">
        <v>82</v>
      </c>
      <c r="G1943" t="s">
        <v>251</v>
      </c>
      <c r="H1943" t="s">
        <v>11</v>
      </c>
      <c r="I1943">
        <v>0</v>
      </c>
    </row>
    <row r="1944" spans="5:9" ht="15.75" hidden="1" customHeight="1" x14ac:dyDescent="0.2">
      <c r="E1944" t="s">
        <v>400</v>
      </c>
      <c r="F1944">
        <v>83</v>
      </c>
      <c r="G1944" t="s">
        <v>251</v>
      </c>
      <c r="H1944" t="s">
        <v>11</v>
      </c>
      <c r="I1944">
        <v>0</v>
      </c>
    </row>
    <row r="1945" spans="5:9" ht="15.75" hidden="1" customHeight="1" x14ac:dyDescent="0.2">
      <c r="E1945" t="s">
        <v>401</v>
      </c>
      <c r="F1945">
        <v>84</v>
      </c>
      <c r="G1945" t="s">
        <v>251</v>
      </c>
      <c r="H1945" t="s">
        <v>11</v>
      </c>
      <c r="I1945">
        <v>1</v>
      </c>
    </row>
    <row r="1946" spans="5:9" ht="15.75" hidden="1" customHeight="1" x14ac:dyDescent="0.2">
      <c r="E1946" t="s">
        <v>402</v>
      </c>
      <c r="F1946">
        <v>85</v>
      </c>
      <c r="G1946" t="s">
        <v>251</v>
      </c>
      <c r="H1946" t="s">
        <v>11</v>
      </c>
      <c r="I1946">
        <v>1</v>
      </c>
    </row>
    <row r="1947" spans="5:9" ht="15.75" hidden="1" customHeight="1" x14ac:dyDescent="0.2">
      <c r="E1947" t="s">
        <v>403</v>
      </c>
      <c r="F1947">
        <v>86</v>
      </c>
      <c r="G1947" t="s">
        <v>251</v>
      </c>
      <c r="H1947" t="s">
        <v>11</v>
      </c>
      <c r="I1947">
        <v>0</v>
      </c>
    </row>
    <row r="1948" spans="5:9" ht="15.75" hidden="1" customHeight="1" x14ac:dyDescent="0.2">
      <c r="E1948" t="s">
        <v>404</v>
      </c>
      <c r="F1948">
        <v>87</v>
      </c>
      <c r="G1948" t="s">
        <v>251</v>
      </c>
      <c r="H1948" t="s">
        <v>11</v>
      </c>
      <c r="I1948">
        <v>0</v>
      </c>
    </row>
    <row r="1949" spans="5:9" ht="15.75" hidden="1" customHeight="1" x14ac:dyDescent="0.2">
      <c r="E1949" t="s">
        <v>405</v>
      </c>
      <c r="F1949">
        <v>88</v>
      </c>
      <c r="G1949" t="s">
        <v>251</v>
      </c>
      <c r="H1949" t="s">
        <v>11</v>
      </c>
      <c r="I1949">
        <v>1</v>
      </c>
    </row>
    <row r="1950" spans="5:9" ht="15.75" hidden="1" customHeight="1" x14ac:dyDescent="0.2">
      <c r="E1950" t="s">
        <v>406</v>
      </c>
      <c r="F1950">
        <v>89</v>
      </c>
      <c r="G1950" t="s">
        <v>251</v>
      </c>
      <c r="H1950" t="s">
        <v>11</v>
      </c>
      <c r="I1950">
        <v>1</v>
      </c>
    </row>
    <row r="1951" spans="5:9" ht="15.75" hidden="1" customHeight="1" x14ac:dyDescent="0.2">
      <c r="E1951" t="s">
        <v>376</v>
      </c>
      <c r="F1951">
        <v>90</v>
      </c>
      <c r="G1951" t="s">
        <v>251</v>
      </c>
      <c r="H1951" t="s">
        <v>11</v>
      </c>
      <c r="I1951">
        <v>1</v>
      </c>
    </row>
    <row r="1952" spans="5:9" ht="15.75" hidden="1" customHeight="1" x14ac:dyDescent="0.2">
      <c r="E1952" t="s">
        <v>409</v>
      </c>
      <c r="F1952">
        <v>91</v>
      </c>
      <c r="G1952" t="s">
        <v>251</v>
      </c>
      <c r="H1952" t="s">
        <v>11</v>
      </c>
      <c r="I1952">
        <v>1</v>
      </c>
    </row>
    <row r="1953" spans="5:9" ht="15.75" hidden="1" customHeight="1" x14ac:dyDescent="0.2">
      <c r="E1953" t="s">
        <v>410</v>
      </c>
      <c r="F1953">
        <v>92</v>
      </c>
      <c r="G1953" t="s">
        <v>251</v>
      </c>
      <c r="H1953" t="s">
        <v>11</v>
      </c>
      <c r="I1953">
        <v>2</v>
      </c>
    </row>
    <row r="1954" spans="5:9" ht="15.75" hidden="1" customHeight="1" x14ac:dyDescent="0.2">
      <c r="E1954" t="s">
        <v>413</v>
      </c>
      <c r="F1954">
        <v>93</v>
      </c>
      <c r="G1954" t="s">
        <v>251</v>
      </c>
      <c r="H1954" t="s">
        <v>11</v>
      </c>
      <c r="I1954">
        <v>2</v>
      </c>
    </row>
    <row r="1955" spans="5:9" ht="15.75" hidden="1" customHeight="1" x14ac:dyDescent="0.2">
      <c r="E1955" t="s">
        <v>414</v>
      </c>
      <c r="F1955">
        <v>94</v>
      </c>
      <c r="G1955" t="s">
        <v>251</v>
      </c>
      <c r="H1955" t="s">
        <v>11</v>
      </c>
      <c r="I1955">
        <v>0</v>
      </c>
    </row>
    <row r="1956" spans="5:9" ht="15.75" hidden="1" customHeight="1" x14ac:dyDescent="0.2">
      <c r="E1956" t="s">
        <v>417</v>
      </c>
      <c r="F1956">
        <v>95</v>
      </c>
      <c r="G1956" t="s">
        <v>251</v>
      </c>
      <c r="H1956" t="s">
        <v>11</v>
      </c>
      <c r="I1956">
        <v>0</v>
      </c>
    </row>
    <row r="1957" spans="5:9" ht="15.75" hidden="1" customHeight="1" x14ac:dyDescent="0.2">
      <c r="E1957" t="s">
        <v>440</v>
      </c>
      <c r="F1957">
        <v>96</v>
      </c>
      <c r="G1957" t="s">
        <v>251</v>
      </c>
      <c r="H1957" t="s">
        <v>11</v>
      </c>
      <c r="I1957">
        <v>1</v>
      </c>
    </row>
    <row r="1958" spans="5:9" ht="15.75" hidden="1" customHeight="1" x14ac:dyDescent="0.2">
      <c r="E1958" t="s">
        <v>441</v>
      </c>
      <c r="F1958">
        <v>97</v>
      </c>
      <c r="G1958" t="s">
        <v>251</v>
      </c>
      <c r="H1958" t="s">
        <v>11</v>
      </c>
      <c r="I1958">
        <v>0</v>
      </c>
    </row>
    <row r="1959" spans="5:9" ht="15.75" hidden="1" customHeight="1" x14ac:dyDescent="0.2">
      <c r="E1959" t="s">
        <v>442</v>
      </c>
      <c r="F1959">
        <v>98</v>
      </c>
      <c r="G1959" t="s">
        <v>251</v>
      </c>
      <c r="H1959" t="s">
        <v>11</v>
      </c>
      <c r="I1959">
        <v>0</v>
      </c>
    </row>
    <row r="1960" spans="5:9" ht="15.75" hidden="1" customHeight="1" x14ac:dyDescent="0.2">
      <c r="E1960" t="s">
        <v>443</v>
      </c>
      <c r="F1960">
        <v>99</v>
      </c>
      <c r="G1960" t="s">
        <v>251</v>
      </c>
      <c r="H1960" t="s">
        <v>11</v>
      </c>
      <c r="I1960">
        <v>1</v>
      </c>
    </row>
    <row r="1961" spans="5:9" ht="15.75" hidden="1" customHeight="1" x14ac:dyDescent="0.2">
      <c r="E1961" t="s">
        <v>444</v>
      </c>
      <c r="F1961">
        <v>100</v>
      </c>
      <c r="G1961" t="s">
        <v>251</v>
      </c>
      <c r="H1961" t="s">
        <v>11</v>
      </c>
      <c r="I1961">
        <v>17</v>
      </c>
    </row>
    <row r="1962" spans="5:9" ht="15.75" hidden="1" customHeight="1" x14ac:dyDescent="0.2">
      <c r="E1962" t="s">
        <v>362</v>
      </c>
      <c r="F1962">
        <v>101</v>
      </c>
      <c r="G1962" t="s">
        <v>251</v>
      </c>
      <c r="H1962" t="s">
        <v>11</v>
      </c>
      <c r="I1962">
        <v>0</v>
      </c>
    </row>
    <row r="1963" spans="5:9" ht="15.75" hidden="1" customHeight="1" x14ac:dyDescent="0.2">
      <c r="E1963" t="s">
        <v>446</v>
      </c>
      <c r="F1963">
        <v>102</v>
      </c>
      <c r="G1963" t="s">
        <v>251</v>
      </c>
      <c r="H1963" t="s">
        <v>11</v>
      </c>
      <c r="I1963">
        <v>0</v>
      </c>
    </row>
    <row r="1964" spans="5:9" ht="15.75" hidden="1" customHeight="1" x14ac:dyDescent="0.2">
      <c r="E1964" t="s">
        <v>447</v>
      </c>
      <c r="F1964">
        <v>103</v>
      </c>
      <c r="G1964" t="s">
        <v>251</v>
      </c>
      <c r="H1964" t="s">
        <v>11</v>
      </c>
      <c r="I1964">
        <v>1</v>
      </c>
    </row>
    <row r="1965" spans="5:9" ht="15.75" hidden="1" customHeight="1" x14ac:dyDescent="0.2">
      <c r="E1965" t="s">
        <v>448</v>
      </c>
      <c r="F1965">
        <v>104</v>
      </c>
      <c r="G1965" t="s">
        <v>251</v>
      </c>
      <c r="H1965" t="s">
        <v>11</v>
      </c>
      <c r="I1965">
        <v>1</v>
      </c>
    </row>
    <row r="1966" spans="5:9" ht="15.75" hidden="1" customHeight="1" x14ac:dyDescent="0.2">
      <c r="E1966" t="s">
        <v>449</v>
      </c>
      <c r="F1966">
        <v>105</v>
      </c>
      <c r="G1966" t="s">
        <v>251</v>
      </c>
      <c r="H1966" t="s">
        <v>11</v>
      </c>
      <c r="I1966">
        <v>1</v>
      </c>
    </row>
    <row r="1967" spans="5:9" ht="15.75" hidden="1" customHeight="1" x14ac:dyDescent="0.2">
      <c r="E1967" t="s">
        <v>450</v>
      </c>
      <c r="F1967">
        <v>106</v>
      </c>
      <c r="G1967" t="s">
        <v>251</v>
      </c>
      <c r="H1967" t="s">
        <v>11</v>
      </c>
      <c r="I1967">
        <v>1</v>
      </c>
    </row>
    <row r="1968" spans="5:9" ht="15.75" hidden="1" customHeight="1" x14ac:dyDescent="0.2">
      <c r="E1968" t="s">
        <v>451</v>
      </c>
      <c r="F1968">
        <v>107</v>
      </c>
      <c r="G1968" t="s">
        <v>251</v>
      </c>
      <c r="H1968" t="s">
        <v>11</v>
      </c>
      <c r="I1968">
        <v>1</v>
      </c>
    </row>
    <row r="1969" spans="5:9" ht="15.75" hidden="1" customHeight="1" x14ac:dyDescent="0.2">
      <c r="E1969" t="s">
        <v>452</v>
      </c>
      <c r="F1969">
        <v>108</v>
      </c>
      <c r="G1969" t="s">
        <v>251</v>
      </c>
      <c r="H1969" t="s">
        <v>11</v>
      </c>
      <c r="I1969">
        <v>1</v>
      </c>
    </row>
    <row r="1970" spans="5:9" ht="15.75" hidden="1" customHeight="1" x14ac:dyDescent="0.2">
      <c r="E1970" t="s">
        <v>453</v>
      </c>
      <c r="F1970">
        <v>109</v>
      </c>
      <c r="G1970" t="s">
        <v>251</v>
      </c>
      <c r="H1970" t="s">
        <v>11</v>
      </c>
      <c r="I1970">
        <v>1</v>
      </c>
    </row>
    <row r="1971" spans="5:9" ht="15.75" hidden="1" customHeight="1" x14ac:dyDescent="0.2">
      <c r="E1971" t="s">
        <v>454</v>
      </c>
      <c r="F1971">
        <v>110</v>
      </c>
      <c r="G1971" t="s">
        <v>251</v>
      </c>
      <c r="H1971" t="s">
        <v>11</v>
      </c>
      <c r="I1971">
        <v>1</v>
      </c>
    </row>
    <row r="1972" spans="5:9" ht="15.75" hidden="1" customHeight="1" x14ac:dyDescent="0.2">
      <c r="E1972" t="s">
        <v>455</v>
      </c>
      <c r="F1972">
        <v>111</v>
      </c>
      <c r="G1972" t="s">
        <v>251</v>
      </c>
      <c r="H1972" t="s">
        <v>11</v>
      </c>
      <c r="I1972">
        <v>1</v>
      </c>
    </row>
    <row r="1973" spans="5:9" ht="15.75" hidden="1" customHeight="1" x14ac:dyDescent="0.2">
      <c r="E1973" t="s">
        <v>456</v>
      </c>
      <c r="F1973">
        <v>112</v>
      </c>
      <c r="G1973" t="s">
        <v>251</v>
      </c>
      <c r="H1973" t="s">
        <v>11</v>
      </c>
      <c r="I1973">
        <v>1</v>
      </c>
    </row>
    <row r="1974" spans="5:9" ht="15.75" hidden="1" customHeight="1" x14ac:dyDescent="0.2">
      <c r="E1974" t="s">
        <v>457</v>
      </c>
      <c r="F1974">
        <v>113</v>
      </c>
      <c r="G1974" t="s">
        <v>251</v>
      </c>
      <c r="H1974" t="s">
        <v>11</v>
      </c>
      <c r="I1974">
        <v>1</v>
      </c>
    </row>
    <row r="1975" spans="5:9" ht="15.75" hidden="1" customHeight="1" x14ac:dyDescent="0.2">
      <c r="E1975" t="s">
        <v>459</v>
      </c>
      <c r="F1975">
        <v>114</v>
      </c>
      <c r="G1975" t="s">
        <v>251</v>
      </c>
      <c r="H1975" t="s">
        <v>11</v>
      </c>
      <c r="I1975">
        <v>0</v>
      </c>
    </row>
    <row r="1976" spans="5:9" ht="15.75" hidden="1" customHeight="1" x14ac:dyDescent="0.2">
      <c r="E1976" t="s">
        <v>460</v>
      </c>
      <c r="F1976">
        <v>115</v>
      </c>
      <c r="G1976" t="s">
        <v>251</v>
      </c>
      <c r="H1976" t="s">
        <v>11</v>
      </c>
      <c r="I1976">
        <v>0</v>
      </c>
    </row>
    <row r="1977" spans="5:9" ht="15.75" hidden="1" customHeight="1" x14ac:dyDescent="0.2">
      <c r="E1977" t="s">
        <v>461</v>
      </c>
      <c r="F1977">
        <v>116</v>
      </c>
      <c r="G1977" t="s">
        <v>251</v>
      </c>
      <c r="H1977" t="s">
        <v>11</v>
      </c>
      <c r="I1977">
        <v>1</v>
      </c>
    </row>
    <row r="1978" spans="5:9" ht="15.75" hidden="1" customHeight="1" x14ac:dyDescent="0.2">
      <c r="E1978" t="s">
        <v>462</v>
      </c>
      <c r="F1978">
        <v>117</v>
      </c>
      <c r="G1978" t="s">
        <v>251</v>
      </c>
      <c r="H1978" t="s">
        <v>11</v>
      </c>
      <c r="I1978">
        <v>0</v>
      </c>
    </row>
    <row r="1979" spans="5:9" ht="15.75" hidden="1" customHeight="1" x14ac:dyDescent="0.2">
      <c r="E1979" t="s">
        <v>463</v>
      </c>
      <c r="F1979">
        <v>118</v>
      </c>
      <c r="G1979" t="s">
        <v>251</v>
      </c>
      <c r="H1979" t="s">
        <v>11</v>
      </c>
      <c r="I1979">
        <v>1</v>
      </c>
    </row>
    <row r="1980" spans="5:9" ht="15.75" hidden="1" customHeight="1" x14ac:dyDescent="0.2">
      <c r="E1980" t="s">
        <v>464</v>
      </c>
      <c r="F1980">
        <v>119</v>
      </c>
      <c r="G1980" t="s">
        <v>251</v>
      </c>
      <c r="H1980" t="s">
        <v>11</v>
      </c>
      <c r="I1980">
        <v>0</v>
      </c>
    </row>
    <row r="1981" spans="5:9" ht="15.75" hidden="1" customHeight="1" x14ac:dyDescent="0.2">
      <c r="E1981" t="s">
        <v>465</v>
      </c>
      <c r="F1981">
        <v>120</v>
      </c>
      <c r="G1981" t="s">
        <v>251</v>
      </c>
      <c r="H1981" t="s">
        <v>11</v>
      </c>
      <c r="I1981">
        <v>0</v>
      </c>
    </row>
    <row r="1982" spans="5:9" ht="15.75" hidden="1" customHeight="1" x14ac:dyDescent="0.2">
      <c r="E1982" t="s">
        <v>466</v>
      </c>
      <c r="F1982">
        <v>121</v>
      </c>
      <c r="G1982" t="s">
        <v>251</v>
      </c>
      <c r="H1982" t="s">
        <v>11</v>
      </c>
      <c r="I1982">
        <v>1</v>
      </c>
    </row>
    <row r="1983" spans="5:9" ht="15.75" hidden="1" customHeight="1" x14ac:dyDescent="0.2">
      <c r="E1983" t="s">
        <v>467</v>
      </c>
      <c r="F1983">
        <v>122</v>
      </c>
      <c r="G1983" t="s">
        <v>251</v>
      </c>
      <c r="H1983" t="s">
        <v>11</v>
      </c>
      <c r="I1983">
        <v>0</v>
      </c>
    </row>
    <row r="1984" spans="5:9" ht="15.75" hidden="1" customHeight="1" x14ac:dyDescent="0.2">
      <c r="E1984" t="s">
        <v>468</v>
      </c>
      <c r="F1984">
        <v>123</v>
      </c>
      <c r="G1984" t="s">
        <v>251</v>
      </c>
      <c r="H1984" t="s">
        <v>11</v>
      </c>
      <c r="I1984">
        <v>1</v>
      </c>
    </row>
    <row r="1985" spans="5:9" ht="15.75" hidden="1" customHeight="1" x14ac:dyDescent="0.2">
      <c r="E1985" t="s">
        <v>469</v>
      </c>
      <c r="F1985">
        <v>124</v>
      </c>
      <c r="G1985" t="s">
        <v>251</v>
      </c>
      <c r="H1985" t="s">
        <v>11</v>
      </c>
      <c r="I1985">
        <v>1</v>
      </c>
    </row>
    <row r="1986" spans="5:9" ht="15.75" hidden="1" customHeight="1" x14ac:dyDescent="0.2">
      <c r="E1986" t="s">
        <v>470</v>
      </c>
      <c r="F1986">
        <v>125</v>
      </c>
      <c r="G1986" t="s">
        <v>251</v>
      </c>
      <c r="H1986" t="s">
        <v>11</v>
      </c>
      <c r="I1986">
        <v>1</v>
      </c>
    </row>
    <row r="1987" spans="5:9" ht="15.75" hidden="1" customHeight="1" x14ac:dyDescent="0.2">
      <c r="E1987" t="s">
        <v>471</v>
      </c>
      <c r="F1987">
        <v>126</v>
      </c>
      <c r="G1987" t="s">
        <v>251</v>
      </c>
      <c r="H1987" t="s">
        <v>11</v>
      </c>
      <c r="I1987">
        <v>1</v>
      </c>
    </row>
    <row r="1988" spans="5:9" ht="15.75" hidden="1" customHeight="1" x14ac:dyDescent="0.2">
      <c r="E1988" t="s">
        <v>472</v>
      </c>
      <c r="F1988">
        <v>127</v>
      </c>
      <c r="G1988" t="s">
        <v>251</v>
      </c>
      <c r="H1988" t="s">
        <v>11</v>
      </c>
      <c r="I1988">
        <v>1</v>
      </c>
    </row>
    <row r="1989" spans="5:9" ht="15.75" hidden="1" customHeight="1" x14ac:dyDescent="0.2">
      <c r="E1989" t="s">
        <v>473</v>
      </c>
      <c r="F1989">
        <v>128</v>
      </c>
      <c r="G1989" t="s">
        <v>251</v>
      </c>
      <c r="H1989" t="s">
        <v>11</v>
      </c>
      <c r="I1989">
        <v>1</v>
      </c>
    </row>
    <row r="1990" spans="5:9" ht="15.75" hidden="1" customHeight="1" x14ac:dyDescent="0.2">
      <c r="E1990" t="s">
        <v>474</v>
      </c>
      <c r="F1990">
        <v>129</v>
      </c>
      <c r="G1990" t="s">
        <v>251</v>
      </c>
      <c r="H1990" t="s">
        <v>11</v>
      </c>
      <c r="I1990">
        <v>1</v>
      </c>
    </row>
    <row r="1991" spans="5:9" ht="15.75" hidden="1" customHeight="1" x14ac:dyDescent="0.2">
      <c r="E1991" t="s">
        <v>476</v>
      </c>
      <c r="F1991">
        <v>130</v>
      </c>
      <c r="G1991" t="s">
        <v>251</v>
      </c>
      <c r="H1991" t="s">
        <v>11</v>
      </c>
      <c r="I1991">
        <v>4</v>
      </c>
    </row>
    <row r="1992" spans="5:9" ht="15.75" hidden="1" customHeight="1" x14ac:dyDescent="0.2">
      <c r="E1992" t="s">
        <v>478</v>
      </c>
      <c r="F1992">
        <v>131</v>
      </c>
      <c r="G1992" t="s">
        <v>251</v>
      </c>
      <c r="H1992" t="s">
        <v>11</v>
      </c>
      <c r="I1992">
        <v>9</v>
      </c>
    </row>
    <row r="1993" spans="5:9" ht="15.75" hidden="1" customHeight="1" x14ac:dyDescent="0.2">
      <c r="E1993" t="s">
        <v>440</v>
      </c>
      <c r="F1993">
        <v>132</v>
      </c>
      <c r="G1993" t="s">
        <v>251</v>
      </c>
      <c r="H1993" t="s">
        <v>11</v>
      </c>
      <c r="I1993">
        <v>5</v>
      </c>
    </row>
    <row r="1994" spans="5:9" ht="15.75" hidden="1" customHeight="1" x14ac:dyDescent="0.2">
      <c r="E1994" t="s">
        <v>441</v>
      </c>
      <c r="F1994">
        <v>133</v>
      </c>
      <c r="G1994" t="s">
        <v>251</v>
      </c>
      <c r="H1994" t="s">
        <v>11</v>
      </c>
      <c r="I1994">
        <v>4</v>
      </c>
    </row>
    <row r="1995" spans="5:9" ht="15.75" hidden="1" customHeight="1" x14ac:dyDescent="0.2">
      <c r="E1995" t="s">
        <v>442</v>
      </c>
      <c r="F1995">
        <v>134</v>
      </c>
      <c r="G1995" t="s">
        <v>251</v>
      </c>
      <c r="H1995" t="s">
        <v>11</v>
      </c>
      <c r="I1995">
        <v>4</v>
      </c>
    </row>
    <row r="1996" spans="5:9" ht="15.75" hidden="1" customHeight="1" x14ac:dyDescent="0.2">
      <c r="E1996" t="s">
        <v>443</v>
      </c>
      <c r="F1996">
        <v>135</v>
      </c>
      <c r="G1996" t="s">
        <v>251</v>
      </c>
      <c r="H1996" t="s">
        <v>11</v>
      </c>
      <c r="I1996">
        <v>98</v>
      </c>
    </row>
    <row r="1997" spans="5:9" ht="15.75" hidden="1" customHeight="1" x14ac:dyDescent="0.2">
      <c r="E1997" t="s">
        <v>362</v>
      </c>
      <c r="F1997">
        <v>136</v>
      </c>
      <c r="G1997" t="s">
        <v>251</v>
      </c>
      <c r="H1997" t="s">
        <v>11</v>
      </c>
      <c r="I1997">
        <v>11</v>
      </c>
    </row>
    <row r="1998" spans="5:9" ht="15.75" hidden="1" customHeight="1" x14ac:dyDescent="0.2">
      <c r="E1998" t="s">
        <v>482</v>
      </c>
      <c r="F1998">
        <v>137</v>
      </c>
      <c r="G1998" t="s">
        <v>251</v>
      </c>
      <c r="H1998" t="s">
        <v>11</v>
      </c>
      <c r="I1998">
        <v>17</v>
      </c>
    </row>
    <row r="1999" spans="5:9" ht="15.75" hidden="1" customHeight="1" x14ac:dyDescent="0.2">
      <c r="E1999" t="s">
        <v>483</v>
      </c>
      <c r="F1999">
        <v>138</v>
      </c>
      <c r="G1999" t="s">
        <v>251</v>
      </c>
      <c r="H1999" t="s">
        <v>11</v>
      </c>
      <c r="I1999">
        <v>56</v>
      </c>
    </row>
    <row r="2000" spans="5:9" ht="15.75" hidden="1" customHeight="1" x14ac:dyDescent="0.2">
      <c r="E2000" t="s">
        <v>484</v>
      </c>
      <c r="F2000">
        <v>139</v>
      </c>
      <c r="G2000" t="s">
        <v>251</v>
      </c>
      <c r="H2000" t="s">
        <v>11</v>
      </c>
      <c r="I2000">
        <v>81</v>
      </c>
    </row>
    <row r="2001" spans="5:9" ht="15.75" hidden="1" customHeight="1" x14ac:dyDescent="0.2">
      <c r="E2001" t="s">
        <v>486</v>
      </c>
      <c r="F2001">
        <v>140</v>
      </c>
      <c r="G2001" t="s">
        <v>251</v>
      </c>
      <c r="H2001" t="s">
        <v>11</v>
      </c>
      <c r="I2001">
        <v>15</v>
      </c>
    </row>
    <row r="2002" spans="5:9" ht="15.75" hidden="1" customHeight="1" x14ac:dyDescent="0.2">
      <c r="E2002" t="s">
        <v>487</v>
      </c>
      <c r="F2002">
        <v>141</v>
      </c>
      <c r="G2002" t="s">
        <v>251</v>
      </c>
      <c r="H2002" t="s">
        <v>11</v>
      </c>
      <c r="I2002">
        <v>10</v>
      </c>
    </row>
    <row r="2003" spans="5:9" ht="15.75" hidden="1" customHeight="1" x14ac:dyDescent="0.2">
      <c r="E2003" t="s">
        <v>446</v>
      </c>
      <c r="F2003">
        <v>142</v>
      </c>
      <c r="G2003" t="s">
        <v>251</v>
      </c>
      <c r="H2003" t="s">
        <v>11</v>
      </c>
      <c r="I2003">
        <v>22</v>
      </c>
    </row>
    <row r="2004" spans="5:9" ht="15.75" hidden="1" customHeight="1" x14ac:dyDescent="0.2">
      <c r="E2004" t="s">
        <v>447</v>
      </c>
      <c r="F2004">
        <v>143</v>
      </c>
      <c r="G2004" t="s">
        <v>251</v>
      </c>
      <c r="H2004" t="s">
        <v>11</v>
      </c>
      <c r="I2004">
        <v>16</v>
      </c>
    </row>
    <row r="2005" spans="5:9" ht="15.75" hidden="1" customHeight="1" x14ac:dyDescent="0.2">
      <c r="E2005" t="s">
        <v>448</v>
      </c>
      <c r="F2005">
        <v>144</v>
      </c>
      <c r="G2005" t="s">
        <v>251</v>
      </c>
      <c r="H2005" t="s">
        <v>11</v>
      </c>
      <c r="I2005">
        <v>6</v>
      </c>
    </row>
    <row r="2006" spans="5:9" ht="15.75" hidden="1" customHeight="1" x14ac:dyDescent="0.2">
      <c r="E2006" t="s">
        <v>449</v>
      </c>
      <c r="F2006">
        <v>145</v>
      </c>
      <c r="G2006" t="s">
        <v>251</v>
      </c>
      <c r="H2006" t="s">
        <v>11</v>
      </c>
      <c r="I2006">
        <v>6</v>
      </c>
    </row>
    <row r="2007" spans="5:9" ht="15.75" hidden="1" customHeight="1" x14ac:dyDescent="0.2">
      <c r="E2007" t="s">
        <v>450</v>
      </c>
      <c r="F2007">
        <v>146</v>
      </c>
      <c r="G2007" t="s">
        <v>251</v>
      </c>
      <c r="H2007" t="s">
        <v>11</v>
      </c>
      <c r="I2007">
        <v>4</v>
      </c>
    </row>
    <row r="2008" spans="5:9" ht="15.75" hidden="1" customHeight="1" x14ac:dyDescent="0.2">
      <c r="E2008" t="s">
        <v>451</v>
      </c>
      <c r="F2008">
        <v>147</v>
      </c>
      <c r="G2008" t="s">
        <v>251</v>
      </c>
      <c r="H2008" t="s">
        <v>11</v>
      </c>
      <c r="I2008">
        <v>4</v>
      </c>
    </row>
    <row r="2009" spans="5:9" ht="15.75" hidden="1" customHeight="1" x14ac:dyDescent="0.2">
      <c r="E2009" t="s">
        <v>488</v>
      </c>
      <c r="F2009">
        <v>148</v>
      </c>
      <c r="G2009" t="s">
        <v>251</v>
      </c>
      <c r="H2009" t="s">
        <v>11</v>
      </c>
      <c r="I2009">
        <v>8</v>
      </c>
    </row>
    <row r="2010" spans="5:9" ht="15.75" hidden="1" customHeight="1" x14ac:dyDescent="0.2">
      <c r="E2010" t="s">
        <v>452</v>
      </c>
      <c r="F2010">
        <v>149</v>
      </c>
      <c r="G2010" t="s">
        <v>251</v>
      </c>
      <c r="H2010" t="s">
        <v>11</v>
      </c>
      <c r="I2010">
        <v>14</v>
      </c>
    </row>
    <row r="2011" spans="5:9" ht="15.75" hidden="1" customHeight="1" x14ac:dyDescent="0.2">
      <c r="E2011" t="s">
        <v>453</v>
      </c>
      <c r="F2011">
        <v>150</v>
      </c>
      <c r="G2011" t="s">
        <v>251</v>
      </c>
      <c r="H2011" t="s">
        <v>11</v>
      </c>
      <c r="I2011">
        <v>4</v>
      </c>
    </row>
    <row r="2012" spans="5:9" ht="15.75" hidden="1" customHeight="1" x14ac:dyDescent="0.2">
      <c r="E2012" t="s">
        <v>454</v>
      </c>
      <c r="F2012">
        <v>151</v>
      </c>
      <c r="G2012" t="s">
        <v>251</v>
      </c>
      <c r="H2012" t="s">
        <v>11</v>
      </c>
      <c r="I2012">
        <v>9</v>
      </c>
    </row>
    <row r="2013" spans="5:9" ht="15.75" hidden="1" customHeight="1" x14ac:dyDescent="0.2">
      <c r="E2013" t="s">
        <v>455</v>
      </c>
      <c r="F2013">
        <v>152</v>
      </c>
      <c r="G2013" t="s">
        <v>251</v>
      </c>
      <c r="H2013" t="s">
        <v>11</v>
      </c>
      <c r="I2013">
        <v>4</v>
      </c>
    </row>
    <row r="2014" spans="5:9" ht="15.75" hidden="1" customHeight="1" x14ac:dyDescent="0.2">
      <c r="E2014" t="s">
        <v>456</v>
      </c>
      <c r="F2014">
        <v>153</v>
      </c>
      <c r="G2014" t="s">
        <v>251</v>
      </c>
      <c r="H2014" t="s">
        <v>11</v>
      </c>
      <c r="I2014">
        <v>4</v>
      </c>
    </row>
    <row r="2015" spans="5:9" ht="15.75" hidden="1" customHeight="1" x14ac:dyDescent="0.2">
      <c r="E2015" t="s">
        <v>489</v>
      </c>
      <c r="F2015">
        <v>154</v>
      </c>
      <c r="G2015" t="s">
        <v>251</v>
      </c>
      <c r="H2015" t="s">
        <v>11</v>
      </c>
      <c r="I2015">
        <v>10</v>
      </c>
    </row>
    <row r="2016" spans="5:9" ht="15.75" hidden="1" customHeight="1" x14ac:dyDescent="0.2">
      <c r="E2016" t="s">
        <v>457</v>
      </c>
      <c r="F2016">
        <v>155</v>
      </c>
      <c r="G2016" t="s">
        <v>251</v>
      </c>
      <c r="H2016" t="s">
        <v>11</v>
      </c>
      <c r="I2016">
        <v>4</v>
      </c>
    </row>
    <row r="2017" spans="5:9" ht="15.75" hidden="1" customHeight="1" x14ac:dyDescent="0.2">
      <c r="E2017" t="s">
        <v>362</v>
      </c>
      <c r="F2017">
        <v>156</v>
      </c>
      <c r="G2017" t="s">
        <v>251</v>
      </c>
      <c r="H2017" t="s">
        <v>11</v>
      </c>
      <c r="I2017">
        <v>9</v>
      </c>
    </row>
    <row r="2018" spans="5:9" ht="15.75" hidden="1" customHeight="1" x14ac:dyDescent="0.2">
      <c r="E2018" t="s">
        <v>491</v>
      </c>
      <c r="F2018">
        <v>157</v>
      </c>
      <c r="G2018" t="s">
        <v>251</v>
      </c>
      <c r="H2018" t="s">
        <v>11</v>
      </c>
      <c r="I2018">
        <v>49</v>
      </c>
    </row>
    <row r="2019" spans="5:9" ht="15.75" hidden="1" customHeight="1" x14ac:dyDescent="0.2">
      <c r="E2019" t="s">
        <v>492</v>
      </c>
      <c r="F2019">
        <v>158</v>
      </c>
      <c r="G2019" t="s">
        <v>251</v>
      </c>
      <c r="H2019" t="s">
        <v>11</v>
      </c>
      <c r="I2019">
        <v>21</v>
      </c>
    </row>
    <row r="2020" spans="5:9" ht="15.75" hidden="1" customHeight="1" x14ac:dyDescent="0.2">
      <c r="E2020" t="s">
        <v>493</v>
      </c>
      <c r="F2020">
        <v>159</v>
      </c>
      <c r="G2020" t="s">
        <v>251</v>
      </c>
      <c r="H2020" t="s">
        <v>11</v>
      </c>
      <c r="I2020">
        <v>19</v>
      </c>
    </row>
    <row r="2021" spans="5:9" ht="15.75" hidden="1" customHeight="1" x14ac:dyDescent="0.2">
      <c r="E2021" t="s">
        <v>494</v>
      </c>
      <c r="F2021">
        <v>160</v>
      </c>
      <c r="G2021" t="s">
        <v>251</v>
      </c>
      <c r="H2021" t="s">
        <v>11</v>
      </c>
      <c r="I2021">
        <v>25</v>
      </c>
    </row>
    <row r="2022" spans="5:9" ht="15.75" hidden="1" customHeight="1" x14ac:dyDescent="0.2">
      <c r="E2022" t="s">
        <v>496</v>
      </c>
      <c r="F2022">
        <v>161</v>
      </c>
      <c r="G2022" t="s">
        <v>251</v>
      </c>
      <c r="H2022" t="s">
        <v>11</v>
      </c>
      <c r="I2022">
        <v>17</v>
      </c>
    </row>
    <row r="2023" spans="5:9" ht="15.75" hidden="1" customHeight="1" x14ac:dyDescent="0.2">
      <c r="E2023" t="s">
        <v>497</v>
      </c>
      <c r="F2023">
        <v>162</v>
      </c>
      <c r="G2023" t="s">
        <v>251</v>
      </c>
      <c r="H2023" t="s">
        <v>11</v>
      </c>
      <c r="I2023">
        <v>19</v>
      </c>
    </row>
    <row r="2024" spans="5:9" ht="15.75" hidden="1" customHeight="1" x14ac:dyDescent="0.2">
      <c r="E2024" t="s">
        <v>459</v>
      </c>
      <c r="F2024">
        <v>163</v>
      </c>
      <c r="G2024" t="s">
        <v>251</v>
      </c>
      <c r="H2024" t="s">
        <v>11</v>
      </c>
      <c r="I2024">
        <v>15</v>
      </c>
    </row>
    <row r="2025" spans="5:9" ht="15.75" hidden="1" customHeight="1" x14ac:dyDescent="0.2">
      <c r="E2025" t="s">
        <v>460</v>
      </c>
      <c r="F2025">
        <v>164</v>
      </c>
      <c r="G2025" t="s">
        <v>251</v>
      </c>
      <c r="H2025" t="s">
        <v>11</v>
      </c>
      <c r="I2025">
        <v>3</v>
      </c>
    </row>
    <row r="2026" spans="5:9" ht="15.75" hidden="1" customHeight="1" x14ac:dyDescent="0.2">
      <c r="E2026" t="s">
        <v>461</v>
      </c>
      <c r="F2026">
        <v>165</v>
      </c>
      <c r="G2026" t="s">
        <v>251</v>
      </c>
      <c r="H2026" t="s">
        <v>11</v>
      </c>
      <c r="I2026">
        <v>16</v>
      </c>
    </row>
    <row r="2027" spans="5:9" ht="15.75" hidden="1" customHeight="1" x14ac:dyDescent="0.2">
      <c r="E2027" t="s">
        <v>462</v>
      </c>
      <c r="F2027">
        <v>166</v>
      </c>
      <c r="G2027" t="s">
        <v>251</v>
      </c>
      <c r="H2027" t="s">
        <v>11</v>
      </c>
      <c r="I2027">
        <v>3</v>
      </c>
    </row>
    <row r="2028" spans="5:9" ht="15.75" hidden="1" customHeight="1" x14ac:dyDescent="0.2">
      <c r="E2028" t="s">
        <v>463</v>
      </c>
      <c r="F2028">
        <v>167</v>
      </c>
      <c r="G2028" t="s">
        <v>251</v>
      </c>
      <c r="H2028" t="s">
        <v>11</v>
      </c>
      <c r="I2028">
        <v>15</v>
      </c>
    </row>
    <row r="2029" spans="5:9" ht="15.75" hidden="1" customHeight="1" x14ac:dyDescent="0.2">
      <c r="E2029" t="s">
        <v>464</v>
      </c>
      <c r="F2029">
        <v>168</v>
      </c>
      <c r="G2029" t="s">
        <v>251</v>
      </c>
      <c r="H2029" t="s">
        <v>11</v>
      </c>
      <c r="I2029">
        <v>3</v>
      </c>
    </row>
    <row r="2030" spans="5:9" ht="15.75" hidden="1" customHeight="1" x14ac:dyDescent="0.2">
      <c r="E2030" t="s">
        <v>465</v>
      </c>
      <c r="F2030">
        <v>169</v>
      </c>
      <c r="G2030" t="s">
        <v>251</v>
      </c>
      <c r="H2030" t="s">
        <v>11</v>
      </c>
      <c r="I2030">
        <v>3</v>
      </c>
    </row>
    <row r="2031" spans="5:9" ht="15.75" hidden="1" customHeight="1" x14ac:dyDescent="0.2">
      <c r="E2031" t="s">
        <v>466</v>
      </c>
      <c r="F2031">
        <v>170</v>
      </c>
      <c r="G2031" t="s">
        <v>251</v>
      </c>
      <c r="H2031" t="s">
        <v>11</v>
      </c>
      <c r="I2031">
        <v>16</v>
      </c>
    </row>
    <row r="2032" spans="5:9" ht="15.75" hidden="1" customHeight="1" x14ac:dyDescent="0.2">
      <c r="E2032" t="s">
        <v>467</v>
      </c>
      <c r="F2032">
        <v>171</v>
      </c>
      <c r="G2032" t="s">
        <v>251</v>
      </c>
      <c r="H2032" t="s">
        <v>11</v>
      </c>
      <c r="I2032">
        <v>3</v>
      </c>
    </row>
    <row r="2033" spans="5:9" ht="15.75" hidden="1" customHeight="1" x14ac:dyDescent="0.2">
      <c r="E2033" t="s">
        <v>468</v>
      </c>
      <c r="F2033">
        <v>172</v>
      </c>
      <c r="G2033" t="s">
        <v>251</v>
      </c>
      <c r="H2033" t="s">
        <v>11</v>
      </c>
      <c r="I2033">
        <v>15</v>
      </c>
    </row>
    <row r="2034" spans="5:9" ht="15.75" hidden="1" customHeight="1" x14ac:dyDescent="0.2">
      <c r="E2034" t="s">
        <v>469</v>
      </c>
      <c r="F2034">
        <v>173</v>
      </c>
      <c r="G2034" t="s">
        <v>251</v>
      </c>
      <c r="H2034" t="s">
        <v>11</v>
      </c>
      <c r="I2034">
        <v>20</v>
      </c>
    </row>
    <row r="2035" spans="5:9" ht="15.75" hidden="1" customHeight="1" x14ac:dyDescent="0.2">
      <c r="E2035" t="s">
        <v>470</v>
      </c>
      <c r="F2035">
        <v>174</v>
      </c>
      <c r="G2035" t="s">
        <v>251</v>
      </c>
      <c r="H2035" t="s">
        <v>11</v>
      </c>
      <c r="I2035">
        <v>13</v>
      </c>
    </row>
    <row r="2036" spans="5:9" ht="15.75" hidden="1" customHeight="1" x14ac:dyDescent="0.2">
      <c r="E2036" t="s">
        <v>471</v>
      </c>
      <c r="F2036">
        <v>175</v>
      </c>
      <c r="G2036" t="s">
        <v>251</v>
      </c>
      <c r="H2036" t="s">
        <v>11</v>
      </c>
      <c r="I2036">
        <v>6</v>
      </c>
    </row>
    <row r="2037" spans="5:9" ht="15.75" hidden="1" customHeight="1" x14ac:dyDescent="0.2">
      <c r="E2037" t="s">
        <v>472</v>
      </c>
      <c r="F2037">
        <v>176</v>
      </c>
      <c r="G2037" t="s">
        <v>251</v>
      </c>
      <c r="H2037" t="s">
        <v>11</v>
      </c>
      <c r="I2037">
        <v>17</v>
      </c>
    </row>
    <row r="2038" spans="5:9" ht="15.75" hidden="1" customHeight="1" x14ac:dyDescent="0.2">
      <c r="E2038" t="s">
        <v>362</v>
      </c>
      <c r="F2038">
        <v>177</v>
      </c>
      <c r="G2038" t="s">
        <v>251</v>
      </c>
      <c r="H2038" t="s">
        <v>11</v>
      </c>
      <c r="I2038">
        <v>8</v>
      </c>
    </row>
    <row r="2039" spans="5:9" ht="15.75" hidden="1" customHeight="1" x14ac:dyDescent="0.2">
      <c r="E2039" t="s">
        <v>473</v>
      </c>
      <c r="F2039">
        <v>178</v>
      </c>
      <c r="G2039" t="s">
        <v>251</v>
      </c>
      <c r="H2039" t="s">
        <v>11</v>
      </c>
      <c r="I2039">
        <v>21</v>
      </c>
    </row>
    <row r="2040" spans="5:9" ht="15.75" hidden="1" customHeight="1" x14ac:dyDescent="0.2">
      <c r="E2040" t="s">
        <v>474</v>
      </c>
      <c r="F2040">
        <v>179</v>
      </c>
      <c r="G2040" t="s">
        <v>251</v>
      </c>
      <c r="H2040" t="s">
        <v>11</v>
      </c>
      <c r="I2040">
        <v>17</v>
      </c>
    </row>
    <row r="2041" spans="5:9" ht="15.75" hidden="1" customHeight="1" x14ac:dyDescent="0.2">
      <c r="E2041" t="s">
        <v>499</v>
      </c>
      <c r="F2041">
        <v>180</v>
      </c>
      <c r="G2041" t="s">
        <v>251</v>
      </c>
      <c r="H2041" t="s">
        <v>11</v>
      </c>
      <c r="I2041">
        <v>22</v>
      </c>
    </row>
    <row r="2042" spans="5:9" ht="15.75" hidden="1" customHeight="1" x14ac:dyDescent="0.2">
      <c r="E2042" t="s">
        <v>500</v>
      </c>
      <c r="F2042">
        <v>181</v>
      </c>
      <c r="G2042" t="s">
        <v>251</v>
      </c>
      <c r="H2042" t="s">
        <v>11</v>
      </c>
      <c r="I2042">
        <v>33</v>
      </c>
    </row>
    <row r="2043" spans="5:9" ht="15.75" hidden="1" customHeight="1" x14ac:dyDescent="0.2">
      <c r="E2043" t="s">
        <v>501</v>
      </c>
      <c r="F2043">
        <v>182</v>
      </c>
      <c r="G2043" t="s">
        <v>251</v>
      </c>
      <c r="H2043" t="s">
        <v>11</v>
      </c>
      <c r="I2043">
        <v>92</v>
      </c>
    </row>
    <row r="2044" spans="5:9" ht="15.75" hidden="1" customHeight="1" x14ac:dyDescent="0.2">
      <c r="E2044" t="s">
        <v>502</v>
      </c>
      <c r="F2044">
        <v>183</v>
      </c>
      <c r="G2044" t="s">
        <v>251</v>
      </c>
      <c r="H2044" t="s">
        <v>11</v>
      </c>
      <c r="I2044">
        <v>31</v>
      </c>
    </row>
    <row r="2045" spans="5:9" ht="15.75" hidden="1" customHeight="1" x14ac:dyDescent="0.2">
      <c r="E2045" t="s">
        <v>503</v>
      </c>
      <c r="F2045">
        <v>184</v>
      </c>
      <c r="G2045" t="s">
        <v>251</v>
      </c>
      <c r="H2045" t="s">
        <v>11</v>
      </c>
      <c r="I2045">
        <v>34</v>
      </c>
    </row>
    <row r="2046" spans="5:9" ht="15.75" hidden="1" customHeight="1" x14ac:dyDescent="0.2">
      <c r="E2046" t="s">
        <v>504</v>
      </c>
      <c r="F2046">
        <v>185</v>
      </c>
      <c r="G2046" t="s">
        <v>251</v>
      </c>
      <c r="H2046" t="s">
        <v>11</v>
      </c>
      <c r="I2046">
        <v>12</v>
      </c>
    </row>
    <row r="2047" spans="5:9" ht="15.75" hidden="1" customHeight="1" x14ac:dyDescent="0.2">
      <c r="E2047" t="s">
        <v>505</v>
      </c>
      <c r="F2047">
        <v>186</v>
      </c>
      <c r="G2047" t="s">
        <v>251</v>
      </c>
      <c r="H2047" t="s">
        <v>11</v>
      </c>
      <c r="I2047">
        <v>18</v>
      </c>
    </row>
    <row r="2048" spans="5:9" ht="15.75" hidden="1" customHeight="1" x14ac:dyDescent="0.2">
      <c r="E2048" t="s">
        <v>287</v>
      </c>
      <c r="F2048">
        <v>1</v>
      </c>
      <c r="G2048" t="s">
        <v>253</v>
      </c>
      <c r="H2048" t="s">
        <v>12</v>
      </c>
      <c r="I2048">
        <v>50.189500000000002</v>
      </c>
    </row>
    <row r="2049" spans="5:9" ht="15.75" hidden="1" customHeight="1" x14ac:dyDescent="0.2">
      <c r="E2049" t="s">
        <v>350</v>
      </c>
      <c r="F2049">
        <v>2</v>
      </c>
      <c r="G2049" t="s">
        <v>253</v>
      </c>
      <c r="H2049" t="s">
        <v>12</v>
      </c>
      <c r="I2049">
        <v>33</v>
      </c>
    </row>
    <row r="2050" spans="5:9" ht="15.75" hidden="1" customHeight="1" x14ac:dyDescent="0.2">
      <c r="E2050" t="s">
        <v>351</v>
      </c>
      <c r="F2050">
        <v>3</v>
      </c>
      <c r="G2050" t="s">
        <v>253</v>
      </c>
      <c r="H2050" t="s">
        <v>12</v>
      </c>
      <c r="I2050">
        <v>687.98180000000002</v>
      </c>
    </row>
    <row r="2051" spans="5:9" ht="15.75" hidden="1" customHeight="1" x14ac:dyDescent="0.2">
      <c r="E2051" t="s">
        <v>352</v>
      </c>
      <c r="F2051">
        <v>4</v>
      </c>
      <c r="G2051" t="s">
        <v>253</v>
      </c>
      <c r="H2051" t="s">
        <v>12</v>
      </c>
      <c r="I2051">
        <v>486.07350000000002</v>
      </c>
    </row>
    <row r="2052" spans="5:9" ht="15.75" hidden="1" customHeight="1" x14ac:dyDescent="0.2">
      <c r="E2052" t="s">
        <v>354</v>
      </c>
      <c r="F2052">
        <v>5</v>
      </c>
      <c r="G2052" t="s">
        <v>253</v>
      </c>
      <c r="H2052" t="s">
        <v>12</v>
      </c>
      <c r="I2052">
        <v>451.79219999999998</v>
      </c>
    </row>
    <row r="2053" spans="5:9" ht="15.75" hidden="1" customHeight="1" x14ac:dyDescent="0.2">
      <c r="E2053" t="s">
        <v>356</v>
      </c>
      <c r="F2053">
        <v>6</v>
      </c>
      <c r="G2053" t="s">
        <v>253</v>
      </c>
      <c r="H2053" t="s">
        <v>12</v>
      </c>
      <c r="I2053">
        <v>451.79219999999998</v>
      </c>
    </row>
    <row r="2054" spans="5:9" ht="15.75" hidden="1" customHeight="1" x14ac:dyDescent="0.2">
      <c r="E2054" t="s">
        <v>358</v>
      </c>
      <c r="F2054">
        <v>7</v>
      </c>
      <c r="G2054" t="s">
        <v>253</v>
      </c>
      <c r="H2054" t="s">
        <v>12</v>
      </c>
      <c r="I2054">
        <v>8</v>
      </c>
    </row>
    <row r="2055" spans="5:9" ht="15.75" hidden="1" customHeight="1" x14ac:dyDescent="0.2">
      <c r="E2055" t="s">
        <v>359</v>
      </c>
      <c r="F2055">
        <v>8</v>
      </c>
      <c r="G2055" t="s">
        <v>253</v>
      </c>
      <c r="H2055" t="s">
        <v>12</v>
      </c>
      <c r="I2055">
        <v>120.9278</v>
      </c>
    </row>
    <row r="2056" spans="5:9" ht="15.75" hidden="1" customHeight="1" x14ac:dyDescent="0.2">
      <c r="E2056" t="s">
        <v>360</v>
      </c>
      <c r="F2056">
        <v>9</v>
      </c>
      <c r="G2056" t="s">
        <v>253</v>
      </c>
      <c r="H2056" t="s">
        <v>12</v>
      </c>
      <c r="I2056">
        <v>8</v>
      </c>
    </row>
    <row r="2057" spans="5:9" ht="15.75" hidden="1" customHeight="1" x14ac:dyDescent="0.2">
      <c r="E2057" t="s">
        <v>361</v>
      </c>
      <c r="F2057">
        <v>10</v>
      </c>
      <c r="G2057" t="s">
        <v>253</v>
      </c>
      <c r="H2057" t="s">
        <v>12</v>
      </c>
      <c r="I2057">
        <v>39.863100000000003</v>
      </c>
    </row>
    <row r="2058" spans="5:9" ht="15.75" hidden="1" customHeight="1" x14ac:dyDescent="0.2">
      <c r="E2058" t="s">
        <v>362</v>
      </c>
      <c r="F2058">
        <v>11</v>
      </c>
      <c r="G2058" t="s">
        <v>253</v>
      </c>
      <c r="H2058" t="s">
        <v>12</v>
      </c>
      <c r="I2058">
        <v>11.6096</v>
      </c>
    </row>
    <row r="2059" spans="5:9" ht="15.75" hidden="1" customHeight="1" x14ac:dyDescent="0.2">
      <c r="E2059" t="s">
        <v>363</v>
      </c>
      <c r="F2059">
        <v>12</v>
      </c>
      <c r="G2059" t="s">
        <v>253</v>
      </c>
      <c r="H2059" t="s">
        <v>12</v>
      </c>
      <c r="I2059" t="s">
        <v>364</v>
      </c>
    </row>
    <row r="2060" spans="5:9" ht="15.75" hidden="1" customHeight="1" x14ac:dyDescent="0.2">
      <c r="E2060" t="s">
        <v>365</v>
      </c>
      <c r="F2060">
        <v>13</v>
      </c>
      <c r="G2060" t="s">
        <v>253</v>
      </c>
      <c r="H2060" t="s">
        <v>12</v>
      </c>
      <c r="I2060" t="s">
        <v>364</v>
      </c>
    </row>
    <row r="2061" spans="5:9" ht="15.75" hidden="1" customHeight="1" x14ac:dyDescent="0.2">
      <c r="E2061" t="s">
        <v>369</v>
      </c>
      <c r="F2061">
        <v>14</v>
      </c>
      <c r="G2061" t="s">
        <v>253</v>
      </c>
      <c r="H2061" t="s">
        <v>12</v>
      </c>
      <c r="I2061">
        <v>4.7549000000000001</v>
      </c>
    </row>
    <row r="2062" spans="5:9" ht="15.75" hidden="1" customHeight="1" x14ac:dyDescent="0.2">
      <c r="E2062" t="s">
        <v>370</v>
      </c>
      <c r="F2062">
        <v>15</v>
      </c>
      <c r="G2062" t="s">
        <v>253</v>
      </c>
      <c r="H2062" t="s">
        <v>12</v>
      </c>
      <c r="I2062">
        <v>106.1982</v>
      </c>
    </row>
    <row r="2063" spans="5:9" ht="15.75" hidden="1" customHeight="1" x14ac:dyDescent="0.2">
      <c r="E2063" t="s">
        <v>371</v>
      </c>
      <c r="F2063">
        <v>16</v>
      </c>
      <c r="G2063" t="s">
        <v>253</v>
      </c>
      <c r="H2063" t="s">
        <v>12</v>
      </c>
      <c r="I2063">
        <v>108.04819999999999</v>
      </c>
    </row>
    <row r="2064" spans="5:9" ht="15.75" hidden="1" customHeight="1" x14ac:dyDescent="0.2">
      <c r="E2064" t="s">
        <v>372</v>
      </c>
      <c r="F2064">
        <v>17</v>
      </c>
      <c r="G2064" t="s">
        <v>253</v>
      </c>
      <c r="H2064" t="s">
        <v>12</v>
      </c>
      <c r="I2064">
        <v>180.6857</v>
      </c>
    </row>
    <row r="2065" spans="5:9" ht="15.75" hidden="1" customHeight="1" x14ac:dyDescent="0.2">
      <c r="E2065" t="s">
        <v>373</v>
      </c>
      <c r="F2065">
        <v>18</v>
      </c>
      <c r="G2065" t="s">
        <v>253</v>
      </c>
      <c r="H2065" t="s">
        <v>12</v>
      </c>
      <c r="I2065">
        <v>39.863100000000003</v>
      </c>
    </row>
    <row r="2066" spans="5:9" ht="15.75" hidden="1" customHeight="1" x14ac:dyDescent="0.2">
      <c r="E2066" t="s">
        <v>374</v>
      </c>
      <c r="F2066">
        <v>19</v>
      </c>
      <c r="G2066" t="s">
        <v>253</v>
      </c>
      <c r="H2066" t="s">
        <v>12</v>
      </c>
      <c r="I2066">
        <v>4.7549000000000001</v>
      </c>
    </row>
    <row r="2067" spans="5:9" ht="15.75" hidden="1" customHeight="1" x14ac:dyDescent="0.2">
      <c r="E2067" t="s">
        <v>375</v>
      </c>
      <c r="F2067">
        <v>20</v>
      </c>
      <c r="G2067" t="s">
        <v>253</v>
      </c>
      <c r="H2067" t="s">
        <v>12</v>
      </c>
      <c r="I2067">
        <v>70.323999999999998</v>
      </c>
    </row>
    <row r="2068" spans="5:9" ht="15.75" hidden="1" customHeight="1" x14ac:dyDescent="0.2">
      <c r="E2068" t="s">
        <v>376</v>
      </c>
      <c r="F2068">
        <v>21</v>
      </c>
      <c r="G2068" t="s">
        <v>253</v>
      </c>
      <c r="H2068" t="s">
        <v>12</v>
      </c>
      <c r="I2068">
        <v>44.9726</v>
      </c>
    </row>
    <row r="2069" spans="5:9" ht="15.75" hidden="1" customHeight="1" x14ac:dyDescent="0.2">
      <c r="E2069" t="s">
        <v>377</v>
      </c>
      <c r="F2069">
        <v>22</v>
      </c>
      <c r="G2069" t="s">
        <v>253</v>
      </c>
      <c r="H2069" t="s">
        <v>12</v>
      </c>
      <c r="I2069">
        <v>110.36150000000001</v>
      </c>
    </row>
    <row r="2070" spans="5:9" ht="15.75" hidden="1" customHeight="1" x14ac:dyDescent="0.2">
      <c r="E2070" t="s">
        <v>378</v>
      </c>
      <c r="F2070">
        <v>23</v>
      </c>
      <c r="G2070" t="s">
        <v>253</v>
      </c>
      <c r="H2070" t="s">
        <v>12</v>
      </c>
      <c r="I2070">
        <v>4.7549000000000001</v>
      </c>
    </row>
    <row r="2071" spans="5:9" ht="15.75" hidden="1" customHeight="1" x14ac:dyDescent="0.2">
      <c r="E2071" t="s">
        <v>379</v>
      </c>
      <c r="F2071">
        <v>24</v>
      </c>
      <c r="G2071" t="s">
        <v>253</v>
      </c>
      <c r="H2071" t="s">
        <v>12</v>
      </c>
      <c r="I2071">
        <v>8</v>
      </c>
    </row>
    <row r="2072" spans="5:9" ht="15.75" hidden="1" customHeight="1" x14ac:dyDescent="0.2">
      <c r="E2072" t="s">
        <v>380</v>
      </c>
      <c r="F2072">
        <v>25</v>
      </c>
      <c r="G2072" t="s">
        <v>253</v>
      </c>
      <c r="H2072" t="s">
        <v>12</v>
      </c>
      <c r="I2072">
        <v>36.541200000000003</v>
      </c>
    </row>
    <row r="2073" spans="5:9" ht="15.75" hidden="1" customHeight="1" x14ac:dyDescent="0.2">
      <c r="E2073" t="s">
        <v>381</v>
      </c>
      <c r="F2073">
        <v>26</v>
      </c>
      <c r="G2073" t="s">
        <v>253</v>
      </c>
      <c r="H2073" t="s">
        <v>12</v>
      </c>
      <c r="I2073">
        <v>27</v>
      </c>
    </row>
    <row r="2074" spans="5:9" ht="15.75" hidden="1" customHeight="1" x14ac:dyDescent="0.2">
      <c r="E2074" t="s">
        <v>382</v>
      </c>
      <c r="F2074">
        <v>27</v>
      </c>
      <c r="G2074" t="s">
        <v>253</v>
      </c>
      <c r="H2074" t="s">
        <v>12</v>
      </c>
      <c r="I2074">
        <v>44.9726</v>
      </c>
    </row>
    <row r="2075" spans="5:9" ht="15.75" hidden="1" customHeight="1" x14ac:dyDescent="0.2">
      <c r="E2075" t="s">
        <v>383</v>
      </c>
      <c r="F2075">
        <v>28</v>
      </c>
      <c r="G2075" t="s">
        <v>253</v>
      </c>
      <c r="H2075" t="s">
        <v>12</v>
      </c>
      <c r="I2075">
        <v>51.891500000000001</v>
      </c>
    </row>
    <row r="2076" spans="5:9" ht="15.75" hidden="1" customHeight="1" x14ac:dyDescent="0.2">
      <c r="E2076" t="s">
        <v>385</v>
      </c>
      <c r="F2076">
        <v>29</v>
      </c>
      <c r="G2076" t="s">
        <v>253</v>
      </c>
      <c r="H2076" t="s">
        <v>12</v>
      </c>
      <c r="I2076">
        <v>451.79219999999998</v>
      </c>
    </row>
    <row r="2077" spans="5:9" ht="15.75" hidden="1" customHeight="1" x14ac:dyDescent="0.2">
      <c r="E2077" t="s">
        <v>387</v>
      </c>
      <c r="F2077">
        <v>30</v>
      </c>
      <c r="G2077" t="s">
        <v>253</v>
      </c>
      <c r="H2077" t="s">
        <v>12</v>
      </c>
      <c r="I2077">
        <v>120.9278</v>
      </c>
    </row>
    <row r="2078" spans="5:9" ht="15.75" hidden="1" customHeight="1" x14ac:dyDescent="0.2">
      <c r="E2078" t="s">
        <v>388</v>
      </c>
      <c r="F2078">
        <v>31</v>
      </c>
      <c r="G2078" t="s">
        <v>253</v>
      </c>
      <c r="H2078" t="s">
        <v>12</v>
      </c>
      <c r="I2078">
        <v>165.66919999999999</v>
      </c>
    </row>
    <row r="2079" spans="5:9" ht="15.75" hidden="1" customHeight="1" x14ac:dyDescent="0.2">
      <c r="E2079" t="s">
        <v>389</v>
      </c>
      <c r="F2079">
        <v>32</v>
      </c>
      <c r="G2079" t="s">
        <v>253</v>
      </c>
      <c r="H2079" t="s">
        <v>12</v>
      </c>
      <c r="I2079">
        <v>170.96690000000001</v>
      </c>
    </row>
    <row r="2080" spans="5:9" ht="15.75" hidden="1" customHeight="1" x14ac:dyDescent="0.2">
      <c r="E2080" t="s">
        <v>390</v>
      </c>
      <c r="F2080">
        <v>33</v>
      </c>
      <c r="G2080" t="s">
        <v>253</v>
      </c>
      <c r="H2080" t="s">
        <v>12</v>
      </c>
      <c r="I2080">
        <v>172.87710000000001</v>
      </c>
    </row>
    <row r="2081" spans="5:9" ht="15.75" hidden="1" customHeight="1" x14ac:dyDescent="0.2">
      <c r="E2081" t="s">
        <v>391</v>
      </c>
      <c r="F2081">
        <v>34</v>
      </c>
      <c r="G2081" t="s">
        <v>253</v>
      </c>
      <c r="H2081" t="s">
        <v>12</v>
      </c>
      <c r="I2081">
        <v>162.62710000000001</v>
      </c>
    </row>
    <row r="2082" spans="5:9" ht="15.75" hidden="1" customHeight="1" x14ac:dyDescent="0.2">
      <c r="E2082" t="s">
        <v>393</v>
      </c>
      <c r="F2082">
        <v>35</v>
      </c>
      <c r="G2082" t="s">
        <v>253</v>
      </c>
      <c r="H2082" t="s">
        <v>12</v>
      </c>
      <c r="I2082">
        <v>112</v>
      </c>
    </row>
    <row r="2083" spans="5:9" ht="15.75" hidden="1" customHeight="1" x14ac:dyDescent="0.2">
      <c r="E2083" t="s">
        <v>394</v>
      </c>
      <c r="F2083">
        <v>36</v>
      </c>
      <c r="G2083" t="s">
        <v>253</v>
      </c>
      <c r="H2083" t="s">
        <v>12</v>
      </c>
      <c r="I2083">
        <v>745.68089999999995</v>
      </c>
    </row>
    <row r="2084" spans="5:9" ht="15.75" hidden="1" customHeight="1" x14ac:dyDescent="0.2">
      <c r="E2084" t="s">
        <v>395</v>
      </c>
      <c r="F2084">
        <v>37</v>
      </c>
      <c r="G2084" t="s">
        <v>253</v>
      </c>
      <c r="H2084" t="s">
        <v>12</v>
      </c>
      <c r="I2084">
        <v>197.41849999999999</v>
      </c>
    </row>
    <row r="2085" spans="5:9" ht="15.75" hidden="1" customHeight="1" x14ac:dyDescent="0.2">
      <c r="E2085" t="s">
        <v>396</v>
      </c>
      <c r="F2085">
        <v>38</v>
      </c>
      <c r="G2085" t="s">
        <v>253</v>
      </c>
      <c r="H2085" t="s">
        <v>12</v>
      </c>
      <c r="I2085">
        <v>197.41849999999999</v>
      </c>
    </row>
    <row r="2086" spans="5:9" ht="15.75" hidden="1" customHeight="1" x14ac:dyDescent="0.2">
      <c r="E2086" t="s">
        <v>397</v>
      </c>
      <c r="F2086">
        <v>39</v>
      </c>
      <c r="G2086" t="s">
        <v>253</v>
      </c>
      <c r="H2086" t="s">
        <v>12</v>
      </c>
      <c r="I2086">
        <v>307.67070000000001</v>
      </c>
    </row>
    <row r="2087" spans="5:9" ht="15.75" hidden="1" customHeight="1" x14ac:dyDescent="0.2">
      <c r="E2087" t="s">
        <v>398</v>
      </c>
      <c r="F2087">
        <v>40</v>
      </c>
      <c r="G2087" t="s">
        <v>253</v>
      </c>
      <c r="H2087" t="s">
        <v>12</v>
      </c>
      <c r="I2087">
        <v>227.43100000000001</v>
      </c>
    </row>
    <row r="2088" spans="5:9" ht="15.75" hidden="1" customHeight="1" x14ac:dyDescent="0.2">
      <c r="E2088" t="s">
        <v>399</v>
      </c>
      <c r="F2088">
        <v>41</v>
      </c>
      <c r="G2088" t="s">
        <v>253</v>
      </c>
      <c r="H2088" t="s">
        <v>12</v>
      </c>
      <c r="I2088">
        <v>4.7549000000000001</v>
      </c>
    </row>
    <row r="2089" spans="5:9" ht="15.75" hidden="1" customHeight="1" x14ac:dyDescent="0.2">
      <c r="E2089" t="s">
        <v>400</v>
      </c>
      <c r="F2089">
        <v>42</v>
      </c>
      <c r="G2089" t="s">
        <v>253</v>
      </c>
      <c r="H2089" t="s">
        <v>12</v>
      </c>
      <c r="I2089">
        <v>4.7549000000000001</v>
      </c>
    </row>
    <row r="2090" spans="5:9" ht="15.75" hidden="1" customHeight="1" x14ac:dyDescent="0.2">
      <c r="E2090" t="s">
        <v>401</v>
      </c>
      <c r="F2090">
        <v>43</v>
      </c>
      <c r="G2090" t="s">
        <v>253</v>
      </c>
      <c r="H2090" t="s">
        <v>12</v>
      </c>
      <c r="I2090">
        <v>11.6096</v>
      </c>
    </row>
    <row r="2091" spans="5:9" ht="15.75" hidden="1" customHeight="1" x14ac:dyDescent="0.2">
      <c r="E2091" t="s">
        <v>402</v>
      </c>
      <c r="F2091">
        <v>44</v>
      </c>
      <c r="G2091" t="s">
        <v>253</v>
      </c>
      <c r="H2091" t="s">
        <v>12</v>
      </c>
      <c r="I2091">
        <v>11.6096</v>
      </c>
    </row>
    <row r="2092" spans="5:9" ht="15.75" hidden="1" customHeight="1" x14ac:dyDescent="0.2">
      <c r="E2092" t="s">
        <v>403</v>
      </c>
      <c r="F2092">
        <v>45</v>
      </c>
      <c r="G2092" t="s">
        <v>253</v>
      </c>
      <c r="H2092" t="s">
        <v>12</v>
      </c>
      <c r="I2092">
        <v>4.7549000000000001</v>
      </c>
    </row>
    <row r="2093" spans="5:9" ht="15.75" hidden="1" customHeight="1" x14ac:dyDescent="0.2">
      <c r="E2093" t="s">
        <v>404</v>
      </c>
      <c r="F2093">
        <v>46</v>
      </c>
      <c r="G2093" t="s">
        <v>253</v>
      </c>
      <c r="H2093" t="s">
        <v>12</v>
      </c>
      <c r="I2093">
        <v>4.7549000000000001</v>
      </c>
    </row>
    <row r="2094" spans="5:9" ht="15.75" hidden="1" customHeight="1" x14ac:dyDescent="0.2">
      <c r="E2094" t="s">
        <v>405</v>
      </c>
      <c r="F2094">
        <v>47</v>
      </c>
      <c r="G2094" t="s">
        <v>253</v>
      </c>
      <c r="H2094" t="s">
        <v>12</v>
      </c>
      <c r="I2094">
        <v>19.651499999999999</v>
      </c>
    </row>
    <row r="2095" spans="5:9" ht="15.75" hidden="1" customHeight="1" x14ac:dyDescent="0.2">
      <c r="E2095" t="s">
        <v>406</v>
      </c>
      <c r="F2095">
        <v>48</v>
      </c>
      <c r="G2095" t="s">
        <v>253</v>
      </c>
      <c r="H2095" t="s">
        <v>12</v>
      </c>
      <c r="I2095">
        <v>11.6096</v>
      </c>
    </row>
    <row r="2096" spans="5:9" ht="15.75" hidden="1" customHeight="1" x14ac:dyDescent="0.2">
      <c r="E2096" t="s">
        <v>376</v>
      </c>
      <c r="F2096">
        <v>49</v>
      </c>
      <c r="G2096" t="s">
        <v>253</v>
      </c>
      <c r="H2096" t="s">
        <v>12</v>
      </c>
      <c r="I2096">
        <v>11.6096</v>
      </c>
    </row>
    <row r="2097" spans="5:9" ht="15.75" hidden="1" customHeight="1" x14ac:dyDescent="0.2">
      <c r="E2097" t="s">
        <v>407</v>
      </c>
      <c r="F2097">
        <v>50</v>
      </c>
      <c r="G2097" t="s">
        <v>253</v>
      </c>
      <c r="H2097" t="s">
        <v>12</v>
      </c>
      <c r="I2097">
        <v>199.1772</v>
      </c>
    </row>
    <row r="2098" spans="5:9" ht="15.75" hidden="1" customHeight="1" x14ac:dyDescent="0.2">
      <c r="E2098" t="s">
        <v>408</v>
      </c>
      <c r="F2098">
        <v>51</v>
      </c>
      <c r="G2098" t="s">
        <v>253</v>
      </c>
      <c r="H2098" t="s">
        <v>12</v>
      </c>
      <c r="I2098">
        <v>295.98250000000002</v>
      </c>
    </row>
    <row r="2099" spans="5:9" ht="15.75" hidden="1" customHeight="1" x14ac:dyDescent="0.2">
      <c r="E2099" t="s">
        <v>409</v>
      </c>
      <c r="F2099">
        <v>52</v>
      </c>
      <c r="G2099" t="s">
        <v>253</v>
      </c>
      <c r="H2099" t="s">
        <v>12</v>
      </c>
      <c r="I2099">
        <v>42</v>
      </c>
    </row>
    <row r="2100" spans="5:9" ht="15.75" hidden="1" customHeight="1" x14ac:dyDescent="0.2">
      <c r="E2100" t="s">
        <v>410</v>
      </c>
      <c r="F2100">
        <v>53</v>
      </c>
      <c r="G2100" t="s">
        <v>253</v>
      </c>
      <c r="H2100" t="s">
        <v>12</v>
      </c>
      <c r="I2100">
        <v>72.339699999999993</v>
      </c>
    </row>
    <row r="2101" spans="5:9" ht="15.75" hidden="1" customHeight="1" x14ac:dyDescent="0.2">
      <c r="E2101" t="s">
        <v>411</v>
      </c>
      <c r="F2101">
        <v>54</v>
      </c>
      <c r="G2101" t="s">
        <v>253</v>
      </c>
      <c r="H2101" t="s">
        <v>12</v>
      </c>
      <c r="I2101">
        <v>1354.5715</v>
      </c>
    </row>
    <row r="2102" spans="5:9" ht="15.75" hidden="1" customHeight="1" x14ac:dyDescent="0.2">
      <c r="E2102" t="s">
        <v>412</v>
      </c>
      <c r="F2102">
        <v>55</v>
      </c>
      <c r="G2102" t="s">
        <v>253</v>
      </c>
      <c r="H2102" t="s">
        <v>12</v>
      </c>
      <c r="I2102">
        <v>232.19280000000001</v>
      </c>
    </row>
    <row r="2103" spans="5:9" ht="15.75" hidden="1" customHeight="1" x14ac:dyDescent="0.2">
      <c r="E2103" t="s">
        <v>413</v>
      </c>
      <c r="F2103">
        <v>56</v>
      </c>
      <c r="G2103" t="s">
        <v>253</v>
      </c>
      <c r="H2103" t="s">
        <v>12</v>
      </c>
      <c r="I2103">
        <v>72.339699999999993</v>
      </c>
    </row>
    <row r="2104" spans="5:9" ht="15.75" hidden="1" customHeight="1" x14ac:dyDescent="0.2">
      <c r="E2104" t="s">
        <v>414</v>
      </c>
      <c r="F2104">
        <v>57</v>
      </c>
      <c r="G2104" t="s">
        <v>253</v>
      </c>
      <c r="H2104" t="s">
        <v>12</v>
      </c>
      <c r="I2104">
        <v>668.15049999999997</v>
      </c>
    </row>
    <row r="2105" spans="5:9" ht="15.75" hidden="1" customHeight="1" x14ac:dyDescent="0.2">
      <c r="E2105" t="s">
        <v>415</v>
      </c>
      <c r="F2105">
        <v>58</v>
      </c>
      <c r="G2105" t="s">
        <v>253</v>
      </c>
      <c r="H2105" t="s">
        <v>12</v>
      </c>
      <c r="I2105">
        <v>668.15049999999997</v>
      </c>
    </row>
    <row r="2106" spans="5:9" ht="15.75" hidden="1" customHeight="1" x14ac:dyDescent="0.2">
      <c r="E2106" t="s">
        <v>416</v>
      </c>
      <c r="F2106">
        <v>59</v>
      </c>
      <c r="G2106" t="s">
        <v>253</v>
      </c>
      <c r="H2106" t="s">
        <v>12</v>
      </c>
      <c r="I2106">
        <v>685.26790000000005</v>
      </c>
    </row>
    <row r="2107" spans="5:9" ht="15.75" hidden="1" customHeight="1" x14ac:dyDescent="0.2">
      <c r="E2107" t="s">
        <v>417</v>
      </c>
      <c r="F2107">
        <v>60</v>
      </c>
      <c r="G2107" t="s">
        <v>253</v>
      </c>
      <c r="H2107" t="s">
        <v>12</v>
      </c>
      <c r="I2107">
        <v>685.26790000000005</v>
      </c>
    </row>
    <row r="2108" spans="5:9" ht="15.75" hidden="1" customHeight="1" x14ac:dyDescent="0.2">
      <c r="E2108" t="s">
        <v>418</v>
      </c>
      <c r="F2108">
        <v>61</v>
      </c>
      <c r="G2108" t="s">
        <v>253</v>
      </c>
      <c r="H2108" t="s">
        <v>12</v>
      </c>
      <c r="I2108">
        <v>66.417100000000005</v>
      </c>
    </row>
    <row r="2109" spans="5:9" ht="15.75" hidden="1" customHeight="1" x14ac:dyDescent="0.2">
      <c r="E2109" t="s">
        <v>419</v>
      </c>
      <c r="F2109">
        <v>62</v>
      </c>
      <c r="G2109" t="s">
        <v>253</v>
      </c>
      <c r="H2109" t="s">
        <v>12</v>
      </c>
      <c r="I2109">
        <v>66.417100000000005</v>
      </c>
    </row>
    <row r="2110" spans="5:9" ht="15.75" hidden="1" customHeight="1" x14ac:dyDescent="0.2">
      <c r="E2110" t="s">
        <v>421</v>
      </c>
      <c r="F2110">
        <v>63</v>
      </c>
      <c r="G2110" t="s">
        <v>253</v>
      </c>
      <c r="H2110" t="s">
        <v>12</v>
      </c>
      <c r="I2110">
        <v>0</v>
      </c>
    </row>
    <row r="2111" spans="5:9" ht="15.75" hidden="1" customHeight="1" x14ac:dyDescent="0.2">
      <c r="E2111" t="s">
        <v>422</v>
      </c>
      <c r="F2111">
        <v>64</v>
      </c>
      <c r="G2111" t="s">
        <v>253</v>
      </c>
      <c r="H2111" t="s">
        <v>12</v>
      </c>
      <c r="I2111">
        <v>53.7744</v>
      </c>
    </row>
    <row r="2112" spans="5:9" ht="15.75" hidden="1" customHeight="1" x14ac:dyDescent="0.2">
      <c r="E2112" t="s">
        <v>423</v>
      </c>
      <c r="F2112">
        <v>65</v>
      </c>
      <c r="G2112" t="s">
        <v>253</v>
      </c>
      <c r="H2112" t="s">
        <v>12</v>
      </c>
      <c r="I2112">
        <v>4.7549000000000001</v>
      </c>
    </row>
    <row r="2113" spans="5:9" ht="15.75" hidden="1" customHeight="1" x14ac:dyDescent="0.2">
      <c r="E2113" t="s">
        <v>424</v>
      </c>
      <c r="F2113">
        <v>66</v>
      </c>
      <c r="G2113" t="s">
        <v>253</v>
      </c>
      <c r="H2113" t="s">
        <v>12</v>
      </c>
      <c r="I2113">
        <v>4.7549000000000001</v>
      </c>
    </row>
    <row r="2114" spans="5:9" ht="15.75" hidden="1" customHeight="1" x14ac:dyDescent="0.2">
      <c r="E2114" t="s">
        <v>425</v>
      </c>
      <c r="F2114">
        <v>67</v>
      </c>
      <c r="G2114" t="s">
        <v>253</v>
      </c>
      <c r="H2114" t="s">
        <v>12</v>
      </c>
      <c r="I2114">
        <v>8</v>
      </c>
    </row>
    <row r="2115" spans="5:9" ht="15.75" hidden="1" customHeight="1" x14ac:dyDescent="0.2">
      <c r="E2115" t="s">
        <v>426</v>
      </c>
      <c r="F2115">
        <v>68</v>
      </c>
      <c r="G2115" t="s">
        <v>253</v>
      </c>
      <c r="H2115" t="s">
        <v>12</v>
      </c>
      <c r="I2115">
        <v>8</v>
      </c>
    </row>
    <row r="2116" spans="5:9" ht="15.75" hidden="1" customHeight="1" x14ac:dyDescent="0.2">
      <c r="E2116" t="s">
        <v>427</v>
      </c>
      <c r="F2116">
        <v>69</v>
      </c>
      <c r="G2116" t="s">
        <v>253</v>
      </c>
      <c r="H2116" t="s">
        <v>12</v>
      </c>
      <c r="I2116">
        <v>11.6096</v>
      </c>
    </row>
    <row r="2117" spans="5:9" ht="15.75" hidden="1" customHeight="1" x14ac:dyDescent="0.2">
      <c r="E2117" t="s">
        <v>428</v>
      </c>
      <c r="F2117">
        <v>70</v>
      </c>
      <c r="G2117" t="s">
        <v>253</v>
      </c>
      <c r="H2117" t="s">
        <v>12</v>
      </c>
      <c r="I2117">
        <v>11.6096</v>
      </c>
    </row>
    <row r="2118" spans="5:9" ht="15.75" hidden="1" customHeight="1" x14ac:dyDescent="0.2">
      <c r="E2118" t="s">
        <v>429</v>
      </c>
      <c r="F2118">
        <v>71</v>
      </c>
      <c r="G2118" t="s">
        <v>253</v>
      </c>
      <c r="H2118" t="s">
        <v>12</v>
      </c>
      <c r="I2118">
        <v>15.5098</v>
      </c>
    </row>
    <row r="2119" spans="5:9" ht="15.75" hidden="1" customHeight="1" x14ac:dyDescent="0.2">
      <c r="E2119" t="s">
        <v>430</v>
      </c>
      <c r="F2119">
        <v>72</v>
      </c>
      <c r="G2119" t="s">
        <v>253</v>
      </c>
      <c r="H2119" t="s">
        <v>12</v>
      </c>
      <c r="I2119">
        <v>15.5098</v>
      </c>
    </row>
    <row r="2120" spans="5:9" ht="15.75" hidden="1" customHeight="1" x14ac:dyDescent="0.2">
      <c r="E2120" t="s">
        <v>370</v>
      </c>
      <c r="F2120">
        <v>73</v>
      </c>
      <c r="G2120" t="s">
        <v>253</v>
      </c>
      <c r="H2120" t="s">
        <v>12</v>
      </c>
      <c r="I2120">
        <v>0</v>
      </c>
    </row>
    <row r="2121" spans="5:9" ht="15.75" hidden="1" customHeight="1" x14ac:dyDescent="0.2">
      <c r="E2121" t="s">
        <v>373</v>
      </c>
      <c r="F2121">
        <v>74</v>
      </c>
      <c r="G2121" t="s">
        <v>253</v>
      </c>
      <c r="H2121" t="s">
        <v>12</v>
      </c>
      <c r="I2121" t="s">
        <v>364</v>
      </c>
    </row>
    <row r="2122" spans="5:9" ht="15.75" hidden="1" customHeight="1" x14ac:dyDescent="0.2">
      <c r="E2122" t="s">
        <v>374</v>
      </c>
      <c r="F2122">
        <v>75</v>
      </c>
      <c r="G2122" t="s">
        <v>253</v>
      </c>
      <c r="H2122" t="s">
        <v>12</v>
      </c>
      <c r="I2122" t="s">
        <v>364</v>
      </c>
    </row>
    <row r="2123" spans="5:9" ht="15.75" hidden="1" customHeight="1" x14ac:dyDescent="0.2">
      <c r="E2123" t="s">
        <v>375</v>
      </c>
      <c r="F2123">
        <v>76</v>
      </c>
      <c r="G2123" t="s">
        <v>253</v>
      </c>
      <c r="H2123" t="s">
        <v>12</v>
      </c>
      <c r="I2123" t="s">
        <v>364</v>
      </c>
    </row>
    <row r="2124" spans="5:9" ht="15.75" hidden="1" customHeight="1" x14ac:dyDescent="0.2">
      <c r="E2124" t="s">
        <v>376</v>
      </c>
      <c r="F2124">
        <v>77</v>
      </c>
      <c r="G2124" t="s">
        <v>253</v>
      </c>
      <c r="H2124" t="s">
        <v>12</v>
      </c>
      <c r="I2124" t="s">
        <v>364</v>
      </c>
    </row>
    <row r="2125" spans="5:9" ht="15.75" hidden="1" customHeight="1" x14ac:dyDescent="0.2">
      <c r="E2125" t="s">
        <v>382</v>
      </c>
      <c r="F2125">
        <v>78</v>
      </c>
      <c r="G2125" t="s">
        <v>253</v>
      </c>
      <c r="H2125" t="s">
        <v>12</v>
      </c>
      <c r="I2125">
        <v>0</v>
      </c>
    </row>
    <row r="2126" spans="5:9" ht="15.75" hidden="1" customHeight="1" x14ac:dyDescent="0.2">
      <c r="E2126" t="s">
        <v>383</v>
      </c>
      <c r="F2126">
        <v>79</v>
      </c>
      <c r="G2126" t="s">
        <v>253</v>
      </c>
      <c r="H2126" t="s">
        <v>12</v>
      </c>
      <c r="I2126" t="s">
        <v>364</v>
      </c>
    </row>
    <row r="2127" spans="5:9" ht="15.75" hidden="1" customHeight="1" x14ac:dyDescent="0.2">
      <c r="E2127" t="s">
        <v>395</v>
      </c>
      <c r="F2127">
        <v>80</v>
      </c>
      <c r="G2127" t="s">
        <v>253</v>
      </c>
      <c r="H2127" t="s">
        <v>12</v>
      </c>
      <c r="I2127">
        <v>0</v>
      </c>
    </row>
    <row r="2128" spans="5:9" ht="15.75" hidden="1" customHeight="1" x14ac:dyDescent="0.2">
      <c r="E2128" t="s">
        <v>397</v>
      </c>
      <c r="F2128">
        <v>81</v>
      </c>
      <c r="G2128" t="s">
        <v>253</v>
      </c>
      <c r="H2128" t="s">
        <v>12</v>
      </c>
      <c r="I2128">
        <v>0</v>
      </c>
    </row>
    <row r="2129" spans="5:9" ht="15.75" hidden="1" customHeight="1" x14ac:dyDescent="0.2">
      <c r="E2129" t="s">
        <v>399</v>
      </c>
      <c r="F2129">
        <v>82</v>
      </c>
      <c r="G2129" t="s">
        <v>253</v>
      </c>
      <c r="H2129" t="s">
        <v>12</v>
      </c>
      <c r="I2129" t="s">
        <v>364</v>
      </c>
    </row>
    <row r="2130" spans="5:9" ht="15.75" hidden="1" customHeight="1" x14ac:dyDescent="0.2">
      <c r="E2130" t="s">
        <v>400</v>
      </c>
      <c r="F2130">
        <v>83</v>
      </c>
      <c r="G2130" t="s">
        <v>253</v>
      </c>
      <c r="H2130" t="s">
        <v>12</v>
      </c>
      <c r="I2130" t="s">
        <v>364</v>
      </c>
    </row>
    <row r="2131" spans="5:9" ht="15.75" hidden="1" customHeight="1" x14ac:dyDescent="0.2">
      <c r="E2131" t="s">
        <v>401</v>
      </c>
      <c r="F2131">
        <v>84</v>
      </c>
      <c r="G2131" t="s">
        <v>253</v>
      </c>
      <c r="H2131" t="s">
        <v>12</v>
      </c>
      <c r="I2131">
        <v>0</v>
      </c>
    </row>
    <row r="2132" spans="5:9" ht="15.75" hidden="1" customHeight="1" x14ac:dyDescent="0.2">
      <c r="E2132" t="s">
        <v>402</v>
      </c>
      <c r="F2132">
        <v>85</v>
      </c>
      <c r="G2132" t="s">
        <v>253</v>
      </c>
      <c r="H2132" t="s">
        <v>12</v>
      </c>
      <c r="I2132">
        <v>0</v>
      </c>
    </row>
    <row r="2133" spans="5:9" ht="15.75" hidden="1" customHeight="1" x14ac:dyDescent="0.2">
      <c r="E2133" t="s">
        <v>403</v>
      </c>
      <c r="F2133">
        <v>86</v>
      </c>
      <c r="G2133" t="s">
        <v>253</v>
      </c>
      <c r="H2133" t="s">
        <v>12</v>
      </c>
      <c r="I2133" t="s">
        <v>364</v>
      </c>
    </row>
    <row r="2134" spans="5:9" ht="15.75" hidden="1" customHeight="1" x14ac:dyDescent="0.2">
      <c r="E2134" t="s">
        <v>404</v>
      </c>
      <c r="F2134">
        <v>87</v>
      </c>
      <c r="G2134" t="s">
        <v>253</v>
      </c>
      <c r="H2134" t="s">
        <v>12</v>
      </c>
      <c r="I2134" t="s">
        <v>364</v>
      </c>
    </row>
    <row r="2135" spans="5:9" ht="15.75" hidden="1" customHeight="1" x14ac:dyDescent="0.2">
      <c r="E2135" t="s">
        <v>405</v>
      </c>
      <c r="F2135">
        <v>88</v>
      </c>
      <c r="G2135" t="s">
        <v>253</v>
      </c>
      <c r="H2135" t="s">
        <v>12</v>
      </c>
      <c r="I2135">
        <v>0</v>
      </c>
    </row>
    <row r="2136" spans="5:9" ht="15.75" hidden="1" customHeight="1" x14ac:dyDescent="0.2">
      <c r="E2136" t="s">
        <v>406</v>
      </c>
      <c r="F2136">
        <v>89</v>
      </c>
      <c r="G2136" t="s">
        <v>253</v>
      </c>
      <c r="H2136" t="s">
        <v>12</v>
      </c>
      <c r="I2136">
        <v>0</v>
      </c>
    </row>
    <row r="2137" spans="5:9" ht="15.75" hidden="1" customHeight="1" x14ac:dyDescent="0.2">
      <c r="E2137" t="s">
        <v>376</v>
      </c>
      <c r="F2137">
        <v>90</v>
      </c>
      <c r="G2137" t="s">
        <v>253</v>
      </c>
      <c r="H2137" t="s">
        <v>12</v>
      </c>
      <c r="I2137">
        <v>0</v>
      </c>
    </row>
    <row r="2138" spans="5:9" ht="15.75" hidden="1" customHeight="1" x14ac:dyDescent="0.2">
      <c r="E2138" t="s">
        <v>409</v>
      </c>
      <c r="F2138">
        <v>91</v>
      </c>
      <c r="G2138" t="s">
        <v>253</v>
      </c>
      <c r="H2138" t="s">
        <v>12</v>
      </c>
      <c r="I2138">
        <v>0</v>
      </c>
    </row>
    <row r="2139" spans="5:9" ht="15.75" hidden="1" customHeight="1" x14ac:dyDescent="0.2">
      <c r="E2139" t="s">
        <v>410</v>
      </c>
      <c r="F2139">
        <v>92</v>
      </c>
      <c r="G2139" t="s">
        <v>253</v>
      </c>
      <c r="H2139" t="s">
        <v>12</v>
      </c>
      <c r="I2139">
        <v>3</v>
      </c>
    </row>
    <row r="2140" spans="5:9" ht="15.75" hidden="1" customHeight="1" x14ac:dyDescent="0.2">
      <c r="E2140" t="s">
        <v>413</v>
      </c>
      <c r="F2140">
        <v>93</v>
      </c>
      <c r="G2140" t="s">
        <v>253</v>
      </c>
      <c r="H2140" t="s">
        <v>12</v>
      </c>
      <c r="I2140">
        <v>3</v>
      </c>
    </row>
    <row r="2141" spans="5:9" ht="15.75" hidden="1" customHeight="1" x14ac:dyDescent="0.2">
      <c r="E2141" t="s">
        <v>414</v>
      </c>
      <c r="F2141">
        <v>94</v>
      </c>
      <c r="G2141" t="s">
        <v>253</v>
      </c>
      <c r="H2141" t="s">
        <v>12</v>
      </c>
      <c r="I2141" t="s">
        <v>364</v>
      </c>
    </row>
    <row r="2142" spans="5:9" ht="15.75" hidden="1" customHeight="1" x14ac:dyDescent="0.2">
      <c r="E2142" t="s">
        <v>417</v>
      </c>
      <c r="F2142">
        <v>95</v>
      </c>
      <c r="G2142" t="s">
        <v>253</v>
      </c>
      <c r="H2142" t="s">
        <v>12</v>
      </c>
      <c r="I2142" t="s">
        <v>364</v>
      </c>
    </row>
    <row r="2143" spans="5:9" ht="15.75" hidden="1" customHeight="1" x14ac:dyDescent="0.2">
      <c r="E2143" t="s">
        <v>440</v>
      </c>
      <c r="F2143">
        <v>96</v>
      </c>
      <c r="G2143" t="s">
        <v>253</v>
      </c>
      <c r="H2143" t="s">
        <v>12</v>
      </c>
      <c r="I2143">
        <v>0</v>
      </c>
    </row>
    <row r="2144" spans="5:9" ht="15.75" hidden="1" customHeight="1" x14ac:dyDescent="0.2">
      <c r="E2144" t="s">
        <v>441</v>
      </c>
      <c r="F2144">
        <v>97</v>
      </c>
      <c r="G2144" t="s">
        <v>253</v>
      </c>
      <c r="H2144" t="s">
        <v>12</v>
      </c>
      <c r="I2144" t="s">
        <v>364</v>
      </c>
    </row>
    <row r="2145" spans="5:9" ht="15.75" hidden="1" customHeight="1" x14ac:dyDescent="0.2">
      <c r="E2145" t="s">
        <v>442</v>
      </c>
      <c r="F2145">
        <v>98</v>
      </c>
      <c r="G2145" t="s">
        <v>253</v>
      </c>
      <c r="H2145" t="s">
        <v>12</v>
      </c>
      <c r="I2145" t="s">
        <v>364</v>
      </c>
    </row>
    <row r="2146" spans="5:9" ht="15.75" hidden="1" customHeight="1" x14ac:dyDescent="0.2">
      <c r="E2146" t="s">
        <v>443</v>
      </c>
      <c r="F2146">
        <v>99</v>
      </c>
      <c r="G2146" t="s">
        <v>253</v>
      </c>
      <c r="H2146" t="s">
        <v>12</v>
      </c>
      <c r="I2146">
        <v>0</v>
      </c>
    </row>
    <row r="2147" spans="5:9" ht="15.75" hidden="1" customHeight="1" x14ac:dyDescent="0.2">
      <c r="E2147" t="s">
        <v>444</v>
      </c>
      <c r="F2147">
        <v>100</v>
      </c>
      <c r="G2147" t="s">
        <v>253</v>
      </c>
      <c r="H2147" t="s">
        <v>12</v>
      </c>
      <c r="I2147">
        <v>122.62390000000001</v>
      </c>
    </row>
    <row r="2148" spans="5:9" ht="15.75" hidden="1" customHeight="1" x14ac:dyDescent="0.2">
      <c r="E2148" t="s">
        <v>362</v>
      </c>
      <c r="F2148">
        <v>101</v>
      </c>
      <c r="G2148" t="s">
        <v>253</v>
      </c>
      <c r="H2148" t="s">
        <v>12</v>
      </c>
      <c r="I2148" t="s">
        <v>364</v>
      </c>
    </row>
    <row r="2149" spans="5:9" ht="15.75" hidden="1" customHeight="1" x14ac:dyDescent="0.2">
      <c r="E2149" t="s">
        <v>446</v>
      </c>
      <c r="F2149">
        <v>102</v>
      </c>
      <c r="G2149" t="s">
        <v>253</v>
      </c>
      <c r="H2149" t="s">
        <v>12</v>
      </c>
      <c r="I2149" t="s">
        <v>364</v>
      </c>
    </row>
    <row r="2150" spans="5:9" ht="15.75" hidden="1" customHeight="1" x14ac:dyDescent="0.2">
      <c r="E2150" t="s">
        <v>447</v>
      </c>
      <c r="F2150">
        <v>103</v>
      </c>
      <c r="G2150" t="s">
        <v>253</v>
      </c>
      <c r="H2150" t="s">
        <v>12</v>
      </c>
      <c r="I2150">
        <v>0</v>
      </c>
    </row>
    <row r="2151" spans="5:9" ht="15.75" hidden="1" customHeight="1" x14ac:dyDescent="0.2">
      <c r="E2151" t="s">
        <v>448</v>
      </c>
      <c r="F2151">
        <v>104</v>
      </c>
      <c r="G2151" t="s">
        <v>253</v>
      </c>
      <c r="H2151" t="s">
        <v>12</v>
      </c>
      <c r="I2151">
        <v>0</v>
      </c>
    </row>
    <row r="2152" spans="5:9" ht="15.75" hidden="1" customHeight="1" x14ac:dyDescent="0.2">
      <c r="E2152" t="s">
        <v>449</v>
      </c>
      <c r="F2152">
        <v>105</v>
      </c>
      <c r="G2152" t="s">
        <v>253</v>
      </c>
      <c r="H2152" t="s">
        <v>12</v>
      </c>
      <c r="I2152">
        <v>0</v>
      </c>
    </row>
    <row r="2153" spans="5:9" ht="15.75" hidden="1" customHeight="1" x14ac:dyDescent="0.2">
      <c r="E2153" t="s">
        <v>450</v>
      </c>
      <c r="F2153">
        <v>106</v>
      </c>
      <c r="G2153" t="s">
        <v>253</v>
      </c>
      <c r="H2153" t="s">
        <v>12</v>
      </c>
      <c r="I2153">
        <v>0</v>
      </c>
    </row>
    <row r="2154" spans="5:9" ht="15.75" hidden="1" customHeight="1" x14ac:dyDescent="0.2">
      <c r="E2154" t="s">
        <v>451</v>
      </c>
      <c r="F2154">
        <v>107</v>
      </c>
      <c r="G2154" t="s">
        <v>253</v>
      </c>
      <c r="H2154" t="s">
        <v>12</v>
      </c>
      <c r="I2154">
        <v>0</v>
      </c>
    </row>
    <row r="2155" spans="5:9" ht="15.75" hidden="1" customHeight="1" x14ac:dyDescent="0.2">
      <c r="E2155" t="s">
        <v>452</v>
      </c>
      <c r="F2155">
        <v>108</v>
      </c>
      <c r="G2155" t="s">
        <v>253</v>
      </c>
      <c r="H2155" t="s">
        <v>12</v>
      </c>
      <c r="I2155">
        <v>0</v>
      </c>
    </row>
    <row r="2156" spans="5:9" ht="15.75" hidden="1" customHeight="1" x14ac:dyDescent="0.2">
      <c r="E2156" t="s">
        <v>453</v>
      </c>
      <c r="F2156">
        <v>109</v>
      </c>
      <c r="G2156" t="s">
        <v>253</v>
      </c>
      <c r="H2156" t="s">
        <v>12</v>
      </c>
      <c r="I2156">
        <v>0</v>
      </c>
    </row>
    <row r="2157" spans="5:9" ht="15.75" hidden="1" customHeight="1" x14ac:dyDescent="0.2">
      <c r="E2157" t="s">
        <v>454</v>
      </c>
      <c r="F2157">
        <v>110</v>
      </c>
      <c r="G2157" t="s">
        <v>253</v>
      </c>
      <c r="H2157" t="s">
        <v>12</v>
      </c>
      <c r="I2157">
        <v>0</v>
      </c>
    </row>
    <row r="2158" spans="5:9" ht="15.75" hidden="1" customHeight="1" x14ac:dyDescent="0.2">
      <c r="E2158" t="s">
        <v>455</v>
      </c>
      <c r="F2158">
        <v>111</v>
      </c>
      <c r="G2158" t="s">
        <v>253</v>
      </c>
      <c r="H2158" t="s">
        <v>12</v>
      </c>
      <c r="I2158">
        <v>0</v>
      </c>
    </row>
    <row r="2159" spans="5:9" ht="15.75" hidden="1" customHeight="1" x14ac:dyDescent="0.2">
      <c r="E2159" t="s">
        <v>456</v>
      </c>
      <c r="F2159">
        <v>112</v>
      </c>
      <c r="G2159" t="s">
        <v>253</v>
      </c>
      <c r="H2159" t="s">
        <v>12</v>
      </c>
      <c r="I2159">
        <v>0</v>
      </c>
    </row>
    <row r="2160" spans="5:9" ht="15.75" hidden="1" customHeight="1" x14ac:dyDescent="0.2">
      <c r="E2160" t="s">
        <v>457</v>
      </c>
      <c r="F2160">
        <v>113</v>
      </c>
      <c r="G2160" t="s">
        <v>253</v>
      </c>
      <c r="H2160" t="s">
        <v>12</v>
      </c>
      <c r="I2160">
        <v>0</v>
      </c>
    </row>
    <row r="2161" spans="5:9" ht="15.75" hidden="1" customHeight="1" x14ac:dyDescent="0.2">
      <c r="E2161" t="s">
        <v>459</v>
      </c>
      <c r="F2161">
        <v>114</v>
      </c>
      <c r="G2161" t="s">
        <v>253</v>
      </c>
      <c r="H2161" t="s">
        <v>12</v>
      </c>
      <c r="I2161" t="s">
        <v>364</v>
      </c>
    </row>
    <row r="2162" spans="5:9" ht="15.75" hidden="1" customHeight="1" x14ac:dyDescent="0.2">
      <c r="E2162" t="s">
        <v>460</v>
      </c>
      <c r="F2162">
        <v>115</v>
      </c>
      <c r="G2162" t="s">
        <v>253</v>
      </c>
      <c r="H2162" t="s">
        <v>12</v>
      </c>
      <c r="I2162" t="s">
        <v>364</v>
      </c>
    </row>
    <row r="2163" spans="5:9" ht="15.75" hidden="1" customHeight="1" x14ac:dyDescent="0.2">
      <c r="E2163" t="s">
        <v>461</v>
      </c>
      <c r="F2163">
        <v>116</v>
      </c>
      <c r="G2163" t="s">
        <v>253</v>
      </c>
      <c r="H2163" t="s">
        <v>12</v>
      </c>
      <c r="I2163">
        <v>0</v>
      </c>
    </row>
    <row r="2164" spans="5:9" ht="15.75" hidden="1" customHeight="1" x14ac:dyDescent="0.2">
      <c r="E2164" t="s">
        <v>462</v>
      </c>
      <c r="F2164">
        <v>117</v>
      </c>
      <c r="G2164" t="s">
        <v>253</v>
      </c>
      <c r="H2164" t="s">
        <v>12</v>
      </c>
      <c r="I2164" t="s">
        <v>364</v>
      </c>
    </row>
    <row r="2165" spans="5:9" ht="15.75" hidden="1" customHeight="1" x14ac:dyDescent="0.2">
      <c r="E2165" t="s">
        <v>463</v>
      </c>
      <c r="F2165">
        <v>118</v>
      </c>
      <c r="G2165" t="s">
        <v>253</v>
      </c>
      <c r="H2165" t="s">
        <v>12</v>
      </c>
      <c r="I2165">
        <v>0</v>
      </c>
    </row>
    <row r="2166" spans="5:9" ht="15.75" hidden="1" customHeight="1" x14ac:dyDescent="0.2">
      <c r="E2166" t="s">
        <v>464</v>
      </c>
      <c r="F2166">
        <v>119</v>
      </c>
      <c r="G2166" t="s">
        <v>253</v>
      </c>
      <c r="H2166" t="s">
        <v>12</v>
      </c>
      <c r="I2166" t="s">
        <v>364</v>
      </c>
    </row>
    <row r="2167" spans="5:9" ht="15.75" hidden="1" customHeight="1" x14ac:dyDescent="0.2">
      <c r="E2167" t="s">
        <v>465</v>
      </c>
      <c r="F2167">
        <v>120</v>
      </c>
      <c r="G2167" t="s">
        <v>253</v>
      </c>
      <c r="H2167" t="s">
        <v>12</v>
      </c>
      <c r="I2167" t="s">
        <v>364</v>
      </c>
    </row>
    <row r="2168" spans="5:9" ht="15.75" hidden="1" customHeight="1" x14ac:dyDescent="0.2">
      <c r="E2168" t="s">
        <v>466</v>
      </c>
      <c r="F2168">
        <v>121</v>
      </c>
      <c r="G2168" t="s">
        <v>253</v>
      </c>
      <c r="H2168" t="s">
        <v>12</v>
      </c>
      <c r="I2168">
        <v>0</v>
      </c>
    </row>
    <row r="2169" spans="5:9" ht="15.75" hidden="1" customHeight="1" x14ac:dyDescent="0.2">
      <c r="E2169" t="s">
        <v>467</v>
      </c>
      <c r="F2169">
        <v>122</v>
      </c>
      <c r="G2169" t="s">
        <v>253</v>
      </c>
      <c r="H2169" t="s">
        <v>12</v>
      </c>
      <c r="I2169" t="s">
        <v>364</v>
      </c>
    </row>
    <row r="2170" spans="5:9" ht="15.75" hidden="1" customHeight="1" x14ac:dyDescent="0.2">
      <c r="E2170" t="s">
        <v>468</v>
      </c>
      <c r="F2170">
        <v>123</v>
      </c>
      <c r="G2170" t="s">
        <v>253</v>
      </c>
      <c r="H2170" t="s">
        <v>12</v>
      </c>
      <c r="I2170">
        <v>0</v>
      </c>
    </row>
    <row r="2171" spans="5:9" ht="15.75" hidden="1" customHeight="1" x14ac:dyDescent="0.2">
      <c r="E2171" t="s">
        <v>469</v>
      </c>
      <c r="F2171">
        <v>124</v>
      </c>
      <c r="G2171" t="s">
        <v>253</v>
      </c>
      <c r="H2171" t="s">
        <v>12</v>
      </c>
      <c r="I2171">
        <v>0</v>
      </c>
    </row>
    <row r="2172" spans="5:9" ht="15.75" hidden="1" customHeight="1" x14ac:dyDescent="0.2">
      <c r="E2172" t="s">
        <v>470</v>
      </c>
      <c r="F2172">
        <v>125</v>
      </c>
      <c r="G2172" t="s">
        <v>253</v>
      </c>
      <c r="H2172" t="s">
        <v>12</v>
      </c>
      <c r="I2172">
        <v>0</v>
      </c>
    </row>
    <row r="2173" spans="5:9" ht="15.75" hidden="1" customHeight="1" x14ac:dyDescent="0.2">
      <c r="E2173" t="s">
        <v>471</v>
      </c>
      <c r="F2173">
        <v>126</v>
      </c>
      <c r="G2173" t="s">
        <v>253</v>
      </c>
      <c r="H2173" t="s">
        <v>12</v>
      </c>
      <c r="I2173">
        <v>0</v>
      </c>
    </row>
    <row r="2174" spans="5:9" ht="15.75" hidden="1" customHeight="1" x14ac:dyDescent="0.2">
      <c r="E2174" t="s">
        <v>472</v>
      </c>
      <c r="F2174">
        <v>127</v>
      </c>
      <c r="G2174" t="s">
        <v>253</v>
      </c>
      <c r="H2174" t="s">
        <v>12</v>
      </c>
      <c r="I2174">
        <v>0</v>
      </c>
    </row>
    <row r="2175" spans="5:9" ht="15.75" hidden="1" customHeight="1" x14ac:dyDescent="0.2">
      <c r="E2175" t="s">
        <v>473</v>
      </c>
      <c r="F2175">
        <v>128</v>
      </c>
      <c r="G2175" t="s">
        <v>253</v>
      </c>
      <c r="H2175" t="s">
        <v>12</v>
      </c>
      <c r="I2175">
        <v>0</v>
      </c>
    </row>
    <row r="2176" spans="5:9" ht="15.75" hidden="1" customHeight="1" x14ac:dyDescent="0.2">
      <c r="E2176" t="s">
        <v>474</v>
      </c>
      <c r="F2176">
        <v>129</v>
      </c>
      <c r="G2176" t="s">
        <v>253</v>
      </c>
      <c r="H2176" t="s">
        <v>12</v>
      </c>
      <c r="I2176">
        <v>0</v>
      </c>
    </row>
    <row r="2177" spans="5:9" ht="15.75" hidden="1" customHeight="1" x14ac:dyDescent="0.2">
      <c r="E2177" t="s">
        <v>476</v>
      </c>
      <c r="F2177">
        <v>130</v>
      </c>
      <c r="G2177" t="s">
        <v>253</v>
      </c>
      <c r="H2177" t="s">
        <v>12</v>
      </c>
      <c r="I2177">
        <v>8</v>
      </c>
    </row>
    <row r="2178" spans="5:9" ht="15.75" hidden="1" customHeight="1" x14ac:dyDescent="0.2">
      <c r="E2178" t="s">
        <v>478</v>
      </c>
      <c r="F2178">
        <v>131</v>
      </c>
      <c r="G2178" t="s">
        <v>253</v>
      </c>
      <c r="H2178" t="s">
        <v>12</v>
      </c>
      <c r="I2178">
        <v>34.869199999999999</v>
      </c>
    </row>
    <row r="2179" spans="5:9" ht="15.75" hidden="1" customHeight="1" x14ac:dyDescent="0.2">
      <c r="E2179" t="s">
        <v>440</v>
      </c>
      <c r="F2179">
        <v>132</v>
      </c>
      <c r="G2179" t="s">
        <v>253</v>
      </c>
      <c r="H2179" t="s">
        <v>12</v>
      </c>
      <c r="I2179">
        <v>11.6096</v>
      </c>
    </row>
    <row r="2180" spans="5:9" ht="15.75" hidden="1" customHeight="1" x14ac:dyDescent="0.2">
      <c r="E2180" t="s">
        <v>441</v>
      </c>
      <c r="F2180">
        <v>133</v>
      </c>
      <c r="G2180" t="s">
        <v>253</v>
      </c>
      <c r="H2180" t="s">
        <v>12</v>
      </c>
      <c r="I2180">
        <v>8</v>
      </c>
    </row>
    <row r="2181" spans="5:9" ht="15.75" hidden="1" customHeight="1" x14ac:dyDescent="0.2">
      <c r="E2181" t="s">
        <v>442</v>
      </c>
      <c r="F2181">
        <v>134</v>
      </c>
      <c r="G2181" t="s">
        <v>253</v>
      </c>
      <c r="H2181" t="s">
        <v>12</v>
      </c>
      <c r="I2181">
        <v>8</v>
      </c>
    </row>
    <row r="2182" spans="5:9" ht="15.75" hidden="1" customHeight="1" x14ac:dyDescent="0.2">
      <c r="E2182" t="s">
        <v>443</v>
      </c>
      <c r="F2182">
        <v>135</v>
      </c>
      <c r="G2182" t="s">
        <v>253</v>
      </c>
      <c r="H2182" t="s">
        <v>12</v>
      </c>
      <c r="I2182">
        <v>2447.4425999999999</v>
      </c>
    </row>
    <row r="2183" spans="5:9" ht="15.75" hidden="1" customHeight="1" x14ac:dyDescent="0.2">
      <c r="E2183" t="s">
        <v>362</v>
      </c>
      <c r="F2183">
        <v>136</v>
      </c>
      <c r="G2183" t="s">
        <v>253</v>
      </c>
      <c r="H2183" t="s">
        <v>12</v>
      </c>
      <c r="I2183">
        <v>41.513199999999998</v>
      </c>
    </row>
    <row r="2184" spans="5:9" ht="15.75" hidden="1" customHeight="1" x14ac:dyDescent="0.2">
      <c r="E2184" t="s">
        <v>482</v>
      </c>
      <c r="F2184">
        <v>137</v>
      </c>
      <c r="G2184" t="s">
        <v>253</v>
      </c>
      <c r="H2184" t="s">
        <v>12</v>
      </c>
      <c r="I2184">
        <v>118.5364</v>
      </c>
    </row>
    <row r="2185" spans="5:9" ht="15.75" hidden="1" customHeight="1" x14ac:dyDescent="0.2">
      <c r="E2185" t="s">
        <v>483</v>
      </c>
      <c r="F2185">
        <v>138</v>
      </c>
      <c r="G2185" t="s">
        <v>253</v>
      </c>
      <c r="H2185" t="s">
        <v>12</v>
      </c>
      <c r="I2185">
        <v>545.89139999999998</v>
      </c>
    </row>
    <row r="2186" spans="5:9" ht="15.75" hidden="1" customHeight="1" x14ac:dyDescent="0.2">
      <c r="E2186" t="s">
        <v>484</v>
      </c>
      <c r="F2186">
        <v>139</v>
      </c>
      <c r="G2186" t="s">
        <v>253</v>
      </c>
      <c r="H2186" t="s">
        <v>12</v>
      </c>
      <c r="I2186">
        <v>1375.7474999999999</v>
      </c>
    </row>
    <row r="2187" spans="5:9" ht="15.75" hidden="1" customHeight="1" x14ac:dyDescent="0.2">
      <c r="E2187" t="s">
        <v>486</v>
      </c>
      <c r="F2187">
        <v>140</v>
      </c>
      <c r="G2187" t="s">
        <v>253</v>
      </c>
      <c r="H2187" t="s">
        <v>12</v>
      </c>
      <c r="I2187">
        <v>78.137799999999999</v>
      </c>
    </row>
    <row r="2188" spans="5:9" ht="15.75" hidden="1" customHeight="1" x14ac:dyDescent="0.2">
      <c r="E2188" t="s">
        <v>487</v>
      </c>
      <c r="F2188">
        <v>141</v>
      </c>
      <c r="G2188" t="s">
        <v>253</v>
      </c>
      <c r="H2188" t="s">
        <v>12</v>
      </c>
      <c r="I2188">
        <v>49.828899999999997</v>
      </c>
    </row>
    <row r="2189" spans="5:9" ht="15.75" hidden="1" customHeight="1" x14ac:dyDescent="0.2">
      <c r="E2189" t="s">
        <v>446</v>
      </c>
      <c r="F2189">
        <v>142</v>
      </c>
      <c r="G2189" t="s">
        <v>253</v>
      </c>
      <c r="H2189" t="s">
        <v>12</v>
      </c>
      <c r="I2189">
        <v>227.43100000000001</v>
      </c>
    </row>
    <row r="2190" spans="5:9" ht="15.75" hidden="1" customHeight="1" x14ac:dyDescent="0.2">
      <c r="E2190" t="s">
        <v>447</v>
      </c>
      <c r="F2190">
        <v>143</v>
      </c>
      <c r="G2190" t="s">
        <v>253</v>
      </c>
      <c r="H2190" t="s">
        <v>12</v>
      </c>
      <c r="I2190">
        <v>104</v>
      </c>
    </row>
    <row r="2191" spans="5:9" ht="15.75" hidden="1" customHeight="1" x14ac:dyDescent="0.2">
      <c r="E2191" t="s">
        <v>448</v>
      </c>
      <c r="F2191">
        <v>144</v>
      </c>
      <c r="G2191" t="s">
        <v>253</v>
      </c>
      <c r="H2191" t="s">
        <v>12</v>
      </c>
      <c r="I2191">
        <v>15.5098</v>
      </c>
    </row>
    <row r="2192" spans="5:9" ht="15.75" hidden="1" customHeight="1" x14ac:dyDescent="0.2">
      <c r="E2192" t="s">
        <v>449</v>
      </c>
      <c r="F2192">
        <v>145</v>
      </c>
      <c r="G2192" t="s">
        <v>253</v>
      </c>
      <c r="H2192" t="s">
        <v>12</v>
      </c>
      <c r="I2192">
        <v>18.0947</v>
      </c>
    </row>
    <row r="2193" spans="5:9" ht="15.75" hidden="1" customHeight="1" x14ac:dyDescent="0.2">
      <c r="E2193" t="s">
        <v>450</v>
      </c>
      <c r="F2193">
        <v>146</v>
      </c>
      <c r="G2193" t="s">
        <v>253</v>
      </c>
      <c r="H2193" t="s">
        <v>12</v>
      </c>
      <c r="I2193">
        <v>8</v>
      </c>
    </row>
    <row r="2194" spans="5:9" ht="15.75" hidden="1" customHeight="1" x14ac:dyDescent="0.2">
      <c r="E2194" t="s">
        <v>451</v>
      </c>
      <c r="F2194">
        <v>147</v>
      </c>
      <c r="G2194" t="s">
        <v>253</v>
      </c>
      <c r="H2194" t="s">
        <v>12</v>
      </c>
      <c r="I2194">
        <v>8</v>
      </c>
    </row>
    <row r="2195" spans="5:9" ht="15.75" hidden="1" customHeight="1" x14ac:dyDescent="0.2">
      <c r="E2195" t="s">
        <v>488</v>
      </c>
      <c r="F2195">
        <v>148</v>
      </c>
      <c r="G2195" t="s">
        <v>253</v>
      </c>
      <c r="H2195" t="s">
        <v>12</v>
      </c>
      <c r="I2195">
        <v>24</v>
      </c>
    </row>
    <row r="2196" spans="5:9" ht="15.75" hidden="1" customHeight="1" x14ac:dyDescent="0.2">
      <c r="E2196" t="s">
        <v>452</v>
      </c>
      <c r="F2196">
        <v>149</v>
      </c>
      <c r="G2196" t="s">
        <v>253</v>
      </c>
      <c r="H2196" t="s">
        <v>12</v>
      </c>
      <c r="I2196">
        <v>76.147099999999995</v>
      </c>
    </row>
    <row r="2197" spans="5:9" ht="15.75" hidden="1" customHeight="1" x14ac:dyDescent="0.2">
      <c r="E2197" t="s">
        <v>453</v>
      </c>
      <c r="F2197">
        <v>150</v>
      </c>
      <c r="G2197" t="s">
        <v>253</v>
      </c>
      <c r="H2197" t="s">
        <v>12</v>
      </c>
      <c r="I2197">
        <v>8</v>
      </c>
    </row>
    <row r="2198" spans="5:9" ht="15.75" hidden="1" customHeight="1" x14ac:dyDescent="0.2">
      <c r="E2198" t="s">
        <v>454</v>
      </c>
      <c r="F2198">
        <v>151</v>
      </c>
      <c r="G2198" t="s">
        <v>253</v>
      </c>
      <c r="H2198" t="s">
        <v>12</v>
      </c>
      <c r="I2198">
        <v>47.548900000000003</v>
      </c>
    </row>
    <row r="2199" spans="5:9" ht="15.75" hidden="1" customHeight="1" x14ac:dyDescent="0.2">
      <c r="E2199" t="s">
        <v>455</v>
      </c>
      <c r="F2199">
        <v>152</v>
      </c>
      <c r="G2199" t="s">
        <v>253</v>
      </c>
      <c r="H2199" t="s">
        <v>12</v>
      </c>
      <c r="I2199">
        <v>8</v>
      </c>
    </row>
    <row r="2200" spans="5:9" ht="15.75" hidden="1" customHeight="1" x14ac:dyDescent="0.2">
      <c r="E2200" t="s">
        <v>456</v>
      </c>
      <c r="F2200">
        <v>153</v>
      </c>
      <c r="G2200" t="s">
        <v>253</v>
      </c>
      <c r="H2200" t="s">
        <v>12</v>
      </c>
      <c r="I2200">
        <v>8</v>
      </c>
    </row>
    <row r="2201" spans="5:9" ht="15.75" hidden="1" customHeight="1" x14ac:dyDescent="0.2">
      <c r="E2201" t="s">
        <v>489</v>
      </c>
      <c r="F2201">
        <v>154</v>
      </c>
      <c r="G2201" t="s">
        <v>253</v>
      </c>
      <c r="H2201" t="s">
        <v>12</v>
      </c>
      <c r="I2201">
        <v>53.150799999999997</v>
      </c>
    </row>
    <row r="2202" spans="5:9" ht="15.75" hidden="1" customHeight="1" x14ac:dyDescent="0.2">
      <c r="E2202" t="s">
        <v>457</v>
      </c>
      <c r="F2202">
        <v>155</v>
      </c>
      <c r="G2202" t="s">
        <v>253</v>
      </c>
      <c r="H2202" t="s">
        <v>12</v>
      </c>
      <c r="I2202">
        <v>8</v>
      </c>
    </row>
    <row r="2203" spans="5:9" ht="15.75" hidden="1" customHeight="1" x14ac:dyDescent="0.2">
      <c r="E2203" t="s">
        <v>362</v>
      </c>
      <c r="F2203">
        <v>156</v>
      </c>
      <c r="G2203" t="s">
        <v>253</v>
      </c>
      <c r="H2203" t="s">
        <v>12</v>
      </c>
      <c r="I2203">
        <v>31.699300000000001</v>
      </c>
    </row>
    <row r="2204" spans="5:9" ht="15.75" hidden="1" customHeight="1" x14ac:dyDescent="0.2">
      <c r="E2204" t="s">
        <v>491</v>
      </c>
      <c r="F2204">
        <v>157</v>
      </c>
      <c r="G2204" t="s">
        <v>253</v>
      </c>
      <c r="H2204" t="s">
        <v>12</v>
      </c>
      <c r="I2204">
        <v>454.79149999999998</v>
      </c>
    </row>
    <row r="2205" spans="5:9" ht="15.75" hidden="1" customHeight="1" x14ac:dyDescent="0.2">
      <c r="E2205" t="s">
        <v>492</v>
      </c>
      <c r="F2205">
        <v>158</v>
      </c>
      <c r="G2205" t="s">
        <v>253</v>
      </c>
      <c r="H2205" t="s">
        <v>12</v>
      </c>
      <c r="I2205">
        <v>136.1618</v>
      </c>
    </row>
    <row r="2206" spans="5:9" ht="15.75" hidden="1" customHeight="1" x14ac:dyDescent="0.2">
      <c r="E2206" t="s">
        <v>493</v>
      </c>
      <c r="F2206">
        <v>159</v>
      </c>
      <c r="G2206" t="s">
        <v>253</v>
      </c>
      <c r="H2206" t="s">
        <v>12</v>
      </c>
      <c r="I2206">
        <v>106.1982</v>
      </c>
    </row>
    <row r="2207" spans="5:9" ht="15.75" hidden="1" customHeight="1" x14ac:dyDescent="0.2">
      <c r="E2207" t="s">
        <v>494</v>
      </c>
      <c r="F2207">
        <v>160</v>
      </c>
      <c r="G2207" t="s">
        <v>253</v>
      </c>
      <c r="H2207" t="s">
        <v>12</v>
      </c>
      <c r="I2207">
        <v>130.02799999999999</v>
      </c>
    </row>
    <row r="2208" spans="5:9" ht="15.75" hidden="1" customHeight="1" x14ac:dyDescent="0.2">
      <c r="E2208" t="s">
        <v>496</v>
      </c>
      <c r="F2208">
        <v>161</v>
      </c>
      <c r="G2208" t="s">
        <v>253</v>
      </c>
      <c r="H2208" t="s">
        <v>12</v>
      </c>
      <c r="I2208">
        <v>126.71129999999999</v>
      </c>
    </row>
    <row r="2209" spans="5:9" ht="15.75" hidden="1" customHeight="1" x14ac:dyDescent="0.2">
      <c r="E2209" t="s">
        <v>497</v>
      </c>
      <c r="F2209">
        <v>162</v>
      </c>
      <c r="G2209" t="s">
        <v>253</v>
      </c>
      <c r="H2209" t="s">
        <v>12</v>
      </c>
      <c r="I2209">
        <v>233.636</v>
      </c>
    </row>
    <row r="2210" spans="5:9" ht="15.75" hidden="1" customHeight="1" x14ac:dyDescent="0.2">
      <c r="E2210" t="s">
        <v>459</v>
      </c>
      <c r="F2210">
        <v>163</v>
      </c>
      <c r="G2210" t="s">
        <v>253</v>
      </c>
      <c r="H2210" t="s">
        <v>12</v>
      </c>
      <c r="I2210">
        <v>89.858500000000006</v>
      </c>
    </row>
    <row r="2211" spans="5:9" ht="15.75" hidden="1" customHeight="1" x14ac:dyDescent="0.2">
      <c r="E2211" t="s">
        <v>460</v>
      </c>
      <c r="F2211">
        <v>164</v>
      </c>
      <c r="G2211" t="s">
        <v>253</v>
      </c>
      <c r="H2211" t="s">
        <v>12</v>
      </c>
      <c r="I2211">
        <v>4.7549000000000001</v>
      </c>
    </row>
    <row r="2212" spans="5:9" ht="15.75" hidden="1" customHeight="1" x14ac:dyDescent="0.2">
      <c r="E2212" t="s">
        <v>461</v>
      </c>
      <c r="F2212">
        <v>165</v>
      </c>
      <c r="G2212" t="s">
        <v>253</v>
      </c>
      <c r="H2212" t="s">
        <v>12</v>
      </c>
      <c r="I2212">
        <v>116</v>
      </c>
    </row>
    <row r="2213" spans="5:9" ht="15.75" hidden="1" customHeight="1" x14ac:dyDescent="0.2">
      <c r="E2213" t="s">
        <v>462</v>
      </c>
      <c r="F2213">
        <v>166</v>
      </c>
      <c r="G2213" t="s">
        <v>253</v>
      </c>
      <c r="H2213" t="s">
        <v>12</v>
      </c>
      <c r="I2213">
        <v>4.7549000000000001</v>
      </c>
    </row>
    <row r="2214" spans="5:9" ht="15.75" hidden="1" customHeight="1" x14ac:dyDescent="0.2">
      <c r="E2214" t="s">
        <v>463</v>
      </c>
      <c r="F2214">
        <v>167</v>
      </c>
      <c r="G2214" t="s">
        <v>253</v>
      </c>
      <c r="H2214" t="s">
        <v>12</v>
      </c>
      <c r="I2214">
        <v>113.2998</v>
      </c>
    </row>
    <row r="2215" spans="5:9" ht="15.75" hidden="1" customHeight="1" x14ac:dyDescent="0.2">
      <c r="E2215" t="s">
        <v>464</v>
      </c>
      <c r="F2215">
        <v>168</v>
      </c>
      <c r="G2215" t="s">
        <v>253</v>
      </c>
      <c r="H2215" t="s">
        <v>12</v>
      </c>
      <c r="I2215">
        <v>4.7549000000000001</v>
      </c>
    </row>
    <row r="2216" spans="5:9" ht="15.75" hidden="1" customHeight="1" x14ac:dyDescent="0.2">
      <c r="E2216" t="s">
        <v>465</v>
      </c>
      <c r="F2216">
        <v>169</v>
      </c>
      <c r="G2216" t="s">
        <v>253</v>
      </c>
      <c r="H2216" t="s">
        <v>12</v>
      </c>
      <c r="I2216">
        <v>4.7549000000000001</v>
      </c>
    </row>
    <row r="2217" spans="5:9" ht="15.75" hidden="1" customHeight="1" x14ac:dyDescent="0.2">
      <c r="E2217" t="s">
        <v>466</v>
      </c>
      <c r="F2217">
        <v>170</v>
      </c>
      <c r="G2217" t="s">
        <v>253</v>
      </c>
      <c r="H2217" t="s">
        <v>12</v>
      </c>
      <c r="I2217">
        <v>116</v>
      </c>
    </row>
    <row r="2218" spans="5:9" ht="15.75" hidden="1" customHeight="1" x14ac:dyDescent="0.2">
      <c r="E2218" t="s">
        <v>467</v>
      </c>
      <c r="F2218">
        <v>171</v>
      </c>
      <c r="G2218" t="s">
        <v>253</v>
      </c>
      <c r="H2218" t="s">
        <v>12</v>
      </c>
      <c r="I2218">
        <v>4.7549000000000001</v>
      </c>
    </row>
    <row r="2219" spans="5:9" ht="15.75" hidden="1" customHeight="1" x14ac:dyDescent="0.2">
      <c r="E2219" t="s">
        <v>468</v>
      </c>
      <c r="F2219">
        <v>172</v>
      </c>
      <c r="G2219" t="s">
        <v>253</v>
      </c>
      <c r="H2219" t="s">
        <v>12</v>
      </c>
      <c r="I2219">
        <v>113.2998</v>
      </c>
    </row>
    <row r="2220" spans="5:9" ht="15.75" hidden="1" customHeight="1" x14ac:dyDescent="0.2">
      <c r="E2220" t="s">
        <v>469</v>
      </c>
      <c r="F2220">
        <v>173</v>
      </c>
      <c r="G2220" t="s">
        <v>253</v>
      </c>
      <c r="H2220" t="s">
        <v>12</v>
      </c>
      <c r="I2220">
        <v>103.72629999999999</v>
      </c>
    </row>
    <row r="2221" spans="5:9" ht="15.75" hidden="1" customHeight="1" x14ac:dyDescent="0.2">
      <c r="E2221" t="s">
        <v>470</v>
      </c>
      <c r="F2221">
        <v>174</v>
      </c>
      <c r="G2221" t="s">
        <v>253</v>
      </c>
      <c r="H2221" t="s">
        <v>12</v>
      </c>
      <c r="I2221">
        <v>62.907499999999999</v>
      </c>
    </row>
    <row r="2222" spans="5:9" ht="15.75" hidden="1" customHeight="1" x14ac:dyDescent="0.2">
      <c r="E2222" t="s">
        <v>471</v>
      </c>
      <c r="F2222">
        <v>175</v>
      </c>
      <c r="G2222" t="s">
        <v>253</v>
      </c>
      <c r="H2222" t="s">
        <v>12</v>
      </c>
      <c r="I2222">
        <v>15.5098</v>
      </c>
    </row>
    <row r="2223" spans="5:9" ht="15.75" hidden="1" customHeight="1" x14ac:dyDescent="0.2">
      <c r="E2223" t="s">
        <v>472</v>
      </c>
      <c r="F2223">
        <v>176</v>
      </c>
      <c r="G2223" t="s">
        <v>253</v>
      </c>
      <c r="H2223" t="s">
        <v>12</v>
      </c>
      <c r="I2223">
        <v>81.749300000000005</v>
      </c>
    </row>
    <row r="2224" spans="5:9" ht="15.75" hidden="1" customHeight="1" x14ac:dyDescent="0.2">
      <c r="E2224" t="s">
        <v>362</v>
      </c>
      <c r="F2224">
        <v>177</v>
      </c>
      <c r="G2224" t="s">
        <v>253</v>
      </c>
      <c r="H2224" t="s">
        <v>12</v>
      </c>
      <c r="I2224">
        <v>27</v>
      </c>
    </row>
    <row r="2225" spans="5:9" ht="15.75" hidden="1" customHeight="1" x14ac:dyDescent="0.2">
      <c r="E2225" t="s">
        <v>473</v>
      </c>
      <c r="F2225">
        <v>178</v>
      </c>
      <c r="G2225" t="s">
        <v>253</v>
      </c>
      <c r="H2225" t="s">
        <v>12</v>
      </c>
      <c r="I2225">
        <v>109.8079</v>
      </c>
    </row>
    <row r="2226" spans="5:9" ht="15.75" hidden="1" customHeight="1" x14ac:dyDescent="0.2">
      <c r="E2226" t="s">
        <v>474</v>
      </c>
      <c r="F2226">
        <v>179</v>
      </c>
      <c r="G2226" t="s">
        <v>253</v>
      </c>
      <c r="H2226" t="s">
        <v>12</v>
      </c>
      <c r="I2226">
        <v>81.749300000000005</v>
      </c>
    </row>
    <row r="2227" spans="5:9" ht="15.75" hidden="1" customHeight="1" x14ac:dyDescent="0.2">
      <c r="E2227" t="s">
        <v>499</v>
      </c>
      <c r="F2227">
        <v>180</v>
      </c>
      <c r="G2227" t="s">
        <v>253</v>
      </c>
      <c r="H2227" t="s">
        <v>12</v>
      </c>
      <c r="I2227">
        <v>147.16120000000001</v>
      </c>
    </row>
    <row r="2228" spans="5:9" ht="15.75" hidden="1" customHeight="1" x14ac:dyDescent="0.2">
      <c r="E2228" t="s">
        <v>500</v>
      </c>
      <c r="F2228">
        <v>181</v>
      </c>
      <c r="G2228" t="s">
        <v>253</v>
      </c>
      <c r="H2228" t="s">
        <v>12</v>
      </c>
      <c r="I2228">
        <v>237.0865</v>
      </c>
    </row>
    <row r="2229" spans="5:9" ht="15.75" hidden="1" customHeight="1" x14ac:dyDescent="0.2">
      <c r="E2229" t="s">
        <v>501</v>
      </c>
      <c r="F2229">
        <v>182</v>
      </c>
      <c r="G2229" t="s">
        <v>253</v>
      </c>
      <c r="H2229" t="s">
        <v>12</v>
      </c>
      <c r="I2229">
        <v>1898.3565000000001</v>
      </c>
    </row>
    <row r="2230" spans="5:9" ht="15.75" hidden="1" customHeight="1" x14ac:dyDescent="0.2">
      <c r="E2230" t="s">
        <v>502</v>
      </c>
      <c r="F2230">
        <v>183</v>
      </c>
      <c r="G2230" t="s">
        <v>253</v>
      </c>
      <c r="H2230" t="s">
        <v>12</v>
      </c>
      <c r="I2230">
        <v>331.93119999999999</v>
      </c>
    </row>
    <row r="2231" spans="5:9" ht="15.75" hidden="1" customHeight="1" x14ac:dyDescent="0.2">
      <c r="E2231" t="s">
        <v>503</v>
      </c>
      <c r="F2231">
        <v>184</v>
      </c>
      <c r="G2231" t="s">
        <v>253</v>
      </c>
      <c r="H2231" t="s">
        <v>12</v>
      </c>
      <c r="I2231">
        <v>361.2099</v>
      </c>
    </row>
    <row r="2232" spans="5:9" ht="15.75" hidden="1" customHeight="1" x14ac:dyDescent="0.2">
      <c r="E2232" t="s">
        <v>504</v>
      </c>
      <c r="F2232">
        <v>185</v>
      </c>
      <c r="G2232" t="s">
        <v>253</v>
      </c>
      <c r="H2232" t="s">
        <v>12</v>
      </c>
      <c r="I2232">
        <v>57.359400000000001</v>
      </c>
    </row>
    <row r="2233" spans="5:9" ht="15.75" hidden="1" customHeight="1" x14ac:dyDescent="0.2">
      <c r="E2233" t="s">
        <v>505</v>
      </c>
      <c r="F2233">
        <v>186</v>
      </c>
      <c r="G2233" t="s">
        <v>253</v>
      </c>
      <c r="H2233" t="s">
        <v>12</v>
      </c>
      <c r="I2233">
        <v>91.738399999999999</v>
      </c>
    </row>
    <row r="2234" spans="5:9" ht="15.75" hidden="1" customHeight="1" x14ac:dyDescent="0.2">
      <c r="E2234" t="s">
        <v>287</v>
      </c>
      <c r="F2234">
        <v>1</v>
      </c>
      <c r="G2234" t="s">
        <v>293</v>
      </c>
      <c r="H2234" t="s">
        <v>13</v>
      </c>
      <c r="I2234">
        <v>0</v>
      </c>
    </row>
    <row r="2235" spans="5:9" ht="15.75" hidden="1" customHeight="1" x14ac:dyDescent="0.2">
      <c r="E2235" t="s">
        <v>350</v>
      </c>
      <c r="F2235">
        <v>2</v>
      </c>
      <c r="G2235" t="s">
        <v>293</v>
      </c>
      <c r="H2235" t="s">
        <v>13</v>
      </c>
      <c r="I2235">
        <v>1</v>
      </c>
    </row>
    <row r="2236" spans="5:9" ht="15.75" hidden="1" customHeight="1" x14ac:dyDescent="0.2">
      <c r="E2236" t="s">
        <v>351</v>
      </c>
      <c r="F2236">
        <v>3</v>
      </c>
      <c r="G2236" t="s">
        <v>293</v>
      </c>
      <c r="H2236" t="s">
        <v>13</v>
      </c>
      <c r="I2236">
        <v>0</v>
      </c>
    </row>
    <row r="2237" spans="5:9" ht="15.75" hidden="1" customHeight="1" x14ac:dyDescent="0.2">
      <c r="E2237" t="s">
        <v>352</v>
      </c>
      <c r="F2237">
        <v>4</v>
      </c>
      <c r="G2237" t="s">
        <v>293</v>
      </c>
      <c r="H2237" t="s">
        <v>13</v>
      </c>
      <c r="I2237">
        <v>0.28570000000000001</v>
      </c>
    </row>
    <row r="2238" spans="5:9" ht="15.75" hidden="1" customHeight="1" x14ac:dyDescent="0.2">
      <c r="E2238" t="s">
        <v>354</v>
      </c>
      <c r="F2238">
        <v>5</v>
      </c>
      <c r="G2238" t="s">
        <v>293</v>
      </c>
      <c r="H2238" t="s">
        <v>13</v>
      </c>
      <c r="I2238">
        <v>0</v>
      </c>
    </row>
    <row r="2239" spans="5:9" ht="15.75" hidden="1" customHeight="1" x14ac:dyDescent="0.2">
      <c r="E2239" t="s">
        <v>356</v>
      </c>
      <c r="F2239">
        <v>6</v>
      </c>
      <c r="G2239" t="s">
        <v>293</v>
      </c>
      <c r="H2239" t="s">
        <v>13</v>
      </c>
      <c r="I2239">
        <v>0</v>
      </c>
    </row>
    <row r="2240" spans="5:9" ht="15.75" hidden="1" customHeight="1" x14ac:dyDescent="0.2">
      <c r="E2240" t="s">
        <v>358</v>
      </c>
      <c r="F2240">
        <v>7</v>
      </c>
      <c r="G2240" t="s">
        <v>293</v>
      </c>
      <c r="H2240" t="s">
        <v>13</v>
      </c>
      <c r="I2240">
        <v>1</v>
      </c>
    </row>
    <row r="2241" spans="5:9" ht="15.75" hidden="1" customHeight="1" x14ac:dyDescent="0.2">
      <c r="E2241" t="s">
        <v>359</v>
      </c>
      <c r="F2241">
        <v>8</v>
      </c>
      <c r="G2241" t="s">
        <v>293</v>
      </c>
      <c r="H2241" t="s">
        <v>13</v>
      </c>
      <c r="I2241">
        <v>1</v>
      </c>
    </row>
    <row r="2242" spans="5:9" ht="15.75" hidden="1" customHeight="1" x14ac:dyDescent="0.2">
      <c r="E2242" t="s">
        <v>360</v>
      </c>
      <c r="F2242">
        <v>9</v>
      </c>
      <c r="G2242" t="s">
        <v>293</v>
      </c>
      <c r="H2242" t="s">
        <v>13</v>
      </c>
      <c r="I2242">
        <v>1</v>
      </c>
    </row>
    <row r="2243" spans="5:9" ht="15.75" hidden="1" customHeight="1" x14ac:dyDescent="0.2">
      <c r="E2243" t="s">
        <v>361</v>
      </c>
      <c r="F2243">
        <v>10</v>
      </c>
      <c r="G2243" t="s">
        <v>293</v>
      </c>
      <c r="H2243" t="s">
        <v>13</v>
      </c>
      <c r="I2243">
        <v>0</v>
      </c>
    </row>
    <row r="2244" spans="5:9" ht="15.75" hidden="1" customHeight="1" x14ac:dyDescent="0.2">
      <c r="E2244" t="s">
        <v>362</v>
      </c>
      <c r="F2244">
        <v>11</v>
      </c>
      <c r="G2244" t="s">
        <v>293</v>
      </c>
      <c r="H2244" t="s">
        <v>13</v>
      </c>
      <c r="I2244">
        <v>1</v>
      </c>
    </row>
    <row r="2245" spans="5:9" ht="15.75" hidden="1" customHeight="1" x14ac:dyDescent="0.2">
      <c r="E2245" t="s">
        <v>363</v>
      </c>
      <c r="F2245">
        <v>12</v>
      </c>
      <c r="G2245" t="s">
        <v>293</v>
      </c>
      <c r="H2245" t="s">
        <v>13</v>
      </c>
      <c r="I2245">
        <v>0</v>
      </c>
    </row>
    <row r="2246" spans="5:9" ht="15.75" hidden="1" customHeight="1" x14ac:dyDescent="0.2">
      <c r="E2246" t="s">
        <v>365</v>
      </c>
      <c r="F2246">
        <v>13</v>
      </c>
      <c r="G2246" t="s">
        <v>293</v>
      </c>
      <c r="H2246" t="s">
        <v>13</v>
      </c>
      <c r="I2246">
        <v>0</v>
      </c>
    </row>
    <row r="2247" spans="5:9" ht="15.75" hidden="1" customHeight="1" x14ac:dyDescent="0.2">
      <c r="E2247" t="s">
        <v>369</v>
      </c>
      <c r="F2247">
        <v>14</v>
      </c>
      <c r="G2247" t="s">
        <v>293</v>
      </c>
      <c r="H2247" t="s">
        <v>13</v>
      </c>
      <c r="I2247">
        <v>1</v>
      </c>
    </row>
    <row r="2248" spans="5:9" ht="15.75" hidden="1" customHeight="1" x14ac:dyDescent="0.2">
      <c r="E2248" t="s">
        <v>370</v>
      </c>
      <c r="F2248">
        <v>15</v>
      </c>
      <c r="G2248" t="s">
        <v>293</v>
      </c>
      <c r="H2248" t="s">
        <v>13</v>
      </c>
      <c r="I2248">
        <v>0.5</v>
      </c>
    </row>
    <row r="2249" spans="5:9" ht="15.75" hidden="1" customHeight="1" x14ac:dyDescent="0.2">
      <c r="E2249" t="s">
        <v>371</v>
      </c>
      <c r="F2249">
        <v>16</v>
      </c>
      <c r="G2249" t="s">
        <v>293</v>
      </c>
      <c r="H2249" t="s">
        <v>13</v>
      </c>
      <c r="I2249">
        <v>1</v>
      </c>
    </row>
    <row r="2250" spans="5:9" ht="15.75" hidden="1" customHeight="1" x14ac:dyDescent="0.2">
      <c r="E2250" t="s">
        <v>372</v>
      </c>
      <c r="F2250">
        <v>17</v>
      </c>
      <c r="G2250" t="s">
        <v>293</v>
      </c>
      <c r="H2250" t="s">
        <v>13</v>
      </c>
      <c r="I2250">
        <v>0</v>
      </c>
    </row>
    <row r="2251" spans="5:9" ht="15.75" hidden="1" customHeight="1" x14ac:dyDescent="0.2">
      <c r="E2251" t="s">
        <v>373</v>
      </c>
      <c r="F2251">
        <v>18</v>
      </c>
      <c r="G2251" t="s">
        <v>293</v>
      </c>
      <c r="H2251" t="s">
        <v>13</v>
      </c>
      <c r="I2251">
        <v>1</v>
      </c>
    </row>
    <row r="2252" spans="5:9" ht="15.75" hidden="1" customHeight="1" x14ac:dyDescent="0.2">
      <c r="E2252" t="s">
        <v>374</v>
      </c>
      <c r="F2252">
        <v>19</v>
      </c>
      <c r="G2252" t="s">
        <v>293</v>
      </c>
      <c r="H2252" t="s">
        <v>13</v>
      </c>
      <c r="I2252">
        <v>1</v>
      </c>
    </row>
    <row r="2253" spans="5:9" ht="15.75" hidden="1" customHeight="1" x14ac:dyDescent="0.2">
      <c r="E2253" t="s">
        <v>375</v>
      </c>
      <c r="F2253">
        <v>20</v>
      </c>
      <c r="G2253" t="s">
        <v>293</v>
      </c>
      <c r="H2253" t="s">
        <v>13</v>
      </c>
      <c r="I2253">
        <v>1</v>
      </c>
    </row>
    <row r="2254" spans="5:9" ht="15.75" hidden="1" customHeight="1" x14ac:dyDescent="0.2">
      <c r="E2254" t="s">
        <v>376</v>
      </c>
      <c r="F2254">
        <v>21</v>
      </c>
      <c r="G2254" t="s">
        <v>293</v>
      </c>
      <c r="H2254" t="s">
        <v>13</v>
      </c>
      <c r="I2254">
        <v>1</v>
      </c>
    </row>
    <row r="2255" spans="5:9" ht="15.75" hidden="1" customHeight="1" x14ac:dyDescent="0.2">
      <c r="E2255" t="s">
        <v>377</v>
      </c>
      <c r="F2255">
        <v>22</v>
      </c>
      <c r="G2255" t="s">
        <v>293</v>
      </c>
      <c r="H2255" t="s">
        <v>13</v>
      </c>
      <c r="I2255">
        <v>0</v>
      </c>
    </row>
    <row r="2256" spans="5:9" ht="15.75" hidden="1" customHeight="1" x14ac:dyDescent="0.2">
      <c r="E2256" t="s">
        <v>378</v>
      </c>
      <c r="F2256">
        <v>23</v>
      </c>
      <c r="G2256" t="s">
        <v>293</v>
      </c>
      <c r="H2256" t="s">
        <v>13</v>
      </c>
      <c r="I2256">
        <v>1</v>
      </c>
    </row>
    <row r="2257" spans="5:9" ht="15.75" hidden="1" customHeight="1" x14ac:dyDescent="0.2">
      <c r="E2257" t="s">
        <v>379</v>
      </c>
      <c r="F2257">
        <v>24</v>
      </c>
      <c r="G2257" t="s">
        <v>293</v>
      </c>
      <c r="H2257" t="s">
        <v>13</v>
      </c>
      <c r="I2257">
        <v>0</v>
      </c>
    </row>
    <row r="2258" spans="5:9" ht="15.75" hidden="1" customHeight="1" x14ac:dyDescent="0.2">
      <c r="E2258" t="s">
        <v>380</v>
      </c>
      <c r="F2258">
        <v>25</v>
      </c>
      <c r="G2258" t="s">
        <v>293</v>
      </c>
      <c r="H2258" t="s">
        <v>13</v>
      </c>
      <c r="I2258">
        <v>0</v>
      </c>
    </row>
    <row r="2259" spans="5:9" ht="15.75" hidden="1" customHeight="1" x14ac:dyDescent="0.2">
      <c r="E2259" t="s">
        <v>381</v>
      </c>
      <c r="F2259">
        <v>26</v>
      </c>
      <c r="G2259" t="s">
        <v>293</v>
      </c>
      <c r="H2259" t="s">
        <v>13</v>
      </c>
      <c r="I2259">
        <v>0</v>
      </c>
    </row>
    <row r="2260" spans="5:9" ht="15.75" hidden="1" customHeight="1" x14ac:dyDescent="0.2">
      <c r="E2260" t="s">
        <v>382</v>
      </c>
      <c r="F2260">
        <v>27</v>
      </c>
      <c r="G2260" t="s">
        <v>293</v>
      </c>
      <c r="H2260" t="s">
        <v>13</v>
      </c>
      <c r="I2260">
        <v>0</v>
      </c>
    </row>
    <row r="2261" spans="5:9" ht="15.75" hidden="1" customHeight="1" x14ac:dyDescent="0.2">
      <c r="E2261" t="s">
        <v>383</v>
      </c>
      <c r="F2261">
        <v>28</v>
      </c>
      <c r="G2261" t="s">
        <v>293</v>
      </c>
      <c r="H2261" t="s">
        <v>13</v>
      </c>
      <c r="I2261">
        <v>1</v>
      </c>
    </row>
    <row r="2262" spans="5:9" ht="15.75" hidden="1" customHeight="1" x14ac:dyDescent="0.2">
      <c r="E2262" t="s">
        <v>385</v>
      </c>
      <c r="F2262">
        <v>29</v>
      </c>
      <c r="G2262" t="s">
        <v>293</v>
      </c>
      <c r="H2262" t="s">
        <v>13</v>
      </c>
      <c r="I2262">
        <v>0</v>
      </c>
    </row>
    <row r="2263" spans="5:9" ht="15.75" hidden="1" customHeight="1" x14ac:dyDescent="0.2">
      <c r="E2263" t="s">
        <v>387</v>
      </c>
      <c r="F2263">
        <v>30</v>
      </c>
      <c r="G2263" t="s">
        <v>293</v>
      </c>
      <c r="H2263" t="s">
        <v>13</v>
      </c>
      <c r="I2263">
        <v>0</v>
      </c>
    </row>
    <row r="2264" spans="5:9" ht="15.75" hidden="1" customHeight="1" x14ac:dyDescent="0.2">
      <c r="E2264" t="s">
        <v>388</v>
      </c>
      <c r="F2264">
        <v>31</v>
      </c>
      <c r="G2264" t="s">
        <v>293</v>
      </c>
      <c r="H2264" t="s">
        <v>13</v>
      </c>
      <c r="I2264">
        <v>0</v>
      </c>
    </row>
    <row r="2265" spans="5:9" ht="15.75" hidden="1" customHeight="1" x14ac:dyDescent="0.2">
      <c r="E2265" t="s">
        <v>389</v>
      </c>
      <c r="F2265">
        <v>32</v>
      </c>
      <c r="G2265" t="s">
        <v>293</v>
      </c>
      <c r="H2265" t="s">
        <v>13</v>
      </c>
      <c r="I2265">
        <v>0</v>
      </c>
    </row>
    <row r="2266" spans="5:9" ht="15.75" hidden="1" customHeight="1" x14ac:dyDescent="0.2">
      <c r="E2266" t="s">
        <v>390</v>
      </c>
      <c r="F2266">
        <v>33</v>
      </c>
      <c r="G2266" t="s">
        <v>293</v>
      </c>
      <c r="H2266" t="s">
        <v>13</v>
      </c>
      <c r="I2266">
        <v>0</v>
      </c>
    </row>
    <row r="2267" spans="5:9" ht="15.75" hidden="1" customHeight="1" x14ac:dyDescent="0.2">
      <c r="E2267" t="s">
        <v>391</v>
      </c>
      <c r="F2267">
        <v>34</v>
      </c>
      <c r="G2267" t="s">
        <v>293</v>
      </c>
      <c r="H2267" t="s">
        <v>13</v>
      </c>
      <c r="I2267">
        <v>0</v>
      </c>
    </row>
    <row r="2268" spans="5:9" ht="15.75" hidden="1" customHeight="1" x14ac:dyDescent="0.2">
      <c r="E2268" t="s">
        <v>393</v>
      </c>
      <c r="F2268">
        <v>35</v>
      </c>
      <c r="G2268" t="s">
        <v>293</v>
      </c>
      <c r="H2268" t="s">
        <v>13</v>
      </c>
      <c r="I2268">
        <v>1</v>
      </c>
    </row>
    <row r="2269" spans="5:9" ht="15.75" hidden="1" customHeight="1" x14ac:dyDescent="0.2">
      <c r="E2269" t="s">
        <v>394</v>
      </c>
      <c r="F2269">
        <v>36</v>
      </c>
      <c r="G2269" t="s">
        <v>293</v>
      </c>
      <c r="H2269" t="s">
        <v>13</v>
      </c>
      <c r="I2269">
        <v>1</v>
      </c>
    </row>
    <row r="2270" spans="5:9" ht="15.75" hidden="1" customHeight="1" x14ac:dyDescent="0.2">
      <c r="E2270" t="s">
        <v>395</v>
      </c>
      <c r="F2270">
        <v>37</v>
      </c>
      <c r="G2270" t="s">
        <v>293</v>
      </c>
      <c r="H2270" t="s">
        <v>13</v>
      </c>
      <c r="I2270">
        <v>1</v>
      </c>
    </row>
    <row r="2271" spans="5:9" ht="15.75" hidden="1" customHeight="1" x14ac:dyDescent="0.2">
      <c r="E2271" t="s">
        <v>396</v>
      </c>
      <c r="F2271">
        <v>38</v>
      </c>
      <c r="G2271" t="s">
        <v>293</v>
      </c>
      <c r="H2271" t="s">
        <v>13</v>
      </c>
      <c r="I2271">
        <v>1</v>
      </c>
    </row>
    <row r="2272" spans="5:9" ht="15.75" hidden="1" customHeight="1" x14ac:dyDescent="0.2">
      <c r="E2272" t="s">
        <v>397</v>
      </c>
      <c r="F2272">
        <v>39</v>
      </c>
      <c r="G2272" t="s">
        <v>293</v>
      </c>
      <c r="H2272" t="s">
        <v>13</v>
      </c>
      <c r="I2272">
        <v>1</v>
      </c>
    </row>
    <row r="2273" spans="5:9" ht="15.75" hidden="1" customHeight="1" x14ac:dyDescent="0.2">
      <c r="E2273" t="s">
        <v>398</v>
      </c>
      <c r="F2273">
        <v>40</v>
      </c>
      <c r="G2273" t="s">
        <v>293</v>
      </c>
      <c r="H2273" t="s">
        <v>13</v>
      </c>
      <c r="I2273">
        <v>1</v>
      </c>
    </row>
    <row r="2274" spans="5:9" ht="15.75" hidden="1" customHeight="1" x14ac:dyDescent="0.2">
      <c r="E2274" t="s">
        <v>399</v>
      </c>
      <c r="F2274">
        <v>41</v>
      </c>
      <c r="G2274" t="s">
        <v>293</v>
      </c>
      <c r="H2274" t="s">
        <v>13</v>
      </c>
      <c r="I2274">
        <v>1</v>
      </c>
    </row>
    <row r="2275" spans="5:9" ht="15.75" hidden="1" customHeight="1" x14ac:dyDescent="0.2">
      <c r="E2275" t="s">
        <v>400</v>
      </c>
      <c r="F2275">
        <v>42</v>
      </c>
      <c r="G2275" t="s">
        <v>293</v>
      </c>
      <c r="H2275" t="s">
        <v>13</v>
      </c>
      <c r="I2275">
        <v>1</v>
      </c>
    </row>
    <row r="2276" spans="5:9" ht="15.75" hidden="1" customHeight="1" x14ac:dyDescent="0.2">
      <c r="E2276" t="s">
        <v>401</v>
      </c>
      <c r="F2276">
        <v>43</v>
      </c>
      <c r="G2276" t="s">
        <v>293</v>
      </c>
      <c r="H2276" t="s">
        <v>13</v>
      </c>
      <c r="I2276">
        <v>1</v>
      </c>
    </row>
    <row r="2277" spans="5:9" ht="15.75" hidden="1" customHeight="1" x14ac:dyDescent="0.2">
      <c r="E2277" t="s">
        <v>402</v>
      </c>
      <c r="F2277">
        <v>44</v>
      </c>
      <c r="G2277" t="s">
        <v>293</v>
      </c>
      <c r="H2277" t="s">
        <v>13</v>
      </c>
      <c r="I2277">
        <v>1</v>
      </c>
    </row>
    <row r="2278" spans="5:9" ht="15.75" hidden="1" customHeight="1" x14ac:dyDescent="0.2">
      <c r="E2278" t="s">
        <v>403</v>
      </c>
      <c r="F2278">
        <v>45</v>
      </c>
      <c r="G2278" t="s">
        <v>293</v>
      </c>
      <c r="H2278" t="s">
        <v>13</v>
      </c>
      <c r="I2278">
        <v>1</v>
      </c>
    </row>
    <row r="2279" spans="5:9" ht="15.75" hidden="1" customHeight="1" x14ac:dyDescent="0.2">
      <c r="E2279" t="s">
        <v>404</v>
      </c>
      <c r="F2279">
        <v>46</v>
      </c>
      <c r="G2279" t="s">
        <v>293</v>
      </c>
      <c r="H2279" t="s">
        <v>13</v>
      </c>
      <c r="I2279">
        <v>1</v>
      </c>
    </row>
    <row r="2280" spans="5:9" ht="15.75" hidden="1" customHeight="1" x14ac:dyDescent="0.2">
      <c r="E2280" t="s">
        <v>405</v>
      </c>
      <c r="F2280">
        <v>47</v>
      </c>
      <c r="G2280" t="s">
        <v>293</v>
      </c>
      <c r="H2280" t="s">
        <v>13</v>
      </c>
      <c r="I2280">
        <v>1</v>
      </c>
    </row>
    <row r="2281" spans="5:9" ht="15.75" hidden="1" customHeight="1" x14ac:dyDescent="0.2">
      <c r="E2281" t="s">
        <v>406</v>
      </c>
      <c r="F2281">
        <v>48</v>
      </c>
      <c r="G2281" t="s">
        <v>293</v>
      </c>
      <c r="H2281" t="s">
        <v>13</v>
      </c>
      <c r="I2281">
        <v>1</v>
      </c>
    </row>
    <row r="2282" spans="5:9" ht="15.75" hidden="1" customHeight="1" x14ac:dyDescent="0.2">
      <c r="E2282" t="s">
        <v>376</v>
      </c>
      <c r="F2282">
        <v>49</v>
      </c>
      <c r="G2282" t="s">
        <v>293</v>
      </c>
      <c r="H2282" t="s">
        <v>13</v>
      </c>
      <c r="I2282">
        <v>1</v>
      </c>
    </row>
    <row r="2283" spans="5:9" ht="15.75" hidden="1" customHeight="1" x14ac:dyDescent="0.2">
      <c r="E2283" t="s">
        <v>407</v>
      </c>
      <c r="F2283">
        <v>50</v>
      </c>
      <c r="G2283" t="s">
        <v>293</v>
      </c>
      <c r="H2283" t="s">
        <v>13</v>
      </c>
      <c r="I2283">
        <v>0</v>
      </c>
    </row>
    <row r="2284" spans="5:9" ht="15.75" hidden="1" customHeight="1" x14ac:dyDescent="0.2">
      <c r="E2284" t="s">
        <v>408</v>
      </c>
      <c r="F2284">
        <v>51</v>
      </c>
      <c r="G2284" t="s">
        <v>293</v>
      </c>
      <c r="H2284" t="s">
        <v>13</v>
      </c>
      <c r="I2284">
        <v>0</v>
      </c>
    </row>
    <row r="2285" spans="5:9" ht="15.75" hidden="1" customHeight="1" x14ac:dyDescent="0.2">
      <c r="E2285" t="s">
        <v>409</v>
      </c>
      <c r="F2285">
        <v>52</v>
      </c>
      <c r="G2285" t="s">
        <v>293</v>
      </c>
      <c r="H2285" t="s">
        <v>13</v>
      </c>
      <c r="I2285">
        <v>0</v>
      </c>
    </row>
    <row r="2286" spans="5:9" ht="15.75" hidden="1" customHeight="1" x14ac:dyDescent="0.2">
      <c r="E2286" t="s">
        <v>410</v>
      </c>
      <c r="F2286">
        <v>53</v>
      </c>
      <c r="G2286" t="s">
        <v>293</v>
      </c>
      <c r="H2286" t="s">
        <v>13</v>
      </c>
      <c r="I2286">
        <v>0.66669999999999996</v>
      </c>
    </row>
    <row r="2287" spans="5:9" ht="15.75" hidden="1" customHeight="1" x14ac:dyDescent="0.2">
      <c r="E2287" t="s">
        <v>411</v>
      </c>
      <c r="F2287">
        <v>54</v>
      </c>
      <c r="G2287" t="s">
        <v>293</v>
      </c>
      <c r="H2287" t="s">
        <v>13</v>
      </c>
      <c r="I2287">
        <v>0.85709999999999997</v>
      </c>
    </row>
    <row r="2288" spans="5:9" ht="15.75" hidden="1" customHeight="1" x14ac:dyDescent="0.2">
      <c r="E2288" t="s">
        <v>412</v>
      </c>
      <c r="F2288">
        <v>55</v>
      </c>
      <c r="G2288" t="s">
        <v>293</v>
      </c>
      <c r="H2288" t="s">
        <v>13</v>
      </c>
      <c r="I2288">
        <v>1</v>
      </c>
    </row>
    <row r="2289" spans="5:9" ht="15.75" hidden="1" customHeight="1" x14ac:dyDescent="0.2">
      <c r="E2289" t="s">
        <v>413</v>
      </c>
      <c r="F2289">
        <v>56</v>
      </c>
      <c r="G2289" t="s">
        <v>293</v>
      </c>
      <c r="H2289" t="s">
        <v>13</v>
      </c>
      <c r="I2289">
        <v>0.66669999999999996</v>
      </c>
    </row>
    <row r="2290" spans="5:9" ht="15.75" hidden="1" customHeight="1" x14ac:dyDescent="0.2">
      <c r="E2290" t="s">
        <v>414</v>
      </c>
      <c r="F2290">
        <v>57</v>
      </c>
      <c r="G2290" t="s">
        <v>293</v>
      </c>
      <c r="H2290" t="s">
        <v>13</v>
      </c>
      <c r="I2290">
        <v>0.8</v>
      </c>
    </row>
    <row r="2291" spans="5:9" ht="15.75" hidden="1" customHeight="1" x14ac:dyDescent="0.2">
      <c r="E2291" t="s">
        <v>415</v>
      </c>
      <c r="F2291">
        <v>58</v>
      </c>
      <c r="G2291" t="s">
        <v>293</v>
      </c>
      <c r="H2291" t="s">
        <v>13</v>
      </c>
      <c r="I2291">
        <v>0.8</v>
      </c>
    </row>
    <row r="2292" spans="5:9" ht="15.75" hidden="1" customHeight="1" x14ac:dyDescent="0.2">
      <c r="E2292" t="s">
        <v>416</v>
      </c>
      <c r="F2292">
        <v>59</v>
      </c>
      <c r="G2292" t="s">
        <v>293</v>
      </c>
      <c r="H2292" t="s">
        <v>13</v>
      </c>
      <c r="I2292">
        <v>1</v>
      </c>
    </row>
    <row r="2293" spans="5:9" ht="15.75" hidden="1" customHeight="1" x14ac:dyDescent="0.2">
      <c r="E2293" t="s">
        <v>417</v>
      </c>
      <c r="F2293">
        <v>60</v>
      </c>
      <c r="G2293" t="s">
        <v>293</v>
      </c>
      <c r="H2293" t="s">
        <v>13</v>
      </c>
      <c r="I2293">
        <v>1</v>
      </c>
    </row>
    <row r="2294" spans="5:9" ht="15.75" hidden="1" customHeight="1" x14ac:dyDescent="0.2">
      <c r="E2294" t="s">
        <v>418</v>
      </c>
      <c r="F2294">
        <v>61</v>
      </c>
      <c r="G2294" t="s">
        <v>293</v>
      </c>
      <c r="H2294" t="s">
        <v>13</v>
      </c>
      <c r="I2294">
        <v>1</v>
      </c>
    </row>
    <row r="2295" spans="5:9" ht="15.75" hidden="1" customHeight="1" x14ac:dyDescent="0.2">
      <c r="E2295" t="s">
        <v>419</v>
      </c>
      <c r="F2295">
        <v>62</v>
      </c>
      <c r="G2295" t="s">
        <v>293</v>
      </c>
      <c r="H2295" t="s">
        <v>13</v>
      </c>
      <c r="I2295">
        <v>1</v>
      </c>
    </row>
    <row r="2296" spans="5:9" ht="15.75" hidden="1" customHeight="1" x14ac:dyDescent="0.2">
      <c r="E2296" t="s">
        <v>421</v>
      </c>
      <c r="F2296">
        <v>63</v>
      </c>
      <c r="G2296" t="s">
        <v>293</v>
      </c>
      <c r="H2296" t="s">
        <v>13</v>
      </c>
      <c r="I2296">
        <v>0</v>
      </c>
    </row>
    <row r="2297" spans="5:9" ht="15.75" hidden="1" customHeight="1" x14ac:dyDescent="0.2">
      <c r="E2297" t="s">
        <v>422</v>
      </c>
      <c r="F2297">
        <v>64</v>
      </c>
      <c r="G2297" t="s">
        <v>293</v>
      </c>
      <c r="H2297" t="s">
        <v>13</v>
      </c>
      <c r="I2297">
        <v>1</v>
      </c>
    </row>
    <row r="2298" spans="5:9" ht="15.75" hidden="1" customHeight="1" x14ac:dyDescent="0.2">
      <c r="E2298" t="s">
        <v>423</v>
      </c>
      <c r="F2298">
        <v>65</v>
      </c>
      <c r="G2298" t="s">
        <v>293</v>
      </c>
      <c r="H2298" t="s">
        <v>13</v>
      </c>
      <c r="I2298">
        <v>1</v>
      </c>
    </row>
    <row r="2299" spans="5:9" ht="15.75" hidden="1" customHeight="1" x14ac:dyDescent="0.2">
      <c r="E2299" t="s">
        <v>424</v>
      </c>
      <c r="F2299">
        <v>66</v>
      </c>
      <c r="G2299" t="s">
        <v>293</v>
      </c>
      <c r="H2299" t="s">
        <v>13</v>
      </c>
      <c r="I2299">
        <v>1</v>
      </c>
    </row>
    <row r="2300" spans="5:9" ht="15.75" hidden="1" customHeight="1" x14ac:dyDescent="0.2">
      <c r="E2300" t="s">
        <v>425</v>
      </c>
      <c r="F2300">
        <v>67</v>
      </c>
      <c r="G2300" t="s">
        <v>293</v>
      </c>
      <c r="H2300" t="s">
        <v>13</v>
      </c>
      <c r="I2300">
        <v>1</v>
      </c>
    </row>
    <row r="2301" spans="5:9" ht="15.75" hidden="1" customHeight="1" x14ac:dyDescent="0.2">
      <c r="E2301" t="s">
        <v>426</v>
      </c>
      <c r="F2301">
        <v>68</v>
      </c>
      <c r="G2301" t="s">
        <v>293</v>
      </c>
      <c r="H2301" t="s">
        <v>13</v>
      </c>
      <c r="I2301">
        <v>1</v>
      </c>
    </row>
    <row r="2302" spans="5:9" ht="15.75" hidden="1" customHeight="1" x14ac:dyDescent="0.2">
      <c r="E2302" t="s">
        <v>427</v>
      </c>
      <c r="F2302">
        <v>69</v>
      </c>
      <c r="G2302" t="s">
        <v>293</v>
      </c>
      <c r="H2302" t="s">
        <v>13</v>
      </c>
      <c r="I2302">
        <v>1</v>
      </c>
    </row>
    <row r="2303" spans="5:9" ht="15.75" hidden="1" customHeight="1" x14ac:dyDescent="0.2">
      <c r="E2303" t="s">
        <v>428</v>
      </c>
      <c r="F2303">
        <v>70</v>
      </c>
      <c r="G2303" t="s">
        <v>293</v>
      </c>
      <c r="H2303" t="s">
        <v>13</v>
      </c>
      <c r="I2303">
        <v>1</v>
      </c>
    </row>
    <row r="2304" spans="5:9" ht="15.75" hidden="1" customHeight="1" x14ac:dyDescent="0.2">
      <c r="E2304" t="s">
        <v>429</v>
      </c>
      <c r="F2304">
        <v>71</v>
      </c>
      <c r="G2304" t="s">
        <v>293</v>
      </c>
      <c r="H2304" t="s">
        <v>13</v>
      </c>
      <c r="I2304">
        <v>1</v>
      </c>
    </row>
    <row r="2305" spans="5:9" ht="15.75" hidden="1" customHeight="1" x14ac:dyDescent="0.2">
      <c r="E2305" t="s">
        <v>430</v>
      </c>
      <c r="F2305">
        <v>72</v>
      </c>
      <c r="G2305" t="s">
        <v>293</v>
      </c>
      <c r="H2305" t="s">
        <v>13</v>
      </c>
      <c r="I2305">
        <v>1</v>
      </c>
    </row>
    <row r="2306" spans="5:9" ht="15.75" hidden="1" customHeight="1" x14ac:dyDescent="0.2">
      <c r="E2306" t="s">
        <v>370</v>
      </c>
      <c r="F2306">
        <v>73</v>
      </c>
      <c r="G2306" t="s">
        <v>293</v>
      </c>
      <c r="H2306" t="s">
        <v>13</v>
      </c>
      <c r="I2306">
        <v>0</v>
      </c>
    </row>
    <row r="2307" spans="5:9" ht="15.75" hidden="1" customHeight="1" x14ac:dyDescent="0.2">
      <c r="E2307" t="s">
        <v>373</v>
      </c>
      <c r="F2307">
        <v>74</v>
      </c>
      <c r="G2307" t="s">
        <v>293</v>
      </c>
      <c r="H2307" t="s">
        <v>13</v>
      </c>
      <c r="I2307">
        <v>0</v>
      </c>
    </row>
    <row r="2308" spans="5:9" ht="15.75" hidden="1" customHeight="1" x14ac:dyDescent="0.2">
      <c r="E2308" t="s">
        <v>374</v>
      </c>
      <c r="F2308">
        <v>75</v>
      </c>
      <c r="G2308" t="s">
        <v>293</v>
      </c>
      <c r="H2308" t="s">
        <v>13</v>
      </c>
      <c r="I2308">
        <v>0</v>
      </c>
    </row>
    <row r="2309" spans="5:9" ht="15.75" hidden="1" customHeight="1" x14ac:dyDescent="0.2">
      <c r="E2309" t="s">
        <v>375</v>
      </c>
      <c r="F2309">
        <v>76</v>
      </c>
      <c r="G2309" t="s">
        <v>293</v>
      </c>
      <c r="H2309" t="s">
        <v>13</v>
      </c>
      <c r="I2309">
        <v>0</v>
      </c>
    </row>
    <row r="2310" spans="5:9" ht="15.75" hidden="1" customHeight="1" x14ac:dyDescent="0.2">
      <c r="E2310" t="s">
        <v>376</v>
      </c>
      <c r="F2310">
        <v>77</v>
      </c>
      <c r="G2310" t="s">
        <v>293</v>
      </c>
      <c r="H2310" t="s">
        <v>13</v>
      </c>
      <c r="I2310">
        <v>0</v>
      </c>
    </row>
    <row r="2311" spans="5:9" ht="15.75" hidden="1" customHeight="1" x14ac:dyDescent="0.2">
      <c r="E2311" t="s">
        <v>382</v>
      </c>
      <c r="F2311">
        <v>78</v>
      </c>
      <c r="G2311" t="s">
        <v>293</v>
      </c>
      <c r="H2311" t="s">
        <v>13</v>
      </c>
      <c r="I2311">
        <v>0</v>
      </c>
    </row>
    <row r="2312" spans="5:9" ht="15.75" hidden="1" customHeight="1" x14ac:dyDescent="0.2">
      <c r="E2312" t="s">
        <v>383</v>
      </c>
      <c r="F2312">
        <v>79</v>
      </c>
      <c r="G2312" t="s">
        <v>293</v>
      </c>
      <c r="H2312" t="s">
        <v>13</v>
      </c>
      <c r="I2312">
        <v>0</v>
      </c>
    </row>
    <row r="2313" spans="5:9" ht="15.75" hidden="1" customHeight="1" x14ac:dyDescent="0.2">
      <c r="E2313" t="s">
        <v>395</v>
      </c>
      <c r="F2313">
        <v>80</v>
      </c>
      <c r="G2313" t="s">
        <v>293</v>
      </c>
      <c r="H2313" t="s">
        <v>13</v>
      </c>
      <c r="I2313">
        <v>0</v>
      </c>
    </row>
    <row r="2314" spans="5:9" ht="15.75" hidden="1" customHeight="1" x14ac:dyDescent="0.2">
      <c r="E2314" t="s">
        <v>397</v>
      </c>
      <c r="F2314">
        <v>81</v>
      </c>
      <c r="G2314" t="s">
        <v>293</v>
      </c>
      <c r="H2314" t="s">
        <v>13</v>
      </c>
      <c r="I2314">
        <v>0</v>
      </c>
    </row>
    <row r="2315" spans="5:9" ht="15.75" hidden="1" customHeight="1" x14ac:dyDescent="0.2">
      <c r="E2315" t="s">
        <v>399</v>
      </c>
      <c r="F2315">
        <v>82</v>
      </c>
      <c r="G2315" t="s">
        <v>293</v>
      </c>
      <c r="H2315" t="s">
        <v>13</v>
      </c>
      <c r="I2315">
        <v>0</v>
      </c>
    </row>
    <row r="2316" spans="5:9" ht="15.75" hidden="1" customHeight="1" x14ac:dyDescent="0.2">
      <c r="E2316" t="s">
        <v>400</v>
      </c>
      <c r="F2316">
        <v>83</v>
      </c>
      <c r="G2316" t="s">
        <v>293</v>
      </c>
      <c r="H2316" t="s">
        <v>13</v>
      </c>
      <c r="I2316">
        <v>0</v>
      </c>
    </row>
    <row r="2317" spans="5:9" ht="15.75" hidden="1" customHeight="1" x14ac:dyDescent="0.2">
      <c r="E2317" t="s">
        <v>401</v>
      </c>
      <c r="F2317">
        <v>84</v>
      </c>
      <c r="G2317" t="s">
        <v>293</v>
      </c>
      <c r="H2317" t="s">
        <v>13</v>
      </c>
      <c r="I2317">
        <v>0</v>
      </c>
    </row>
    <row r="2318" spans="5:9" ht="15.75" hidden="1" customHeight="1" x14ac:dyDescent="0.2">
      <c r="E2318" t="s">
        <v>402</v>
      </c>
      <c r="F2318">
        <v>85</v>
      </c>
      <c r="G2318" t="s">
        <v>293</v>
      </c>
      <c r="H2318" t="s">
        <v>13</v>
      </c>
      <c r="I2318">
        <v>0</v>
      </c>
    </row>
    <row r="2319" spans="5:9" ht="15.75" hidden="1" customHeight="1" x14ac:dyDescent="0.2">
      <c r="E2319" t="s">
        <v>403</v>
      </c>
      <c r="F2319">
        <v>86</v>
      </c>
      <c r="G2319" t="s">
        <v>293</v>
      </c>
      <c r="H2319" t="s">
        <v>13</v>
      </c>
      <c r="I2319">
        <v>0</v>
      </c>
    </row>
    <row r="2320" spans="5:9" ht="15.75" hidden="1" customHeight="1" x14ac:dyDescent="0.2">
      <c r="E2320" t="s">
        <v>404</v>
      </c>
      <c r="F2320">
        <v>87</v>
      </c>
      <c r="G2320" t="s">
        <v>293</v>
      </c>
      <c r="H2320" t="s">
        <v>13</v>
      </c>
      <c r="I2320">
        <v>0</v>
      </c>
    </row>
    <row r="2321" spans="5:9" ht="15.75" hidden="1" customHeight="1" x14ac:dyDescent="0.2">
      <c r="E2321" t="s">
        <v>405</v>
      </c>
      <c r="F2321">
        <v>88</v>
      </c>
      <c r="G2321" t="s">
        <v>293</v>
      </c>
      <c r="H2321" t="s">
        <v>13</v>
      </c>
      <c r="I2321">
        <v>0</v>
      </c>
    </row>
    <row r="2322" spans="5:9" ht="15.75" hidden="1" customHeight="1" x14ac:dyDescent="0.2">
      <c r="E2322" t="s">
        <v>406</v>
      </c>
      <c r="F2322">
        <v>89</v>
      </c>
      <c r="G2322" t="s">
        <v>293</v>
      </c>
      <c r="H2322" t="s">
        <v>13</v>
      </c>
      <c r="I2322">
        <v>0</v>
      </c>
    </row>
    <row r="2323" spans="5:9" ht="15.75" hidden="1" customHeight="1" x14ac:dyDescent="0.2">
      <c r="E2323" t="s">
        <v>376</v>
      </c>
      <c r="F2323">
        <v>90</v>
      </c>
      <c r="G2323" t="s">
        <v>293</v>
      </c>
      <c r="H2323" t="s">
        <v>13</v>
      </c>
      <c r="I2323">
        <v>0</v>
      </c>
    </row>
    <row r="2324" spans="5:9" ht="15.75" hidden="1" customHeight="1" x14ac:dyDescent="0.2">
      <c r="E2324" t="s">
        <v>409</v>
      </c>
      <c r="F2324">
        <v>91</v>
      </c>
      <c r="G2324" t="s">
        <v>293</v>
      </c>
      <c r="H2324" t="s">
        <v>13</v>
      </c>
      <c r="I2324">
        <v>0</v>
      </c>
    </row>
    <row r="2325" spans="5:9" ht="15.75" hidden="1" customHeight="1" x14ac:dyDescent="0.2">
      <c r="E2325" t="s">
        <v>410</v>
      </c>
      <c r="F2325">
        <v>92</v>
      </c>
      <c r="G2325" t="s">
        <v>293</v>
      </c>
      <c r="H2325" t="s">
        <v>13</v>
      </c>
      <c r="I2325">
        <v>0</v>
      </c>
    </row>
    <row r="2326" spans="5:9" ht="15.75" hidden="1" customHeight="1" x14ac:dyDescent="0.2">
      <c r="E2326" t="s">
        <v>413</v>
      </c>
      <c r="F2326">
        <v>93</v>
      </c>
      <c r="G2326" t="s">
        <v>293</v>
      </c>
      <c r="H2326" t="s">
        <v>13</v>
      </c>
      <c r="I2326">
        <v>0</v>
      </c>
    </row>
    <row r="2327" spans="5:9" ht="15.75" hidden="1" customHeight="1" x14ac:dyDescent="0.2">
      <c r="E2327" t="s">
        <v>414</v>
      </c>
      <c r="F2327">
        <v>94</v>
      </c>
      <c r="G2327" t="s">
        <v>293</v>
      </c>
      <c r="H2327" t="s">
        <v>13</v>
      </c>
      <c r="I2327">
        <v>0</v>
      </c>
    </row>
    <row r="2328" spans="5:9" ht="15.75" hidden="1" customHeight="1" x14ac:dyDescent="0.2">
      <c r="E2328" t="s">
        <v>417</v>
      </c>
      <c r="F2328">
        <v>95</v>
      </c>
      <c r="G2328" t="s">
        <v>293</v>
      </c>
      <c r="H2328" t="s">
        <v>13</v>
      </c>
      <c r="I2328">
        <v>0</v>
      </c>
    </row>
    <row r="2329" spans="5:9" ht="15.75" hidden="1" customHeight="1" x14ac:dyDescent="0.2">
      <c r="E2329" t="s">
        <v>440</v>
      </c>
      <c r="F2329">
        <v>96</v>
      </c>
      <c r="G2329" t="s">
        <v>293</v>
      </c>
      <c r="H2329" t="s">
        <v>13</v>
      </c>
      <c r="I2329">
        <v>0</v>
      </c>
    </row>
    <row r="2330" spans="5:9" ht="15.75" hidden="1" customHeight="1" x14ac:dyDescent="0.2">
      <c r="E2330" t="s">
        <v>441</v>
      </c>
      <c r="F2330">
        <v>97</v>
      </c>
      <c r="G2330" t="s">
        <v>293</v>
      </c>
      <c r="H2330" t="s">
        <v>13</v>
      </c>
      <c r="I2330">
        <v>0</v>
      </c>
    </row>
    <row r="2331" spans="5:9" ht="15.75" hidden="1" customHeight="1" x14ac:dyDescent="0.2">
      <c r="E2331" t="s">
        <v>442</v>
      </c>
      <c r="F2331">
        <v>98</v>
      </c>
      <c r="G2331" t="s">
        <v>293</v>
      </c>
      <c r="H2331" t="s">
        <v>13</v>
      </c>
      <c r="I2331">
        <v>0</v>
      </c>
    </row>
    <row r="2332" spans="5:9" ht="15.75" hidden="1" customHeight="1" x14ac:dyDescent="0.2">
      <c r="E2332" t="s">
        <v>443</v>
      </c>
      <c r="F2332">
        <v>99</v>
      </c>
      <c r="G2332" t="s">
        <v>293</v>
      </c>
      <c r="H2332" t="s">
        <v>13</v>
      </c>
      <c r="I2332">
        <v>0</v>
      </c>
    </row>
    <row r="2333" spans="5:9" ht="15.75" hidden="1" customHeight="1" x14ac:dyDescent="0.2">
      <c r="E2333" t="s">
        <v>444</v>
      </c>
      <c r="F2333">
        <v>100</v>
      </c>
      <c r="G2333" t="s">
        <v>293</v>
      </c>
      <c r="H2333" t="s">
        <v>13</v>
      </c>
      <c r="I2333">
        <v>0</v>
      </c>
    </row>
    <row r="2334" spans="5:9" ht="15.75" hidden="1" customHeight="1" x14ac:dyDescent="0.2">
      <c r="E2334" t="s">
        <v>362</v>
      </c>
      <c r="F2334">
        <v>101</v>
      </c>
      <c r="G2334" t="s">
        <v>293</v>
      </c>
      <c r="H2334" t="s">
        <v>13</v>
      </c>
      <c r="I2334">
        <v>0</v>
      </c>
    </row>
    <row r="2335" spans="5:9" ht="15.75" hidden="1" customHeight="1" x14ac:dyDescent="0.2">
      <c r="E2335" t="s">
        <v>446</v>
      </c>
      <c r="F2335">
        <v>102</v>
      </c>
      <c r="G2335" t="s">
        <v>293</v>
      </c>
      <c r="H2335" t="s">
        <v>13</v>
      </c>
      <c r="I2335">
        <v>0</v>
      </c>
    </row>
    <row r="2336" spans="5:9" ht="15.75" hidden="1" customHeight="1" x14ac:dyDescent="0.2">
      <c r="E2336" t="s">
        <v>447</v>
      </c>
      <c r="F2336">
        <v>103</v>
      </c>
      <c r="G2336" t="s">
        <v>293</v>
      </c>
      <c r="H2336" t="s">
        <v>13</v>
      </c>
      <c r="I2336">
        <v>0</v>
      </c>
    </row>
    <row r="2337" spans="5:9" ht="15.75" hidden="1" customHeight="1" x14ac:dyDescent="0.2">
      <c r="E2337" t="s">
        <v>448</v>
      </c>
      <c r="F2337">
        <v>104</v>
      </c>
      <c r="G2337" t="s">
        <v>293</v>
      </c>
      <c r="H2337" t="s">
        <v>13</v>
      </c>
      <c r="I2337">
        <v>0</v>
      </c>
    </row>
    <row r="2338" spans="5:9" ht="15.75" hidden="1" customHeight="1" x14ac:dyDescent="0.2">
      <c r="E2338" t="s">
        <v>449</v>
      </c>
      <c r="F2338">
        <v>105</v>
      </c>
      <c r="G2338" t="s">
        <v>293</v>
      </c>
      <c r="H2338" t="s">
        <v>13</v>
      </c>
      <c r="I2338">
        <v>0</v>
      </c>
    </row>
    <row r="2339" spans="5:9" ht="15.75" hidden="1" customHeight="1" x14ac:dyDescent="0.2">
      <c r="E2339" t="s">
        <v>450</v>
      </c>
      <c r="F2339">
        <v>106</v>
      </c>
      <c r="G2339" t="s">
        <v>293</v>
      </c>
      <c r="H2339" t="s">
        <v>13</v>
      </c>
      <c r="I2339">
        <v>0</v>
      </c>
    </row>
    <row r="2340" spans="5:9" ht="15.75" hidden="1" customHeight="1" x14ac:dyDescent="0.2">
      <c r="E2340" t="s">
        <v>451</v>
      </c>
      <c r="F2340">
        <v>107</v>
      </c>
      <c r="G2340" t="s">
        <v>293</v>
      </c>
      <c r="H2340" t="s">
        <v>13</v>
      </c>
      <c r="I2340">
        <v>0</v>
      </c>
    </row>
    <row r="2341" spans="5:9" ht="15.75" hidden="1" customHeight="1" x14ac:dyDescent="0.2">
      <c r="E2341" t="s">
        <v>452</v>
      </c>
      <c r="F2341">
        <v>108</v>
      </c>
      <c r="G2341" t="s">
        <v>293</v>
      </c>
      <c r="H2341" t="s">
        <v>13</v>
      </c>
      <c r="I2341">
        <v>0</v>
      </c>
    </row>
    <row r="2342" spans="5:9" ht="15.75" hidden="1" customHeight="1" x14ac:dyDescent="0.2">
      <c r="E2342" t="s">
        <v>453</v>
      </c>
      <c r="F2342">
        <v>109</v>
      </c>
      <c r="G2342" t="s">
        <v>293</v>
      </c>
      <c r="H2342" t="s">
        <v>13</v>
      </c>
      <c r="I2342">
        <v>0</v>
      </c>
    </row>
    <row r="2343" spans="5:9" ht="15.75" hidden="1" customHeight="1" x14ac:dyDescent="0.2">
      <c r="E2343" t="s">
        <v>454</v>
      </c>
      <c r="F2343">
        <v>110</v>
      </c>
      <c r="G2343" t="s">
        <v>293</v>
      </c>
      <c r="H2343" t="s">
        <v>13</v>
      </c>
      <c r="I2343">
        <v>0</v>
      </c>
    </row>
    <row r="2344" spans="5:9" ht="15.75" hidden="1" customHeight="1" x14ac:dyDescent="0.2">
      <c r="E2344" t="s">
        <v>455</v>
      </c>
      <c r="F2344">
        <v>111</v>
      </c>
      <c r="G2344" t="s">
        <v>293</v>
      </c>
      <c r="H2344" t="s">
        <v>13</v>
      </c>
      <c r="I2344">
        <v>0</v>
      </c>
    </row>
    <row r="2345" spans="5:9" ht="15.75" hidden="1" customHeight="1" x14ac:dyDescent="0.2">
      <c r="E2345" t="s">
        <v>456</v>
      </c>
      <c r="F2345">
        <v>112</v>
      </c>
      <c r="G2345" t="s">
        <v>293</v>
      </c>
      <c r="H2345" t="s">
        <v>13</v>
      </c>
      <c r="I2345">
        <v>0</v>
      </c>
    </row>
    <row r="2346" spans="5:9" ht="15.75" hidden="1" customHeight="1" x14ac:dyDescent="0.2">
      <c r="E2346" t="s">
        <v>457</v>
      </c>
      <c r="F2346">
        <v>113</v>
      </c>
      <c r="G2346" t="s">
        <v>293</v>
      </c>
      <c r="H2346" t="s">
        <v>13</v>
      </c>
      <c r="I2346">
        <v>0</v>
      </c>
    </row>
    <row r="2347" spans="5:9" ht="15.75" hidden="1" customHeight="1" x14ac:dyDescent="0.2">
      <c r="E2347" t="s">
        <v>459</v>
      </c>
      <c r="F2347">
        <v>114</v>
      </c>
      <c r="G2347" t="s">
        <v>293</v>
      </c>
      <c r="H2347" t="s">
        <v>13</v>
      </c>
      <c r="I2347">
        <v>0</v>
      </c>
    </row>
    <row r="2348" spans="5:9" ht="15.75" hidden="1" customHeight="1" x14ac:dyDescent="0.2">
      <c r="E2348" t="s">
        <v>460</v>
      </c>
      <c r="F2348">
        <v>115</v>
      </c>
      <c r="G2348" t="s">
        <v>293</v>
      </c>
      <c r="H2348" t="s">
        <v>13</v>
      </c>
      <c r="I2348">
        <v>0</v>
      </c>
    </row>
    <row r="2349" spans="5:9" ht="15.75" hidden="1" customHeight="1" x14ac:dyDescent="0.2">
      <c r="E2349" t="s">
        <v>461</v>
      </c>
      <c r="F2349">
        <v>116</v>
      </c>
      <c r="G2349" t="s">
        <v>293</v>
      </c>
      <c r="H2349" t="s">
        <v>13</v>
      </c>
      <c r="I2349">
        <v>0</v>
      </c>
    </row>
    <row r="2350" spans="5:9" ht="15.75" hidden="1" customHeight="1" x14ac:dyDescent="0.2">
      <c r="E2350" t="s">
        <v>462</v>
      </c>
      <c r="F2350">
        <v>117</v>
      </c>
      <c r="G2350" t="s">
        <v>293</v>
      </c>
      <c r="H2350" t="s">
        <v>13</v>
      </c>
      <c r="I2350">
        <v>0</v>
      </c>
    </row>
    <row r="2351" spans="5:9" ht="15.75" hidden="1" customHeight="1" x14ac:dyDescent="0.2">
      <c r="E2351" t="s">
        <v>463</v>
      </c>
      <c r="F2351">
        <v>118</v>
      </c>
      <c r="G2351" t="s">
        <v>293</v>
      </c>
      <c r="H2351" t="s">
        <v>13</v>
      </c>
      <c r="I2351">
        <v>0</v>
      </c>
    </row>
    <row r="2352" spans="5:9" ht="15.75" hidden="1" customHeight="1" x14ac:dyDescent="0.2">
      <c r="E2352" t="s">
        <v>464</v>
      </c>
      <c r="F2352">
        <v>119</v>
      </c>
      <c r="G2352" t="s">
        <v>293</v>
      </c>
      <c r="H2352" t="s">
        <v>13</v>
      </c>
      <c r="I2352">
        <v>0</v>
      </c>
    </row>
    <row r="2353" spans="5:9" ht="15.75" hidden="1" customHeight="1" x14ac:dyDescent="0.2">
      <c r="E2353" t="s">
        <v>465</v>
      </c>
      <c r="F2353">
        <v>120</v>
      </c>
      <c r="G2353" t="s">
        <v>293</v>
      </c>
      <c r="H2353" t="s">
        <v>13</v>
      </c>
      <c r="I2353">
        <v>0</v>
      </c>
    </row>
    <row r="2354" spans="5:9" ht="15.75" hidden="1" customHeight="1" x14ac:dyDescent="0.2">
      <c r="E2354" t="s">
        <v>466</v>
      </c>
      <c r="F2354">
        <v>121</v>
      </c>
      <c r="G2354" t="s">
        <v>293</v>
      </c>
      <c r="H2354" t="s">
        <v>13</v>
      </c>
      <c r="I2354">
        <v>0</v>
      </c>
    </row>
    <row r="2355" spans="5:9" ht="15.75" hidden="1" customHeight="1" x14ac:dyDescent="0.2">
      <c r="E2355" t="s">
        <v>467</v>
      </c>
      <c r="F2355">
        <v>122</v>
      </c>
      <c r="G2355" t="s">
        <v>293</v>
      </c>
      <c r="H2355" t="s">
        <v>13</v>
      </c>
      <c r="I2355">
        <v>0</v>
      </c>
    </row>
    <row r="2356" spans="5:9" ht="15.75" hidden="1" customHeight="1" x14ac:dyDescent="0.2">
      <c r="E2356" t="s">
        <v>468</v>
      </c>
      <c r="F2356">
        <v>123</v>
      </c>
      <c r="G2356" t="s">
        <v>293</v>
      </c>
      <c r="H2356" t="s">
        <v>13</v>
      </c>
      <c r="I2356">
        <v>0</v>
      </c>
    </row>
    <row r="2357" spans="5:9" ht="15.75" hidden="1" customHeight="1" x14ac:dyDescent="0.2">
      <c r="E2357" t="s">
        <v>469</v>
      </c>
      <c r="F2357">
        <v>124</v>
      </c>
      <c r="G2357" t="s">
        <v>293</v>
      </c>
      <c r="H2357" t="s">
        <v>13</v>
      </c>
      <c r="I2357">
        <v>0</v>
      </c>
    </row>
    <row r="2358" spans="5:9" ht="15.75" hidden="1" customHeight="1" x14ac:dyDescent="0.2">
      <c r="E2358" t="s">
        <v>470</v>
      </c>
      <c r="F2358">
        <v>125</v>
      </c>
      <c r="G2358" t="s">
        <v>293</v>
      </c>
      <c r="H2358" t="s">
        <v>13</v>
      </c>
      <c r="I2358">
        <v>0</v>
      </c>
    </row>
    <row r="2359" spans="5:9" ht="15.75" hidden="1" customHeight="1" x14ac:dyDescent="0.2">
      <c r="E2359" t="s">
        <v>471</v>
      </c>
      <c r="F2359">
        <v>126</v>
      </c>
      <c r="G2359" t="s">
        <v>293</v>
      </c>
      <c r="H2359" t="s">
        <v>13</v>
      </c>
      <c r="I2359">
        <v>0</v>
      </c>
    </row>
    <row r="2360" spans="5:9" ht="15.75" hidden="1" customHeight="1" x14ac:dyDescent="0.2">
      <c r="E2360" t="s">
        <v>472</v>
      </c>
      <c r="F2360">
        <v>127</v>
      </c>
      <c r="G2360" t="s">
        <v>293</v>
      </c>
      <c r="H2360" t="s">
        <v>13</v>
      </c>
      <c r="I2360">
        <v>0</v>
      </c>
    </row>
    <row r="2361" spans="5:9" ht="15.75" hidden="1" customHeight="1" x14ac:dyDescent="0.2">
      <c r="E2361" t="s">
        <v>473</v>
      </c>
      <c r="F2361">
        <v>128</v>
      </c>
      <c r="G2361" t="s">
        <v>293</v>
      </c>
      <c r="H2361" t="s">
        <v>13</v>
      </c>
      <c r="I2361">
        <v>0</v>
      </c>
    </row>
    <row r="2362" spans="5:9" ht="15.75" hidden="1" customHeight="1" x14ac:dyDescent="0.2">
      <c r="E2362" t="s">
        <v>474</v>
      </c>
      <c r="F2362">
        <v>129</v>
      </c>
      <c r="G2362" t="s">
        <v>293</v>
      </c>
      <c r="H2362" t="s">
        <v>13</v>
      </c>
      <c r="I2362">
        <v>0</v>
      </c>
    </row>
    <row r="2363" spans="5:9" ht="15.75" hidden="1" customHeight="1" x14ac:dyDescent="0.2">
      <c r="E2363" t="s">
        <v>476</v>
      </c>
      <c r="F2363">
        <v>130</v>
      </c>
      <c r="G2363" t="s">
        <v>293</v>
      </c>
      <c r="H2363" t="s">
        <v>13</v>
      </c>
      <c r="I2363">
        <v>0</v>
      </c>
    </row>
    <row r="2364" spans="5:9" ht="15.75" hidden="1" customHeight="1" x14ac:dyDescent="0.2">
      <c r="E2364" t="s">
        <v>478</v>
      </c>
      <c r="F2364">
        <v>131</v>
      </c>
      <c r="G2364" t="s">
        <v>293</v>
      </c>
      <c r="H2364" t="s">
        <v>13</v>
      </c>
      <c r="I2364">
        <v>1</v>
      </c>
    </row>
    <row r="2365" spans="5:9" ht="15.75" hidden="1" customHeight="1" x14ac:dyDescent="0.2">
      <c r="E2365" t="s">
        <v>440</v>
      </c>
      <c r="F2365">
        <v>132</v>
      </c>
      <c r="G2365" t="s">
        <v>293</v>
      </c>
      <c r="H2365" t="s">
        <v>13</v>
      </c>
      <c r="I2365">
        <v>1</v>
      </c>
    </row>
    <row r="2366" spans="5:9" ht="15.75" hidden="1" customHeight="1" x14ac:dyDescent="0.2">
      <c r="E2366" t="s">
        <v>441</v>
      </c>
      <c r="F2366">
        <v>133</v>
      </c>
      <c r="G2366" t="s">
        <v>293</v>
      </c>
      <c r="H2366" t="s">
        <v>13</v>
      </c>
      <c r="I2366">
        <v>1</v>
      </c>
    </row>
    <row r="2367" spans="5:9" ht="15.75" hidden="1" customHeight="1" x14ac:dyDescent="0.2">
      <c r="E2367" t="s">
        <v>442</v>
      </c>
      <c r="F2367">
        <v>134</v>
      </c>
      <c r="G2367" t="s">
        <v>293</v>
      </c>
      <c r="H2367" t="s">
        <v>13</v>
      </c>
      <c r="I2367">
        <v>1</v>
      </c>
    </row>
    <row r="2368" spans="5:9" ht="15.75" hidden="1" customHeight="1" x14ac:dyDescent="0.2">
      <c r="E2368" t="s">
        <v>443</v>
      </c>
      <c r="F2368">
        <v>135</v>
      </c>
      <c r="G2368" t="s">
        <v>293</v>
      </c>
      <c r="H2368" t="s">
        <v>13</v>
      </c>
      <c r="I2368">
        <v>0.2</v>
      </c>
    </row>
    <row r="2369" spans="5:9" ht="15.75" hidden="1" customHeight="1" x14ac:dyDescent="0.2">
      <c r="E2369" t="s">
        <v>362</v>
      </c>
      <c r="F2369">
        <v>136</v>
      </c>
      <c r="G2369" t="s">
        <v>293</v>
      </c>
      <c r="H2369" t="s">
        <v>13</v>
      </c>
      <c r="I2369">
        <v>1</v>
      </c>
    </row>
    <row r="2370" spans="5:9" ht="15.75" hidden="1" customHeight="1" x14ac:dyDescent="0.2">
      <c r="E2370" t="s">
        <v>482</v>
      </c>
      <c r="F2370">
        <v>137</v>
      </c>
      <c r="G2370" t="s">
        <v>293</v>
      </c>
      <c r="H2370" t="s">
        <v>13</v>
      </c>
      <c r="I2370">
        <v>0</v>
      </c>
    </row>
    <row r="2371" spans="5:9" ht="15.75" hidden="1" customHeight="1" x14ac:dyDescent="0.2">
      <c r="E2371" t="s">
        <v>483</v>
      </c>
      <c r="F2371">
        <v>138</v>
      </c>
      <c r="G2371" t="s">
        <v>293</v>
      </c>
      <c r="H2371" t="s">
        <v>13</v>
      </c>
      <c r="I2371">
        <v>0</v>
      </c>
    </row>
    <row r="2372" spans="5:9" ht="15.75" hidden="1" customHeight="1" x14ac:dyDescent="0.2">
      <c r="E2372" t="s">
        <v>484</v>
      </c>
      <c r="F2372">
        <v>139</v>
      </c>
      <c r="G2372" t="s">
        <v>293</v>
      </c>
      <c r="H2372" t="s">
        <v>13</v>
      </c>
      <c r="I2372">
        <v>0</v>
      </c>
    </row>
    <row r="2373" spans="5:9" ht="15.75" hidden="1" customHeight="1" x14ac:dyDescent="0.2">
      <c r="E2373" t="s">
        <v>486</v>
      </c>
      <c r="F2373">
        <v>140</v>
      </c>
      <c r="G2373" t="s">
        <v>293</v>
      </c>
      <c r="H2373" t="s">
        <v>13</v>
      </c>
      <c r="I2373">
        <v>1</v>
      </c>
    </row>
    <row r="2374" spans="5:9" ht="15.75" hidden="1" customHeight="1" x14ac:dyDescent="0.2">
      <c r="E2374" t="s">
        <v>487</v>
      </c>
      <c r="F2374">
        <v>141</v>
      </c>
      <c r="G2374" t="s">
        <v>293</v>
      </c>
      <c r="H2374" t="s">
        <v>13</v>
      </c>
      <c r="I2374">
        <v>1</v>
      </c>
    </row>
    <row r="2375" spans="5:9" ht="15.75" hidden="1" customHeight="1" x14ac:dyDescent="0.2">
      <c r="E2375" t="s">
        <v>446</v>
      </c>
      <c r="F2375">
        <v>142</v>
      </c>
      <c r="G2375" t="s">
        <v>293</v>
      </c>
      <c r="H2375" t="s">
        <v>13</v>
      </c>
      <c r="I2375">
        <v>1</v>
      </c>
    </row>
    <row r="2376" spans="5:9" ht="15.75" hidden="1" customHeight="1" x14ac:dyDescent="0.2">
      <c r="E2376" t="s">
        <v>447</v>
      </c>
      <c r="F2376">
        <v>143</v>
      </c>
      <c r="G2376" t="s">
        <v>293</v>
      </c>
      <c r="H2376" t="s">
        <v>13</v>
      </c>
      <c r="I2376">
        <v>1</v>
      </c>
    </row>
    <row r="2377" spans="5:9" ht="15.75" hidden="1" customHeight="1" x14ac:dyDescent="0.2">
      <c r="E2377" t="s">
        <v>448</v>
      </c>
      <c r="F2377">
        <v>144</v>
      </c>
      <c r="G2377" t="s">
        <v>293</v>
      </c>
      <c r="H2377" t="s">
        <v>13</v>
      </c>
      <c r="I2377">
        <v>1</v>
      </c>
    </row>
    <row r="2378" spans="5:9" ht="15.75" hidden="1" customHeight="1" x14ac:dyDescent="0.2">
      <c r="E2378" t="s">
        <v>449</v>
      </c>
      <c r="F2378">
        <v>145</v>
      </c>
      <c r="G2378" t="s">
        <v>293</v>
      </c>
      <c r="H2378" t="s">
        <v>13</v>
      </c>
      <c r="I2378">
        <v>1</v>
      </c>
    </row>
    <row r="2379" spans="5:9" ht="15.75" hidden="1" customHeight="1" x14ac:dyDescent="0.2">
      <c r="E2379" t="s">
        <v>450</v>
      </c>
      <c r="F2379">
        <v>146</v>
      </c>
      <c r="G2379" t="s">
        <v>293</v>
      </c>
      <c r="H2379" t="s">
        <v>13</v>
      </c>
      <c r="I2379">
        <v>1</v>
      </c>
    </row>
    <row r="2380" spans="5:9" ht="15.75" hidden="1" customHeight="1" x14ac:dyDescent="0.2">
      <c r="E2380" t="s">
        <v>451</v>
      </c>
      <c r="F2380">
        <v>147</v>
      </c>
      <c r="G2380" t="s">
        <v>293</v>
      </c>
      <c r="H2380" t="s">
        <v>13</v>
      </c>
      <c r="I2380">
        <v>1</v>
      </c>
    </row>
    <row r="2381" spans="5:9" ht="15.75" hidden="1" customHeight="1" x14ac:dyDescent="0.2">
      <c r="E2381" t="s">
        <v>488</v>
      </c>
      <c r="F2381">
        <v>148</v>
      </c>
      <c r="G2381" t="s">
        <v>293</v>
      </c>
      <c r="H2381" t="s">
        <v>13</v>
      </c>
      <c r="I2381">
        <v>1</v>
      </c>
    </row>
    <row r="2382" spans="5:9" ht="15.75" hidden="1" customHeight="1" x14ac:dyDescent="0.2">
      <c r="E2382" t="s">
        <v>452</v>
      </c>
      <c r="F2382">
        <v>149</v>
      </c>
      <c r="G2382" t="s">
        <v>293</v>
      </c>
      <c r="H2382" t="s">
        <v>13</v>
      </c>
      <c r="I2382">
        <v>1</v>
      </c>
    </row>
    <row r="2383" spans="5:9" ht="15.75" hidden="1" customHeight="1" x14ac:dyDescent="0.2">
      <c r="E2383" t="s">
        <v>453</v>
      </c>
      <c r="F2383">
        <v>150</v>
      </c>
      <c r="G2383" t="s">
        <v>293</v>
      </c>
      <c r="H2383" t="s">
        <v>13</v>
      </c>
      <c r="I2383">
        <v>1</v>
      </c>
    </row>
    <row r="2384" spans="5:9" ht="15.75" hidden="1" customHeight="1" x14ac:dyDescent="0.2">
      <c r="E2384" t="s">
        <v>454</v>
      </c>
      <c r="F2384">
        <v>151</v>
      </c>
      <c r="G2384" t="s">
        <v>293</v>
      </c>
      <c r="H2384" t="s">
        <v>13</v>
      </c>
      <c r="I2384">
        <v>0.66669999999999996</v>
      </c>
    </row>
    <row r="2385" spans="5:9" ht="15.75" hidden="1" customHeight="1" x14ac:dyDescent="0.2">
      <c r="E2385" t="s">
        <v>455</v>
      </c>
      <c r="F2385">
        <v>152</v>
      </c>
      <c r="G2385" t="s">
        <v>293</v>
      </c>
      <c r="H2385" t="s">
        <v>13</v>
      </c>
      <c r="I2385">
        <v>1</v>
      </c>
    </row>
    <row r="2386" spans="5:9" ht="15.75" hidden="1" customHeight="1" x14ac:dyDescent="0.2">
      <c r="E2386" t="s">
        <v>456</v>
      </c>
      <c r="F2386">
        <v>153</v>
      </c>
      <c r="G2386" t="s">
        <v>293</v>
      </c>
      <c r="H2386" t="s">
        <v>13</v>
      </c>
      <c r="I2386">
        <v>1</v>
      </c>
    </row>
    <row r="2387" spans="5:9" ht="15.75" hidden="1" customHeight="1" x14ac:dyDescent="0.2">
      <c r="E2387" t="s">
        <v>489</v>
      </c>
      <c r="F2387">
        <v>154</v>
      </c>
      <c r="G2387" t="s">
        <v>293</v>
      </c>
      <c r="H2387" t="s">
        <v>13</v>
      </c>
      <c r="I2387">
        <v>0</v>
      </c>
    </row>
    <row r="2388" spans="5:9" ht="15.75" hidden="1" customHeight="1" x14ac:dyDescent="0.2">
      <c r="E2388" t="s">
        <v>457</v>
      </c>
      <c r="F2388">
        <v>155</v>
      </c>
      <c r="G2388" t="s">
        <v>293</v>
      </c>
      <c r="H2388" t="s">
        <v>13</v>
      </c>
      <c r="I2388">
        <v>1</v>
      </c>
    </row>
    <row r="2389" spans="5:9" ht="15.75" hidden="1" customHeight="1" x14ac:dyDescent="0.2">
      <c r="E2389" t="s">
        <v>362</v>
      </c>
      <c r="F2389">
        <v>156</v>
      </c>
      <c r="G2389" t="s">
        <v>293</v>
      </c>
      <c r="H2389" t="s">
        <v>13</v>
      </c>
      <c r="I2389">
        <v>1</v>
      </c>
    </row>
    <row r="2390" spans="5:9" ht="15.75" hidden="1" customHeight="1" x14ac:dyDescent="0.2">
      <c r="E2390" t="s">
        <v>491</v>
      </c>
      <c r="F2390">
        <v>157</v>
      </c>
      <c r="G2390" t="s">
        <v>293</v>
      </c>
      <c r="H2390" t="s">
        <v>13</v>
      </c>
      <c r="I2390">
        <v>0.33329999999999999</v>
      </c>
    </row>
    <row r="2391" spans="5:9" ht="15.75" hidden="1" customHeight="1" x14ac:dyDescent="0.2">
      <c r="E2391" t="s">
        <v>492</v>
      </c>
      <c r="F2391">
        <v>158</v>
      </c>
      <c r="G2391" t="s">
        <v>293</v>
      </c>
      <c r="H2391" t="s">
        <v>13</v>
      </c>
      <c r="I2391">
        <v>0</v>
      </c>
    </row>
    <row r="2392" spans="5:9" ht="15.75" hidden="1" customHeight="1" x14ac:dyDescent="0.2">
      <c r="E2392" t="s">
        <v>493</v>
      </c>
      <c r="F2392">
        <v>159</v>
      </c>
      <c r="G2392" t="s">
        <v>293</v>
      </c>
      <c r="H2392" t="s">
        <v>13</v>
      </c>
      <c r="I2392">
        <v>0.5</v>
      </c>
    </row>
    <row r="2393" spans="5:9" ht="15.75" hidden="1" customHeight="1" x14ac:dyDescent="0.2">
      <c r="E2393" t="s">
        <v>494</v>
      </c>
      <c r="F2393">
        <v>160</v>
      </c>
      <c r="G2393" t="s">
        <v>293</v>
      </c>
      <c r="H2393" t="s">
        <v>13</v>
      </c>
      <c r="I2393">
        <v>0.4</v>
      </c>
    </row>
    <row r="2394" spans="5:9" ht="15.75" hidden="1" customHeight="1" x14ac:dyDescent="0.2">
      <c r="E2394" t="s">
        <v>496</v>
      </c>
      <c r="F2394">
        <v>161</v>
      </c>
      <c r="G2394" t="s">
        <v>293</v>
      </c>
      <c r="H2394" t="s">
        <v>13</v>
      </c>
      <c r="I2394">
        <v>1</v>
      </c>
    </row>
    <row r="2395" spans="5:9" ht="15.75" hidden="1" customHeight="1" x14ac:dyDescent="0.2">
      <c r="E2395" t="s">
        <v>497</v>
      </c>
      <c r="F2395">
        <v>162</v>
      </c>
      <c r="G2395" t="s">
        <v>293</v>
      </c>
      <c r="H2395" t="s">
        <v>13</v>
      </c>
      <c r="I2395">
        <v>1</v>
      </c>
    </row>
    <row r="2396" spans="5:9" ht="15.75" hidden="1" customHeight="1" x14ac:dyDescent="0.2">
      <c r="E2396" t="s">
        <v>459</v>
      </c>
      <c r="F2396">
        <v>163</v>
      </c>
      <c r="G2396" t="s">
        <v>293</v>
      </c>
      <c r="H2396" t="s">
        <v>13</v>
      </c>
      <c r="I2396">
        <v>1</v>
      </c>
    </row>
    <row r="2397" spans="5:9" ht="15.75" hidden="1" customHeight="1" x14ac:dyDescent="0.2">
      <c r="E2397" t="s">
        <v>460</v>
      </c>
      <c r="F2397">
        <v>164</v>
      </c>
      <c r="G2397" t="s">
        <v>293</v>
      </c>
      <c r="H2397" t="s">
        <v>13</v>
      </c>
      <c r="I2397">
        <v>1</v>
      </c>
    </row>
    <row r="2398" spans="5:9" ht="15.75" hidden="1" customHeight="1" x14ac:dyDescent="0.2">
      <c r="E2398" t="s">
        <v>461</v>
      </c>
      <c r="F2398">
        <v>165</v>
      </c>
      <c r="G2398" t="s">
        <v>293</v>
      </c>
      <c r="H2398" t="s">
        <v>13</v>
      </c>
      <c r="I2398">
        <v>1</v>
      </c>
    </row>
    <row r="2399" spans="5:9" ht="15.75" hidden="1" customHeight="1" x14ac:dyDescent="0.2">
      <c r="E2399" t="s">
        <v>462</v>
      </c>
      <c r="F2399">
        <v>166</v>
      </c>
      <c r="G2399" t="s">
        <v>293</v>
      </c>
      <c r="H2399" t="s">
        <v>13</v>
      </c>
      <c r="I2399">
        <v>1</v>
      </c>
    </row>
    <row r="2400" spans="5:9" ht="15.75" hidden="1" customHeight="1" x14ac:dyDescent="0.2">
      <c r="E2400" t="s">
        <v>463</v>
      </c>
      <c r="F2400">
        <v>167</v>
      </c>
      <c r="G2400" t="s">
        <v>293</v>
      </c>
      <c r="H2400" t="s">
        <v>13</v>
      </c>
      <c r="I2400">
        <v>1</v>
      </c>
    </row>
    <row r="2401" spans="5:9" ht="15.75" hidden="1" customHeight="1" x14ac:dyDescent="0.2">
      <c r="E2401" t="s">
        <v>464</v>
      </c>
      <c r="F2401">
        <v>168</v>
      </c>
      <c r="G2401" t="s">
        <v>293</v>
      </c>
      <c r="H2401" t="s">
        <v>13</v>
      </c>
      <c r="I2401">
        <v>1</v>
      </c>
    </row>
    <row r="2402" spans="5:9" ht="15.75" hidden="1" customHeight="1" x14ac:dyDescent="0.2">
      <c r="E2402" t="s">
        <v>465</v>
      </c>
      <c r="F2402">
        <v>169</v>
      </c>
      <c r="G2402" t="s">
        <v>293</v>
      </c>
      <c r="H2402" t="s">
        <v>13</v>
      </c>
      <c r="I2402">
        <v>1</v>
      </c>
    </row>
    <row r="2403" spans="5:9" ht="15.75" hidden="1" customHeight="1" x14ac:dyDescent="0.2">
      <c r="E2403" t="s">
        <v>466</v>
      </c>
      <c r="F2403">
        <v>170</v>
      </c>
      <c r="G2403" t="s">
        <v>293</v>
      </c>
      <c r="H2403" t="s">
        <v>13</v>
      </c>
      <c r="I2403">
        <v>1</v>
      </c>
    </row>
    <row r="2404" spans="5:9" ht="15.75" hidden="1" customHeight="1" x14ac:dyDescent="0.2">
      <c r="E2404" t="s">
        <v>467</v>
      </c>
      <c r="F2404">
        <v>171</v>
      </c>
      <c r="G2404" t="s">
        <v>293</v>
      </c>
      <c r="H2404" t="s">
        <v>13</v>
      </c>
      <c r="I2404">
        <v>1</v>
      </c>
    </row>
    <row r="2405" spans="5:9" ht="15.75" hidden="1" customHeight="1" x14ac:dyDescent="0.2">
      <c r="E2405" t="s">
        <v>468</v>
      </c>
      <c r="F2405">
        <v>172</v>
      </c>
      <c r="G2405" t="s">
        <v>293</v>
      </c>
      <c r="H2405" t="s">
        <v>13</v>
      </c>
      <c r="I2405">
        <v>1</v>
      </c>
    </row>
    <row r="2406" spans="5:9" ht="15.75" hidden="1" customHeight="1" x14ac:dyDescent="0.2">
      <c r="E2406" t="s">
        <v>469</v>
      </c>
      <c r="F2406">
        <v>173</v>
      </c>
      <c r="G2406" t="s">
        <v>293</v>
      </c>
      <c r="H2406" t="s">
        <v>13</v>
      </c>
      <c r="I2406">
        <v>1</v>
      </c>
    </row>
    <row r="2407" spans="5:9" ht="15.75" hidden="1" customHeight="1" x14ac:dyDescent="0.2">
      <c r="E2407" t="s">
        <v>470</v>
      </c>
      <c r="F2407">
        <v>174</v>
      </c>
      <c r="G2407" t="s">
        <v>293</v>
      </c>
      <c r="H2407" t="s">
        <v>13</v>
      </c>
      <c r="I2407">
        <v>1</v>
      </c>
    </row>
    <row r="2408" spans="5:9" ht="15.75" hidden="1" customHeight="1" x14ac:dyDescent="0.2">
      <c r="E2408" t="s">
        <v>471</v>
      </c>
      <c r="F2408">
        <v>175</v>
      </c>
      <c r="G2408" t="s">
        <v>293</v>
      </c>
      <c r="H2408" t="s">
        <v>13</v>
      </c>
      <c r="I2408">
        <v>1</v>
      </c>
    </row>
    <row r="2409" spans="5:9" ht="15.75" hidden="1" customHeight="1" x14ac:dyDescent="0.2">
      <c r="E2409" t="s">
        <v>472</v>
      </c>
      <c r="F2409">
        <v>176</v>
      </c>
      <c r="G2409" t="s">
        <v>293</v>
      </c>
      <c r="H2409" t="s">
        <v>13</v>
      </c>
      <c r="I2409">
        <v>1</v>
      </c>
    </row>
    <row r="2410" spans="5:9" ht="15.75" hidden="1" customHeight="1" x14ac:dyDescent="0.2">
      <c r="E2410" t="s">
        <v>362</v>
      </c>
      <c r="F2410">
        <v>177</v>
      </c>
      <c r="G2410" t="s">
        <v>293</v>
      </c>
      <c r="H2410" t="s">
        <v>13</v>
      </c>
      <c r="I2410">
        <v>1</v>
      </c>
    </row>
    <row r="2411" spans="5:9" ht="15.75" hidden="1" customHeight="1" x14ac:dyDescent="0.2">
      <c r="E2411" t="s">
        <v>473</v>
      </c>
      <c r="F2411">
        <v>178</v>
      </c>
      <c r="G2411" t="s">
        <v>293</v>
      </c>
      <c r="H2411" t="s">
        <v>13</v>
      </c>
      <c r="I2411">
        <v>1</v>
      </c>
    </row>
    <row r="2412" spans="5:9" ht="15.75" hidden="1" customHeight="1" x14ac:dyDescent="0.2">
      <c r="E2412" t="s">
        <v>474</v>
      </c>
      <c r="F2412">
        <v>179</v>
      </c>
      <c r="G2412" t="s">
        <v>293</v>
      </c>
      <c r="H2412" t="s">
        <v>13</v>
      </c>
      <c r="I2412">
        <v>0</v>
      </c>
    </row>
    <row r="2413" spans="5:9" ht="15.75" hidden="1" customHeight="1" x14ac:dyDescent="0.2">
      <c r="E2413" t="s">
        <v>499</v>
      </c>
      <c r="F2413">
        <v>180</v>
      </c>
      <c r="G2413" t="s">
        <v>293</v>
      </c>
      <c r="H2413" t="s">
        <v>13</v>
      </c>
      <c r="I2413">
        <v>0.5</v>
      </c>
    </row>
    <row r="2414" spans="5:9" ht="15.75" hidden="1" customHeight="1" x14ac:dyDescent="0.2">
      <c r="E2414" t="s">
        <v>500</v>
      </c>
      <c r="F2414">
        <v>181</v>
      </c>
      <c r="G2414" t="s">
        <v>293</v>
      </c>
      <c r="H2414" t="s">
        <v>13</v>
      </c>
      <c r="I2414">
        <v>0.5</v>
      </c>
    </row>
    <row r="2415" spans="5:9" ht="15.75" hidden="1" customHeight="1" x14ac:dyDescent="0.2">
      <c r="E2415" t="s">
        <v>501</v>
      </c>
      <c r="F2415">
        <v>182</v>
      </c>
      <c r="G2415" t="s">
        <v>293</v>
      </c>
      <c r="H2415" t="s">
        <v>13</v>
      </c>
      <c r="I2415">
        <v>0.77780000000000005</v>
      </c>
    </row>
    <row r="2416" spans="5:9" ht="15.75" hidden="1" customHeight="1" x14ac:dyDescent="0.2">
      <c r="E2416" t="s">
        <v>502</v>
      </c>
      <c r="F2416">
        <v>183</v>
      </c>
      <c r="G2416" t="s">
        <v>293</v>
      </c>
      <c r="H2416" t="s">
        <v>13</v>
      </c>
      <c r="I2416">
        <v>0.91669999999999996</v>
      </c>
    </row>
    <row r="2417" spans="5:9" ht="15.75" hidden="1" customHeight="1" x14ac:dyDescent="0.2">
      <c r="E2417" t="s">
        <v>503</v>
      </c>
      <c r="F2417">
        <v>184</v>
      </c>
      <c r="G2417" t="s">
        <v>293</v>
      </c>
      <c r="H2417" t="s">
        <v>13</v>
      </c>
      <c r="I2417">
        <v>0</v>
      </c>
    </row>
    <row r="2418" spans="5:9" ht="15.75" hidden="1" customHeight="1" x14ac:dyDescent="0.2">
      <c r="E2418" t="s">
        <v>504</v>
      </c>
      <c r="F2418">
        <v>185</v>
      </c>
      <c r="G2418" t="s">
        <v>293</v>
      </c>
      <c r="H2418" t="s">
        <v>13</v>
      </c>
      <c r="I2418">
        <v>0</v>
      </c>
    </row>
    <row r="2419" spans="5:9" ht="15.75" hidden="1" customHeight="1" x14ac:dyDescent="0.2">
      <c r="E2419" t="s">
        <v>505</v>
      </c>
      <c r="F2419">
        <v>186</v>
      </c>
      <c r="G2419" t="s">
        <v>293</v>
      </c>
      <c r="H2419" t="s">
        <v>13</v>
      </c>
      <c r="I2419">
        <v>0</v>
      </c>
    </row>
    <row r="2420" spans="5:9" ht="15.75" hidden="1" customHeight="1" x14ac:dyDescent="0.2">
      <c r="E2420" t="s">
        <v>287</v>
      </c>
      <c r="F2420">
        <v>1</v>
      </c>
      <c r="G2420" t="s">
        <v>294</v>
      </c>
      <c r="H2420" t="s">
        <v>14</v>
      </c>
      <c r="I2420">
        <v>0</v>
      </c>
    </row>
    <row r="2421" spans="5:9" ht="15.75" hidden="1" customHeight="1" x14ac:dyDescent="0.2">
      <c r="E2421" t="s">
        <v>350</v>
      </c>
      <c r="F2421">
        <v>2</v>
      </c>
      <c r="G2421" t="s">
        <v>294</v>
      </c>
      <c r="H2421" t="s">
        <v>14</v>
      </c>
      <c r="I2421">
        <v>0</v>
      </c>
    </row>
    <row r="2422" spans="5:9" ht="15.75" hidden="1" customHeight="1" x14ac:dyDescent="0.2">
      <c r="E2422" t="s">
        <v>351</v>
      </c>
      <c r="F2422">
        <v>3</v>
      </c>
      <c r="G2422" t="s">
        <v>294</v>
      </c>
      <c r="H2422" t="s">
        <v>14</v>
      </c>
      <c r="I2422">
        <v>3</v>
      </c>
    </row>
    <row r="2423" spans="5:9" ht="15.75" hidden="1" customHeight="1" x14ac:dyDescent="0.2">
      <c r="E2423" t="s">
        <v>352</v>
      </c>
      <c r="F2423">
        <v>4</v>
      </c>
      <c r="G2423" t="s">
        <v>294</v>
      </c>
      <c r="H2423" t="s">
        <v>14</v>
      </c>
      <c r="I2423">
        <v>0</v>
      </c>
    </row>
    <row r="2424" spans="5:9" ht="15.75" hidden="1" customHeight="1" x14ac:dyDescent="0.2">
      <c r="E2424" t="s">
        <v>354</v>
      </c>
      <c r="F2424">
        <v>5</v>
      </c>
      <c r="G2424" t="s">
        <v>294</v>
      </c>
      <c r="H2424" t="s">
        <v>14</v>
      </c>
      <c r="I2424">
        <v>1</v>
      </c>
    </row>
    <row r="2425" spans="5:9" ht="15.75" hidden="1" customHeight="1" x14ac:dyDescent="0.2">
      <c r="E2425" t="s">
        <v>356</v>
      </c>
      <c r="F2425">
        <v>6</v>
      </c>
      <c r="G2425" t="s">
        <v>294</v>
      </c>
      <c r="H2425" t="s">
        <v>14</v>
      </c>
      <c r="I2425">
        <v>1</v>
      </c>
    </row>
    <row r="2426" spans="5:9" ht="15.75" hidden="1" customHeight="1" x14ac:dyDescent="0.2">
      <c r="E2426" t="s">
        <v>358</v>
      </c>
      <c r="F2426">
        <v>7</v>
      </c>
      <c r="G2426" t="s">
        <v>294</v>
      </c>
      <c r="H2426" t="s">
        <v>14</v>
      </c>
      <c r="I2426">
        <v>0</v>
      </c>
    </row>
    <row r="2427" spans="5:9" ht="15.75" hidden="1" customHeight="1" x14ac:dyDescent="0.2">
      <c r="E2427" t="s">
        <v>359</v>
      </c>
      <c r="F2427">
        <v>8</v>
      </c>
      <c r="G2427" t="s">
        <v>294</v>
      </c>
      <c r="H2427" t="s">
        <v>14</v>
      </c>
      <c r="I2427">
        <v>0</v>
      </c>
    </row>
    <row r="2428" spans="5:9" ht="15.75" hidden="1" customHeight="1" x14ac:dyDescent="0.2">
      <c r="E2428" t="s">
        <v>360</v>
      </c>
      <c r="F2428">
        <v>9</v>
      </c>
      <c r="G2428" t="s">
        <v>294</v>
      </c>
      <c r="H2428" t="s">
        <v>14</v>
      </c>
      <c r="I2428">
        <v>0</v>
      </c>
    </row>
    <row r="2429" spans="5:9" ht="15.75" hidden="1" customHeight="1" x14ac:dyDescent="0.2">
      <c r="E2429" t="s">
        <v>361</v>
      </c>
      <c r="F2429">
        <v>10</v>
      </c>
      <c r="G2429" t="s">
        <v>294</v>
      </c>
      <c r="H2429" t="s">
        <v>14</v>
      </c>
      <c r="I2429">
        <v>0</v>
      </c>
    </row>
    <row r="2430" spans="5:9" ht="15.75" hidden="1" customHeight="1" x14ac:dyDescent="0.2">
      <c r="E2430" t="s">
        <v>362</v>
      </c>
      <c r="F2430">
        <v>11</v>
      </c>
      <c r="G2430" t="s">
        <v>294</v>
      </c>
      <c r="H2430" t="s">
        <v>14</v>
      </c>
      <c r="I2430">
        <v>0</v>
      </c>
    </row>
    <row r="2431" spans="5:9" ht="15.75" hidden="1" customHeight="1" x14ac:dyDescent="0.2">
      <c r="E2431" t="s">
        <v>363</v>
      </c>
      <c r="F2431">
        <v>12</v>
      </c>
      <c r="G2431" t="s">
        <v>294</v>
      </c>
      <c r="H2431" t="s">
        <v>14</v>
      </c>
      <c r="I2431">
        <v>0</v>
      </c>
    </row>
    <row r="2432" spans="5:9" ht="15.75" hidden="1" customHeight="1" x14ac:dyDescent="0.2">
      <c r="E2432" t="s">
        <v>365</v>
      </c>
      <c r="F2432">
        <v>13</v>
      </c>
      <c r="G2432" t="s">
        <v>294</v>
      </c>
      <c r="H2432" t="s">
        <v>14</v>
      </c>
      <c r="I2432">
        <v>0</v>
      </c>
    </row>
    <row r="2433" spans="5:9" ht="15.75" hidden="1" customHeight="1" x14ac:dyDescent="0.2">
      <c r="E2433" t="s">
        <v>369</v>
      </c>
      <c r="F2433">
        <v>14</v>
      </c>
      <c r="G2433" t="s">
        <v>294</v>
      </c>
      <c r="H2433" t="s">
        <v>14</v>
      </c>
      <c r="I2433">
        <v>0</v>
      </c>
    </row>
    <row r="2434" spans="5:9" ht="15.75" hidden="1" customHeight="1" x14ac:dyDescent="0.2">
      <c r="E2434" t="s">
        <v>370</v>
      </c>
      <c r="F2434">
        <v>15</v>
      </c>
      <c r="G2434" t="s">
        <v>294</v>
      </c>
      <c r="H2434" t="s">
        <v>14</v>
      </c>
      <c r="I2434">
        <v>0</v>
      </c>
    </row>
    <row r="2435" spans="5:9" ht="15.75" hidden="1" customHeight="1" x14ac:dyDescent="0.2">
      <c r="E2435" t="s">
        <v>371</v>
      </c>
      <c r="F2435">
        <v>16</v>
      </c>
      <c r="G2435" t="s">
        <v>294</v>
      </c>
      <c r="H2435" t="s">
        <v>14</v>
      </c>
      <c r="I2435">
        <v>1</v>
      </c>
    </row>
    <row r="2436" spans="5:9" ht="15.75" hidden="1" customHeight="1" x14ac:dyDescent="0.2">
      <c r="E2436" t="s">
        <v>372</v>
      </c>
      <c r="F2436">
        <v>17</v>
      </c>
      <c r="G2436" t="s">
        <v>294</v>
      </c>
      <c r="H2436" t="s">
        <v>14</v>
      </c>
      <c r="I2436">
        <v>1</v>
      </c>
    </row>
    <row r="2437" spans="5:9" ht="15.75" hidden="1" customHeight="1" x14ac:dyDescent="0.2">
      <c r="E2437" t="s">
        <v>373</v>
      </c>
      <c r="F2437">
        <v>18</v>
      </c>
      <c r="G2437" t="s">
        <v>294</v>
      </c>
      <c r="H2437" t="s">
        <v>14</v>
      </c>
      <c r="I2437">
        <v>1</v>
      </c>
    </row>
    <row r="2438" spans="5:9" ht="15.75" hidden="1" customHeight="1" x14ac:dyDescent="0.2">
      <c r="E2438" t="s">
        <v>374</v>
      </c>
      <c r="F2438">
        <v>19</v>
      </c>
      <c r="G2438" t="s">
        <v>294</v>
      </c>
      <c r="H2438" t="s">
        <v>14</v>
      </c>
      <c r="I2438">
        <v>0</v>
      </c>
    </row>
    <row r="2439" spans="5:9" ht="15.75" hidden="1" customHeight="1" x14ac:dyDescent="0.2">
      <c r="E2439" t="s">
        <v>375</v>
      </c>
      <c r="F2439">
        <v>20</v>
      </c>
      <c r="G2439" t="s">
        <v>294</v>
      </c>
      <c r="H2439" t="s">
        <v>14</v>
      </c>
      <c r="I2439">
        <v>1</v>
      </c>
    </row>
    <row r="2440" spans="5:9" ht="15.75" hidden="1" customHeight="1" x14ac:dyDescent="0.2">
      <c r="E2440" t="s">
        <v>376</v>
      </c>
      <c r="F2440">
        <v>21</v>
      </c>
      <c r="G2440" t="s">
        <v>294</v>
      </c>
      <c r="H2440" t="s">
        <v>14</v>
      </c>
      <c r="I2440">
        <v>1</v>
      </c>
    </row>
    <row r="2441" spans="5:9" ht="15.75" hidden="1" customHeight="1" x14ac:dyDescent="0.2">
      <c r="E2441" t="s">
        <v>377</v>
      </c>
      <c r="F2441">
        <v>22</v>
      </c>
      <c r="G2441" t="s">
        <v>294</v>
      </c>
      <c r="H2441" t="s">
        <v>14</v>
      </c>
      <c r="I2441">
        <v>0</v>
      </c>
    </row>
    <row r="2442" spans="5:9" ht="15.75" hidden="1" customHeight="1" x14ac:dyDescent="0.2">
      <c r="E2442" t="s">
        <v>378</v>
      </c>
      <c r="F2442">
        <v>23</v>
      </c>
      <c r="G2442" t="s">
        <v>294</v>
      </c>
      <c r="H2442" t="s">
        <v>14</v>
      </c>
      <c r="I2442">
        <v>0</v>
      </c>
    </row>
    <row r="2443" spans="5:9" ht="15.75" hidden="1" customHeight="1" x14ac:dyDescent="0.2">
      <c r="E2443" t="s">
        <v>379</v>
      </c>
      <c r="F2443">
        <v>24</v>
      </c>
      <c r="G2443" t="s">
        <v>294</v>
      </c>
      <c r="H2443" t="s">
        <v>14</v>
      </c>
      <c r="I2443">
        <v>0</v>
      </c>
    </row>
    <row r="2444" spans="5:9" ht="15.75" hidden="1" customHeight="1" x14ac:dyDescent="0.2">
      <c r="E2444" t="s">
        <v>380</v>
      </c>
      <c r="F2444">
        <v>25</v>
      </c>
      <c r="G2444" t="s">
        <v>294</v>
      </c>
      <c r="H2444" t="s">
        <v>14</v>
      </c>
      <c r="I2444">
        <v>1</v>
      </c>
    </row>
    <row r="2445" spans="5:9" ht="15.75" hidden="1" customHeight="1" x14ac:dyDescent="0.2">
      <c r="E2445" t="s">
        <v>381</v>
      </c>
      <c r="F2445">
        <v>26</v>
      </c>
      <c r="G2445" t="s">
        <v>294</v>
      </c>
      <c r="H2445" t="s">
        <v>14</v>
      </c>
      <c r="I2445">
        <v>0</v>
      </c>
    </row>
    <row r="2446" spans="5:9" ht="15.75" hidden="1" customHeight="1" x14ac:dyDescent="0.2">
      <c r="E2446" t="s">
        <v>382</v>
      </c>
      <c r="F2446">
        <v>27</v>
      </c>
      <c r="G2446" t="s">
        <v>294</v>
      </c>
      <c r="H2446" t="s">
        <v>14</v>
      </c>
      <c r="I2446">
        <v>0</v>
      </c>
    </row>
    <row r="2447" spans="5:9" ht="15.75" hidden="1" customHeight="1" x14ac:dyDescent="0.2">
      <c r="E2447" t="s">
        <v>383</v>
      </c>
      <c r="F2447">
        <v>28</v>
      </c>
      <c r="G2447" t="s">
        <v>294</v>
      </c>
      <c r="H2447" t="s">
        <v>14</v>
      </c>
      <c r="I2447">
        <v>1</v>
      </c>
    </row>
    <row r="2448" spans="5:9" ht="15.75" hidden="1" customHeight="1" x14ac:dyDescent="0.2">
      <c r="E2448" t="s">
        <v>385</v>
      </c>
      <c r="F2448">
        <v>29</v>
      </c>
      <c r="G2448" t="s">
        <v>294</v>
      </c>
      <c r="H2448" t="s">
        <v>14</v>
      </c>
      <c r="I2448">
        <v>1</v>
      </c>
    </row>
    <row r="2449" spans="5:9" ht="15.75" hidden="1" customHeight="1" x14ac:dyDescent="0.2">
      <c r="E2449" t="s">
        <v>387</v>
      </c>
      <c r="F2449">
        <v>30</v>
      </c>
      <c r="G2449" t="s">
        <v>294</v>
      </c>
      <c r="H2449" t="s">
        <v>14</v>
      </c>
      <c r="I2449">
        <v>0</v>
      </c>
    </row>
    <row r="2450" spans="5:9" ht="15.75" hidden="1" customHeight="1" x14ac:dyDescent="0.2">
      <c r="E2450" t="s">
        <v>388</v>
      </c>
      <c r="F2450">
        <v>31</v>
      </c>
      <c r="G2450" t="s">
        <v>294</v>
      </c>
      <c r="H2450" t="s">
        <v>14</v>
      </c>
      <c r="I2450">
        <v>1</v>
      </c>
    </row>
    <row r="2451" spans="5:9" ht="15.75" hidden="1" customHeight="1" x14ac:dyDescent="0.2">
      <c r="E2451" t="s">
        <v>389</v>
      </c>
      <c r="F2451">
        <v>32</v>
      </c>
      <c r="G2451" t="s">
        <v>294</v>
      </c>
      <c r="H2451" t="s">
        <v>14</v>
      </c>
      <c r="I2451">
        <v>1</v>
      </c>
    </row>
    <row r="2452" spans="5:9" ht="15.75" hidden="1" customHeight="1" x14ac:dyDescent="0.2">
      <c r="E2452" t="s">
        <v>390</v>
      </c>
      <c r="F2452">
        <v>33</v>
      </c>
      <c r="G2452" t="s">
        <v>294</v>
      </c>
      <c r="H2452" t="s">
        <v>14</v>
      </c>
      <c r="I2452">
        <v>1</v>
      </c>
    </row>
    <row r="2453" spans="5:9" ht="15.75" hidden="1" customHeight="1" x14ac:dyDescent="0.2">
      <c r="E2453" t="s">
        <v>391</v>
      </c>
      <c r="F2453">
        <v>34</v>
      </c>
      <c r="G2453" t="s">
        <v>294</v>
      </c>
      <c r="H2453" t="s">
        <v>14</v>
      </c>
      <c r="I2453">
        <v>1</v>
      </c>
    </row>
    <row r="2454" spans="5:9" ht="15.75" hidden="1" customHeight="1" x14ac:dyDescent="0.2">
      <c r="E2454" t="s">
        <v>393</v>
      </c>
      <c r="F2454">
        <v>35</v>
      </c>
      <c r="G2454" t="s">
        <v>294</v>
      </c>
      <c r="H2454" t="s">
        <v>14</v>
      </c>
      <c r="I2454">
        <v>0</v>
      </c>
    </row>
    <row r="2455" spans="5:9" ht="15.75" hidden="1" customHeight="1" x14ac:dyDescent="0.2">
      <c r="E2455" t="s">
        <v>394</v>
      </c>
      <c r="F2455">
        <v>36</v>
      </c>
      <c r="G2455" t="s">
        <v>294</v>
      </c>
      <c r="H2455" t="s">
        <v>14</v>
      </c>
      <c r="I2455">
        <v>2</v>
      </c>
    </row>
    <row r="2456" spans="5:9" ht="15.75" hidden="1" customHeight="1" x14ac:dyDescent="0.2">
      <c r="E2456" t="s">
        <v>395</v>
      </c>
      <c r="F2456">
        <v>37</v>
      </c>
      <c r="G2456" t="s">
        <v>294</v>
      </c>
      <c r="H2456" t="s">
        <v>14</v>
      </c>
      <c r="I2456">
        <v>1</v>
      </c>
    </row>
    <row r="2457" spans="5:9" ht="15.75" hidden="1" customHeight="1" x14ac:dyDescent="0.2">
      <c r="E2457" t="s">
        <v>396</v>
      </c>
      <c r="F2457">
        <v>38</v>
      </c>
      <c r="G2457" t="s">
        <v>294</v>
      </c>
      <c r="H2457" t="s">
        <v>14</v>
      </c>
      <c r="I2457">
        <v>1</v>
      </c>
    </row>
    <row r="2458" spans="5:9" ht="15.75" hidden="1" customHeight="1" x14ac:dyDescent="0.2">
      <c r="E2458" t="s">
        <v>397</v>
      </c>
      <c r="F2458">
        <v>39</v>
      </c>
      <c r="G2458" t="s">
        <v>294</v>
      </c>
      <c r="H2458" t="s">
        <v>14</v>
      </c>
      <c r="I2458">
        <v>0</v>
      </c>
    </row>
    <row r="2459" spans="5:9" ht="15.75" hidden="1" customHeight="1" x14ac:dyDescent="0.2">
      <c r="E2459" t="s">
        <v>398</v>
      </c>
      <c r="F2459">
        <v>40</v>
      </c>
      <c r="G2459" t="s">
        <v>294</v>
      </c>
      <c r="H2459" t="s">
        <v>14</v>
      </c>
      <c r="I2459">
        <v>0</v>
      </c>
    </row>
    <row r="2460" spans="5:9" ht="15.75" hidden="1" customHeight="1" x14ac:dyDescent="0.2">
      <c r="E2460" t="s">
        <v>399</v>
      </c>
      <c r="F2460">
        <v>41</v>
      </c>
      <c r="G2460" t="s">
        <v>294</v>
      </c>
      <c r="H2460" t="s">
        <v>14</v>
      </c>
      <c r="I2460">
        <v>0</v>
      </c>
    </row>
    <row r="2461" spans="5:9" ht="15.75" hidden="1" customHeight="1" x14ac:dyDescent="0.2">
      <c r="E2461" t="s">
        <v>400</v>
      </c>
      <c r="F2461">
        <v>42</v>
      </c>
      <c r="G2461" t="s">
        <v>294</v>
      </c>
      <c r="H2461" t="s">
        <v>14</v>
      </c>
      <c r="I2461">
        <v>0</v>
      </c>
    </row>
    <row r="2462" spans="5:9" ht="15.75" hidden="1" customHeight="1" x14ac:dyDescent="0.2">
      <c r="E2462" t="s">
        <v>401</v>
      </c>
      <c r="F2462">
        <v>43</v>
      </c>
      <c r="G2462" t="s">
        <v>294</v>
      </c>
      <c r="H2462" t="s">
        <v>14</v>
      </c>
      <c r="I2462">
        <v>0</v>
      </c>
    </row>
    <row r="2463" spans="5:9" ht="15.75" hidden="1" customHeight="1" x14ac:dyDescent="0.2">
      <c r="E2463" t="s">
        <v>402</v>
      </c>
      <c r="F2463">
        <v>44</v>
      </c>
      <c r="G2463" t="s">
        <v>294</v>
      </c>
      <c r="H2463" t="s">
        <v>14</v>
      </c>
      <c r="I2463">
        <v>0</v>
      </c>
    </row>
    <row r="2464" spans="5:9" ht="15.75" hidden="1" customHeight="1" x14ac:dyDescent="0.2">
      <c r="E2464" t="s">
        <v>403</v>
      </c>
      <c r="F2464">
        <v>45</v>
      </c>
      <c r="G2464" t="s">
        <v>294</v>
      </c>
      <c r="H2464" t="s">
        <v>14</v>
      </c>
      <c r="I2464">
        <v>0</v>
      </c>
    </row>
    <row r="2465" spans="5:9" ht="15.75" hidden="1" customHeight="1" x14ac:dyDescent="0.2">
      <c r="E2465" t="s">
        <v>404</v>
      </c>
      <c r="F2465">
        <v>46</v>
      </c>
      <c r="G2465" t="s">
        <v>294</v>
      </c>
      <c r="H2465" t="s">
        <v>14</v>
      </c>
      <c r="I2465">
        <v>0</v>
      </c>
    </row>
    <row r="2466" spans="5:9" ht="15.75" hidden="1" customHeight="1" x14ac:dyDescent="0.2">
      <c r="E2466" t="s">
        <v>405</v>
      </c>
      <c r="F2466">
        <v>47</v>
      </c>
      <c r="G2466" t="s">
        <v>294</v>
      </c>
      <c r="H2466" t="s">
        <v>14</v>
      </c>
      <c r="I2466">
        <v>0</v>
      </c>
    </row>
    <row r="2467" spans="5:9" ht="15.75" hidden="1" customHeight="1" x14ac:dyDescent="0.2">
      <c r="E2467" t="s">
        <v>406</v>
      </c>
      <c r="F2467">
        <v>48</v>
      </c>
      <c r="G2467" t="s">
        <v>294</v>
      </c>
      <c r="H2467" t="s">
        <v>14</v>
      </c>
      <c r="I2467">
        <v>0</v>
      </c>
    </row>
    <row r="2468" spans="5:9" ht="15.75" hidden="1" customHeight="1" x14ac:dyDescent="0.2">
      <c r="E2468" t="s">
        <v>376</v>
      </c>
      <c r="F2468">
        <v>49</v>
      </c>
      <c r="G2468" t="s">
        <v>294</v>
      </c>
      <c r="H2468" t="s">
        <v>14</v>
      </c>
      <c r="I2468">
        <v>0</v>
      </c>
    </row>
    <row r="2469" spans="5:9" ht="15.75" hidden="1" customHeight="1" x14ac:dyDescent="0.2">
      <c r="E2469" t="s">
        <v>407</v>
      </c>
      <c r="F2469">
        <v>50</v>
      </c>
      <c r="G2469" t="s">
        <v>294</v>
      </c>
      <c r="H2469" t="s">
        <v>14</v>
      </c>
      <c r="I2469">
        <v>1</v>
      </c>
    </row>
    <row r="2470" spans="5:9" ht="15.75" hidden="1" customHeight="1" x14ac:dyDescent="0.2">
      <c r="E2470" t="s">
        <v>408</v>
      </c>
      <c r="F2470">
        <v>51</v>
      </c>
      <c r="G2470" t="s">
        <v>294</v>
      </c>
      <c r="H2470" t="s">
        <v>14</v>
      </c>
      <c r="I2470">
        <v>1</v>
      </c>
    </row>
    <row r="2471" spans="5:9" ht="15.75" hidden="1" customHeight="1" x14ac:dyDescent="0.2">
      <c r="E2471" t="s">
        <v>409</v>
      </c>
      <c r="F2471">
        <v>52</v>
      </c>
      <c r="G2471" t="s">
        <v>294</v>
      </c>
      <c r="H2471" t="s">
        <v>14</v>
      </c>
      <c r="I2471">
        <v>0</v>
      </c>
    </row>
    <row r="2472" spans="5:9" ht="15.75" hidden="1" customHeight="1" x14ac:dyDescent="0.2">
      <c r="E2472" t="s">
        <v>410</v>
      </c>
      <c r="F2472">
        <v>53</v>
      </c>
      <c r="G2472" t="s">
        <v>294</v>
      </c>
      <c r="H2472" t="s">
        <v>14</v>
      </c>
      <c r="I2472">
        <v>0</v>
      </c>
    </row>
    <row r="2473" spans="5:9" ht="15.75" hidden="1" customHeight="1" x14ac:dyDescent="0.2">
      <c r="E2473" t="s">
        <v>411</v>
      </c>
      <c r="F2473">
        <v>54</v>
      </c>
      <c r="G2473" t="s">
        <v>294</v>
      </c>
      <c r="H2473" t="s">
        <v>14</v>
      </c>
      <c r="I2473">
        <v>2</v>
      </c>
    </row>
    <row r="2474" spans="5:9" ht="15.75" hidden="1" customHeight="1" x14ac:dyDescent="0.2">
      <c r="E2474" t="s">
        <v>412</v>
      </c>
      <c r="F2474">
        <v>55</v>
      </c>
      <c r="G2474" t="s">
        <v>294</v>
      </c>
      <c r="H2474" t="s">
        <v>14</v>
      </c>
      <c r="I2474">
        <v>0</v>
      </c>
    </row>
    <row r="2475" spans="5:9" ht="15.75" hidden="1" customHeight="1" x14ac:dyDescent="0.2">
      <c r="E2475" t="s">
        <v>413</v>
      </c>
      <c r="F2475">
        <v>56</v>
      </c>
      <c r="G2475" t="s">
        <v>294</v>
      </c>
      <c r="H2475" t="s">
        <v>14</v>
      </c>
      <c r="I2475">
        <v>0</v>
      </c>
    </row>
    <row r="2476" spans="5:9" ht="15.75" hidden="1" customHeight="1" x14ac:dyDescent="0.2">
      <c r="E2476" t="s">
        <v>414</v>
      </c>
      <c r="F2476">
        <v>57</v>
      </c>
      <c r="G2476" t="s">
        <v>294</v>
      </c>
      <c r="H2476" t="s">
        <v>14</v>
      </c>
      <c r="I2476">
        <v>2</v>
      </c>
    </row>
    <row r="2477" spans="5:9" ht="15.75" hidden="1" customHeight="1" x14ac:dyDescent="0.2">
      <c r="E2477" t="s">
        <v>415</v>
      </c>
      <c r="F2477">
        <v>58</v>
      </c>
      <c r="G2477" t="s">
        <v>294</v>
      </c>
      <c r="H2477" t="s">
        <v>14</v>
      </c>
      <c r="I2477">
        <v>2</v>
      </c>
    </row>
    <row r="2478" spans="5:9" ht="15.75" hidden="1" customHeight="1" x14ac:dyDescent="0.2">
      <c r="E2478" t="s">
        <v>416</v>
      </c>
      <c r="F2478">
        <v>59</v>
      </c>
      <c r="G2478" t="s">
        <v>294</v>
      </c>
      <c r="H2478" t="s">
        <v>14</v>
      </c>
      <c r="I2478">
        <v>1</v>
      </c>
    </row>
    <row r="2479" spans="5:9" ht="15.75" hidden="1" customHeight="1" x14ac:dyDescent="0.2">
      <c r="E2479" t="s">
        <v>417</v>
      </c>
      <c r="F2479">
        <v>60</v>
      </c>
      <c r="G2479" t="s">
        <v>294</v>
      </c>
      <c r="H2479" t="s">
        <v>14</v>
      </c>
      <c r="I2479">
        <v>1</v>
      </c>
    </row>
    <row r="2480" spans="5:9" ht="15.75" hidden="1" customHeight="1" x14ac:dyDescent="0.2">
      <c r="E2480" t="s">
        <v>418</v>
      </c>
      <c r="F2480">
        <v>61</v>
      </c>
      <c r="G2480" t="s">
        <v>294</v>
      </c>
      <c r="H2480" t="s">
        <v>14</v>
      </c>
      <c r="I2480">
        <v>1</v>
      </c>
    </row>
    <row r="2481" spans="5:9" ht="15.75" hidden="1" customHeight="1" x14ac:dyDescent="0.2">
      <c r="E2481" t="s">
        <v>419</v>
      </c>
      <c r="F2481">
        <v>62</v>
      </c>
      <c r="G2481" t="s">
        <v>294</v>
      </c>
      <c r="H2481" t="s">
        <v>14</v>
      </c>
      <c r="I2481">
        <v>1</v>
      </c>
    </row>
    <row r="2482" spans="5:9" ht="15.75" hidden="1" customHeight="1" x14ac:dyDescent="0.2">
      <c r="E2482" t="s">
        <v>421</v>
      </c>
      <c r="F2482">
        <v>63</v>
      </c>
      <c r="G2482" t="s">
        <v>294</v>
      </c>
      <c r="H2482" t="s">
        <v>14</v>
      </c>
      <c r="I2482">
        <v>0</v>
      </c>
    </row>
    <row r="2483" spans="5:9" ht="15.75" hidden="1" customHeight="1" x14ac:dyDescent="0.2">
      <c r="E2483" t="s">
        <v>422</v>
      </c>
      <c r="F2483">
        <v>64</v>
      </c>
      <c r="G2483" t="s">
        <v>294</v>
      </c>
      <c r="H2483" t="s">
        <v>14</v>
      </c>
      <c r="I2483">
        <v>0</v>
      </c>
    </row>
    <row r="2484" spans="5:9" ht="15.75" hidden="1" customHeight="1" x14ac:dyDescent="0.2">
      <c r="E2484" t="s">
        <v>423</v>
      </c>
      <c r="F2484">
        <v>65</v>
      </c>
      <c r="G2484" t="s">
        <v>294</v>
      </c>
      <c r="H2484" t="s">
        <v>14</v>
      </c>
      <c r="I2484">
        <v>0</v>
      </c>
    </row>
    <row r="2485" spans="5:9" ht="15.75" hidden="1" customHeight="1" x14ac:dyDescent="0.2">
      <c r="E2485" t="s">
        <v>424</v>
      </c>
      <c r="F2485">
        <v>66</v>
      </c>
      <c r="G2485" t="s">
        <v>294</v>
      </c>
      <c r="H2485" t="s">
        <v>14</v>
      </c>
      <c r="I2485">
        <v>0</v>
      </c>
    </row>
    <row r="2486" spans="5:9" ht="15.75" hidden="1" customHeight="1" x14ac:dyDescent="0.2">
      <c r="E2486" t="s">
        <v>425</v>
      </c>
      <c r="F2486">
        <v>67</v>
      </c>
      <c r="G2486" t="s">
        <v>294</v>
      </c>
      <c r="H2486" t="s">
        <v>14</v>
      </c>
      <c r="I2486">
        <v>0</v>
      </c>
    </row>
    <row r="2487" spans="5:9" ht="15.75" hidden="1" customHeight="1" x14ac:dyDescent="0.2">
      <c r="E2487" t="s">
        <v>426</v>
      </c>
      <c r="F2487">
        <v>68</v>
      </c>
      <c r="G2487" t="s">
        <v>294</v>
      </c>
      <c r="H2487" t="s">
        <v>14</v>
      </c>
      <c r="I2487">
        <v>0</v>
      </c>
    </row>
    <row r="2488" spans="5:9" ht="15.75" hidden="1" customHeight="1" x14ac:dyDescent="0.2">
      <c r="E2488" t="s">
        <v>427</v>
      </c>
      <c r="F2488">
        <v>69</v>
      </c>
      <c r="G2488" t="s">
        <v>294</v>
      </c>
      <c r="H2488" t="s">
        <v>14</v>
      </c>
      <c r="I2488">
        <v>0</v>
      </c>
    </row>
    <row r="2489" spans="5:9" ht="15.75" hidden="1" customHeight="1" x14ac:dyDescent="0.2">
      <c r="E2489" t="s">
        <v>428</v>
      </c>
      <c r="F2489">
        <v>70</v>
      </c>
      <c r="G2489" t="s">
        <v>294</v>
      </c>
      <c r="H2489" t="s">
        <v>14</v>
      </c>
      <c r="I2489">
        <v>0</v>
      </c>
    </row>
    <row r="2490" spans="5:9" ht="15.75" hidden="1" customHeight="1" x14ac:dyDescent="0.2">
      <c r="E2490" t="s">
        <v>429</v>
      </c>
      <c r="F2490">
        <v>71</v>
      </c>
      <c r="G2490" t="s">
        <v>294</v>
      </c>
      <c r="H2490" t="s">
        <v>14</v>
      </c>
      <c r="I2490">
        <v>0</v>
      </c>
    </row>
    <row r="2491" spans="5:9" ht="15.75" hidden="1" customHeight="1" x14ac:dyDescent="0.2">
      <c r="E2491" t="s">
        <v>430</v>
      </c>
      <c r="F2491">
        <v>72</v>
      </c>
      <c r="G2491" t="s">
        <v>294</v>
      </c>
      <c r="H2491" t="s">
        <v>14</v>
      </c>
      <c r="I2491">
        <v>0</v>
      </c>
    </row>
    <row r="2492" spans="5:9" ht="15.75" hidden="1" customHeight="1" x14ac:dyDescent="0.2">
      <c r="E2492" t="s">
        <v>370</v>
      </c>
      <c r="F2492">
        <v>73</v>
      </c>
      <c r="G2492" t="s">
        <v>294</v>
      </c>
      <c r="H2492" t="s">
        <v>14</v>
      </c>
      <c r="I2492">
        <v>1</v>
      </c>
    </row>
    <row r="2493" spans="5:9" ht="15.75" hidden="1" customHeight="1" x14ac:dyDescent="0.2">
      <c r="E2493" t="s">
        <v>373</v>
      </c>
      <c r="F2493">
        <v>74</v>
      </c>
      <c r="G2493" t="s">
        <v>294</v>
      </c>
      <c r="H2493" t="s">
        <v>14</v>
      </c>
      <c r="I2493">
        <v>1</v>
      </c>
    </row>
    <row r="2494" spans="5:9" ht="15.75" hidden="1" customHeight="1" x14ac:dyDescent="0.2">
      <c r="E2494" t="s">
        <v>374</v>
      </c>
      <c r="F2494">
        <v>75</v>
      </c>
      <c r="G2494" t="s">
        <v>294</v>
      </c>
      <c r="H2494" t="s">
        <v>14</v>
      </c>
      <c r="I2494">
        <v>1</v>
      </c>
    </row>
    <row r="2495" spans="5:9" ht="15.75" hidden="1" customHeight="1" x14ac:dyDescent="0.2">
      <c r="E2495" t="s">
        <v>375</v>
      </c>
      <c r="F2495">
        <v>76</v>
      </c>
      <c r="G2495" t="s">
        <v>294</v>
      </c>
      <c r="H2495" t="s">
        <v>14</v>
      </c>
      <c r="I2495">
        <v>1</v>
      </c>
    </row>
    <row r="2496" spans="5:9" ht="15.75" hidden="1" customHeight="1" x14ac:dyDescent="0.2">
      <c r="E2496" t="s">
        <v>376</v>
      </c>
      <c r="F2496">
        <v>77</v>
      </c>
      <c r="G2496" t="s">
        <v>294</v>
      </c>
      <c r="H2496" t="s">
        <v>14</v>
      </c>
      <c r="I2496">
        <v>1</v>
      </c>
    </row>
    <row r="2497" spans="5:9" ht="15.75" hidden="1" customHeight="1" x14ac:dyDescent="0.2">
      <c r="E2497" t="s">
        <v>382</v>
      </c>
      <c r="F2497">
        <v>78</v>
      </c>
      <c r="G2497" t="s">
        <v>294</v>
      </c>
      <c r="H2497" t="s">
        <v>14</v>
      </c>
      <c r="I2497">
        <v>1</v>
      </c>
    </row>
    <row r="2498" spans="5:9" ht="15.75" hidden="1" customHeight="1" x14ac:dyDescent="0.2">
      <c r="E2498" t="s">
        <v>383</v>
      </c>
      <c r="F2498">
        <v>79</v>
      </c>
      <c r="G2498" t="s">
        <v>294</v>
      </c>
      <c r="H2498" t="s">
        <v>14</v>
      </c>
      <c r="I2498">
        <v>1</v>
      </c>
    </row>
    <row r="2499" spans="5:9" ht="15.75" hidden="1" customHeight="1" x14ac:dyDescent="0.2">
      <c r="E2499" t="s">
        <v>395</v>
      </c>
      <c r="F2499">
        <v>80</v>
      </c>
      <c r="G2499" t="s">
        <v>294</v>
      </c>
      <c r="H2499" t="s">
        <v>14</v>
      </c>
      <c r="I2499">
        <v>0</v>
      </c>
    </row>
    <row r="2500" spans="5:9" ht="15.75" hidden="1" customHeight="1" x14ac:dyDescent="0.2">
      <c r="E2500" t="s">
        <v>397</v>
      </c>
      <c r="F2500">
        <v>81</v>
      </c>
      <c r="G2500" t="s">
        <v>294</v>
      </c>
      <c r="H2500" t="s">
        <v>14</v>
      </c>
      <c r="I2500">
        <v>0</v>
      </c>
    </row>
    <row r="2501" spans="5:9" ht="15.75" hidden="1" customHeight="1" x14ac:dyDescent="0.2">
      <c r="E2501" t="s">
        <v>399</v>
      </c>
      <c r="F2501">
        <v>82</v>
      </c>
      <c r="G2501" t="s">
        <v>294</v>
      </c>
      <c r="H2501" t="s">
        <v>14</v>
      </c>
      <c r="I2501">
        <v>0</v>
      </c>
    </row>
    <row r="2502" spans="5:9" ht="15.75" hidden="1" customHeight="1" x14ac:dyDescent="0.2">
      <c r="E2502" t="s">
        <v>400</v>
      </c>
      <c r="F2502">
        <v>83</v>
      </c>
      <c r="G2502" t="s">
        <v>294</v>
      </c>
      <c r="H2502" t="s">
        <v>14</v>
      </c>
      <c r="I2502">
        <v>0</v>
      </c>
    </row>
    <row r="2503" spans="5:9" ht="15.75" hidden="1" customHeight="1" x14ac:dyDescent="0.2">
      <c r="E2503" t="s">
        <v>401</v>
      </c>
      <c r="F2503">
        <v>84</v>
      </c>
      <c r="G2503" t="s">
        <v>294</v>
      </c>
      <c r="H2503" t="s">
        <v>14</v>
      </c>
      <c r="I2503">
        <v>0</v>
      </c>
    </row>
    <row r="2504" spans="5:9" ht="15.75" hidden="1" customHeight="1" x14ac:dyDescent="0.2">
      <c r="E2504" t="s">
        <v>402</v>
      </c>
      <c r="F2504">
        <v>85</v>
      </c>
      <c r="G2504" t="s">
        <v>294</v>
      </c>
      <c r="H2504" t="s">
        <v>14</v>
      </c>
      <c r="I2504">
        <v>0</v>
      </c>
    </row>
    <row r="2505" spans="5:9" ht="15.75" hidden="1" customHeight="1" x14ac:dyDescent="0.2">
      <c r="E2505" t="s">
        <v>403</v>
      </c>
      <c r="F2505">
        <v>86</v>
      </c>
      <c r="G2505" t="s">
        <v>294</v>
      </c>
      <c r="H2505" t="s">
        <v>14</v>
      </c>
      <c r="I2505">
        <v>0</v>
      </c>
    </row>
    <row r="2506" spans="5:9" ht="15.75" hidden="1" customHeight="1" x14ac:dyDescent="0.2">
      <c r="E2506" t="s">
        <v>404</v>
      </c>
      <c r="F2506">
        <v>87</v>
      </c>
      <c r="G2506" t="s">
        <v>294</v>
      </c>
      <c r="H2506" t="s">
        <v>14</v>
      </c>
      <c r="I2506">
        <v>0</v>
      </c>
    </row>
    <row r="2507" spans="5:9" ht="15.75" hidden="1" customHeight="1" x14ac:dyDescent="0.2">
      <c r="E2507" t="s">
        <v>405</v>
      </c>
      <c r="F2507">
        <v>88</v>
      </c>
      <c r="G2507" t="s">
        <v>294</v>
      </c>
      <c r="H2507" t="s">
        <v>14</v>
      </c>
      <c r="I2507">
        <v>0</v>
      </c>
    </row>
    <row r="2508" spans="5:9" ht="15.75" hidden="1" customHeight="1" x14ac:dyDescent="0.2">
      <c r="E2508" t="s">
        <v>406</v>
      </c>
      <c r="F2508">
        <v>89</v>
      </c>
      <c r="G2508" t="s">
        <v>294</v>
      </c>
      <c r="H2508" t="s">
        <v>14</v>
      </c>
      <c r="I2508">
        <v>0</v>
      </c>
    </row>
    <row r="2509" spans="5:9" ht="15.75" hidden="1" customHeight="1" x14ac:dyDescent="0.2">
      <c r="E2509" t="s">
        <v>376</v>
      </c>
      <c r="F2509">
        <v>90</v>
      </c>
      <c r="G2509" t="s">
        <v>294</v>
      </c>
      <c r="H2509" t="s">
        <v>14</v>
      </c>
      <c r="I2509">
        <v>0</v>
      </c>
    </row>
    <row r="2510" spans="5:9" ht="15.75" hidden="1" customHeight="1" x14ac:dyDescent="0.2">
      <c r="E2510" t="s">
        <v>409</v>
      </c>
      <c r="F2510">
        <v>91</v>
      </c>
      <c r="G2510" t="s">
        <v>294</v>
      </c>
      <c r="H2510" t="s">
        <v>14</v>
      </c>
      <c r="I2510">
        <v>0</v>
      </c>
    </row>
    <row r="2511" spans="5:9" ht="15.75" hidden="1" customHeight="1" x14ac:dyDescent="0.2">
      <c r="E2511" t="s">
        <v>410</v>
      </c>
      <c r="F2511">
        <v>92</v>
      </c>
      <c r="G2511" t="s">
        <v>294</v>
      </c>
      <c r="H2511" t="s">
        <v>14</v>
      </c>
      <c r="I2511">
        <v>0</v>
      </c>
    </row>
    <row r="2512" spans="5:9" ht="15.75" hidden="1" customHeight="1" x14ac:dyDescent="0.2">
      <c r="E2512" t="s">
        <v>413</v>
      </c>
      <c r="F2512">
        <v>93</v>
      </c>
      <c r="G2512" t="s">
        <v>294</v>
      </c>
      <c r="H2512" t="s">
        <v>14</v>
      </c>
      <c r="I2512">
        <v>0</v>
      </c>
    </row>
    <row r="2513" spans="5:9" ht="15.75" hidden="1" customHeight="1" x14ac:dyDescent="0.2">
      <c r="E2513" t="s">
        <v>414</v>
      </c>
      <c r="F2513">
        <v>94</v>
      </c>
      <c r="G2513" t="s">
        <v>294</v>
      </c>
      <c r="H2513" t="s">
        <v>14</v>
      </c>
      <c r="I2513">
        <v>0</v>
      </c>
    </row>
    <row r="2514" spans="5:9" ht="15.75" hidden="1" customHeight="1" x14ac:dyDescent="0.2">
      <c r="E2514" t="s">
        <v>417</v>
      </c>
      <c r="F2514">
        <v>95</v>
      </c>
      <c r="G2514" t="s">
        <v>294</v>
      </c>
      <c r="H2514" t="s">
        <v>14</v>
      </c>
      <c r="I2514">
        <v>0</v>
      </c>
    </row>
    <row r="2515" spans="5:9" ht="15.75" hidden="1" customHeight="1" x14ac:dyDescent="0.2">
      <c r="E2515" t="s">
        <v>440</v>
      </c>
      <c r="F2515">
        <v>96</v>
      </c>
      <c r="G2515" t="s">
        <v>294</v>
      </c>
      <c r="H2515" t="s">
        <v>14</v>
      </c>
      <c r="I2515">
        <v>1</v>
      </c>
    </row>
    <row r="2516" spans="5:9" ht="15.75" hidden="1" customHeight="1" x14ac:dyDescent="0.2">
      <c r="E2516" t="s">
        <v>441</v>
      </c>
      <c r="F2516">
        <v>97</v>
      </c>
      <c r="G2516" t="s">
        <v>294</v>
      </c>
      <c r="H2516" t="s">
        <v>14</v>
      </c>
      <c r="I2516">
        <v>1</v>
      </c>
    </row>
    <row r="2517" spans="5:9" ht="15.75" hidden="1" customHeight="1" x14ac:dyDescent="0.2">
      <c r="E2517" t="s">
        <v>442</v>
      </c>
      <c r="F2517">
        <v>98</v>
      </c>
      <c r="G2517" t="s">
        <v>294</v>
      </c>
      <c r="H2517" t="s">
        <v>14</v>
      </c>
      <c r="I2517">
        <v>1</v>
      </c>
    </row>
    <row r="2518" spans="5:9" ht="15.75" hidden="1" customHeight="1" x14ac:dyDescent="0.2">
      <c r="E2518" t="s">
        <v>443</v>
      </c>
      <c r="F2518">
        <v>99</v>
      </c>
      <c r="G2518" t="s">
        <v>294</v>
      </c>
      <c r="H2518" t="s">
        <v>14</v>
      </c>
      <c r="I2518">
        <v>1</v>
      </c>
    </row>
    <row r="2519" spans="5:9" ht="15.75" hidden="1" customHeight="1" x14ac:dyDescent="0.2">
      <c r="E2519" t="s">
        <v>444</v>
      </c>
      <c r="F2519">
        <v>100</v>
      </c>
      <c r="G2519" t="s">
        <v>294</v>
      </c>
      <c r="H2519" t="s">
        <v>14</v>
      </c>
      <c r="I2519">
        <v>1</v>
      </c>
    </row>
    <row r="2520" spans="5:9" ht="15.75" hidden="1" customHeight="1" x14ac:dyDescent="0.2">
      <c r="E2520" t="s">
        <v>362</v>
      </c>
      <c r="F2520">
        <v>101</v>
      </c>
      <c r="G2520" t="s">
        <v>294</v>
      </c>
      <c r="H2520" t="s">
        <v>14</v>
      </c>
      <c r="I2520">
        <v>1</v>
      </c>
    </row>
    <row r="2521" spans="5:9" ht="15.75" hidden="1" customHeight="1" x14ac:dyDescent="0.2">
      <c r="E2521" t="s">
        <v>446</v>
      </c>
      <c r="F2521">
        <v>102</v>
      </c>
      <c r="G2521" t="s">
        <v>294</v>
      </c>
      <c r="H2521" t="s">
        <v>14</v>
      </c>
      <c r="I2521">
        <v>0</v>
      </c>
    </row>
    <row r="2522" spans="5:9" ht="15.75" hidden="1" customHeight="1" x14ac:dyDescent="0.2">
      <c r="E2522" t="s">
        <v>447</v>
      </c>
      <c r="F2522">
        <v>103</v>
      </c>
      <c r="G2522" t="s">
        <v>294</v>
      </c>
      <c r="H2522" t="s">
        <v>14</v>
      </c>
      <c r="I2522">
        <v>0</v>
      </c>
    </row>
    <row r="2523" spans="5:9" ht="15.75" hidden="1" customHeight="1" x14ac:dyDescent="0.2">
      <c r="E2523" t="s">
        <v>448</v>
      </c>
      <c r="F2523">
        <v>104</v>
      </c>
      <c r="G2523" t="s">
        <v>294</v>
      </c>
      <c r="H2523" t="s">
        <v>14</v>
      </c>
      <c r="I2523">
        <v>0</v>
      </c>
    </row>
    <row r="2524" spans="5:9" ht="15.75" hidden="1" customHeight="1" x14ac:dyDescent="0.2">
      <c r="E2524" t="s">
        <v>449</v>
      </c>
      <c r="F2524">
        <v>105</v>
      </c>
      <c r="G2524" t="s">
        <v>294</v>
      </c>
      <c r="H2524" t="s">
        <v>14</v>
      </c>
      <c r="I2524">
        <v>0</v>
      </c>
    </row>
    <row r="2525" spans="5:9" ht="15.75" hidden="1" customHeight="1" x14ac:dyDescent="0.2">
      <c r="E2525" t="s">
        <v>450</v>
      </c>
      <c r="F2525">
        <v>106</v>
      </c>
      <c r="G2525" t="s">
        <v>294</v>
      </c>
      <c r="H2525" t="s">
        <v>14</v>
      </c>
      <c r="I2525">
        <v>0</v>
      </c>
    </row>
    <row r="2526" spans="5:9" ht="15.75" hidden="1" customHeight="1" x14ac:dyDescent="0.2">
      <c r="E2526" t="s">
        <v>451</v>
      </c>
      <c r="F2526">
        <v>107</v>
      </c>
      <c r="G2526" t="s">
        <v>294</v>
      </c>
      <c r="H2526" t="s">
        <v>14</v>
      </c>
      <c r="I2526">
        <v>0</v>
      </c>
    </row>
    <row r="2527" spans="5:9" ht="15.75" hidden="1" customHeight="1" x14ac:dyDescent="0.2">
      <c r="E2527" t="s">
        <v>452</v>
      </c>
      <c r="F2527">
        <v>108</v>
      </c>
      <c r="G2527" t="s">
        <v>294</v>
      </c>
      <c r="H2527" t="s">
        <v>14</v>
      </c>
      <c r="I2527">
        <v>0</v>
      </c>
    </row>
    <row r="2528" spans="5:9" ht="15.75" hidden="1" customHeight="1" x14ac:dyDescent="0.2">
      <c r="E2528" t="s">
        <v>453</v>
      </c>
      <c r="F2528">
        <v>109</v>
      </c>
      <c r="G2528" t="s">
        <v>294</v>
      </c>
      <c r="H2528" t="s">
        <v>14</v>
      </c>
      <c r="I2528">
        <v>0</v>
      </c>
    </row>
    <row r="2529" spans="5:9" ht="15.75" hidden="1" customHeight="1" x14ac:dyDescent="0.2">
      <c r="E2529" t="s">
        <v>454</v>
      </c>
      <c r="F2529">
        <v>110</v>
      </c>
      <c r="G2529" t="s">
        <v>294</v>
      </c>
      <c r="H2529" t="s">
        <v>14</v>
      </c>
      <c r="I2529">
        <v>0</v>
      </c>
    </row>
    <row r="2530" spans="5:9" ht="15.75" hidden="1" customHeight="1" x14ac:dyDescent="0.2">
      <c r="E2530" t="s">
        <v>455</v>
      </c>
      <c r="F2530">
        <v>111</v>
      </c>
      <c r="G2530" t="s">
        <v>294</v>
      </c>
      <c r="H2530" t="s">
        <v>14</v>
      </c>
      <c r="I2530">
        <v>0</v>
      </c>
    </row>
    <row r="2531" spans="5:9" ht="15.75" hidden="1" customHeight="1" x14ac:dyDescent="0.2">
      <c r="E2531" t="s">
        <v>456</v>
      </c>
      <c r="F2531">
        <v>112</v>
      </c>
      <c r="G2531" t="s">
        <v>294</v>
      </c>
      <c r="H2531" t="s">
        <v>14</v>
      </c>
      <c r="I2531">
        <v>0</v>
      </c>
    </row>
    <row r="2532" spans="5:9" ht="15.75" hidden="1" customHeight="1" x14ac:dyDescent="0.2">
      <c r="E2532" t="s">
        <v>457</v>
      </c>
      <c r="F2532">
        <v>113</v>
      </c>
      <c r="G2532" t="s">
        <v>294</v>
      </c>
      <c r="H2532" t="s">
        <v>14</v>
      </c>
      <c r="I2532">
        <v>0</v>
      </c>
    </row>
    <row r="2533" spans="5:9" ht="15.75" hidden="1" customHeight="1" x14ac:dyDescent="0.2">
      <c r="E2533" t="s">
        <v>459</v>
      </c>
      <c r="F2533">
        <v>114</v>
      </c>
      <c r="G2533" t="s">
        <v>294</v>
      </c>
      <c r="H2533" t="s">
        <v>14</v>
      </c>
      <c r="I2533">
        <v>1</v>
      </c>
    </row>
    <row r="2534" spans="5:9" ht="15.75" hidden="1" customHeight="1" x14ac:dyDescent="0.2">
      <c r="E2534" t="s">
        <v>460</v>
      </c>
      <c r="F2534">
        <v>115</v>
      </c>
      <c r="G2534" t="s">
        <v>294</v>
      </c>
      <c r="H2534" t="s">
        <v>14</v>
      </c>
      <c r="I2534">
        <v>1</v>
      </c>
    </row>
    <row r="2535" spans="5:9" ht="15.75" hidden="1" customHeight="1" x14ac:dyDescent="0.2">
      <c r="E2535" t="s">
        <v>461</v>
      </c>
      <c r="F2535">
        <v>116</v>
      </c>
      <c r="G2535" t="s">
        <v>294</v>
      </c>
      <c r="H2535" t="s">
        <v>14</v>
      </c>
      <c r="I2535">
        <v>1</v>
      </c>
    </row>
    <row r="2536" spans="5:9" ht="15.75" hidden="1" customHeight="1" x14ac:dyDescent="0.2">
      <c r="E2536" t="s">
        <v>462</v>
      </c>
      <c r="F2536">
        <v>117</v>
      </c>
      <c r="G2536" t="s">
        <v>294</v>
      </c>
      <c r="H2536" t="s">
        <v>14</v>
      </c>
      <c r="I2536">
        <v>1</v>
      </c>
    </row>
    <row r="2537" spans="5:9" ht="15.75" hidden="1" customHeight="1" x14ac:dyDescent="0.2">
      <c r="E2537" t="s">
        <v>463</v>
      </c>
      <c r="F2537">
        <v>118</v>
      </c>
      <c r="G2537" t="s">
        <v>294</v>
      </c>
      <c r="H2537" t="s">
        <v>14</v>
      </c>
      <c r="I2537">
        <v>1</v>
      </c>
    </row>
    <row r="2538" spans="5:9" ht="15.75" hidden="1" customHeight="1" x14ac:dyDescent="0.2">
      <c r="E2538" t="s">
        <v>464</v>
      </c>
      <c r="F2538">
        <v>119</v>
      </c>
      <c r="G2538" t="s">
        <v>294</v>
      </c>
      <c r="H2538" t="s">
        <v>14</v>
      </c>
      <c r="I2538">
        <v>1</v>
      </c>
    </row>
    <row r="2539" spans="5:9" ht="15.75" hidden="1" customHeight="1" x14ac:dyDescent="0.2">
      <c r="E2539" t="s">
        <v>465</v>
      </c>
      <c r="F2539">
        <v>120</v>
      </c>
      <c r="G2539" t="s">
        <v>294</v>
      </c>
      <c r="H2539" t="s">
        <v>14</v>
      </c>
      <c r="I2539">
        <v>1</v>
      </c>
    </row>
    <row r="2540" spans="5:9" ht="15.75" hidden="1" customHeight="1" x14ac:dyDescent="0.2">
      <c r="E2540" t="s">
        <v>466</v>
      </c>
      <c r="F2540">
        <v>121</v>
      </c>
      <c r="G2540" t="s">
        <v>294</v>
      </c>
      <c r="H2540" t="s">
        <v>14</v>
      </c>
      <c r="I2540">
        <v>1</v>
      </c>
    </row>
    <row r="2541" spans="5:9" ht="15.75" hidden="1" customHeight="1" x14ac:dyDescent="0.2">
      <c r="E2541" t="s">
        <v>467</v>
      </c>
      <c r="F2541">
        <v>122</v>
      </c>
      <c r="G2541" t="s">
        <v>294</v>
      </c>
      <c r="H2541" t="s">
        <v>14</v>
      </c>
      <c r="I2541">
        <v>1</v>
      </c>
    </row>
    <row r="2542" spans="5:9" ht="15.75" hidden="1" customHeight="1" x14ac:dyDescent="0.2">
      <c r="E2542" t="s">
        <v>468</v>
      </c>
      <c r="F2542">
        <v>123</v>
      </c>
      <c r="G2542" t="s">
        <v>294</v>
      </c>
      <c r="H2542" t="s">
        <v>14</v>
      </c>
      <c r="I2542">
        <v>1</v>
      </c>
    </row>
    <row r="2543" spans="5:9" ht="15.75" hidden="1" customHeight="1" x14ac:dyDescent="0.2">
      <c r="E2543" t="s">
        <v>469</v>
      </c>
      <c r="F2543">
        <v>124</v>
      </c>
      <c r="G2543" t="s">
        <v>294</v>
      </c>
      <c r="H2543" t="s">
        <v>14</v>
      </c>
      <c r="I2543">
        <v>1</v>
      </c>
    </row>
    <row r="2544" spans="5:9" ht="15.75" hidden="1" customHeight="1" x14ac:dyDescent="0.2">
      <c r="E2544" t="s">
        <v>470</v>
      </c>
      <c r="F2544">
        <v>125</v>
      </c>
      <c r="G2544" t="s">
        <v>294</v>
      </c>
      <c r="H2544" t="s">
        <v>14</v>
      </c>
      <c r="I2544">
        <v>1</v>
      </c>
    </row>
    <row r="2545" spans="5:9" ht="15.75" hidden="1" customHeight="1" x14ac:dyDescent="0.2">
      <c r="E2545" t="s">
        <v>471</v>
      </c>
      <c r="F2545">
        <v>126</v>
      </c>
      <c r="G2545" t="s">
        <v>294</v>
      </c>
      <c r="H2545" t="s">
        <v>14</v>
      </c>
      <c r="I2545">
        <v>1</v>
      </c>
    </row>
    <row r="2546" spans="5:9" ht="15.75" hidden="1" customHeight="1" x14ac:dyDescent="0.2">
      <c r="E2546" t="s">
        <v>472</v>
      </c>
      <c r="F2546">
        <v>127</v>
      </c>
      <c r="G2546" t="s">
        <v>294</v>
      </c>
      <c r="H2546" t="s">
        <v>14</v>
      </c>
      <c r="I2546">
        <v>1</v>
      </c>
    </row>
    <row r="2547" spans="5:9" ht="15.75" hidden="1" customHeight="1" x14ac:dyDescent="0.2">
      <c r="E2547" t="s">
        <v>473</v>
      </c>
      <c r="F2547">
        <v>128</v>
      </c>
      <c r="G2547" t="s">
        <v>294</v>
      </c>
      <c r="H2547" t="s">
        <v>14</v>
      </c>
      <c r="I2547">
        <v>1</v>
      </c>
    </row>
    <row r="2548" spans="5:9" ht="15.75" hidden="1" customHeight="1" x14ac:dyDescent="0.2">
      <c r="E2548" t="s">
        <v>474</v>
      </c>
      <c r="F2548">
        <v>129</v>
      </c>
      <c r="G2548" t="s">
        <v>294</v>
      </c>
      <c r="H2548" t="s">
        <v>14</v>
      </c>
      <c r="I2548">
        <v>1</v>
      </c>
    </row>
    <row r="2549" spans="5:9" ht="15.75" hidden="1" customHeight="1" x14ac:dyDescent="0.2">
      <c r="E2549" t="s">
        <v>476</v>
      </c>
      <c r="F2549">
        <v>130</v>
      </c>
      <c r="G2549" t="s">
        <v>294</v>
      </c>
      <c r="H2549" t="s">
        <v>14</v>
      </c>
      <c r="I2549">
        <v>0</v>
      </c>
    </row>
    <row r="2550" spans="5:9" ht="15.75" hidden="1" customHeight="1" x14ac:dyDescent="0.2">
      <c r="E2550" t="s">
        <v>478</v>
      </c>
      <c r="F2550">
        <v>131</v>
      </c>
      <c r="G2550" t="s">
        <v>294</v>
      </c>
      <c r="H2550" t="s">
        <v>14</v>
      </c>
      <c r="I2550">
        <v>0</v>
      </c>
    </row>
    <row r="2551" spans="5:9" ht="15.75" hidden="1" customHeight="1" x14ac:dyDescent="0.2">
      <c r="E2551" t="s">
        <v>440</v>
      </c>
      <c r="F2551">
        <v>132</v>
      </c>
      <c r="G2551" t="s">
        <v>294</v>
      </c>
      <c r="H2551" t="s">
        <v>14</v>
      </c>
      <c r="I2551">
        <v>0</v>
      </c>
    </row>
    <row r="2552" spans="5:9" ht="15.75" hidden="1" customHeight="1" x14ac:dyDescent="0.2">
      <c r="E2552" t="s">
        <v>441</v>
      </c>
      <c r="F2552">
        <v>133</v>
      </c>
      <c r="G2552" t="s">
        <v>294</v>
      </c>
      <c r="H2552" t="s">
        <v>14</v>
      </c>
      <c r="I2552">
        <v>0</v>
      </c>
    </row>
    <row r="2553" spans="5:9" ht="15.75" hidden="1" customHeight="1" x14ac:dyDescent="0.2">
      <c r="E2553" t="s">
        <v>442</v>
      </c>
      <c r="F2553">
        <v>134</v>
      </c>
      <c r="G2553" t="s">
        <v>294</v>
      </c>
      <c r="H2553" t="s">
        <v>14</v>
      </c>
      <c r="I2553">
        <v>0</v>
      </c>
    </row>
    <row r="2554" spans="5:9" ht="15.75" hidden="1" customHeight="1" x14ac:dyDescent="0.2">
      <c r="E2554" t="s">
        <v>443</v>
      </c>
      <c r="F2554">
        <v>135</v>
      </c>
      <c r="G2554" t="s">
        <v>294</v>
      </c>
      <c r="H2554" t="s">
        <v>14</v>
      </c>
      <c r="I2554">
        <v>1</v>
      </c>
    </row>
    <row r="2555" spans="5:9" ht="15.75" hidden="1" customHeight="1" x14ac:dyDescent="0.2">
      <c r="E2555" t="s">
        <v>362</v>
      </c>
      <c r="F2555">
        <v>136</v>
      </c>
      <c r="G2555" t="s">
        <v>294</v>
      </c>
      <c r="H2555" t="s">
        <v>14</v>
      </c>
      <c r="I2555">
        <v>0</v>
      </c>
    </row>
    <row r="2556" spans="5:9" ht="15.75" hidden="1" customHeight="1" x14ac:dyDescent="0.2">
      <c r="E2556" t="s">
        <v>482</v>
      </c>
      <c r="F2556">
        <v>137</v>
      </c>
      <c r="G2556" t="s">
        <v>294</v>
      </c>
      <c r="H2556" t="s">
        <v>14</v>
      </c>
      <c r="I2556">
        <v>0</v>
      </c>
    </row>
    <row r="2557" spans="5:9" ht="15.75" hidden="1" customHeight="1" x14ac:dyDescent="0.2">
      <c r="E2557" t="s">
        <v>483</v>
      </c>
      <c r="F2557">
        <v>138</v>
      </c>
      <c r="G2557" t="s">
        <v>294</v>
      </c>
      <c r="H2557" t="s">
        <v>14</v>
      </c>
      <c r="I2557">
        <v>0</v>
      </c>
    </row>
    <row r="2558" spans="5:9" ht="15.75" hidden="1" customHeight="1" x14ac:dyDescent="0.2">
      <c r="E2558" t="s">
        <v>484</v>
      </c>
      <c r="F2558">
        <v>139</v>
      </c>
      <c r="G2558" t="s">
        <v>294</v>
      </c>
      <c r="H2558" t="s">
        <v>14</v>
      </c>
      <c r="I2558">
        <v>2</v>
      </c>
    </row>
    <row r="2559" spans="5:9" ht="15.75" hidden="1" customHeight="1" x14ac:dyDescent="0.2">
      <c r="E2559" t="s">
        <v>486</v>
      </c>
      <c r="F2559">
        <v>140</v>
      </c>
      <c r="G2559" t="s">
        <v>294</v>
      </c>
      <c r="H2559" t="s">
        <v>14</v>
      </c>
      <c r="I2559">
        <v>0</v>
      </c>
    </row>
    <row r="2560" spans="5:9" ht="15.75" hidden="1" customHeight="1" x14ac:dyDescent="0.2">
      <c r="E2560" t="s">
        <v>487</v>
      </c>
      <c r="F2560">
        <v>141</v>
      </c>
      <c r="G2560" t="s">
        <v>294</v>
      </c>
      <c r="H2560" t="s">
        <v>14</v>
      </c>
      <c r="I2560">
        <v>0</v>
      </c>
    </row>
    <row r="2561" spans="5:9" ht="15.75" hidden="1" customHeight="1" x14ac:dyDescent="0.2">
      <c r="E2561" t="s">
        <v>446</v>
      </c>
      <c r="F2561">
        <v>142</v>
      </c>
      <c r="G2561" t="s">
        <v>294</v>
      </c>
      <c r="H2561" t="s">
        <v>14</v>
      </c>
      <c r="I2561">
        <v>1</v>
      </c>
    </row>
    <row r="2562" spans="5:9" ht="15.75" hidden="1" customHeight="1" x14ac:dyDescent="0.2">
      <c r="E2562" t="s">
        <v>447</v>
      </c>
      <c r="F2562">
        <v>143</v>
      </c>
      <c r="G2562" t="s">
        <v>294</v>
      </c>
      <c r="H2562" t="s">
        <v>14</v>
      </c>
      <c r="I2562">
        <v>0</v>
      </c>
    </row>
    <row r="2563" spans="5:9" ht="15.75" hidden="1" customHeight="1" x14ac:dyDescent="0.2">
      <c r="E2563" t="s">
        <v>448</v>
      </c>
      <c r="F2563">
        <v>144</v>
      </c>
      <c r="G2563" t="s">
        <v>294</v>
      </c>
      <c r="H2563" t="s">
        <v>14</v>
      </c>
      <c r="I2563">
        <v>0</v>
      </c>
    </row>
    <row r="2564" spans="5:9" ht="15.75" hidden="1" customHeight="1" x14ac:dyDescent="0.2">
      <c r="E2564" t="s">
        <v>449</v>
      </c>
      <c r="F2564">
        <v>145</v>
      </c>
      <c r="G2564" t="s">
        <v>294</v>
      </c>
      <c r="H2564" t="s">
        <v>14</v>
      </c>
      <c r="I2564">
        <v>0</v>
      </c>
    </row>
    <row r="2565" spans="5:9" ht="15.75" hidden="1" customHeight="1" x14ac:dyDescent="0.2">
      <c r="E2565" t="s">
        <v>450</v>
      </c>
      <c r="F2565">
        <v>146</v>
      </c>
      <c r="G2565" t="s">
        <v>294</v>
      </c>
      <c r="H2565" t="s">
        <v>14</v>
      </c>
      <c r="I2565">
        <v>0</v>
      </c>
    </row>
    <row r="2566" spans="5:9" ht="15.75" hidden="1" customHeight="1" x14ac:dyDescent="0.2">
      <c r="E2566" t="s">
        <v>451</v>
      </c>
      <c r="F2566">
        <v>147</v>
      </c>
      <c r="G2566" t="s">
        <v>294</v>
      </c>
      <c r="H2566" t="s">
        <v>14</v>
      </c>
      <c r="I2566">
        <v>0</v>
      </c>
    </row>
    <row r="2567" spans="5:9" ht="15.75" hidden="1" customHeight="1" x14ac:dyDescent="0.2">
      <c r="E2567" t="s">
        <v>488</v>
      </c>
      <c r="F2567">
        <v>148</v>
      </c>
      <c r="G2567" t="s">
        <v>294</v>
      </c>
      <c r="H2567" t="s">
        <v>14</v>
      </c>
      <c r="I2567">
        <v>0</v>
      </c>
    </row>
    <row r="2568" spans="5:9" ht="15.75" hidden="1" customHeight="1" x14ac:dyDescent="0.2">
      <c r="E2568" t="s">
        <v>452</v>
      </c>
      <c r="F2568">
        <v>149</v>
      </c>
      <c r="G2568" t="s">
        <v>294</v>
      </c>
      <c r="H2568" t="s">
        <v>14</v>
      </c>
      <c r="I2568">
        <v>0</v>
      </c>
    </row>
    <row r="2569" spans="5:9" ht="15.75" hidden="1" customHeight="1" x14ac:dyDescent="0.2">
      <c r="E2569" t="s">
        <v>453</v>
      </c>
      <c r="F2569">
        <v>150</v>
      </c>
      <c r="G2569" t="s">
        <v>294</v>
      </c>
      <c r="H2569" t="s">
        <v>14</v>
      </c>
      <c r="I2569">
        <v>0</v>
      </c>
    </row>
    <row r="2570" spans="5:9" ht="15.75" hidden="1" customHeight="1" x14ac:dyDescent="0.2">
      <c r="E2570" t="s">
        <v>454</v>
      </c>
      <c r="F2570">
        <v>151</v>
      </c>
      <c r="G2570" t="s">
        <v>294</v>
      </c>
      <c r="H2570" t="s">
        <v>14</v>
      </c>
      <c r="I2570">
        <v>0</v>
      </c>
    </row>
    <row r="2571" spans="5:9" ht="15.75" hidden="1" customHeight="1" x14ac:dyDescent="0.2">
      <c r="E2571" t="s">
        <v>455</v>
      </c>
      <c r="F2571">
        <v>152</v>
      </c>
      <c r="G2571" t="s">
        <v>294</v>
      </c>
      <c r="H2571" t="s">
        <v>14</v>
      </c>
      <c r="I2571">
        <v>0</v>
      </c>
    </row>
    <row r="2572" spans="5:9" ht="15.75" hidden="1" customHeight="1" x14ac:dyDescent="0.2">
      <c r="E2572" t="s">
        <v>456</v>
      </c>
      <c r="F2572">
        <v>153</v>
      </c>
      <c r="G2572" t="s">
        <v>294</v>
      </c>
      <c r="H2572" t="s">
        <v>14</v>
      </c>
      <c r="I2572">
        <v>0</v>
      </c>
    </row>
    <row r="2573" spans="5:9" ht="15.75" hidden="1" customHeight="1" x14ac:dyDescent="0.2">
      <c r="E2573" t="s">
        <v>489</v>
      </c>
      <c r="F2573">
        <v>154</v>
      </c>
      <c r="G2573" t="s">
        <v>294</v>
      </c>
      <c r="H2573" t="s">
        <v>14</v>
      </c>
      <c r="I2573">
        <v>0</v>
      </c>
    </row>
    <row r="2574" spans="5:9" ht="15.75" hidden="1" customHeight="1" x14ac:dyDescent="0.2">
      <c r="E2574" t="s">
        <v>457</v>
      </c>
      <c r="F2574">
        <v>155</v>
      </c>
      <c r="G2574" t="s">
        <v>294</v>
      </c>
      <c r="H2574" t="s">
        <v>14</v>
      </c>
      <c r="I2574">
        <v>0</v>
      </c>
    </row>
    <row r="2575" spans="5:9" ht="15.75" hidden="1" customHeight="1" x14ac:dyDescent="0.2">
      <c r="E2575" t="s">
        <v>362</v>
      </c>
      <c r="F2575">
        <v>156</v>
      </c>
      <c r="G2575" t="s">
        <v>294</v>
      </c>
      <c r="H2575" t="s">
        <v>14</v>
      </c>
      <c r="I2575">
        <v>0</v>
      </c>
    </row>
    <row r="2576" spans="5:9" ht="15.75" hidden="1" customHeight="1" x14ac:dyDescent="0.2">
      <c r="E2576" t="s">
        <v>491</v>
      </c>
      <c r="F2576">
        <v>157</v>
      </c>
      <c r="G2576" t="s">
        <v>294</v>
      </c>
      <c r="H2576" t="s">
        <v>14</v>
      </c>
      <c r="I2576">
        <v>0</v>
      </c>
    </row>
    <row r="2577" spans="5:9" ht="15.75" hidden="1" customHeight="1" x14ac:dyDescent="0.2">
      <c r="E2577" t="s">
        <v>492</v>
      </c>
      <c r="F2577">
        <v>158</v>
      </c>
      <c r="G2577" t="s">
        <v>294</v>
      </c>
      <c r="H2577" t="s">
        <v>14</v>
      </c>
      <c r="I2577">
        <v>0</v>
      </c>
    </row>
    <row r="2578" spans="5:9" ht="15.75" hidden="1" customHeight="1" x14ac:dyDescent="0.2">
      <c r="E2578" t="s">
        <v>493</v>
      </c>
      <c r="F2578">
        <v>159</v>
      </c>
      <c r="G2578" t="s">
        <v>294</v>
      </c>
      <c r="H2578" t="s">
        <v>14</v>
      </c>
      <c r="I2578">
        <v>0</v>
      </c>
    </row>
    <row r="2579" spans="5:9" ht="15.75" hidden="1" customHeight="1" x14ac:dyDescent="0.2">
      <c r="E2579" t="s">
        <v>494</v>
      </c>
      <c r="F2579">
        <v>160</v>
      </c>
      <c r="G2579" t="s">
        <v>294</v>
      </c>
      <c r="H2579" t="s">
        <v>14</v>
      </c>
      <c r="I2579">
        <v>0</v>
      </c>
    </row>
    <row r="2580" spans="5:9" ht="15.75" hidden="1" customHeight="1" x14ac:dyDescent="0.2">
      <c r="E2580" t="s">
        <v>496</v>
      </c>
      <c r="F2580">
        <v>161</v>
      </c>
      <c r="G2580" t="s">
        <v>294</v>
      </c>
      <c r="H2580" t="s">
        <v>14</v>
      </c>
      <c r="I2580">
        <v>0</v>
      </c>
    </row>
    <row r="2581" spans="5:9" ht="15.75" hidden="1" customHeight="1" x14ac:dyDescent="0.2">
      <c r="E2581" t="s">
        <v>497</v>
      </c>
      <c r="F2581">
        <v>162</v>
      </c>
      <c r="G2581" t="s">
        <v>294</v>
      </c>
      <c r="H2581" t="s">
        <v>14</v>
      </c>
      <c r="I2581">
        <v>0</v>
      </c>
    </row>
    <row r="2582" spans="5:9" ht="15.75" hidden="1" customHeight="1" x14ac:dyDescent="0.2">
      <c r="E2582" t="s">
        <v>459</v>
      </c>
      <c r="F2582">
        <v>163</v>
      </c>
      <c r="G2582" t="s">
        <v>294</v>
      </c>
      <c r="H2582" t="s">
        <v>14</v>
      </c>
      <c r="I2582">
        <v>2</v>
      </c>
    </row>
    <row r="2583" spans="5:9" ht="15.75" hidden="1" customHeight="1" x14ac:dyDescent="0.2">
      <c r="E2583" t="s">
        <v>460</v>
      </c>
      <c r="F2583">
        <v>164</v>
      </c>
      <c r="G2583" t="s">
        <v>294</v>
      </c>
      <c r="H2583" t="s">
        <v>14</v>
      </c>
      <c r="I2583">
        <v>0</v>
      </c>
    </row>
    <row r="2584" spans="5:9" ht="15.75" hidden="1" customHeight="1" x14ac:dyDescent="0.2">
      <c r="E2584" t="s">
        <v>461</v>
      </c>
      <c r="F2584">
        <v>165</v>
      </c>
      <c r="G2584" t="s">
        <v>294</v>
      </c>
      <c r="H2584" t="s">
        <v>14</v>
      </c>
      <c r="I2584">
        <v>1</v>
      </c>
    </row>
    <row r="2585" spans="5:9" ht="15.75" hidden="1" customHeight="1" x14ac:dyDescent="0.2">
      <c r="E2585" t="s">
        <v>462</v>
      </c>
      <c r="F2585">
        <v>166</v>
      </c>
      <c r="G2585" t="s">
        <v>294</v>
      </c>
      <c r="H2585" t="s">
        <v>14</v>
      </c>
      <c r="I2585">
        <v>0</v>
      </c>
    </row>
    <row r="2586" spans="5:9" ht="15.75" hidden="1" customHeight="1" x14ac:dyDescent="0.2">
      <c r="E2586" t="s">
        <v>463</v>
      </c>
      <c r="F2586">
        <v>167</v>
      </c>
      <c r="G2586" t="s">
        <v>294</v>
      </c>
      <c r="H2586" t="s">
        <v>14</v>
      </c>
      <c r="I2586">
        <v>1</v>
      </c>
    </row>
    <row r="2587" spans="5:9" ht="15.75" hidden="1" customHeight="1" x14ac:dyDescent="0.2">
      <c r="E2587" t="s">
        <v>464</v>
      </c>
      <c r="F2587">
        <v>168</v>
      </c>
      <c r="G2587" t="s">
        <v>294</v>
      </c>
      <c r="H2587" t="s">
        <v>14</v>
      </c>
      <c r="I2587">
        <v>0</v>
      </c>
    </row>
    <row r="2588" spans="5:9" ht="15.75" hidden="1" customHeight="1" x14ac:dyDescent="0.2">
      <c r="E2588" t="s">
        <v>465</v>
      </c>
      <c r="F2588">
        <v>169</v>
      </c>
      <c r="G2588" t="s">
        <v>294</v>
      </c>
      <c r="H2588" t="s">
        <v>14</v>
      </c>
      <c r="I2588">
        <v>0</v>
      </c>
    </row>
    <row r="2589" spans="5:9" ht="15.75" hidden="1" customHeight="1" x14ac:dyDescent="0.2">
      <c r="E2589" t="s">
        <v>466</v>
      </c>
      <c r="F2589">
        <v>170</v>
      </c>
      <c r="G2589" t="s">
        <v>294</v>
      </c>
      <c r="H2589" t="s">
        <v>14</v>
      </c>
      <c r="I2589">
        <v>1</v>
      </c>
    </row>
    <row r="2590" spans="5:9" ht="15.75" hidden="1" customHeight="1" x14ac:dyDescent="0.2">
      <c r="E2590" t="s">
        <v>467</v>
      </c>
      <c r="F2590">
        <v>171</v>
      </c>
      <c r="G2590" t="s">
        <v>294</v>
      </c>
      <c r="H2590" t="s">
        <v>14</v>
      </c>
      <c r="I2590">
        <v>0</v>
      </c>
    </row>
    <row r="2591" spans="5:9" ht="15.75" hidden="1" customHeight="1" x14ac:dyDescent="0.2">
      <c r="E2591" t="s">
        <v>468</v>
      </c>
      <c r="F2591">
        <v>172</v>
      </c>
      <c r="G2591" t="s">
        <v>294</v>
      </c>
      <c r="H2591" t="s">
        <v>14</v>
      </c>
      <c r="I2591">
        <v>1</v>
      </c>
    </row>
    <row r="2592" spans="5:9" ht="15.75" hidden="1" customHeight="1" x14ac:dyDescent="0.2">
      <c r="E2592" t="s">
        <v>469</v>
      </c>
      <c r="F2592">
        <v>173</v>
      </c>
      <c r="G2592" t="s">
        <v>294</v>
      </c>
      <c r="H2592" t="s">
        <v>14</v>
      </c>
      <c r="I2592">
        <v>1</v>
      </c>
    </row>
    <row r="2593" spans="5:9" ht="15.75" hidden="1" customHeight="1" x14ac:dyDescent="0.2">
      <c r="E2593" t="s">
        <v>470</v>
      </c>
      <c r="F2593">
        <v>174</v>
      </c>
      <c r="G2593" t="s">
        <v>294</v>
      </c>
      <c r="H2593" t="s">
        <v>14</v>
      </c>
      <c r="I2593">
        <v>1</v>
      </c>
    </row>
    <row r="2594" spans="5:9" ht="15.75" hidden="1" customHeight="1" x14ac:dyDescent="0.2">
      <c r="E2594" t="s">
        <v>471</v>
      </c>
      <c r="F2594">
        <v>175</v>
      </c>
      <c r="G2594" t="s">
        <v>294</v>
      </c>
      <c r="H2594" t="s">
        <v>14</v>
      </c>
      <c r="I2594">
        <v>1</v>
      </c>
    </row>
    <row r="2595" spans="5:9" ht="15.75" hidden="1" customHeight="1" x14ac:dyDescent="0.2">
      <c r="E2595" t="s">
        <v>472</v>
      </c>
      <c r="F2595">
        <v>176</v>
      </c>
      <c r="G2595" t="s">
        <v>294</v>
      </c>
      <c r="H2595" t="s">
        <v>14</v>
      </c>
      <c r="I2595">
        <v>1</v>
      </c>
    </row>
    <row r="2596" spans="5:9" ht="15.75" hidden="1" customHeight="1" x14ac:dyDescent="0.2">
      <c r="E2596" t="s">
        <v>362</v>
      </c>
      <c r="F2596">
        <v>177</v>
      </c>
      <c r="G2596" t="s">
        <v>294</v>
      </c>
      <c r="H2596" t="s">
        <v>14</v>
      </c>
      <c r="I2596">
        <v>0</v>
      </c>
    </row>
    <row r="2597" spans="5:9" ht="15.75" hidden="1" customHeight="1" x14ac:dyDescent="0.2">
      <c r="E2597" t="s">
        <v>473</v>
      </c>
      <c r="F2597">
        <v>178</v>
      </c>
      <c r="G2597" t="s">
        <v>294</v>
      </c>
      <c r="H2597" t="s">
        <v>14</v>
      </c>
      <c r="I2597">
        <v>1</v>
      </c>
    </row>
    <row r="2598" spans="5:9" ht="15.75" hidden="1" customHeight="1" x14ac:dyDescent="0.2">
      <c r="E2598" t="s">
        <v>474</v>
      </c>
      <c r="F2598">
        <v>179</v>
      </c>
      <c r="G2598" t="s">
        <v>294</v>
      </c>
      <c r="H2598" t="s">
        <v>14</v>
      </c>
      <c r="I2598">
        <v>1</v>
      </c>
    </row>
    <row r="2599" spans="5:9" ht="15.75" hidden="1" customHeight="1" x14ac:dyDescent="0.2">
      <c r="E2599" t="s">
        <v>499</v>
      </c>
      <c r="F2599">
        <v>180</v>
      </c>
      <c r="G2599" t="s">
        <v>294</v>
      </c>
      <c r="H2599" t="s">
        <v>14</v>
      </c>
      <c r="I2599">
        <v>1</v>
      </c>
    </row>
    <row r="2600" spans="5:9" ht="15.75" hidden="1" customHeight="1" x14ac:dyDescent="0.2">
      <c r="E2600" t="s">
        <v>500</v>
      </c>
      <c r="F2600">
        <v>181</v>
      </c>
      <c r="G2600" t="s">
        <v>294</v>
      </c>
      <c r="H2600" t="s">
        <v>14</v>
      </c>
      <c r="I2600">
        <v>1</v>
      </c>
    </row>
    <row r="2601" spans="5:9" ht="15.75" hidden="1" customHeight="1" x14ac:dyDescent="0.2">
      <c r="E2601" t="s">
        <v>501</v>
      </c>
      <c r="F2601">
        <v>182</v>
      </c>
      <c r="G2601" t="s">
        <v>294</v>
      </c>
      <c r="H2601" t="s">
        <v>14</v>
      </c>
      <c r="I2601">
        <v>2</v>
      </c>
    </row>
    <row r="2602" spans="5:9" ht="15.75" hidden="1" customHeight="1" x14ac:dyDescent="0.2">
      <c r="E2602" t="s">
        <v>502</v>
      </c>
      <c r="F2602">
        <v>183</v>
      </c>
      <c r="G2602" t="s">
        <v>294</v>
      </c>
      <c r="H2602" t="s">
        <v>14</v>
      </c>
      <c r="I2602">
        <v>0</v>
      </c>
    </row>
    <row r="2603" spans="5:9" ht="15.75" hidden="1" customHeight="1" x14ac:dyDescent="0.2">
      <c r="E2603" t="s">
        <v>503</v>
      </c>
      <c r="F2603">
        <v>184</v>
      </c>
      <c r="G2603" t="s">
        <v>294</v>
      </c>
      <c r="H2603" t="s">
        <v>14</v>
      </c>
      <c r="I2603">
        <v>0</v>
      </c>
    </row>
    <row r="2604" spans="5:9" ht="15.75" hidden="1" customHeight="1" x14ac:dyDescent="0.2">
      <c r="E2604" t="s">
        <v>504</v>
      </c>
      <c r="F2604">
        <v>185</v>
      </c>
      <c r="G2604" t="s">
        <v>294</v>
      </c>
      <c r="H2604" t="s">
        <v>14</v>
      </c>
      <c r="I2604">
        <v>0</v>
      </c>
    </row>
    <row r="2605" spans="5:9" ht="15.75" hidden="1" customHeight="1" x14ac:dyDescent="0.2">
      <c r="E2605" t="s">
        <v>505</v>
      </c>
      <c r="F2605">
        <v>186</v>
      </c>
      <c r="G2605" t="s">
        <v>294</v>
      </c>
      <c r="H2605" t="s">
        <v>14</v>
      </c>
      <c r="I2605">
        <v>0</v>
      </c>
    </row>
    <row r="2606" spans="5:9" ht="15.75" customHeight="1" x14ac:dyDescent="0.2">
      <c r="E2606" t="s">
        <v>389</v>
      </c>
      <c r="F2606">
        <v>32</v>
      </c>
      <c r="G2606" t="s">
        <v>296</v>
      </c>
      <c r="H2606" t="s">
        <v>1</v>
      </c>
      <c r="I2606">
        <v>2</v>
      </c>
    </row>
    <row r="2607" spans="5:9" ht="15.75" customHeight="1" x14ac:dyDescent="0.2">
      <c r="E2607" t="s">
        <v>391</v>
      </c>
      <c r="F2607">
        <v>34</v>
      </c>
      <c r="G2607" t="s">
        <v>296</v>
      </c>
      <c r="H2607" t="s">
        <v>1</v>
      </c>
      <c r="I2607">
        <v>2</v>
      </c>
    </row>
    <row r="2608" spans="5:9" ht="15.75" customHeight="1" x14ac:dyDescent="0.2">
      <c r="E2608" t="s">
        <v>444</v>
      </c>
      <c r="F2608">
        <v>100</v>
      </c>
      <c r="G2608" t="s">
        <v>296</v>
      </c>
      <c r="H2608" t="s">
        <v>1</v>
      </c>
      <c r="I2608">
        <v>2</v>
      </c>
    </row>
    <row r="2609" spans="5:9" ht="15.75" customHeight="1" x14ac:dyDescent="0.2">
      <c r="E2609" t="s">
        <v>482</v>
      </c>
      <c r="F2609">
        <v>137</v>
      </c>
      <c r="G2609" t="s">
        <v>296</v>
      </c>
      <c r="H2609" t="s">
        <v>1</v>
      </c>
      <c r="I2609">
        <v>2</v>
      </c>
    </row>
    <row r="2610" spans="5:9" ht="15.75" customHeight="1" x14ac:dyDescent="0.2">
      <c r="E2610" t="s">
        <v>483</v>
      </c>
      <c r="F2610">
        <v>138</v>
      </c>
      <c r="G2610" t="s">
        <v>296</v>
      </c>
      <c r="H2610" t="s">
        <v>1</v>
      </c>
      <c r="I2610">
        <v>2</v>
      </c>
    </row>
    <row r="2611" spans="5:9" ht="15.75" customHeight="1" x14ac:dyDescent="0.2">
      <c r="E2611" t="s">
        <v>452</v>
      </c>
      <c r="F2611">
        <v>149</v>
      </c>
      <c r="G2611" t="s">
        <v>296</v>
      </c>
      <c r="H2611" t="s">
        <v>1</v>
      </c>
      <c r="I2611">
        <v>2</v>
      </c>
    </row>
    <row r="2612" spans="5:9" ht="15.75" customHeight="1" x14ac:dyDescent="0.2">
      <c r="E2612" t="s">
        <v>494</v>
      </c>
      <c r="F2612">
        <v>160</v>
      </c>
      <c r="G2612" t="s">
        <v>296</v>
      </c>
      <c r="H2612" t="s">
        <v>1</v>
      </c>
      <c r="I2612">
        <v>2</v>
      </c>
    </row>
    <row r="2613" spans="5:9" ht="15.75" customHeight="1" x14ac:dyDescent="0.2">
      <c r="E2613" t="s">
        <v>471</v>
      </c>
      <c r="F2613">
        <v>175</v>
      </c>
      <c r="G2613" t="s">
        <v>296</v>
      </c>
      <c r="H2613" t="s">
        <v>1</v>
      </c>
      <c r="I2613">
        <v>2</v>
      </c>
    </row>
    <row r="2614" spans="5:9" ht="15.75" customHeight="1" x14ac:dyDescent="0.2">
      <c r="E2614" t="s">
        <v>287</v>
      </c>
      <c r="F2614">
        <v>1</v>
      </c>
      <c r="G2614" t="s">
        <v>299</v>
      </c>
      <c r="H2614" t="s">
        <v>20</v>
      </c>
      <c r="I2614">
        <v>2</v>
      </c>
    </row>
    <row r="2615" spans="5:9" ht="15.75" customHeight="1" x14ac:dyDescent="0.2">
      <c r="E2615" t="s">
        <v>351</v>
      </c>
      <c r="F2615">
        <v>3</v>
      </c>
      <c r="G2615" t="s">
        <v>299</v>
      </c>
      <c r="H2615" t="s">
        <v>20</v>
      </c>
      <c r="I2615">
        <v>2</v>
      </c>
    </row>
    <row r="2616" spans="5:9" ht="15.75" customHeight="1" x14ac:dyDescent="0.2">
      <c r="E2616" t="s">
        <v>354</v>
      </c>
      <c r="F2616">
        <v>5</v>
      </c>
      <c r="G2616" t="s">
        <v>299</v>
      </c>
      <c r="H2616" t="s">
        <v>20</v>
      </c>
      <c r="I2616">
        <v>2</v>
      </c>
    </row>
    <row r="2617" spans="5:9" ht="15.75" customHeight="1" x14ac:dyDescent="0.2">
      <c r="E2617" t="s">
        <v>356</v>
      </c>
      <c r="F2617">
        <v>6</v>
      </c>
      <c r="G2617" t="s">
        <v>299</v>
      </c>
      <c r="H2617" t="s">
        <v>20</v>
      </c>
      <c r="I2617">
        <v>2</v>
      </c>
    </row>
    <row r="2618" spans="5:9" ht="15.75" customHeight="1" x14ac:dyDescent="0.2">
      <c r="E2618" t="s">
        <v>385</v>
      </c>
      <c r="F2618">
        <v>29</v>
      </c>
      <c r="G2618" t="s">
        <v>299</v>
      </c>
      <c r="H2618" t="s">
        <v>20</v>
      </c>
      <c r="I2618">
        <v>2</v>
      </c>
    </row>
    <row r="2619" spans="5:9" ht="15.75" customHeight="1" x14ac:dyDescent="0.2">
      <c r="E2619" t="s">
        <v>387</v>
      </c>
      <c r="F2619">
        <v>30</v>
      </c>
      <c r="G2619" t="s">
        <v>299</v>
      </c>
      <c r="H2619" t="s">
        <v>20</v>
      </c>
      <c r="I2619">
        <v>2</v>
      </c>
    </row>
    <row r="2620" spans="5:9" ht="15.75" customHeight="1" x14ac:dyDescent="0.2">
      <c r="E2620" t="s">
        <v>397</v>
      </c>
      <c r="F2620">
        <v>39</v>
      </c>
      <c r="G2620" t="s">
        <v>299</v>
      </c>
      <c r="H2620" t="s">
        <v>20</v>
      </c>
      <c r="I2620">
        <v>2</v>
      </c>
    </row>
    <row r="2621" spans="5:9" ht="15.75" customHeight="1" x14ac:dyDescent="0.2">
      <c r="E2621" t="s">
        <v>398</v>
      </c>
      <c r="F2621">
        <v>40</v>
      </c>
      <c r="G2621" t="s">
        <v>299</v>
      </c>
      <c r="H2621" t="s">
        <v>20</v>
      </c>
      <c r="I2621">
        <v>2</v>
      </c>
    </row>
    <row r="2622" spans="5:9" ht="15.75" customHeight="1" x14ac:dyDescent="0.2">
      <c r="E2622" t="s">
        <v>410</v>
      </c>
      <c r="F2622">
        <v>53</v>
      </c>
      <c r="G2622" t="s">
        <v>299</v>
      </c>
      <c r="H2622" t="s">
        <v>20</v>
      </c>
      <c r="I2622">
        <v>2</v>
      </c>
    </row>
    <row r="2623" spans="5:9" ht="15.75" customHeight="1" x14ac:dyDescent="0.2">
      <c r="E2623" t="s">
        <v>413</v>
      </c>
      <c r="F2623">
        <v>56</v>
      </c>
      <c r="G2623" t="s">
        <v>299</v>
      </c>
      <c r="H2623" t="s">
        <v>20</v>
      </c>
      <c r="I2623">
        <v>2</v>
      </c>
    </row>
    <row r="2624" spans="5:9" ht="15.75" customHeight="1" x14ac:dyDescent="0.2">
      <c r="E2624" t="s">
        <v>397</v>
      </c>
      <c r="F2624">
        <v>81</v>
      </c>
      <c r="G2624" t="s">
        <v>299</v>
      </c>
      <c r="H2624" t="s">
        <v>20</v>
      </c>
      <c r="I2624">
        <v>2</v>
      </c>
    </row>
    <row r="2625" spans="5:9" ht="15.75" customHeight="1" x14ac:dyDescent="0.2">
      <c r="E2625" t="s">
        <v>410</v>
      </c>
      <c r="F2625">
        <v>92</v>
      </c>
      <c r="G2625" t="s">
        <v>299</v>
      </c>
      <c r="H2625" t="s">
        <v>20</v>
      </c>
      <c r="I2625">
        <v>2</v>
      </c>
    </row>
    <row r="2626" spans="5:9" ht="15.75" customHeight="1" x14ac:dyDescent="0.2">
      <c r="E2626" t="s">
        <v>413</v>
      </c>
      <c r="F2626">
        <v>93</v>
      </c>
      <c r="G2626" t="s">
        <v>299</v>
      </c>
      <c r="H2626" t="s">
        <v>20</v>
      </c>
      <c r="I2626">
        <v>2</v>
      </c>
    </row>
    <row r="2627" spans="5:9" ht="15.75" customHeight="1" x14ac:dyDescent="0.2">
      <c r="E2627" t="s">
        <v>444</v>
      </c>
      <c r="F2627">
        <v>100</v>
      </c>
      <c r="G2627" t="s">
        <v>299</v>
      </c>
      <c r="H2627" t="s">
        <v>20</v>
      </c>
      <c r="I2627">
        <v>2</v>
      </c>
    </row>
    <row r="2628" spans="5:9" ht="15.75" customHeight="1" x14ac:dyDescent="0.2">
      <c r="E2628" t="s">
        <v>483</v>
      </c>
      <c r="F2628">
        <v>138</v>
      </c>
      <c r="G2628" t="s">
        <v>299</v>
      </c>
      <c r="H2628" t="s">
        <v>20</v>
      </c>
      <c r="I2628">
        <v>2</v>
      </c>
    </row>
    <row r="2629" spans="5:9" ht="15.75" customHeight="1" x14ac:dyDescent="0.2">
      <c r="E2629" t="s">
        <v>486</v>
      </c>
      <c r="F2629">
        <v>140</v>
      </c>
      <c r="G2629" t="s">
        <v>299</v>
      </c>
      <c r="H2629" t="s">
        <v>20</v>
      </c>
      <c r="I2629">
        <v>2</v>
      </c>
    </row>
    <row r="2630" spans="5:9" ht="15.75" customHeight="1" x14ac:dyDescent="0.2">
      <c r="E2630" t="s">
        <v>487</v>
      </c>
      <c r="F2630">
        <v>141</v>
      </c>
      <c r="G2630" t="s">
        <v>299</v>
      </c>
      <c r="H2630" t="s">
        <v>20</v>
      </c>
      <c r="I2630">
        <v>2</v>
      </c>
    </row>
    <row r="2631" spans="5:9" ht="15.75" customHeight="1" x14ac:dyDescent="0.2">
      <c r="E2631" t="s">
        <v>287</v>
      </c>
      <c r="F2631">
        <v>1</v>
      </c>
      <c r="G2631" t="s">
        <v>296</v>
      </c>
      <c r="H2631" t="s">
        <v>1</v>
      </c>
      <c r="I2631">
        <v>1</v>
      </c>
    </row>
    <row r="2632" spans="5:9" ht="15.75" customHeight="1" x14ac:dyDescent="0.2">
      <c r="E2632" t="s">
        <v>358</v>
      </c>
      <c r="F2632">
        <v>7</v>
      </c>
      <c r="G2632" t="s">
        <v>296</v>
      </c>
      <c r="H2632" t="s">
        <v>1</v>
      </c>
      <c r="I2632">
        <v>1</v>
      </c>
    </row>
    <row r="2633" spans="5:9" ht="15.75" customHeight="1" x14ac:dyDescent="0.2">
      <c r="E2633" t="s">
        <v>360</v>
      </c>
      <c r="F2633">
        <v>9</v>
      </c>
      <c r="G2633" t="s">
        <v>296</v>
      </c>
      <c r="H2633" t="s">
        <v>1</v>
      </c>
      <c r="I2633">
        <v>1</v>
      </c>
    </row>
    <row r="2634" spans="5:9" ht="15.75" customHeight="1" x14ac:dyDescent="0.2">
      <c r="E2634" t="s">
        <v>361</v>
      </c>
      <c r="F2634">
        <v>10</v>
      </c>
      <c r="G2634" t="s">
        <v>296</v>
      </c>
      <c r="H2634" t="s">
        <v>1</v>
      </c>
      <c r="I2634">
        <v>1</v>
      </c>
    </row>
    <row r="2635" spans="5:9" ht="15.75" customHeight="1" x14ac:dyDescent="0.2">
      <c r="E2635" t="s">
        <v>362</v>
      </c>
      <c r="F2635">
        <v>11</v>
      </c>
      <c r="G2635" t="s">
        <v>296</v>
      </c>
      <c r="H2635" t="s">
        <v>1</v>
      </c>
      <c r="I2635">
        <v>1</v>
      </c>
    </row>
    <row r="2636" spans="5:9" ht="15.75" customHeight="1" x14ac:dyDescent="0.2">
      <c r="E2636" t="s">
        <v>363</v>
      </c>
      <c r="F2636">
        <v>12</v>
      </c>
      <c r="G2636" t="s">
        <v>296</v>
      </c>
      <c r="H2636" t="s">
        <v>1</v>
      </c>
      <c r="I2636">
        <v>1</v>
      </c>
    </row>
    <row r="2637" spans="5:9" ht="15.75" customHeight="1" x14ac:dyDescent="0.2">
      <c r="E2637" t="s">
        <v>365</v>
      </c>
      <c r="F2637">
        <v>13</v>
      </c>
      <c r="G2637" t="s">
        <v>296</v>
      </c>
      <c r="H2637" t="s">
        <v>1</v>
      </c>
      <c r="I2637">
        <v>1</v>
      </c>
    </row>
    <row r="2638" spans="5:9" ht="15.75" customHeight="1" x14ac:dyDescent="0.2">
      <c r="E2638" t="s">
        <v>369</v>
      </c>
      <c r="F2638">
        <v>14</v>
      </c>
      <c r="G2638" t="s">
        <v>296</v>
      </c>
      <c r="H2638" t="s">
        <v>1</v>
      </c>
      <c r="I2638">
        <v>1</v>
      </c>
    </row>
    <row r="2639" spans="5:9" ht="15.75" customHeight="1" x14ac:dyDescent="0.2">
      <c r="E2639" t="s">
        <v>374</v>
      </c>
      <c r="F2639">
        <v>19</v>
      </c>
      <c r="G2639" t="s">
        <v>296</v>
      </c>
      <c r="H2639" t="s">
        <v>1</v>
      </c>
      <c r="I2639">
        <v>1</v>
      </c>
    </row>
    <row r="2640" spans="5:9" ht="15.75" customHeight="1" x14ac:dyDescent="0.2">
      <c r="E2640" t="s">
        <v>378</v>
      </c>
      <c r="F2640">
        <v>23</v>
      </c>
      <c r="G2640" t="s">
        <v>296</v>
      </c>
      <c r="H2640" t="s">
        <v>1</v>
      </c>
      <c r="I2640">
        <v>1</v>
      </c>
    </row>
    <row r="2641" spans="5:9" ht="15.75" customHeight="1" x14ac:dyDescent="0.2">
      <c r="E2641" t="s">
        <v>379</v>
      </c>
      <c r="F2641">
        <v>24</v>
      </c>
      <c r="G2641" t="s">
        <v>296</v>
      </c>
      <c r="H2641" t="s">
        <v>1</v>
      </c>
      <c r="I2641">
        <v>1</v>
      </c>
    </row>
    <row r="2642" spans="5:9" ht="15.75" customHeight="1" x14ac:dyDescent="0.2">
      <c r="E2642" t="s">
        <v>381</v>
      </c>
      <c r="F2642">
        <v>26</v>
      </c>
      <c r="G2642" t="s">
        <v>296</v>
      </c>
      <c r="H2642" t="s">
        <v>1</v>
      </c>
      <c r="I2642">
        <v>1</v>
      </c>
    </row>
    <row r="2643" spans="5:9" ht="15.75" customHeight="1" x14ac:dyDescent="0.2">
      <c r="E2643" t="s">
        <v>382</v>
      </c>
      <c r="F2643">
        <v>27</v>
      </c>
      <c r="G2643" t="s">
        <v>296</v>
      </c>
      <c r="H2643" t="s">
        <v>1</v>
      </c>
      <c r="I2643">
        <v>1</v>
      </c>
    </row>
    <row r="2644" spans="5:9" ht="15.75" customHeight="1" x14ac:dyDescent="0.2">
      <c r="E2644" t="s">
        <v>393</v>
      </c>
      <c r="F2644">
        <v>35</v>
      </c>
      <c r="G2644" t="s">
        <v>296</v>
      </c>
      <c r="H2644" t="s">
        <v>1</v>
      </c>
      <c r="I2644">
        <v>1</v>
      </c>
    </row>
    <row r="2645" spans="5:9" ht="15.75" customHeight="1" x14ac:dyDescent="0.2">
      <c r="E2645" t="s">
        <v>399</v>
      </c>
      <c r="F2645">
        <v>41</v>
      </c>
      <c r="G2645" t="s">
        <v>296</v>
      </c>
      <c r="H2645" t="s">
        <v>1</v>
      </c>
      <c r="I2645">
        <v>1</v>
      </c>
    </row>
    <row r="2646" spans="5:9" ht="15.75" customHeight="1" x14ac:dyDescent="0.2">
      <c r="E2646" t="s">
        <v>400</v>
      </c>
      <c r="F2646">
        <v>42</v>
      </c>
      <c r="G2646" t="s">
        <v>296</v>
      </c>
      <c r="H2646" t="s">
        <v>1</v>
      </c>
      <c r="I2646">
        <v>1</v>
      </c>
    </row>
    <row r="2647" spans="5:9" ht="15.75" customHeight="1" x14ac:dyDescent="0.2">
      <c r="E2647" t="s">
        <v>401</v>
      </c>
      <c r="F2647">
        <v>43</v>
      </c>
      <c r="G2647" t="s">
        <v>296</v>
      </c>
      <c r="H2647" t="s">
        <v>1</v>
      </c>
      <c r="I2647">
        <v>1</v>
      </c>
    </row>
    <row r="2648" spans="5:9" ht="15.75" customHeight="1" x14ac:dyDescent="0.2">
      <c r="E2648" t="s">
        <v>402</v>
      </c>
      <c r="F2648">
        <v>44</v>
      </c>
      <c r="G2648" t="s">
        <v>296</v>
      </c>
      <c r="H2648" t="s">
        <v>1</v>
      </c>
      <c r="I2648">
        <v>1</v>
      </c>
    </row>
    <row r="2649" spans="5:9" ht="15.75" customHeight="1" x14ac:dyDescent="0.2">
      <c r="E2649" t="s">
        <v>403</v>
      </c>
      <c r="F2649">
        <v>45</v>
      </c>
      <c r="G2649" t="s">
        <v>296</v>
      </c>
      <c r="H2649" t="s">
        <v>1</v>
      </c>
      <c r="I2649">
        <v>1</v>
      </c>
    </row>
    <row r="2650" spans="5:9" ht="15.75" customHeight="1" x14ac:dyDescent="0.2">
      <c r="E2650" t="s">
        <v>404</v>
      </c>
      <c r="F2650">
        <v>46</v>
      </c>
      <c r="G2650" t="s">
        <v>296</v>
      </c>
      <c r="H2650" t="s">
        <v>1</v>
      </c>
      <c r="I2650">
        <v>1</v>
      </c>
    </row>
    <row r="2651" spans="5:9" ht="15.75" customHeight="1" x14ac:dyDescent="0.2">
      <c r="E2651" t="s">
        <v>405</v>
      </c>
      <c r="F2651">
        <v>47</v>
      </c>
      <c r="G2651" t="s">
        <v>296</v>
      </c>
      <c r="H2651" t="s">
        <v>1</v>
      </c>
      <c r="I2651">
        <v>1</v>
      </c>
    </row>
    <row r="2652" spans="5:9" ht="15.75" customHeight="1" x14ac:dyDescent="0.2">
      <c r="E2652" t="s">
        <v>406</v>
      </c>
      <c r="F2652">
        <v>48</v>
      </c>
      <c r="G2652" t="s">
        <v>296</v>
      </c>
      <c r="H2652" t="s">
        <v>1</v>
      </c>
      <c r="I2652">
        <v>1</v>
      </c>
    </row>
    <row r="2653" spans="5:9" ht="15.75" customHeight="1" x14ac:dyDescent="0.2">
      <c r="E2653" t="s">
        <v>376</v>
      </c>
      <c r="F2653">
        <v>49</v>
      </c>
      <c r="G2653" t="s">
        <v>296</v>
      </c>
      <c r="H2653" t="s">
        <v>1</v>
      </c>
      <c r="I2653">
        <v>1</v>
      </c>
    </row>
    <row r="2654" spans="5:9" ht="15.75" customHeight="1" x14ac:dyDescent="0.2">
      <c r="E2654" t="s">
        <v>409</v>
      </c>
      <c r="F2654">
        <v>52</v>
      </c>
      <c r="G2654" t="s">
        <v>296</v>
      </c>
      <c r="H2654" t="s">
        <v>1</v>
      </c>
      <c r="I2654">
        <v>1</v>
      </c>
    </row>
    <row r="2655" spans="5:9" ht="15.75" customHeight="1" x14ac:dyDescent="0.2">
      <c r="E2655" t="s">
        <v>410</v>
      </c>
      <c r="F2655">
        <v>53</v>
      </c>
      <c r="G2655" t="s">
        <v>296</v>
      </c>
      <c r="H2655" t="s">
        <v>1</v>
      </c>
      <c r="I2655">
        <v>1</v>
      </c>
    </row>
    <row r="2656" spans="5:9" ht="15.75" customHeight="1" x14ac:dyDescent="0.2">
      <c r="E2656" t="s">
        <v>413</v>
      </c>
      <c r="F2656">
        <v>56</v>
      </c>
      <c r="G2656" t="s">
        <v>296</v>
      </c>
      <c r="H2656" t="s">
        <v>1</v>
      </c>
      <c r="I2656">
        <v>1</v>
      </c>
    </row>
    <row r="2657" spans="5:9" ht="15.75" customHeight="1" x14ac:dyDescent="0.2">
      <c r="E2657" t="s">
        <v>421</v>
      </c>
      <c r="F2657">
        <v>63</v>
      </c>
      <c r="G2657" t="s">
        <v>296</v>
      </c>
      <c r="H2657" t="s">
        <v>1</v>
      </c>
      <c r="I2657">
        <v>1</v>
      </c>
    </row>
    <row r="2658" spans="5:9" ht="15.75" customHeight="1" x14ac:dyDescent="0.2">
      <c r="E2658" t="s">
        <v>422</v>
      </c>
      <c r="F2658">
        <v>64</v>
      </c>
      <c r="G2658" t="s">
        <v>296</v>
      </c>
      <c r="H2658" t="s">
        <v>1</v>
      </c>
      <c r="I2658">
        <v>1</v>
      </c>
    </row>
    <row r="2659" spans="5:9" ht="15.75" customHeight="1" x14ac:dyDescent="0.2">
      <c r="E2659" t="s">
        <v>423</v>
      </c>
      <c r="F2659">
        <v>65</v>
      </c>
      <c r="G2659" t="s">
        <v>296</v>
      </c>
      <c r="H2659" t="s">
        <v>1</v>
      </c>
      <c r="I2659">
        <v>1</v>
      </c>
    </row>
    <row r="2660" spans="5:9" ht="15.75" customHeight="1" x14ac:dyDescent="0.2">
      <c r="E2660" t="s">
        <v>424</v>
      </c>
      <c r="F2660">
        <v>66</v>
      </c>
      <c r="G2660" t="s">
        <v>296</v>
      </c>
      <c r="H2660" t="s">
        <v>1</v>
      </c>
      <c r="I2660">
        <v>1</v>
      </c>
    </row>
    <row r="2661" spans="5:9" ht="15.75" customHeight="1" x14ac:dyDescent="0.2">
      <c r="E2661" t="s">
        <v>425</v>
      </c>
      <c r="F2661">
        <v>67</v>
      </c>
      <c r="G2661" t="s">
        <v>296</v>
      </c>
      <c r="H2661" t="s">
        <v>1</v>
      </c>
      <c r="I2661">
        <v>1</v>
      </c>
    </row>
    <row r="2662" spans="5:9" ht="15.75" customHeight="1" x14ac:dyDescent="0.2">
      <c r="E2662" t="s">
        <v>426</v>
      </c>
      <c r="F2662">
        <v>68</v>
      </c>
      <c r="G2662" t="s">
        <v>296</v>
      </c>
      <c r="H2662" t="s">
        <v>1</v>
      </c>
      <c r="I2662">
        <v>1</v>
      </c>
    </row>
    <row r="2663" spans="5:9" ht="15.75" customHeight="1" x14ac:dyDescent="0.2">
      <c r="E2663" t="s">
        <v>427</v>
      </c>
      <c r="F2663">
        <v>69</v>
      </c>
      <c r="G2663" t="s">
        <v>296</v>
      </c>
      <c r="H2663" t="s">
        <v>1</v>
      </c>
      <c r="I2663">
        <v>1</v>
      </c>
    </row>
    <row r="2664" spans="5:9" ht="15.75" customHeight="1" x14ac:dyDescent="0.2">
      <c r="E2664" t="s">
        <v>428</v>
      </c>
      <c r="F2664">
        <v>70</v>
      </c>
      <c r="G2664" t="s">
        <v>296</v>
      </c>
      <c r="H2664" t="s">
        <v>1</v>
      </c>
      <c r="I2664">
        <v>1</v>
      </c>
    </row>
    <row r="2665" spans="5:9" ht="15.75" customHeight="1" x14ac:dyDescent="0.2">
      <c r="E2665" t="s">
        <v>429</v>
      </c>
      <c r="F2665">
        <v>71</v>
      </c>
      <c r="G2665" t="s">
        <v>296</v>
      </c>
      <c r="H2665" t="s">
        <v>1</v>
      </c>
      <c r="I2665">
        <v>1</v>
      </c>
    </row>
    <row r="2666" spans="5:9" ht="15.75" customHeight="1" x14ac:dyDescent="0.2">
      <c r="E2666" t="s">
        <v>430</v>
      </c>
      <c r="F2666">
        <v>72</v>
      </c>
      <c r="G2666" t="s">
        <v>296</v>
      </c>
      <c r="H2666" t="s">
        <v>1</v>
      </c>
      <c r="I2666">
        <v>1</v>
      </c>
    </row>
    <row r="2667" spans="5:9" ht="15.75" customHeight="1" x14ac:dyDescent="0.2">
      <c r="E2667" t="s">
        <v>370</v>
      </c>
      <c r="F2667">
        <v>73</v>
      </c>
      <c r="G2667" t="s">
        <v>296</v>
      </c>
      <c r="H2667" t="s">
        <v>1</v>
      </c>
      <c r="I2667">
        <v>1</v>
      </c>
    </row>
    <row r="2668" spans="5:9" ht="15.75" customHeight="1" x14ac:dyDescent="0.2">
      <c r="E2668" t="s">
        <v>373</v>
      </c>
      <c r="F2668">
        <v>74</v>
      </c>
      <c r="G2668" t="s">
        <v>296</v>
      </c>
      <c r="H2668" t="s">
        <v>1</v>
      </c>
      <c r="I2668">
        <v>1</v>
      </c>
    </row>
    <row r="2669" spans="5:9" ht="15.75" customHeight="1" x14ac:dyDescent="0.2">
      <c r="E2669" t="s">
        <v>374</v>
      </c>
      <c r="F2669">
        <v>75</v>
      </c>
      <c r="G2669" t="s">
        <v>296</v>
      </c>
      <c r="H2669" t="s">
        <v>1</v>
      </c>
      <c r="I2669">
        <v>1</v>
      </c>
    </row>
    <row r="2670" spans="5:9" ht="15.75" customHeight="1" x14ac:dyDescent="0.2">
      <c r="E2670" t="s">
        <v>375</v>
      </c>
      <c r="F2670">
        <v>76</v>
      </c>
      <c r="G2670" t="s">
        <v>296</v>
      </c>
      <c r="H2670" t="s">
        <v>1</v>
      </c>
      <c r="I2670">
        <v>1</v>
      </c>
    </row>
    <row r="2671" spans="5:9" ht="15.75" customHeight="1" x14ac:dyDescent="0.2">
      <c r="E2671" t="s">
        <v>376</v>
      </c>
      <c r="F2671">
        <v>77</v>
      </c>
      <c r="G2671" t="s">
        <v>296</v>
      </c>
      <c r="H2671" t="s">
        <v>1</v>
      </c>
      <c r="I2671">
        <v>1</v>
      </c>
    </row>
    <row r="2672" spans="5:9" ht="15.75" customHeight="1" x14ac:dyDescent="0.2">
      <c r="E2672" t="s">
        <v>382</v>
      </c>
      <c r="F2672">
        <v>78</v>
      </c>
      <c r="G2672" t="s">
        <v>296</v>
      </c>
      <c r="H2672" t="s">
        <v>1</v>
      </c>
      <c r="I2672">
        <v>1</v>
      </c>
    </row>
    <row r="2673" spans="5:9" ht="15.75" customHeight="1" x14ac:dyDescent="0.2">
      <c r="E2673" t="s">
        <v>383</v>
      </c>
      <c r="F2673">
        <v>79</v>
      </c>
      <c r="G2673" t="s">
        <v>296</v>
      </c>
      <c r="H2673" t="s">
        <v>1</v>
      </c>
      <c r="I2673">
        <v>1</v>
      </c>
    </row>
    <row r="2674" spans="5:9" ht="15.75" customHeight="1" x14ac:dyDescent="0.2">
      <c r="E2674" t="s">
        <v>395</v>
      </c>
      <c r="F2674">
        <v>80</v>
      </c>
      <c r="G2674" t="s">
        <v>296</v>
      </c>
      <c r="H2674" t="s">
        <v>1</v>
      </c>
      <c r="I2674">
        <v>1</v>
      </c>
    </row>
    <row r="2675" spans="5:9" ht="15.75" customHeight="1" x14ac:dyDescent="0.2">
      <c r="E2675" t="s">
        <v>397</v>
      </c>
      <c r="F2675">
        <v>81</v>
      </c>
      <c r="G2675" t="s">
        <v>296</v>
      </c>
      <c r="H2675" t="s">
        <v>1</v>
      </c>
      <c r="I2675">
        <v>1</v>
      </c>
    </row>
    <row r="2676" spans="5:9" ht="15.75" customHeight="1" x14ac:dyDescent="0.2">
      <c r="E2676" t="s">
        <v>399</v>
      </c>
      <c r="F2676">
        <v>82</v>
      </c>
      <c r="G2676" t="s">
        <v>296</v>
      </c>
      <c r="H2676" t="s">
        <v>1</v>
      </c>
      <c r="I2676">
        <v>1</v>
      </c>
    </row>
    <row r="2677" spans="5:9" ht="15.75" customHeight="1" x14ac:dyDescent="0.2">
      <c r="E2677" t="s">
        <v>400</v>
      </c>
      <c r="F2677">
        <v>83</v>
      </c>
      <c r="G2677" t="s">
        <v>296</v>
      </c>
      <c r="H2677" t="s">
        <v>1</v>
      </c>
      <c r="I2677">
        <v>1</v>
      </c>
    </row>
    <row r="2678" spans="5:9" ht="15.75" customHeight="1" x14ac:dyDescent="0.2">
      <c r="E2678" t="s">
        <v>401</v>
      </c>
      <c r="F2678">
        <v>84</v>
      </c>
      <c r="G2678" t="s">
        <v>296</v>
      </c>
      <c r="H2678" t="s">
        <v>1</v>
      </c>
      <c r="I2678">
        <v>1</v>
      </c>
    </row>
    <row r="2679" spans="5:9" ht="15.75" customHeight="1" x14ac:dyDescent="0.2">
      <c r="E2679" t="s">
        <v>402</v>
      </c>
      <c r="F2679">
        <v>85</v>
      </c>
      <c r="G2679" t="s">
        <v>296</v>
      </c>
      <c r="H2679" t="s">
        <v>1</v>
      </c>
      <c r="I2679">
        <v>1</v>
      </c>
    </row>
    <row r="2680" spans="5:9" ht="15.75" customHeight="1" x14ac:dyDescent="0.2">
      <c r="E2680" t="s">
        <v>403</v>
      </c>
      <c r="F2680">
        <v>86</v>
      </c>
      <c r="G2680" t="s">
        <v>296</v>
      </c>
      <c r="H2680" t="s">
        <v>1</v>
      </c>
      <c r="I2680">
        <v>1</v>
      </c>
    </row>
    <row r="2681" spans="5:9" ht="15.75" customHeight="1" x14ac:dyDescent="0.2">
      <c r="E2681" t="s">
        <v>404</v>
      </c>
      <c r="F2681">
        <v>87</v>
      </c>
      <c r="G2681" t="s">
        <v>296</v>
      </c>
      <c r="H2681" t="s">
        <v>1</v>
      </c>
      <c r="I2681">
        <v>1</v>
      </c>
    </row>
    <row r="2682" spans="5:9" ht="15.75" customHeight="1" x14ac:dyDescent="0.2">
      <c r="E2682" t="s">
        <v>405</v>
      </c>
      <c r="F2682">
        <v>88</v>
      </c>
      <c r="G2682" t="s">
        <v>296</v>
      </c>
      <c r="H2682" t="s">
        <v>1</v>
      </c>
      <c r="I2682">
        <v>1</v>
      </c>
    </row>
    <row r="2683" spans="5:9" ht="15.75" customHeight="1" x14ac:dyDescent="0.2">
      <c r="E2683" t="s">
        <v>406</v>
      </c>
      <c r="F2683">
        <v>89</v>
      </c>
      <c r="G2683" t="s">
        <v>296</v>
      </c>
      <c r="H2683" t="s">
        <v>1</v>
      </c>
      <c r="I2683">
        <v>1</v>
      </c>
    </row>
    <row r="2684" spans="5:9" ht="15.75" customHeight="1" x14ac:dyDescent="0.2">
      <c r="E2684" t="s">
        <v>376</v>
      </c>
      <c r="F2684">
        <v>90</v>
      </c>
      <c r="G2684" t="s">
        <v>296</v>
      </c>
      <c r="H2684" t="s">
        <v>1</v>
      </c>
      <c r="I2684">
        <v>1</v>
      </c>
    </row>
    <row r="2685" spans="5:9" ht="15.75" customHeight="1" x14ac:dyDescent="0.2">
      <c r="E2685" t="s">
        <v>409</v>
      </c>
      <c r="F2685">
        <v>91</v>
      </c>
      <c r="G2685" t="s">
        <v>296</v>
      </c>
      <c r="H2685" t="s">
        <v>1</v>
      </c>
      <c r="I2685">
        <v>1</v>
      </c>
    </row>
    <row r="2686" spans="5:9" ht="15.75" customHeight="1" x14ac:dyDescent="0.2">
      <c r="E2686" t="s">
        <v>410</v>
      </c>
      <c r="F2686">
        <v>92</v>
      </c>
      <c r="G2686" t="s">
        <v>296</v>
      </c>
      <c r="H2686" t="s">
        <v>1</v>
      </c>
      <c r="I2686">
        <v>1</v>
      </c>
    </row>
    <row r="2687" spans="5:9" ht="15.75" customHeight="1" x14ac:dyDescent="0.2">
      <c r="E2687" t="s">
        <v>413</v>
      </c>
      <c r="F2687">
        <v>93</v>
      </c>
      <c r="G2687" t="s">
        <v>296</v>
      </c>
      <c r="H2687" t="s">
        <v>1</v>
      </c>
      <c r="I2687">
        <v>1</v>
      </c>
    </row>
    <row r="2688" spans="5:9" ht="15.75" customHeight="1" x14ac:dyDescent="0.2">
      <c r="E2688" t="s">
        <v>414</v>
      </c>
      <c r="F2688">
        <v>94</v>
      </c>
      <c r="G2688" t="s">
        <v>296</v>
      </c>
      <c r="H2688" t="s">
        <v>1</v>
      </c>
      <c r="I2688">
        <v>1</v>
      </c>
    </row>
    <row r="2689" spans="5:9" ht="15.75" customHeight="1" x14ac:dyDescent="0.2">
      <c r="E2689" t="s">
        <v>417</v>
      </c>
      <c r="F2689">
        <v>95</v>
      </c>
      <c r="G2689" t="s">
        <v>296</v>
      </c>
      <c r="H2689" t="s">
        <v>1</v>
      </c>
      <c r="I2689">
        <v>1</v>
      </c>
    </row>
    <row r="2690" spans="5:9" ht="15.75" customHeight="1" x14ac:dyDescent="0.2">
      <c r="E2690" t="s">
        <v>440</v>
      </c>
      <c r="F2690">
        <v>96</v>
      </c>
      <c r="G2690" t="s">
        <v>296</v>
      </c>
      <c r="H2690" t="s">
        <v>1</v>
      </c>
      <c r="I2690">
        <v>1</v>
      </c>
    </row>
    <row r="2691" spans="5:9" ht="15.75" customHeight="1" x14ac:dyDescent="0.2">
      <c r="E2691" t="s">
        <v>441</v>
      </c>
      <c r="F2691">
        <v>97</v>
      </c>
      <c r="G2691" t="s">
        <v>296</v>
      </c>
      <c r="H2691" t="s">
        <v>1</v>
      </c>
      <c r="I2691">
        <v>1</v>
      </c>
    </row>
    <row r="2692" spans="5:9" ht="15.75" customHeight="1" x14ac:dyDescent="0.2">
      <c r="E2692" t="s">
        <v>442</v>
      </c>
      <c r="F2692">
        <v>98</v>
      </c>
      <c r="G2692" t="s">
        <v>296</v>
      </c>
      <c r="H2692" t="s">
        <v>1</v>
      </c>
      <c r="I2692">
        <v>1</v>
      </c>
    </row>
    <row r="2693" spans="5:9" ht="15.75" customHeight="1" x14ac:dyDescent="0.2">
      <c r="E2693" t="s">
        <v>443</v>
      </c>
      <c r="F2693">
        <v>99</v>
      </c>
      <c r="G2693" t="s">
        <v>296</v>
      </c>
      <c r="H2693" t="s">
        <v>1</v>
      </c>
      <c r="I2693">
        <v>1</v>
      </c>
    </row>
    <row r="2694" spans="5:9" ht="15.75" customHeight="1" x14ac:dyDescent="0.2">
      <c r="E2694" t="s">
        <v>362</v>
      </c>
      <c r="F2694">
        <v>101</v>
      </c>
      <c r="G2694" t="s">
        <v>296</v>
      </c>
      <c r="H2694" t="s">
        <v>1</v>
      </c>
      <c r="I2694">
        <v>1</v>
      </c>
    </row>
    <row r="2695" spans="5:9" ht="15.75" customHeight="1" x14ac:dyDescent="0.2">
      <c r="E2695" t="s">
        <v>446</v>
      </c>
      <c r="F2695">
        <v>102</v>
      </c>
      <c r="G2695" t="s">
        <v>296</v>
      </c>
      <c r="H2695" t="s">
        <v>1</v>
      </c>
      <c r="I2695">
        <v>1</v>
      </c>
    </row>
    <row r="2696" spans="5:9" ht="15.75" customHeight="1" x14ac:dyDescent="0.2">
      <c r="E2696" t="s">
        <v>447</v>
      </c>
      <c r="F2696">
        <v>103</v>
      </c>
      <c r="G2696" t="s">
        <v>296</v>
      </c>
      <c r="H2696" t="s">
        <v>1</v>
      </c>
      <c r="I2696">
        <v>1</v>
      </c>
    </row>
    <row r="2697" spans="5:9" ht="15.75" customHeight="1" x14ac:dyDescent="0.2">
      <c r="E2697" t="s">
        <v>448</v>
      </c>
      <c r="F2697">
        <v>104</v>
      </c>
      <c r="G2697" t="s">
        <v>296</v>
      </c>
      <c r="H2697" t="s">
        <v>1</v>
      </c>
      <c r="I2697">
        <v>1</v>
      </c>
    </row>
    <row r="2698" spans="5:9" ht="15.75" customHeight="1" x14ac:dyDescent="0.2">
      <c r="E2698" t="s">
        <v>449</v>
      </c>
      <c r="F2698">
        <v>105</v>
      </c>
      <c r="G2698" t="s">
        <v>296</v>
      </c>
      <c r="H2698" t="s">
        <v>1</v>
      </c>
      <c r="I2698">
        <v>1</v>
      </c>
    </row>
    <row r="2699" spans="5:9" ht="15.75" customHeight="1" x14ac:dyDescent="0.2">
      <c r="E2699" t="s">
        <v>450</v>
      </c>
      <c r="F2699">
        <v>106</v>
      </c>
      <c r="G2699" t="s">
        <v>296</v>
      </c>
      <c r="H2699" t="s">
        <v>1</v>
      </c>
      <c r="I2699">
        <v>1</v>
      </c>
    </row>
    <row r="2700" spans="5:9" ht="15.75" customHeight="1" x14ac:dyDescent="0.2">
      <c r="E2700" t="s">
        <v>451</v>
      </c>
      <c r="F2700">
        <v>107</v>
      </c>
      <c r="G2700" t="s">
        <v>296</v>
      </c>
      <c r="H2700" t="s">
        <v>1</v>
      </c>
      <c r="I2700">
        <v>1</v>
      </c>
    </row>
    <row r="2701" spans="5:9" ht="15.75" customHeight="1" x14ac:dyDescent="0.2">
      <c r="E2701" t="s">
        <v>452</v>
      </c>
      <c r="F2701">
        <v>108</v>
      </c>
      <c r="G2701" t="s">
        <v>296</v>
      </c>
      <c r="H2701" t="s">
        <v>1</v>
      </c>
      <c r="I2701">
        <v>1</v>
      </c>
    </row>
    <row r="2702" spans="5:9" ht="15.75" customHeight="1" x14ac:dyDescent="0.2">
      <c r="E2702" t="s">
        <v>453</v>
      </c>
      <c r="F2702">
        <v>109</v>
      </c>
      <c r="G2702" t="s">
        <v>296</v>
      </c>
      <c r="H2702" t="s">
        <v>1</v>
      </c>
      <c r="I2702">
        <v>1</v>
      </c>
    </row>
    <row r="2703" spans="5:9" ht="15.75" customHeight="1" x14ac:dyDescent="0.2">
      <c r="E2703" t="s">
        <v>454</v>
      </c>
      <c r="F2703">
        <v>110</v>
      </c>
      <c r="G2703" t="s">
        <v>296</v>
      </c>
      <c r="H2703" t="s">
        <v>1</v>
      </c>
      <c r="I2703">
        <v>1</v>
      </c>
    </row>
    <row r="2704" spans="5:9" ht="15.75" customHeight="1" x14ac:dyDescent="0.2">
      <c r="E2704" t="s">
        <v>455</v>
      </c>
      <c r="F2704">
        <v>111</v>
      </c>
      <c r="G2704" t="s">
        <v>296</v>
      </c>
      <c r="H2704" t="s">
        <v>1</v>
      </c>
      <c r="I2704">
        <v>1</v>
      </c>
    </row>
    <row r="2705" spans="5:9" ht="15.75" customHeight="1" x14ac:dyDescent="0.2">
      <c r="E2705" t="s">
        <v>456</v>
      </c>
      <c r="F2705">
        <v>112</v>
      </c>
      <c r="G2705" t="s">
        <v>296</v>
      </c>
      <c r="H2705" t="s">
        <v>1</v>
      </c>
      <c r="I2705">
        <v>1</v>
      </c>
    </row>
    <row r="2706" spans="5:9" ht="15.75" customHeight="1" x14ac:dyDescent="0.2">
      <c r="E2706" t="s">
        <v>457</v>
      </c>
      <c r="F2706">
        <v>113</v>
      </c>
      <c r="G2706" t="s">
        <v>296</v>
      </c>
      <c r="H2706" t="s">
        <v>1</v>
      </c>
      <c r="I2706">
        <v>1</v>
      </c>
    </row>
    <row r="2707" spans="5:9" ht="15.75" customHeight="1" x14ac:dyDescent="0.2">
      <c r="E2707" t="s">
        <v>459</v>
      </c>
      <c r="F2707">
        <v>114</v>
      </c>
      <c r="G2707" t="s">
        <v>296</v>
      </c>
      <c r="H2707" t="s">
        <v>1</v>
      </c>
      <c r="I2707">
        <v>1</v>
      </c>
    </row>
    <row r="2708" spans="5:9" ht="15.75" customHeight="1" x14ac:dyDescent="0.2">
      <c r="E2708" t="s">
        <v>460</v>
      </c>
      <c r="F2708">
        <v>115</v>
      </c>
      <c r="G2708" t="s">
        <v>296</v>
      </c>
      <c r="H2708" t="s">
        <v>1</v>
      </c>
      <c r="I2708">
        <v>1</v>
      </c>
    </row>
    <row r="2709" spans="5:9" ht="15.75" customHeight="1" x14ac:dyDescent="0.2">
      <c r="E2709" t="s">
        <v>461</v>
      </c>
      <c r="F2709">
        <v>116</v>
      </c>
      <c r="G2709" t="s">
        <v>296</v>
      </c>
      <c r="H2709" t="s">
        <v>1</v>
      </c>
      <c r="I2709">
        <v>1</v>
      </c>
    </row>
    <row r="2710" spans="5:9" ht="15.75" customHeight="1" x14ac:dyDescent="0.2">
      <c r="E2710" t="s">
        <v>462</v>
      </c>
      <c r="F2710">
        <v>117</v>
      </c>
      <c r="G2710" t="s">
        <v>296</v>
      </c>
      <c r="H2710" t="s">
        <v>1</v>
      </c>
      <c r="I2710">
        <v>1</v>
      </c>
    </row>
    <row r="2711" spans="5:9" ht="15.75" customHeight="1" x14ac:dyDescent="0.2">
      <c r="E2711" t="s">
        <v>463</v>
      </c>
      <c r="F2711">
        <v>118</v>
      </c>
      <c r="G2711" t="s">
        <v>296</v>
      </c>
      <c r="H2711" t="s">
        <v>1</v>
      </c>
      <c r="I2711">
        <v>1</v>
      </c>
    </row>
    <row r="2712" spans="5:9" ht="15.75" customHeight="1" x14ac:dyDescent="0.2">
      <c r="E2712" t="s">
        <v>464</v>
      </c>
      <c r="F2712">
        <v>119</v>
      </c>
      <c r="G2712" t="s">
        <v>296</v>
      </c>
      <c r="H2712" t="s">
        <v>1</v>
      </c>
      <c r="I2712">
        <v>1</v>
      </c>
    </row>
    <row r="2713" spans="5:9" ht="15.75" customHeight="1" x14ac:dyDescent="0.2">
      <c r="E2713" t="s">
        <v>465</v>
      </c>
      <c r="F2713">
        <v>120</v>
      </c>
      <c r="G2713" t="s">
        <v>296</v>
      </c>
      <c r="H2713" t="s">
        <v>1</v>
      </c>
      <c r="I2713">
        <v>1</v>
      </c>
    </row>
    <row r="2714" spans="5:9" ht="15.75" customHeight="1" x14ac:dyDescent="0.2">
      <c r="E2714" t="s">
        <v>466</v>
      </c>
      <c r="F2714">
        <v>121</v>
      </c>
      <c r="G2714" t="s">
        <v>296</v>
      </c>
      <c r="H2714" t="s">
        <v>1</v>
      </c>
      <c r="I2714">
        <v>1</v>
      </c>
    </row>
    <row r="2715" spans="5:9" ht="15.75" customHeight="1" x14ac:dyDescent="0.2">
      <c r="E2715" t="s">
        <v>467</v>
      </c>
      <c r="F2715">
        <v>122</v>
      </c>
      <c r="G2715" t="s">
        <v>296</v>
      </c>
      <c r="H2715" t="s">
        <v>1</v>
      </c>
      <c r="I2715">
        <v>1</v>
      </c>
    </row>
    <row r="2716" spans="5:9" ht="15.75" customHeight="1" x14ac:dyDescent="0.2">
      <c r="E2716" t="s">
        <v>468</v>
      </c>
      <c r="F2716">
        <v>123</v>
      </c>
      <c r="G2716" t="s">
        <v>296</v>
      </c>
      <c r="H2716" t="s">
        <v>1</v>
      </c>
      <c r="I2716">
        <v>1</v>
      </c>
    </row>
    <row r="2717" spans="5:9" ht="15.75" customHeight="1" x14ac:dyDescent="0.2">
      <c r="E2717" t="s">
        <v>469</v>
      </c>
      <c r="F2717">
        <v>124</v>
      </c>
      <c r="G2717" t="s">
        <v>296</v>
      </c>
      <c r="H2717" t="s">
        <v>1</v>
      </c>
      <c r="I2717">
        <v>1</v>
      </c>
    </row>
    <row r="2718" spans="5:9" ht="15.75" customHeight="1" x14ac:dyDescent="0.2">
      <c r="E2718" t="s">
        <v>470</v>
      </c>
      <c r="F2718">
        <v>125</v>
      </c>
      <c r="G2718" t="s">
        <v>296</v>
      </c>
      <c r="H2718" t="s">
        <v>1</v>
      </c>
      <c r="I2718">
        <v>1</v>
      </c>
    </row>
    <row r="2719" spans="5:9" ht="15.75" customHeight="1" x14ac:dyDescent="0.2">
      <c r="E2719" t="s">
        <v>471</v>
      </c>
      <c r="F2719">
        <v>126</v>
      </c>
      <c r="G2719" t="s">
        <v>296</v>
      </c>
      <c r="H2719" t="s">
        <v>1</v>
      </c>
      <c r="I2719">
        <v>1</v>
      </c>
    </row>
    <row r="2720" spans="5:9" ht="15.75" customHeight="1" x14ac:dyDescent="0.2">
      <c r="E2720" t="s">
        <v>472</v>
      </c>
      <c r="F2720">
        <v>127</v>
      </c>
      <c r="G2720" t="s">
        <v>296</v>
      </c>
      <c r="H2720" t="s">
        <v>1</v>
      </c>
      <c r="I2720">
        <v>1</v>
      </c>
    </row>
    <row r="2721" spans="5:9" ht="15.75" customHeight="1" x14ac:dyDescent="0.2">
      <c r="E2721" t="s">
        <v>473</v>
      </c>
      <c r="F2721">
        <v>128</v>
      </c>
      <c r="G2721" t="s">
        <v>296</v>
      </c>
      <c r="H2721" t="s">
        <v>1</v>
      </c>
      <c r="I2721">
        <v>1</v>
      </c>
    </row>
    <row r="2722" spans="5:9" ht="15.75" customHeight="1" x14ac:dyDescent="0.2">
      <c r="E2722" t="s">
        <v>474</v>
      </c>
      <c r="F2722">
        <v>129</v>
      </c>
      <c r="G2722" t="s">
        <v>296</v>
      </c>
      <c r="H2722" t="s">
        <v>1</v>
      </c>
      <c r="I2722">
        <v>1</v>
      </c>
    </row>
    <row r="2723" spans="5:9" ht="15.75" customHeight="1" x14ac:dyDescent="0.2">
      <c r="E2723" t="s">
        <v>476</v>
      </c>
      <c r="F2723">
        <v>130</v>
      </c>
      <c r="G2723" t="s">
        <v>296</v>
      </c>
      <c r="H2723" t="s">
        <v>1</v>
      </c>
      <c r="I2723">
        <v>1</v>
      </c>
    </row>
    <row r="2724" spans="5:9" ht="15.75" customHeight="1" x14ac:dyDescent="0.2">
      <c r="E2724" t="s">
        <v>478</v>
      </c>
      <c r="F2724">
        <v>131</v>
      </c>
      <c r="G2724" t="s">
        <v>296</v>
      </c>
      <c r="H2724" t="s">
        <v>1</v>
      </c>
      <c r="I2724">
        <v>1</v>
      </c>
    </row>
    <row r="2725" spans="5:9" ht="15.75" customHeight="1" x14ac:dyDescent="0.2">
      <c r="E2725" t="s">
        <v>440</v>
      </c>
      <c r="F2725">
        <v>132</v>
      </c>
      <c r="G2725" t="s">
        <v>296</v>
      </c>
      <c r="H2725" t="s">
        <v>1</v>
      </c>
      <c r="I2725">
        <v>1</v>
      </c>
    </row>
    <row r="2726" spans="5:9" ht="15.75" customHeight="1" x14ac:dyDescent="0.2">
      <c r="E2726" t="s">
        <v>441</v>
      </c>
      <c r="F2726">
        <v>133</v>
      </c>
      <c r="G2726" t="s">
        <v>296</v>
      </c>
      <c r="H2726" t="s">
        <v>1</v>
      </c>
      <c r="I2726">
        <v>1</v>
      </c>
    </row>
    <row r="2727" spans="5:9" ht="15.75" customHeight="1" x14ac:dyDescent="0.2">
      <c r="E2727" t="s">
        <v>442</v>
      </c>
      <c r="F2727">
        <v>134</v>
      </c>
      <c r="G2727" t="s">
        <v>296</v>
      </c>
      <c r="H2727" t="s">
        <v>1</v>
      </c>
      <c r="I2727">
        <v>1</v>
      </c>
    </row>
    <row r="2728" spans="5:9" ht="15.75" customHeight="1" x14ac:dyDescent="0.2">
      <c r="E2728" t="s">
        <v>362</v>
      </c>
      <c r="F2728">
        <v>136</v>
      </c>
      <c r="G2728" t="s">
        <v>296</v>
      </c>
      <c r="H2728" t="s">
        <v>1</v>
      </c>
      <c r="I2728">
        <v>1</v>
      </c>
    </row>
    <row r="2729" spans="5:9" ht="15.75" customHeight="1" x14ac:dyDescent="0.2">
      <c r="E2729" t="s">
        <v>486</v>
      </c>
      <c r="F2729">
        <v>140</v>
      </c>
      <c r="G2729" t="s">
        <v>296</v>
      </c>
      <c r="H2729" t="s">
        <v>1</v>
      </c>
      <c r="I2729">
        <v>1</v>
      </c>
    </row>
    <row r="2730" spans="5:9" ht="15.75" customHeight="1" x14ac:dyDescent="0.2">
      <c r="E2730" t="s">
        <v>487</v>
      </c>
      <c r="F2730">
        <v>141</v>
      </c>
      <c r="G2730" t="s">
        <v>296</v>
      </c>
      <c r="H2730" t="s">
        <v>1</v>
      </c>
      <c r="I2730">
        <v>1</v>
      </c>
    </row>
    <row r="2731" spans="5:9" ht="15.75" customHeight="1" x14ac:dyDescent="0.2">
      <c r="E2731" t="s">
        <v>448</v>
      </c>
      <c r="F2731">
        <v>144</v>
      </c>
      <c r="G2731" t="s">
        <v>296</v>
      </c>
      <c r="H2731" t="s">
        <v>1</v>
      </c>
      <c r="I2731">
        <v>1</v>
      </c>
    </row>
    <row r="2732" spans="5:9" ht="15.75" customHeight="1" x14ac:dyDescent="0.2">
      <c r="E2732" t="s">
        <v>449</v>
      </c>
      <c r="F2732">
        <v>145</v>
      </c>
      <c r="G2732" t="s">
        <v>296</v>
      </c>
      <c r="H2732" t="s">
        <v>1</v>
      </c>
      <c r="I2732">
        <v>1</v>
      </c>
    </row>
    <row r="2733" spans="5:9" ht="15.75" customHeight="1" x14ac:dyDescent="0.2">
      <c r="E2733" t="s">
        <v>450</v>
      </c>
      <c r="F2733">
        <v>146</v>
      </c>
      <c r="G2733" t="s">
        <v>296</v>
      </c>
      <c r="H2733" t="s">
        <v>1</v>
      </c>
      <c r="I2733">
        <v>1</v>
      </c>
    </row>
    <row r="2734" spans="5:9" ht="15.75" customHeight="1" x14ac:dyDescent="0.2">
      <c r="E2734" t="s">
        <v>451</v>
      </c>
      <c r="F2734">
        <v>147</v>
      </c>
      <c r="G2734" t="s">
        <v>296</v>
      </c>
      <c r="H2734" t="s">
        <v>1</v>
      </c>
      <c r="I2734">
        <v>1</v>
      </c>
    </row>
    <row r="2735" spans="5:9" ht="15.75" customHeight="1" x14ac:dyDescent="0.2">
      <c r="E2735" t="s">
        <v>488</v>
      </c>
      <c r="F2735">
        <v>148</v>
      </c>
      <c r="G2735" t="s">
        <v>296</v>
      </c>
      <c r="H2735" t="s">
        <v>1</v>
      </c>
      <c r="I2735">
        <v>1</v>
      </c>
    </row>
    <row r="2736" spans="5:9" ht="15.75" customHeight="1" x14ac:dyDescent="0.2">
      <c r="E2736" t="s">
        <v>453</v>
      </c>
      <c r="F2736">
        <v>150</v>
      </c>
      <c r="G2736" t="s">
        <v>296</v>
      </c>
      <c r="H2736" t="s">
        <v>1</v>
      </c>
      <c r="I2736">
        <v>1</v>
      </c>
    </row>
    <row r="2737" spans="5:9" ht="15.75" customHeight="1" x14ac:dyDescent="0.2">
      <c r="E2737" t="s">
        <v>455</v>
      </c>
      <c r="F2737">
        <v>152</v>
      </c>
      <c r="G2737" t="s">
        <v>296</v>
      </c>
      <c r="H2737" t="s">
        <v>1</v>
      </c>
      <c r="I2737">
        <v>1</v>
      </c>
    </row>
    <row r="2738" spans="5:9" ht="15.75" customHeight="1" x14ac:dyDescent="0.2">
      <c r="E2738" t="s">
        <v>456</v>
      </c>
      <c r="F2738">
        <v>153</v>
      </c>
      <c r="G2738" t="s">
        <v>296</v>
      </c>
      <c r="H2738" t="s">
        <v>1</v>
      </c>
      <c r="I2738">
        <v>1</v>
      </c>
    </row>
    <row r="2739" spans="5:9" ht="15.75" customHeight="1" x14ac:dyDescent="0.2">
      <c r="E2739" t="s">
        <v>489</v>
      </c>
      <c r="F2739">
        <v>154</v>
      </c>
      <c r="G2739" t="s">
        <v>296</v>
      </c>
      <c r="H2739" t="s">
        <v>1</v>
      </c>
      <c r="I2739">
        <v>1</v>
      </c>
    </row>
    <row r="2740" spans="5:9" ht="15.75" customHeight="1" x14ac:dyDescent="0.2">
      <c r="E2740" t="s">
        <v>457</v>
      </c>
      <c r="F2740">
        <v>155</v>
      </c>
      <c r="G2740" t="s">
        <v>296</v>
      </c>
      <c r="H2740" t="s">
        <v>1</v>
      </c>
      <c r="I2740">
        <v>1</v>
      </c>
    </row>
    <row r="2741" spans="5:9" ht="15.75" customHeight="1" x14ac:dyDescent="0.2">
      <c r="E2741" t="s">
        <v>362</v>
      </c>
      <c r="F2741">
        <v>156</v>
      </c>
      <c r="G2741" t="s">
        <v>296</v>
      </c>
      <c r="H2741" t="s">
        <v>1</v>
      </c>
      <c r="I2741">
        <v>1</v>
      </c>
    </row>
    <row r="2742" spans="5:9" ht="15.75" customHeight="1" x14ac:dyDescent="0.2">
      <c r="E2742" t="s">
        <v>496</v>
      </c>
      <c r="F2742">
        <v>161</v>
      </c>
      <c r="G2742" t="s">
        <v>296</v>
      </c>
      <c r="H2742" t="s">
        <v>1</v>
      </c>
      <c r="I2742">
        <v>1</v>
      </c>
    </row>
    <row r="2743" spans="5:9" ht="15.75" customHeight="1" x14ac:dyDescent="0.2">
      <c r="E2743" t="s">
        <v>460</v>
      </c>
      <c r="F2743">
        <v>164</v>
      </c>
      <c r="G2743" t="s">
        <v>296</v>
      </c>
      <c r="H2743" t="s">
        <v>1</v>
      </c>
      <c r="I2743">
        <v>1</v>
      </c>
    </row>
    <row r="2744" spans="5:9" ht="15.75" customHeight="1" x14ac:dyDescent="0.2">
      <c r="E2744" t="s">
        <v>462</v>
      </c>
      <c r="F2744">
        <v>166</v>
      </c>
      <c r="G2744" t="s">
        <v>296</v>
      </c>
      <c r="H2744" t="s">
        <v>1</v>
      </c>
      <c r="I2744">
        <v>1</v>
      </c>
    </row>
    <row r="2745" spans="5:9" ht="15.75" customHeight="1" x14ac:dyDescent="0.2">
      <c r="E2745" t="s">
        <v>464</v>
      </c>
      <c r="F2745">
        <v>168</v>
      </c>
      <c r="G2745" t="s">
        <v>296</v>
      </c>
      <c r="H2745" t="s">
        <v>1</v>
      </c>
      <c r="I2745">
        <v>1</v>
      </c>
    </row>
    <row r="2746" spans="5:9" ht="15.75" customHeight="1" x14ac:dyDescent="0.2">
      <c r="E2746" t="s">
        <v>465</v>
      </c>
      <c r="F2746">
        <v>169</v>
      </c>
      <c r="G2746" t="s">
        <v>296</v>
      </c>
      <c r="H2746" t="s">
        <v>1</v>
      </c>
      <c r="I2746">
        <v>1</v>
      </c>
    </row>
    <row r="2747" spans="5:9" ht="15.75" customHeight="1" x14ac:dyDescent="0.2">
      <c r="E2747" t="s">
        <v>467</v>
      </c>
      <c r="F2747">
        <v>171</v>
      </c>
      <c r="G2747" t="s">
        <v>296</v>
      </c>
      <c r="H2747" t="s">
        <v>1</v>
      </c>
      <c r="I2747">
        <v>1</v>
      </c>
    </row>
    <row r="2748" spans="5:9" ht="15.75" customHeight="1" x14ac:dyDescent="0.2">
      <c r="E2748" t="s">
        <v>362</v>
      </c>
      <c r="F2748">
        <v>177</v>
      </c>
      <c r="G2748" t="s">
        <v>296</v>
      </c>
      <c r="H2748" t="s">
        <v>1</v>
      </c>
      <c r="I2748">
        <v>1</v>
      </c>
    </row>
    <row r="2749" spans="5:9" ht="15.75" customHeight="1" x14ac:dyDescent="0.2">
      <c r="E2749" t="s">
        <v>502</v>
      </c>
      <c r="F2749">
        <v>183</v>
      </c>
      <c r="G2749" t="s">
        <v>296</v>
      </c>
      <c r="H2749" t="s">
        <v>1</v>
      </c>
      <c r="I2749">
        <v>1</v>
      </c>
    </row>
    <row r="2750" spans="5:9" ht="15.75" customHeight="1" x14ac:dyDescent="0.2">
      <c r="E2750" t="s">
        <v>504</v>
      </c>
      <c r="F2750">
        <v>185</v>
      </c>
      <c r="G2750" t="s">
        <v>296</v>
      </c>
      <c r="H2750" t="s">
        <v>1</v>
      </c>
      <c r="I2750">
        <v>1</v>
      </c>
    </row>
    <row r="2751" spans="5:9" ht="15.75" customHeight="1" x14ac:dyDescent="0.2">
      <c r="E2751" t="s">
        <v>505</v>
      </c>
      <c r="F2751">
        <v>186</v>
      </c>
      <c r="G2751" t="s">
        <v>296</v>
      </c>
      <c r="H2751" t="s">
        <v>1</v>
      </c>
      <c r="I2751">
        <v>1</v>
      </c>
    </row>
    <row r="2752" spans="5:9" ht="15.75" customHeight="1" x14ac:dyDescent="0.2">
      <c r="E2752" t="s">
        <v>423</v>
      </c>
      <c r="F2752">
        <v>65</v>
      </c>
      <c r="G2752" t="s">
        <v>255</v>
      </c>
      <c r="H2752" t="s">
        <v>15</v>
      </c>
      <c r="I2752">
        <v>1</v>
      </c>
    </row>
    <row r="2753" spans="5:9" ht="15.75" customHeight="1" x14ac:dyDescent="0.2">
      <c r="E2753" t="s">
        <v>424</v>
      </c>
      <c r="F2753">
        <v>66</v>
      </c>
      <c r="G2753" t="s">
        <v>255</v>
      </c>
      <c r="H2753" t="s">
        <v>15</v>
      </c>
      <c r="I2753">
        <v>1</v>
      </c>
    </row>
    <row r="2754" spans="5:9" ht="15.75" customHeight="1" x14ac:dyDescent="0.2">
      <c r="E2754" t="s">
        <v>425</v>
      </c>
      <c r="F2754">
        <v>67</v>
      </c>
      <c r="G2754" t="s">
        <v>255</v>
      </c>
      <c r="H2754" t="s">
        <v>15</v>
      </c>
      <c r="I2754">
        <v>1</v>
      </c>
    </row>
    <row r="2755" spans="5:9" ht="15.75" customHeight="1" x14ac:dyDescent="0.2">
      <c r="E2755" t="s">
        <v>426</v>
      </c>
      <c r="F2755">
        <v>68</v>
      </c>
      <c r="G2755" t="s">
        <v>255</v>
      </c>
      <c r="H2755" t="s">
        <v>15</v>
      </c>
      <c r="I2755">
        <v>1</v>
      </c>
    </row>
    <row r="2756" spans="5:9" ht="15.75" customHeight="1" x14ac:dyDescent="0.2">
      <c r="E2756" t="s">
        <v>427</v>
      </c>
      <c r="F2756">
        <v>69</v>
      </c>
      <c r="G2756" t="s">
        <v>255</v>
      </c>
      <c r="H2756" t="s">
        <v>15</v>
      </c>
      <c r="I2756">
        <v>1</v>
      </c>
    </row>
    <row r="2757" spans="5:9" ht="15.75" customHeight="1" x14ac:dyDescent="0.2">
      <c r="E2757" t="s">
        <v>428</v>
      </c>
      <c r="F2757">
        <v>70</v>
      </c>
      <c r="G2757" t="s">
        <v>255</v>
      </c>
      <c r="H2757" t="s">
        <v>15</v>
      </c>
      <c r="I2757">
        <v>1</v>
      </c>
    </row>
    <row r="2758" spans="5:9" ht="15.75" customHeight="1" x14ac:dyDescent="0.2">
      <c r="E2758" t="s">
        <v>429</v>
      </c>
      <c r="F2758">
        <v>71</v>
      </c>
      <c r="G2758" t="s">
        <v>255</v>
      </c>
      <c r="H2758" t="s">
        <v>15</v>
      </c>
      <c r="I2758">
        <v>1</v>
      </c>
    </row>
    <row r="2759" spans="5:9" ht="15.75" customHeight="1" x14ac:dyDescent="0.2">
      <c r="E2759" t="s">
        <v>430</v>
      </c>
      <c r="F2759">
        <v>72</v>
      </c>
      <c r="G2759" t="s">
        <v>255</v>
      </c>
      <c r="H2759" t="s">
        <v>15</v>
      </c>
      <c r="I2759">
        <v>1</v>
      </c>
    </row>
    <row r="2760" spans="5:9" ht="15.75" customHeight="1" x14ac:dyDescent="0.2">
      <c r="E2760" t="s">
        <v>358</v>
      </c>
      <c r="F2760">
        <v>7</v>
      </c>
      <c r="G2760" t="s">
        <v>299</v>
      </c>
      <c r="H2760" t="s">
        <v>20</v>
      </c>
      <c r="I2760">
        <v>1</v>
      </c>
    </row>
    <row r="2761" spans="5:9" ht="15.75" customHeight="1" x14ac:dyDescent="0.2">
      <c r="E2761" t="s">
        <v>359</v>
      </c>
      <c r="F2761">
        <v>8</v>
      </c>
      <c r="G2761" t="s">
        <v>299</v>
      </c>
      <c r="H2761" t="s">
        <v>20</v>
      </c>
      <c r="I2761">
        <v>1</v>
      </c>
    </row>
    <row r="2762" spans="5:9" ht="15.75" customHeight="1" x14ac:dyDescent="0.2">
      <c r="E2762" t="s">
        <v>363</v>
      </c>
      <c r="F2762">
        <v>12</v>
      </c>
      <c r="G2762" t="s">
        <v>299</v>
      </c>
      <c r="H2762" t="s">
        <v>20</v>
      </c>
      <c r="I2762">
        <v>1</v>
      </c>
    </row>
    <row r="2763" spans="5:9" ht="15.75" customHeight="1" x14ac:dyDescent="0.2">
      <c r="E2763" t="s">
        <v>370</v>
      </c>
      <c r="F2763">
        <v>15</v>
      </c>
      <c r="G2763" t="s">
        <v>299</v>
      </c>
      <c r="H2763" t="s">
        <v>20</v>
      </c>
      <c r="I2763">
        <v>1</v>
      </c>
    </row>
    <row r="2764" spans="5:9" ht="15.75" customHeight="1" x14ac:dyDescent="0.2">
      <c r="E2764" t="s">
        <v>371</v>
      </c>
      <c r="F2764">
        <v>16</v>
      </c>
      <c r="G2764" t="s">
        <v>299</v>
      </c>
      <c r="H2764" t="s">
        <v>20</v>
      </c>
      <c r="I2764">
        <v>1</v>
      </c>
    </row>
    <row r="2765" spans="5:9" ht="15.75" customHeight="1" x14ac:dyDescent="0.2">
      <c r="E2765" t="s">
        <v>375</v>
      </c>
      <c r="F2765">
        <v>20</v>
      </c>
      <c r="G2765" t="s">
        <v>299</v>
      </c>
      <c r="H2765" t="s">
        <v>20</v>
      </c>
      <c r="I2765">
        <v>1</v>
      </c>
    </row>
    <row r="2766" spans="5:9" ht="15.75" customHeight="1" x14ac:dyDescent="0.2">
      <c r="E2766" t="s">
        <v>377</v>
      </c>
      <c r="F2766">
        <v>22</v>
      </c>
      <c r="G2766" t="s">
        <v>299</v>
      </c>
      <c r="H2766" t="s">
        <v>20</v>
      </c>
      <c r="I2766">
        <v>1</v>
      </c>
    </row>
    <row r="2767" spans="5:9" ht="15.75" customHeight="1" x14ac:dyDescent="0.2">
      <c r="E2767" t="s">
        <v>380</v>
      </c>
      <c r="F2767">
        <v>25</v>
      </c>
      <c r="G2767" t="s">
        <v>299</v>
      </c>
      <c r="H2767" t="s">
        <v>20</v>
      </c>
      <c r="I2767">
        <v>1</v>
      </c>
    </row>
    <row r="2768" spans="5:9" ht="15.75" customHeight="1" x14ac:dyDescent="0.2">
      <c r="E2768" t="s">
        <v>381</v>
      </c>
      <c r="F2768">
        <v>26</v>
      </c>
      <c r="G2768" t="s">
        <v>299</v>
      </c>
      <c r="H2768" t="s">
        <v>20</v>
      </c>
      <c r="I2768">
        <v>1</v>
      </c>
    </row>
    <row r="2769" spans="5:9" ht="15.75" customHeight="1" x14ac:dyDescent="0.2">
      <c r="E2769" t="s">
        <v>383</v>
      </c>
      <c r="F2769">
        <v>28</v>
      </c>
      <c r="G2769" t="s">
        <v>299</v>
      </c>
      <c r="H2769" t="s">
        <v>20</v>
      </c>
      <c r="I2769">
        <v>1</v>
      </c>
    </row>
    <row r="2770" spans="5:9" ht="15.75" customHeight="1" x14ac:dyDescent="0.2">
      <c r="E2770" t="s">
        <v>388</v>
      </c>
      <c r="F2770">
        <v>31</v>
      </c>
      <c r="G2770" t="s">
        <v>299</v>
      </c>
      <c r="H2770" t="s">
        <v>20</v>
      </c>
      <c r="I2770">
        <v>1</v>
      </c>
    </row>
    <row r="2771" spans="5:9" ht="15.75" customHeight="1" x14ac:dyDescent="0.2">
      <c r="E2771" t="s">
        <v>389</v>
      </c>
      <c r="F2771">
        <v>32</v>
      </c>
      <c r="G2771" t="s">
        <v>299</v>
      </c>
      <c r="H2771" t="s">
        <v>20</v>
      </c>
      <c r="I2771">
        <v>1</v>
      </c>
    </row>
    <row r="2772" spans="5:9" ht="15.75" customHeight="1" x14ac:dyDescent="0.2">
      <c r="E2772" t="s">
        <v>390</v>
      </c>
      <c r="F2772">
        <v>33</v>
      </c>
      <c r="G2772" t="s">
        <v>299</v>
      </c>
      <c r="H2772" t="s">
        <v>20</v>
      </c>
      <c r="I2772">
        <v>1</v>
      </c>
    </row>
    <row r="2773" spans="5:9" ht="15.75" customHeight="1" x14ac:dyDescent="0.2">
      <c r="E2773" t="s">
        <v>391</v>
      </c>
      <c r="F2773">
        <v>34</v>
      </c>
      <c r="G2773" t="s">
        <v>299</v>
      </c>
      <c r="H2773" t="s">
        <v>20</v>
      </c>
      <c r="I2773">
        <v>1</v>
      </c>
    </row>
    <row r="2774" spans="5:9" ht="15.75" customHeight="1" x14ac:dyDescent="0.2">
      <c r="E2774" t="s">
        <v>393</v>
      </c>
      <c r="F2774">
        <v>35</v>
      </c>
      <c r="G2774" t="s">
        <v>299</v>
      </c>
      <c r="H2774" t="s">
        <v>20</v>
      </c>
      <c r="I2774">
        <v>1</v>
      </c>
    </row>
    <row r="2775" spans="5:9" ht="15.75" customHeight="1" x14ac:dyDescent="0.2">
      <c r="E2775" t="s">
        <v>395</v>
      </c>
      <c r="F2775">
        <v>37</v>
      </c>
      <c r="G2775" t="s">
        <v>299</v>
      </c>
      <c r="H2775" t="s">
        <v>20</v>
      </c>
      <c r="I2775">
        <v>1</v>
      </c>
    </row>
    <row r="2776" spans="5:9" ht="15.75" customHeight="1" x14ac:dyDescent="0.2">
      <c r="E2776" t="s">
        <v>396</v>
      </c>
      <c r="F2776">
        <v>38</v>
      </c>
      <c r="G2776" t="s">
        <v>299</v>
      </c>
      <c r="H2776" t="s">
        <v>20</v>
      </c>
      <c r="I2776">
        <v>1</v>
      </c>
    </row>
    <row r="2777" spans="5:9" ht="15.75" customHeight="1" x14ac:dyDescent="0.2">
      <c r="E2777" t="s">
        <v>407</v>
      </c>
      <c r="F2777">
        <v>50</v>
      </c>
      <c r="G2777" t="s">
        <v>299</v>
      </c>
      <c r="H2777" t="s">
        <v>20</v>
      </c>
      <c r="I2777">
        <v>1</v>
      </c>
    </row>
    <row r="2778" spans="5:9" ht="15.75" customHeight="1" x14ac:dyDescent="0.2">
      <c r="E2778" t="s">
        <v>408</v>
      </c>
      <c r="F2778">
        <v>51</v>
      </c>
      <c r="G2778" t="s">
        <v>299</v>
      </c>
      <c r="H2778" t="s">
        <v>20</v>
      </c>
      <c r="I2778">
        <v>1</v>
      </c>
    </row>
    <row r="2779" spans="5:9" ht="15.75" customHeight="1" x14ac:dyDescent="0.2">
      <c r="E2779" t="s">
        <v>412</v>
      </c>
      <c r="F2779">
        <v>55</v>
      </c>
      <c r="G2779" t="s">
        <v>299</v>
      </c>
      <c r="H2779" t="s">
        <v>20</v>
      </c>
      <c r="I2779">
        <v>1</v>
      </c>
    </row>
    <row r="2780" spans="5:9" ht="15.75" customHeight="1" x14ac:dyDescent="0.2">
      <c r="E2780" t="s">
        <v>416</v>
      </c>
      <c r="F2780">
        <v>59</v>
      </c>
      <c r="G2780" t="s">
        <v>299</v>
      </c>
      <c r="H2780" t="s">
        <v>20</v>
      </c>
      <c r="I2780">
        <v>1</v>
      </c>
    </row>
    <row r="2781" spans="5:9" ht="15.75" customHeight="1" x14ac:dyDescent="0.2">
      <c r="E2781" t="s">
        <v>417</v>
      </c>
      <c r="F2781">
        <v>60</v>
      </c>
      <c r="G2781" t="s">
        <v>299</v>
      </c>
      <c r="H2781" t="s">
        <v>20</v>
      </c>
      <c r="I2781">
        <v>1</v>
      </c>
    </row>
    <row r="2782" spans="5:9" ht="15.75" customHeight="1" x14ac:dyDescent="0.2">
      <c r="E2782" t="s">
        <v>418</v>
      </c>
      <c r="F2782">
        <v>61</v>
      </c>
      <c r="G2782" t="s">
        <v>299</v>
      </c>
      <c r="H2782" t="s">
        <v>20</v>
      </c>
      <c r="I2782">
        <v>1</v>
      </c>
    </row>
    <row r="2783" spans="5:9" ht="15.75" customHeight="1" x14ac:dyDescent="0.2">
      <c r="E2783" t="s">
        <v>419</v>
      </c>
      <c r="F2783">
        <v>62</v>
      </c>
      <c r="G2783" t="s">
        <v>299</v>
      </c>
      <c r="H2783" t="s">
        <v>20</v>
      </c>
      <c r="I2783">
        <v>1</v>
      </c>
    </row>
    <row r="2784" spans="5:9" ht="15.75" customHeight="1" x14ac:dyDescent="0.2">
      <c r="E2784" t="s">
        <v>427</v>
      </c>
      <c r="F2784">
        <v>69</v>
      </c>
      <c r="G2784" t="s">
        <v>299</v>
      </c>
      <c r="H2784" t="s">
        <v>20</v>
      </c>
      <c r="I2784">
        <v>1</v>
      </c>
    </row>
    <row r="2785" spans="5:9" ht="15.75" customHeight="1" x14ac:dyDescent="0.2">
      <c r="E2785" t="s">
        <v>428</v>
      </c>
      <c r="F2785">
        <v>70</v>
      </c>
      <c r="G2785" t="s">
        <v>299</v>
      </c>
      <c r="H2785" t="s">
        <v>20</v>
      </c>
      <c r="I2785">
        <v>1</v>
      </c>
    </row>
    <row r="2786" spans="5:9" ht="15.75" customHeight="1" x14ac:dyDescent="0.2">
      <c r="E2786" t="s">
        <v>429</v>
      </c>
      <c r="F2786">
        <v>71</v>
      </c>
      <c r="G2786" t="s">
        <v>299</v>
      </c>
      <c r="H2786" t="s">
        <v>20</v>
      </c>
      <c r="I2786">
        <v>1</v>
      </c>
    </row>
    <row r="2787" spans="5:9" ht="15.75" customHeight="1" x14ac:dyDescent="0.2">
      <c r="E2787" t="s">
        <v>430</v>
      </c>
      <c r="F2787">
        <v>72</v>
      </c>
      <c r="G2787" t="s">
        <v>299</v>
      </c>
      <c r="H2787" t="s">
        <v>20</v>
      </c>
      <c r="I2787">
        <v>1</v>
      </c>
    </row>
    <row r="2788" spans="5:9" ht="15.75" customHeight="1" x14ac:dyDescent="0.2">
      <c r="E2788" t="s">
        <v>370</v>
      </c>
      <c r="F2788">
        <v>73</v>
      </c>
      <c r="G2788" t="s">
        <v>299</v>
      </c>
      <c r="H2788" t="s">
        <v>20</v>
      </c>
      <c r="I2788">
        <v>1</v>
      </c>
    </row>
    <row r="2789" spans="5:9" ht="15.75" customHeight="1" x14ac:dyDescent="0.2">
      <c r="E2789" t="s">
        <v>375</v>
      </c>
      <c r="F2789">
        <v>76</v>
      </c>
      <c r="G2789" t="s">
        <v>299</v>
      </c>
      <c r="H2789" t="s">
        <v>20</v>
      </c>
      <c r="I2789">
        <v>1</v>
      </c>
    </row>
    <row r="2790" spans="5:9" ht="15.75" customHeight="1" x14ac:dyDescent="0.2">
      <c r="E2790" t="s">
        <v>383</v>
      </c>
      <c r="F2790">
        <v>79</v>
      </c>
      <c r="G2790" t="s">
        <v>299</v>
      </c>
      <c r="H2790" t="s">
        <v>20</v>
      </c>
      <c r="I2790">
        <v>1</v>
      </c>
    </row>
    <row r="2791" spans="5:9" ht="15.75" customHeight="1" x14ac:dyDescent="0.2">
      <c r="E2791" t="s">
        <v>395</v>
      </c>
      <c r="F2791">
        <v>80</v>
      </c>
      <c r="G2791" t="s">
        <v>299</v>
      </c>
      <c r="H2791" t="s">
        <v>20</v>
      </c>
      <c r="I2791">
        <v>1</v>
      </c>
    </row>
    <row r="2792" spans="5:9" ht="15.75" hidden="1" customHeight="1" x14ac:dyDescent="0.2">
      <c r="E2792" t="s">
        <v>287</v>
      </c>
      <c r="F2792">
        <v>1</v>
      </c>
      <c r="G2792" t="s">
        <v>257</v>
      </c>
      <c r="H2792" t="s">
        <v>16</v>
      </c>
      <c r="I2792">
        <v>65.386899999999997</v>
      </c>
    </row>
    <row r="2793" spans="5:9" ht="15.75" hidden="1" customHeight="1" x14ac:dyDescent="0.2">
      <c r="E2793" t="s">
        <v>350</v>
      </c>
      <c r="F2793">
        <v>2</v>
      </c>
      <c r="G2793" t="s">
        <v>257</v>
      </c>
      <c r="H2793" t="s">
        <v>16</v>
      </c>
      <c r="I2793">
        <v>72.299599999999998</v>
      </c>
    </row>
    <row r="2794" spans="5:9" ht="15.75" hidden="1" customHeight="1" x14ac:dyDescent="0.2">
      <c r="E2794" t="s">
        <v>351</v>
      </c>
      <c r="F2794">
        <v>3</v>
      </c>
      <c r="G2794" t="s">
        <v>257</v>
      </c>
      <c r="H2794" t="s">
        <v>16</v>
      </c>
      <c r="I2794">
        <v>44.1935</v>
      </c>
    </row>
    <row r="2795" spans="5:9" ht="15.75" hidden="1" customHeight="1" x14ac:dyDescent="0.2">
      <c r="E2795" t="s">
        <v>352</v>
      </c>
      <c r="F2795">
        <v>4</v>
      </c>
      <c r="G2795" t="s">
        <v>257</v>
      </c>
      <c r="H2795" t="s">
        <v>16</v>
      </c>
      <c r="I2795">
        <v>48.872999999999998</v>
      </c>
    </row>
    <row r="2796" spans="5:9" ht="15.75" hidden="1" customHeight="1" x14ac:dyDescent="0.2">
      <c r="E2796" t="s">
        <v>354</v>
      </c>
      <c r="F2796">
        <v>5</v>
      </c>
      <c r="G2796" t="s">
        <v>257</v>
      </c>
      <c r="H2796" t="s">
        <v>16</v>
      </c>
      <c r="I2796">
        <v>49.8962</v>
      </c>
    </row>
    <row r="2797" spans="5:9" ht="15.75" hidden="1" customHeight="1" x14ac:dyDescent="0.2">
      <c r="E2797" t="s">
        <v>356</v>
      </c>
      <c r="F2797">
        <v>6</v>
      </c>
      <c r="G2797" t="s">
        <v>257</v>
      </c>
      <c r="H2797" t="s">
        <v>16</v>
      </c>
      <c r="I2797">
        <v>49.8962</v>
      </c>
    </row>
    <row r="2798" spans="5:9" ht="15.75" hidden="1" customHeight="1" x14ac:dyDescent="0.2">
      <c r="E2798" t="s">
        <v>358</v>
      </c>
      <c r="F2798">
        <v>7</v>
      </c>
      <c r="G2798" t="s">
        <v>257</v>
      </c>
      <c r="H2798" t="s">
        <v>16</v>
      </c>
      <c r="I2798">
        <v>72.860699999999994</v>
      </c>
    </row>
    <row r="2799" spans="5:9" ht="15.75" hidden="1" customHeight="1" x14ac:dyDescent="0.2">
      <c r="E2799" t="s">
        <v>359</v>
      </c>
      <c r="F2799">
        <v>8</v>
      </c>
      <c r="G2799" t="s">
        <v>257</v>
      </c>
      <c r="H2799" t="s">
        <v>16</v>
      </c>
      <c r="I2799">
        <v>53.632300000000001</v>
      </c>
    </row>
    <row r="2800" spans="5:9" ht="15.75" hidden="1" customHeight="1" x14ac:dyDescent="0.2">
      <c r="E2800" t="s">
        <v>360</v>
      </c>
      <c r="F2800">
        <v>9</v>
      </c>
      <c r="G2800" t="s">
        <v>257</v>
      </c>
      <c r="H2800" t="s">
        <v>16</v>
      </c>
      <c r="I2800">
        <v>72.860699999999994</v>
      </c>
    </row>
    <row r="2801" spans="5:9" ht="15.75" hidden="1" customHeight="1" x14ac:dyDescent="0.2">
      <c r="E2801" t="s">
        <v>361</v>
      </c>
      <c r="F2801">
        <v>10</v>
      </c>
      <c r="G2801" t="s">
        <v>257</v>
      </c>
      <c r="H2801" t="s">
        <v>16</v>
      </c>
      <c r="I2801">
        <v>67.045400000000001</v>
      </c>
    </row>
    <row r="2802" spans="5:9" ht="15.75" hidden="1" customHeight="1" x14ac:dyDescent="0.2">
      <c r="E2802" t="s">
        <v>362</v>
      </c>
      <c r="F2802">
        <v>11</v>
      </c>
      <c r="G2802" t="s">
        <v>257</v>
      </c>
      <c r="H2802" t="s">
        <v>16</v>
      </c>
      <c r="I2802">
        <v>70.894199999999998</v>
      </c>
    </row>
    <row r="2803" spans="5:9" ht="15.75" hidden="1" customHeight="1" x14ac:dyDescent="0.2">
      <c r="E2803" t="s">
        <v>363</v>
      </c>
      <c r="F2803">
        <v>12</v>
      </c>
      <c r="G2803" t="s">
        <v>257</v>
      </c>
      <c r="H2803" t="s">
        <v>16</v>
      </c>
      <c r="I2803">
        <v>0</v>
      </c>
    </row>
    <row r="2804" spans="5:9" ht="15.75" hidden="1" customHeight="1" x14ac:dyDescent="0.2">
      <c r="E2804" t="s">
        <v>365</v>
      </c>
      <c r="F2804">
        <v>13</v>
      </c>
      <c r="G2804" t="s">
        <v>257</v>
      </c>
      <c r="H2804" t="s">
        <v>16</v>
      </c>
      <c r="I2804">
        <v>0</v>
      </c>
    </row>
    <row r="2805" spans="5:9" ht="15.75" hidden="1" customHeight="1" x14ac:dyDescent="0.2">
      <c r="E2805" t="s">
        <v>369</v>
      </c>
      <c r="F2805">
        <v>14</v>
      </c>
      <c r="G2805" t="s">
        <v>257</v>
      </c>
      <c r="H2805" t="s">
        <v>16</v>
      </c>
      <c r="I2805">
        <v>77.349400000000003</v>
      </c>
    </row>
    <row r="2806" spans="5:9" ht="15.75" hidden="1" customHeight="1" x14ac:dyDescent="0.2">
      <c r="E2806" t="s">
        <v>370</v>
      </c>
      <c r="F2806">
        <v>15</v>
      </c>
      <c r="G2806" t="s">
        <v>257</v>
      </c>
      <c r="H2806" t="s">
        <v>16</v>
      </c>
      <c r="I2806">
        <v>55.927599999999998</v>
      </c>
    </row>
    <row r="2807" spans="5:9" ht="15.75" hidden="1" customHeight="1" x14ac:dyDescent="0.2">
      <c r="E2807" t="s">
        <v>371</v>
      </c>
      <c r="F2807">
        <v>16</v>
      </c>
      <c r="G2807" t="s">
        <v>257</v>
      </c>
      <c r="H2807" t="s">
        <v>16</v>
      </c>
      <c r="I2807">
        <v>59.347499999999997</v>
      </c>
    </row>
    <row r="2808" spans="5:9" ht="15.75" hidden="1" customHeight="1" x14ac:dyDescent="0.2">
      <c r="E2808" t="s">
        <v>372</v>
      </c>
      <c r="F2808">
        <v>17</v>
      </c>
      <c r="G2808" t="s">
        <v>257</v>
      </c>
      <c r="H2808" t="s">
        <v>16</v>
      </c>
      <c r="I2808">
        <v>52.798400000000001</v>
      </c>
    </row>
    <row r="2809" spans="5:9" ht="15.75" hidden="1" customHeight="1" x14ac:dyDescent="0.2">
      <c r="E2809" t="s">
        <v>373</v>
      </c>
      <c r="F2809">
        <v>18</v>
      </c>
      <c r="G2809" t="s">
        <v>257</v>
      </c>
      <c r="H2809" t="s">
        <v>16</v>
      </c>
      <c r="I2809">
        <v>60.816899999999997</v>
      </c>
    </row>
    <row r="2810" spans="5:9" ht="15.75" hidden="1" customHeight="1" x14ac:dyDescent="0.2">
      <c r="E2810" t="s">
        <v>374</v>
      </c>
      <c r="F2810">
        <v>19</v>
      </c>
      <c r="G2810" t="s">
        <v>257</v>
      </c>
      <c r="H2810" t="s">
        <v>16</v>
      </c>
      <c r="I2810">
        <v>73.970399999999998</v>
      </c>
    </row>
    <row r="2811" spans="5:9" ht="15.75" hidden="1" customHeight="1" x14ac:dyDescent="0.2">
      <c r="E2811" t="s">
        <v>375</v>
      </c>
      <c r="F2811">
        <v>20</v>
      </c>
      <c r="G2811" t="s">
        <v>257</v>
      </c>
      <c r="H2811" t="s">
        <v>16</v>
      </c>
      <c r="I2811">
        <v>58.09</v>
      </c>
    </row>
    <row r="2812" spans="5:9" ht="15.75" hidden="1" customHeight="1" x14ac:dyDescent="0.2">
      <c r="E2812" t="s">
        <v>376</v>
      </c>
      <c r="F2812">
        <v>21</v>
      </c>
      <c r="G2812" t="s">
        <v>257</v>
      </c>
      <c r="H2812" t="s">
        <v>16</v>
      </c>
      <c r="I2812">
        <v>60.450099999999999</v>
      </c>
    </row>
    <row r="2813" spans="5:9" ht="15.75" hidden="1" customHeight="1" x14ac:dyDescent="0.2">
      <c r="E2813" t="s">
        <v>377</v>
      </c>
      <c r="F2813">
        <v>22</v>
      </c>
      <c r="G2813" t="s">
        <v>257</v>
      </c>
      <c r="H2813" t="s">
        <v>16</v>
      </c>
      <c r="I2813">
        <v>61.978499999999997</v>
      </c>
    </row>
    <row r="2814" spans="5:9" ht="15.75" hidden="1" customHeight="1" x14ac:dyDescent="0.2">
      <c r="E2814" t="s">
        <v>378</v>
      </c>
      <c r="F2814">
        <v>23</v>
      </c>
      <c r="G2814" t="s">
        <v>257</v>
      </c>
      <c r="H2814" t="s">
        <v>16</v>
      </c>
      <c r="I2814">
        <v>77.349400000000003</v>
      </c>
    </row>
    <row r="2815" spans="5:9" ht="15.75" hidden="1" customHeight="1" x14ac:dyDescent="0.2">
      <c r="E2815" t="s">
        <v>379</v>
      </c>
      <c r="F2815">
        <v>24</v>
      </c>
      <c r="G2815" t="s">
        <v>257</v>
      </c>
      <c r="H2815" t="s">
        <v>16</v>
      </c>
      <c r="I2815">
        <v>75.241600000000005</v>
      </c>
    </row>
    <row r="2816" spans="5:9" ht="15.75" hidden="1" customHeight="1" x14ac:dyDescent="0.2">
      <c r="E2816" t="s">
        <v>380</v>
      </c>
      <c r="F2816">
        <v>25</v>
      </c>
      <c r="G2816" t="s">
        <v>257</v>
      </c>
      <c r="H2816" t="s">
        <v>16</v>
      </c>
      <c r="I2816">
        <v>66.292599999999993</v>
      </c>
    </row>
    <row r="2817" spans="5:9" ht="15.75" hidden="1" customHeight="1" x14ac:dyDescent="0.2">
      <c r="E2817" t="s">
        <v>381</v>
      </c>
      <c r="F2817">
        <v>26</v>
      </c>
      <c r="G2817" t="s">
        <v>257</v>
      </c>
      <c r="H2817" t="s">
        <v>16</v>
      </c>
      <c r="I2817">
        <v>67.375399999999999</v>
      </c>
    </row>
    <row r="2818" spans="5:9" ht="15.75" hidden="1" customHeight="1" x14ac:dyDescent="0.2">
      <c r="E2818" t="s">
        <v>382</v>
      </c>
      <c r="F2818">
        <v>27</v>
      </c>
      <c r="G2818" t="s">
        <v>257</v>
      </c>
      <c r="H2818" t="s">
        <v>16</v>
      </c>
      <c r="I2818">
        <v>63.490900000000003</v>
      </c>
    </row>
    <row r="2819" spans="5:9" ht="15.75" hidden="1" customHeight="1" x14ac:dyDescent="0.2">
      <c r="E2819" t="s">
        <v>383</v>
      </c>
      <c r="F2819">
        <v>28</v>
      </c>
      <c r="G2819" t="s">
        <v>257</v>
      </c>
      <c r="H2819" t="s">
        <v>16</v>
      </c>
      <c r="I2819">
        <v>59.5152</v>
      </c>
    </row>
    <row r="2820" spans="5:9" ht="15.75" hidden="1" customHeight="1" x14ac:dyDescent="0.2">
      <c r="E2820" t="s">
        <v>385</v>
      </c>
      <c r="F2820">
        <v>29</v>
      </c>
      <c r="G2820" t="s">
        <v>257</v>
      </c>
      <c r="H2820" t="s">
        <v>16</v>
      </c>
      <c r="I2820">
        <v>49.8962</v>
      </c>
    </row>
    <row r="2821" spans="5:9" ht="15.75" hidden="1" customHeight="1" x14ac:dyDescent="0.2">
      <c r="E2821" t="s">
        <v>387</v>
      </c>
      <c r="F2821">
        <v>30</v>
      </c>
      <c r="G2821" t="s">
        <v>257</v>
      </c>
      <c r="H2821" t="s">
        <v>16</v>
      </c>
      <c r="I2821">
        <v>55.520400000000002</v>
      </c>
    </row>
    <row r="2822" spans="5:9" ht="15.75" hidden="1" customHeight="1" x14ac:dyDescent="0.2">
      <c r="E2822" t="s">
        <v>388</v>
      </c>
      <c r="F2822">
        <v>31</v>
      </c>
      <c r="G2822" t="s">
        <v>257</v>
      </c>
      <c r="H2822" t="s">
        <v>16</v>
      </c>
      <c r="I2822">
        <v>60.838700000000003</v>
      </c>
    </row>
    <row r="2823" spans="5:9" ht="15.75" hidden="1" customHeight="1" x14ac:dyDescent="0.2">
      <c r="E2823" t="s">
        <v>389</v>
      </c>
      <c r="F2823">
        <v>32</v>
      </c>
      <c r="G2823" t="s">
        <v>257</v>
      </c>
      <c r="H2823" t="s">
        <v>16</v>
      </c>
      <c r="I2823">
        <v>60.747900000000001</v>
      </c>
    </row>
    <row r="2824" spans="5:9" ht="15.75" hidden="1" customHeight="1" x14ac:dyDescent="0.2">
      <c r="E2824" t="s">
        <v>390</v>
      </c>
      <c r="F2824">
        <v>33</v>
      </c>
      <c r="G2824" t="s">
        <v>257</v>
      </c>
      <c r="H2824" t="s">
        <v>16</v>
      </c>
      <c r="I2824">
        <v>59.899500000000003</v>
      </c>
    </row>
    <row r="2825" spans="5:9" ht="15.75" hidden="1" customHeight="1" x14ac:dyDescent="0.2">
      <c r="E2825" t="s">
        <v>391</v>
      </c>
      <c r="F2825">
        <v>34</v>
      </c>
      <c r="G2825" t="s">
        <v>257</v>
      </c>
      <c r="H2825" t="s">
        <v>16</v>
      </c>
      <c r="I2825">
        <v>60.894500000000001</v>
      </c>
    </row>
    <row r="2826" spans="5:9" ht="15.75" hidden="1" customHeight="1" x14ac:dyDescent="0.2">
      <c r="E2826" t="s">
        <v>393</v>
      </c>
      <c r="F2826">
        <v>35</v>
      </c>
      <c r="G2826" t="s">
        <v>257</v>
      </c>
      <c r="H2826" t="s">
        <v>16</v>
      </c>
      <c r="I2826">
        <v>60.649799999999999</v>
      </c>
    </row>
    <row r="2827" spans="5:9" ht="15.75" hidden="1" customHeight="1" x14ac:dyDescent="0.2">
      <c r="E2827" t="s">
        <v>394</v>
      </c>
      <c r="F2827">
        <v>36</v>
      </c>
      <c r="G2827" t="s">
        <v>257</v>
      </c>
      <c r="H2827" t="s">
        <v>16</v>
      </c>
      <c r="I2827">
        <v>43.867899999999999</v>
      </c>
    </row>
    <row r="2828" spans="5:9" ht="15.75" hidden="1" customHeight="1" x14ac:dyDescent="0.2">
      <c r="E2828" t="s">
        <v>395</v>
      </c>
      <c r="F2828">
        <v>37</v>
      </c>
      <c r="G2828" t="s">
        <v>257</v>
      </c>
      <c r="H2828" t="s">
        <v>16</v>
      </c>
      <c r="I2828">
        <v>51.564500000000002</v>
      </c>
    </row>
    <row r="2829" spans="5:9" ht="15.75" hidden="1" customHeight="1" x14ac:dyDescent="0.2">
      <c r="E2829" t="s">
        <v>396</v>
      </c>
      <c r="F2829">
        <v>38</v>
      </c>
      <c r="G2829" t="s">
        <v>257</v>
      </c>
      <c r="H2829" t="s">
        <v>16</v>
      </c>
      <c r="I2829">
        <v>54.502800000000001</v>
      </c>
    </row>
    <row r="2830" spans="5:9" ht="15.75" hidden="1" customHeight="1" x14ac:dyDescent="0.2">
      <c r="E2830" t="s">
        <v>397</v>
      </c>
      <c r="F2830">
        <v>39</v>
      </c>
      <c r="G2830" t="s">
        <v>257</v>
      </c>
      <c r="H2830" t="s">
        <v>16</v>
      </c>
      <c r="I2830">
        <v>49.219200000000001</v>
      </c>
    </row>
    <row r="2831" spans="5:9" ht="15.75" hidden="1" customHeight="1" x14ac:dyDescent="0.2">
      <c r="E2831" t="s">
        <v>398</v>
      </c>
      <c r="F2831">
        <v>40</v>
      </c>
      <c r="G2831" t="s">
        <v>257</v>
      </c>
      <c r="H2831" t="s">
        <v>16</v>
      </c>
      <c r="I2831">
        <v>55.3919</v>
      </c>
    </row>
    <row r="2832" spans="5:9" ht="15.75" hidden="1" customHeight="1" x14ac:dyDescent="0.2">
      <c r="E2832" t="s">
        <v>399</v>
      </c>
      <c r="F2832">
        <v>41</v>
      </c>
      <c r="G2832" t="s">
        <v>257</v>
      </c>
      <c r="H2832" t="s">
        <v>16</v>
      </c>
      <c r="I2832">
        <v>80.537099999999995</v>
      </c>
    </row>
    <row r="2833" spans="5:9" ht="15.75" hidden="1" customHeight="1" x14ac:dyDescent="0.2">
      <c r="E2833" t="s">
        <v>400</v>
      </c>
      <c r="F2833">
        <v>42</v>
      </c>
      <c r="G2833" t="s">
        <v>257</v>
      </c>
      <c r="H2833" t="s">
        <v>16</v>
      </c>
      <c r="I2833">
        <v>80.537099999999995</v>
      </c>
    </row>
    <row r="2834" spans="5:9" ht="15.75" hidden="1" customHeight="1" x14ac:dyDescent="0.2">
      <c r="E2834" t="s">
        <v>401</v>
      </c>
      <c r="F2834">
        <v>43</v>
      </c>
      <c r="G2834" t="s">
        <v>257</v>
      </c>
      <c r="H2834" t="s">
        <v>16</v>
      </c>
      <c r="I2834">
        <v>77.460800000000006</v>
      </c>
    </row>
    <row r="2835" spans="5:9" ht="15.75" hidden="1" customHeight="1" x14ac:dyDescent="0.2">
      <c r="E2835" t="s">
        <v>402</v>
      </c>
      <c r="F2835">
        <v>44</v>
      </c>
      <c r="G2835" t="s">
        <v>257</v>
      </c>
      <c r="H2835" t="s">
        <v>16</v>
      </c>
      <c r="I2835">
        <v>77.460800000000006</v>
      </c>
    </row>
    <row r="2836" spans="5:9" ht="15.75" hidden="1" customHeight="1" x14ac:dyDescent="0.2">
      <c r="E2836" t="s">
        <v>403</v>
      </c>
      <c r="F2836">
        <v>45</v>
      </c>
      <c r="G2836" t="s">
        <v>257</v>
      </c>
      <c r="H2836" t="s">
        <v>16</v>
      </c>
      <c r="I2836">
        <v>80.537099999999995</v>
      </c>
    </row>
    <row r="2837" spans="5:9" ht="15.75" hidden="1" customHeight="1" x14ac:dyDescent="0.2">
      <c r="E2837" t="s">
        <v>404</v>
      </c>
      <c r="F2837">
        <v>46</v>
      </c>
      <c r="G2837" t="s">
        <v>257</v>
      </c>
      <c r="H2837" t="s">
        <v>16</v>
      </c>
      <c r="I2837">
        <v>80.537099999999995</v>
      </c>
    </row>
    <row r="2838" spans="5:9" ht="15.75" hidden="1" customHeight="1" x14ac:dyDescent="0.2">
      <c r="E2838" t="s">
        <v>405</v>
      </c>
      <c r="F2838">
        <v>47</v>
      </c>
      <c r="G2838" t="s">
        <v>257</v>
      </c>
      <c r="H2838" t="s">
        <v>16</v>
      </c>
      <c r="I2838">
        <v>74.071600000000004</v>
      </c>
    </row>
    <row r="2839" spans="5:9" ht="15.75" hidden="1" customHeight="1" x14ac:dyDescent="0.2">
      <c r="E2839" t="s">
        <v>406</v>
      </c>
      <c r="F2839">
        <v>48</v>
      </c>
      <c r="G2839" t="s">
        <v>257</v>
      </c>
      <c r="H2839" t="s">
        <v>16</v>
      </c>
      <c r="I2839">
        <v>77.460800000000006</v>
      </c>
    </row>
    <row r="2840" spans="5:9" ht="15.75" hidden="1" customHeight="1" x14ac:dyDescent="0.2">
      <c r="E2840" t="s">
        <v>376</v>
      </c>
      <c r="F2840">
        <v>49</v>
      </c>
      <c r="G2840" t="s">
        <v>257</v>
      </c>
      <c r="H2840" t="s">
        <v>16</v>
      </c>
      <c r="I2840">
        <v>77.460800000000006</v>
      </c>
    </row>
    <row r="2841" spans="5:9" ht="15.75" hidden="1" customHeight="1" x14ac:dyDescent="0.2">
      <c r="E2841" t="s">
        <v>407</v>
      </c>
      <c r="F2841">
        <v>50</v>
      </c>
      <c r="G2841" t="s">
        <v>257</v>
      </c>
      <c r="H2841" t="s">
        <v>16</v>
      </c>
      <c r="I2841">
        <v>49.2943</v>
      </c>
    </row>
    <row r="2842" spans="5:9" ht="15.75" hidden="1" customHeight="1" x14ac:dyDescent="0.2">
      <c r="E2842" t="s">
        <v>408</v>
      </c>
      <c r="F2842">
        <v>51</v>
      </c>
      <c r="G2842" t="s">
        <v>257</v>
      </c>
      <c r="H2842" t="s">
        <v>16</v>
      </c>
      <c r="I2842">
        <v>50.896999999999998</v>
      </c>
    </row>
    <row r="2843" spans="5:9" ht="15.75" hidden="1" customHeight="1" x14ac:dyDescent="0.2">
      <c r="E2843" t="s">
        <v>409</v>
      </c>
      <c r="F2843">
        <v>52</v>
      </c>
      <c r="G2843" t="s">
        <v>257</v>
      </c>
      <c r="H2843" t="s">
        <v>16</v>
      </c>
      <c r="I2843">
        <v>70.198999999999998</v>
      </c>
    </row>
    <row r="2844" spans="5:9" ht="15.75" hidden="1" customHeight="1" x14ac:dyDescent="0.2">
      <c r="E2844" t="s">
        <v>410</v>
      </c>
      <c r="F2844">
        <v>53</v>
      </c>
      <c r="G2844" t="s">
        <v>257</v>
      </c>
      <c r="H2844" t="s">
        <v>16</v>
      </c>
      <c r="I2844">
        <v>68.56</v>
      </c>
    </row>
    <row r="2845" spans="5:9" ht="15.75" hidden="1" customHeight="1" x14ac:dyDescent="0.2">
      <c r="E2845" t="s">
        <v>411</v>
      </c>
      <c r="F2845">
        <v>54</v>
      </c>
      <c r="G2845" t="s">
        <v>257</v>
      </c>
      <c r="H2845" t="s">
        <v>16</v>
      </c>
      <c r="I2845">
        <v>37.420499999999997</v>
      </c>
    </row>
    <row r="2846" spans="5:9" ht="15.75" hidden="1" customHeight="1" x14ac:dyDescent="0.2">
      <c r="E2846" t="s">
        <v>412</v>
      </c>
      <c r="F2846">
        <v>55</v>
      </c>
      <c r="G2846" t="s">
        <v>257</v>
      </c>
      <c r="H2846" t="s">
        <v>16</v>
      </c>
      <c r="I2846">
        <v>60.572200000000002</v>
      </c>
    </row>
    <row r="2847" spans="5:9" ht="15.75" hidden="1" customHeight="1" x14ac:dyDescent="0.2">
      <c r="E2847" t="s">
        <v>413</v>
      </c>
      <c r="F2847">
        <v>56</v>
      </c>
      <c r="G2847" t="s">
        <v>257</v>
      </c>
      <c r="H2847" t="s">
        <v>16</v>
      </c>
      <c r="I2847">
        <v>68.56</v>
      </c>
    </row>
    <row r="2848" spans="5:9" ht="15.75" hidden="1" customHeight="1" x14ac:dyDescent="0.2">
      <c r="E2848" t="s">
        <v>414</v>
      </c>
      <c r="F2848">
        <v>57</v>
      </c>
      <c r="G2848" t="s">
        <v>257</v>
      </c>
      <c r="H2848" t="s">
        <v>16</v>
      </c>
      <c r="I2848">
        <v>43.639800000000001</v>
      </c>
    </row>
    <row r="2849" spans="5:9" ht="15.75" hidden="1" customHeight="1" x14ac:dyDescent="0.2">
      <c r="E2849" t="s">
        <v>415</v>
      </c>
      <c r="F2849">
        <v>58</v>
      </c>
      <c r="G2849" t="s">
        <v>257</v>
      </c>
      <c r="H2849" t="s">
        <v>16</v>
      </c>
      <c r="I2849">
        <v>44.5017</v>
      </c>
    </row>
    <row r="2850" spans="5:9" ht="15.75" hidden="1" customHeight="1" x14ac:dyDescent="0.2">
      <c r="E2850" t="s">
        <v>416</v>
      </c>
      <c r="F2850">
        <v>59</v>
      </c>
      <c r="G2850" t="s">
        <v>257</v>
      </c>
      <c r="H2850" t="s">
        <v>16</v>
      </c>
      <c r="I2850">
        <v>42.749000000000002</v>
      </c>
    </row>
    <row r="2851" spans="5:9" ht="15.75" hidden="1" customHeight="1" x14ac:dyDescent="0.2">
      <c r="E2851" t="s">
        <v>417</v>
      </c>
      <c r="F2851">
        <v>60</v>
      </c>
      <c r="G2851" t="s">
        <v>257</v>
      </c>
      <c r="H2851" t="s">
        <v>16</v>
      </c>
      <c r="I2851">
        <v>42.377400000000002</v>
      </c>
    </row>
    <row r="2852" spans="5:9" ht="15.75" hidden="1" customHeight="1" x14ac:dyDescent="0.2">
      <c r="E2852" t="s">
        <v>418</v>
      </c>
      <c r="F2852">
        <v>61</v>
      </c>
      <c r="G2852" t="s">
        <v>257</v>
      </c>
      <c r="H2852" t="s">
        <v>16</v>
      </c>
      <c r="I2852">
        <v>67.411799999999999</v>
      </c>
    </row>
    <row r="2853" spans="5:9" ht="15.75" hidden="1" customHeight="1" x14ac:dyDescent="0.2">
      <c r="E2853" t="s">
        <v>419</v>
      </c>
      <c r="F2853">
        <v>62</v>
      </c>
      <c r="G2853" t="s">
        <v>257</v>
      </c>
      <c r="H2853" t="s">
        <v>16</v>
      </c>
      <c r="I2853">
        <v>62.110199999999999</v>
      </c>
    </row>
    <row r="2854" spans="5:9" ht="15.75" hidden="1" customHeight="1" x14ac:dyDescent="0.2">
      <c r="E2854" t="s">
        <v>421</v>
      </c>
      <c r="F2854">
        <v>63</v>
      </c>
      <c r="G2854" t="s">
        <v>257</v>
      </c>
      <c r="H2854" t="s">
        <v>16</v>
      </c>
      <c r="I2854" t="s">
        <v>367</v>
      </c>
    </row>
    <row r="2855" spans="5:9" ht="15.75" hidden="1" customHeight="1" x14ac:dyDescent="0.2">
      <c r="E2855" t="s">
        <v>422</v>
      </c>
      <c r="F2855">
        <v>64</v>
      </c>
      <c r="G2855" t="s">
        <v>257</v>
      </c>
      <c r="H2855" t="s">
        <v>16</v>
      </c>
      <c r="I2855">
        <v>63.627099999999999</v>
      </c>
    </row>
    <row r="2856" spans="5:9" ht="15.75" hidden="1" customHeight="1" x14ac:dyDescent="0.2">
      <c r="E2856" t="s">
        <v>423</v>
      </c>
      <c r="F2856">
        <v>65</v>
      </c>
      <c r="G2856" t="s">
        <v>257</v>
      </c>
      <c r="H2856" t="s">
        <v>16</v>
      </c>
      <c r="I2856">
        <v>95.784400000000005</v>
      </c>
    </row>
    <row r="2857" spans="5:9" ht="15.75" hidden="1" customHeight="1" x14ac:dyDescent="0.2">
      <c r="E2857" t="s">
        <v>424</v>
      </c>
      <c r="F2857">
        <v>66</v>
      </c>
      <c r="G2857" t="s">
        <v>257</v>
      </c>
      <c r="H2857" t="s">
        <v>16</v>
      </c>
      <c r="I2857">
        <v>95.784400000000005</v>
      </c>
    </row>
    <row r="2858" spans="5:9" ht="15.75" hidden="1" customHeight="1" x14ac:dyDescent="0.2">
      <c r="E2858" t="s">
        <v>425</v>
      </c>
      <c r="F2858">
        <v>67</v>
      </c>
      <c r="G2858" t="s">
        <v>257</v>
      </c>
      <c r="H2858" t="s">
        <v>16</v>
      </c>
      <c r="I2858">
        <v>93.676599999999993</v>
      </c>
    </row>
    <row r="2859" spans="5:9" ht="15.75" hidden="1" customHeight="1" x14ac:dyDescent="0.2">
      <c r="E2859" t="s">
        <v>426</v>
      </c>
      <c r="F2859">
        <v>68</v>
      </c>
      <c r="G2859" t="s">
        <v>257</v>
      </c>
      <c r="H2859" t="s">
        <v>16</v>
      </c>
      <c r="I2859">
        <v>93.676599999999993</v>
      </c>
    </row>
    <row r="2860" spans="5:9" ht="15.75" hidden="1" customHeight="1" x14ac:dyDescent="0.2">
      <c r="E2860" t="s">
        <v>427</v>
      </c>
      <c r="F2860">
        <v>69</v>
      </c>
      <c r="G2860" t="s">
        <v>257</v>
      </c>
      <c r="H2860" t="s">
        <v>16</v>
      </c>
      <c r="I2860">
        <v>92.708200000000005</v>
      </c>
    </row>
    <row r="2861" spans="5:9" ht="15.75" hidden="1" customHeight="1" x14ac:dyDescent="0.2">
      <c r="E2861" t="s">
        <v>428</v>
      </c>
      <c r="F2861">
        <v>70</v>
      </c>
      <c r="G2861" t="s">
        <v>257</v>
      </c>
      <c r="H2861" t="s">
        <v>16</v>
      </c>
      <c r="I2861">
        <v>92.708200000000005</v>
      </c>
    </row>
    <row r="2862" spans="5:9" ht="15.75" hidden="1" customHeight="1" x14ac:dyDescent="0.2">
      <c r="E2862" t="s">
        <v>429</v>
      </c>
      <c r="F2862">
        <v>71</v>
      </c>
      <c r="G2862" t="s">
        <v>257</v>
      </c>
      <c r="H2862" t="s">
        <v>16</v>
      </c>
      <c r="I2862">
        <v>91.765000000000001</v>
      </c>
    </row>
    <row r="2863" spans="5:9" ht="15.75" hidden="1" customHeight="1" x14ac:dyDescent="0.2">
      <c r="E2863" t="s">
        <v>430</v>
      </c>
      <c r="F2863">
        <v>72</v>
      </c>
      <c r="G2863" t="s">
        <v>257</v>
      </c>
      <c r="H2863" t="s">
        <v>16</v>
      </c>
      <c r="I2863">
        <v>91.765000000000001</v>
      </c>
    </row>
    <row r="2864" spans="5:9" ht="15.75" hidden="1" customHeight="1" x14ac:dyDescent="0.2">
      <c r="E2864" t="s">
        <v>370</v>
      </c>
      <c r="F2864">
        <v>73</v>
      </c>
      <c r="G2864" t="s">
        <v>257</v>
      </c>
      <c r="H2864" t="s">
        <v>16</v>
      </c>
      <c r="I2864">
        <v>0</v>
      </c>
    </row>
    <row r="2865" spans="5:9" ht="15.75" hidden="1" customHeight="1" x14ac:dyDescent="0.2">
      <c r="E2865" t="s">
        <v>373</v>
      </c>
      <c r="F2865">
        <v>74</v>
      </c>
      <c r="G2865" t="s">
        <v>257</v>
      </c>
      <c r="H2865" t="s">
        <v>16</v>
      </c>
      <c r="I2865">
        <v>0</v>
      </c>
    </row>
    <row r="2866" spans="5:9" ht="15.75" hidden="1" customHeight="1" x14ac:dyDescent="0.2">
      <c r="E2866" t="s">
        <v>374</v>
      </c>
      <c r="F2866">
        <v>75</v>
      </c>
      <c r="G2866" t="s">
        <v>257</v>
      </c>
      <c r="H2866" t="s">
        <v>16</v>
      </c>
      <c r="I2866">
        <v>0</v>
      </c>
    </row>
    <row r="2867" spans="5:9" ht="15.75" hidden="1" customHeight="1" x14ac:dyDescent="0.2">
      <c r="E2867" t="s">
        <v>375</v>
      </c>
      <c r="F2867">
        <v>76</v>
      </c>
      <c r="G2867" t="s">
        <v>257</v>
      </c>
      <c r="H2867" t="s">
        <v>16</v>
      </c>
      <c r="I2867">
        <v>0</v>
      </c>
    </row>
    <row r="2868" spans="5:9" ht="15.75" hidden="1" customHeight="1" x14ac:dyDescent="0.2">
      <c r="E2868" t="s">
        <v>376</v>
      </c>
      <c r="F2868">
        <v>77</v>
      </c>
      <c r="G2868" t="s">
        <v>257</v>
      </c>
      <c r="H2868" t="s">
        <v>16</v>
      </c>
      <c r="I2868">
        <v>0</v>
      </c>
    </row>
    <row r="2869" spans="5:9" ht="15.75" hidden="1" customHeight="1" x14ac:dyDescent="0.2">
      <c r="E2869" t="s">
        <v>382</v>
      </c>
      <c r="F2869">
        <v>78</v>
      </c>
      <c r="G2869" t="s">
        <v>257</v>
      </c>
      <c r="H2869" t="s">
        <v>16</v>
      </c>
      <c r="I2869">
        <v>0</v>
      </c>
    </row>
    <row r="2870" spans="5:9" ht="15.75" hidden="1" customHeight="1" x14ac:dyDescent="0.2">
      <c r="E2870" t="s">
        <v>383</v>
      </c>
      <c r="F2870">
        <v>79</v>
      </c>
      <c r="G2870" t="s">
        <v>257</v>
      </c>
      <c r="H2870" t="s">
        <v>16</v>
      </c>
      <c r="I2870">
        <v>0</v>
      </c>
    </row>
    <row r="2871" spans="5:9" ht="15.75" hidden="1" customHeight="1" x14ac:dyDescent="0.2">
      <c r="E2871" t="s">
        <v>395</v>
      </c>
      <c r="F2871">
        <v>80</v>
      </c>
      <c r="G2871" t="s">
        <v>257</v>
      </c>
      <c r="H2871" t="s">
        <v>16</v>
      </c>
      <c r="I2871">
        <v>0</v>
      </c>
    </row>
    <row r="2872" spans="5:9" ht="15.75" hidden="1" customHeight="1" x14ac:dyDescent="0.2">
      <c r="E2872" t="s">
        <v>397</v>
      </c>
      <c r="F2872">
        <v>81</v>
      </c>
      <c r="G2872" t="s">
        <v>257</v>
      </c>
      <c r="H2872" t="s">
        <v>16</v>
      </c>
      <c r="I2872">
        <v>0</v>
      </c>
    </row>
    <row r="2873" spans="5:9" ht="15.75" hidden="1" customHeight="1" x14ac:dyDescent="0.2">
      <c r="E2873" t="s">
        <v>399</v>
      </c>
      <c r="F2873">
        <v>82</v>
      </c>
      <c r="G2873" t="s">
        <v>257</v>
      </c>
      <c r="H2873" t="s">
        <v>16</v>
      </c>
      <c r="I2873">
        <v>0</v>
      </c>
    </row>
    <row r="2874" spans="5:9" ht="15.75" hidden="1" customHeight="1" x14ac:dyDescent="0.2">
      <c r="E2874" t="s">
        <v>400</v>
      </c>
      <c r="F2874">
        <v>83</v>
      </c>
      <c r="G2874" t="s">
        <v>257</v>
      </c>
      <c r="H2874" t="s">
        <v>16</v>
      </c>
      <c r="I2874">
        <v>0</v>
      </c>
    </row>
    <row r="2875" spans="5:9" ht="15.75" hidden="1" customHeight="1" x14ac:dyDescent="0.2">
      <c r="E2875" t="s">
        <v>401</v>
      </c>
      <c r="F2875">
        <v>84</v>
      </c>
      <c r="G2875" t="s">
        <v>257</v>
      </c>
      <c r="H2875" t="s">
        <v>16</v>
      </c>
      <c r="I2875">
        <v>0</v>
      </c>
    </row>
    <row r="2876" spans="5:9" ht="15.75" hidden="1" customHeight="1" x14ac:dyDescent="0.2">
      <c r="E2876" t="s">
        <v>402</v>
      </c>
      <c r="F2876">
        <v>85</v>
      </c>
      <c r="G2876" t="s">
        <v>257</v>
      </c>
      <c r="H2876" t="s">
        <v>16</v>
      </c>
      <c r="I2876">
        <v>0</v>
      </c>
    </row>
    <row r="2877" spans="5:9" ht="15.75" hidden="1" customHeight="1" x14ac:dyDescent="0.2">
      <c r="E2877" t="s">
        <v>403</v>
      </c>
      <c r="F2877">
        <v>86</v>
      </c>
      <c r="G2877" t="s">
        <v>257</v>
      </c>
      <c r="H2877" t="s">
        <v>16</v>
      </c>
      <c r="I2877">
        <v>0</v>
      </c>
    </row>
    <row r="2878" spans="5:9" ht="15.75" hidden="1" customHeight="1" x14ac:dyDescent="0.2">
      <c r="E2878" t="s">
        <v>404</v>
      </c>
      <c r="F2878">
        <v>87</v>
      </c>
      <c r="G2878" t="s">
        <v>257</v>
      </c>
      <c r="H2878" t="s">
        <v>16</v>
      </c>
      <c r="I2878">
        <v>0</v>
      </c>
    </row>
    <row r="2879" spans="5:9" ht="15.75" hidden="1" customHeight="1" x14ac:dyDescent="0.2">
      <c r="E2879" t="s">
        <v>405</v>
      </c>
      <c r="F2879">
        <v>88</v>
      </c>
      <c r="G2879" t="s">
        <v>257</v>
      </c>
      <c r="H2879" t="s">
        <v>16</v>
      </c>
      <c r="I2879">
        <v>0</v>
      </c>
    </row>
    <row r="2880" spans="5:9" ht="15.75" hidden="1" customHeight="1" x14ac:dyDescent="0.2">
      <c r="E2880" t="s">
        <v>406</v>
      </c>
      <c r="F2880">
        <v>89</v>
      </c>
      <c r="G2880" t="s">
        <v>257</v>
      </c>
      <c r="H2880" t="s">
        <v>16</v>
      </c>
      <c r="I2880">
        <v>0</v>
      </c>
    </row>
    <row r="2881" spans="5:9" ht="15.75" hidden="1" customHeight="1" x14ac:dyDescent="0.2">
      <c r="E2881" t="s">
        <v>376</v>
      </c>
      <c r="F2881">
        <v>90</v>
      </c>
      <c r="G2881" t="s">
        <v>257</v>
      </c>
      <c r="H2881" t="s">
        <v>16</v>
      </c>
      <c r="I2881">
        <v>0</v>
      </c>
    </row>
    <row r="2882" spans="5:9" ht="15.75" hidden="1" customHeight="1" x14ac:dyDescent="0.2">
      <c r="E2882" t="s">
        <v>409</v>
      </c>
      <c r="F2882">
        <v>91</v>
      </c>
      <c r="G2882" t="s">
        <v>257</v>
      </c>
      <c r="H2882" t="s">
        <v>16</v>
      </c>
      <c r="I2882">
        <v>0</v>
      </c>
    </row>
    <row r="2883" spans="5:9" ht="15.75" hidden="1" customHeight="1" x14ac:dyDescent="0.2">
      <c r="E2883" t="s">
        <v>410</v>
      </c>
      <c r="F2883">
        <v>92</v>
      </c>
      <c r="G2883" t="s">
        <v>257</v>
      </c>
      <c r="H2883" t="s">
        <v>16</v>
      </c>
      <c r="I2883">
        <v>0</v>
      </c>
    </row>
    <row r="2884" spans="5:9" ht="15.75" hidden="1" customHeight="1" x14ac:dyDescent="0.2">
      <c r="E2884" t="s">
        <v>413</v>
      </c>
      <c r="F2884">
        <v>93</v>
      </c>
      <c r="G2884" t="s">
        <v>257</v>
      </c>
      <c r="H2884" t="s">
        <v>16</v>
      </c>
      <c r="I2884">
        <v>0</v>
      </c>
    </row>
    <row r="2885" spans="5:9" ht="15.75" hidden="1" customHeight="1" x14ac:dyDescent="0.2">
      <c r="E2885" t="s">
        <v>414</v>
      </c>
      <c r="F2885">
        <v>94</v>
      </c>
      <c r="G2885" t="s">
        <v>257</v>
      </c>
      <c r="H2885" t="s">
        <v>16</v>
      </c>
      <c r="I2885">
        <v>0</v>
      </c>
    </row>
    <row r="2886" spans="5:9" ht="15.75" hidden="1" customHeight="1" x14ac:dyDescent="0.2">
      <c r="E2886" t="s">
        <v>417</v>
      </c>
      <c r="F2886">
        <v>95</v>
      </c>
      <c r="G2886" t="s">
        <v>257</v>
      </c>
      <c r="H2886" t="s">
        <v>16</v>
      </c>
      <c r="I2886">
        <v>0</v>
      </c>
    </row>
    <row r="2887" spans="5:9" ht="15.75" hidden="1" customHeight="1" x14ac:dyDescent="0.2">
      <c r="E2887" t="s">
        <v>440</v>
      </c>
      <c r="F2887">
        <v>96</v>
      </c>
      <c r="G2887" t="s">
        <v>257</v>
      </c>
      <c r="H2887" t="s">
        <v>16</v>
      </c>
      <c r="I2887">
        <v>0</v>
      </c>
    </row>
    <row r="2888" spans="5:9" ht="15.75" hidden="1" customHeight="1" x14ac:dyDescent="0.2">
      <c r="E2888" t="s">
        <v>441</v>
      </c>
      <c r="F2888">
        <v>97</v>
      </c>
      <c r="G2888" t="s">
        <v>257</v>
      </c>
      <c r="H2888" t="s">
        <v>16</v>
      </c>
      <c r="I2888">
        <v>0</v>
      </c>
    </row>
    <row r="2889" spans="5:9" ht="15.75" hidden="1" customHeight="1" x14ac:dyDescent="0.2">
      <c r="E2889" t="s">
        <v>442</v>
      </c>
      <c r="F2889">
        <v>98</v>
      </c>
      <c r="G2889" t="s">
        <v>257</v>
      </c>
      <c r="H2889" t="s">
        <v>16</v>
      </c>
      <c r="I2889">
        <v>0</v>
      </c>
    </row>
    <row r="2890" spans="5:9" ht="15.75" hidden="1" customHeight="1" x14ac:dyDescent="0.2">
      <c r="E2890" t="s">
        <v>443</v>
      </c>
      <c r="F2890">
        <v>99</v>
      </c>
      <c r="G2890" t="s">
        <v>257</v>
      </c>
      <c r="H2890" t="s">
        <v>16</v>
      </c>
      <c r="I2890">
        <v>0</v>
      </c>
    </row>
    <row r="2891" spans="5:9" ht="15.75" hidden="1" customHeight="1" x14ac:dyDescent="0.2">
      <c r="E2891" t="s">
        <v>444</v>
      </c>
      <c r="F2891">
        <v>100</v>
      </c>
      <c r="G2891" t="s">
        <v>257</v>
      </c>
      <c r="H2891" t="s">
        <v>16</v>
      </c>
      <c r="I2891">
        <v>63.484099999999998</v>
      </c>
    </row>
    <row r="2892" spans="5:9" ht="15.75" hidden="1" customHeight="1" x14ac:dyDescent="0.2">
      <c r="E2892" t="s">
        <v>362</v>
      </c>
      <c r="F2892">
        <v>101</v>
      </c>
      <c r="G2892" t="s">
        <v>257</v>
      </c>
      <c r="H2892" t="s">
        <v>16</v>
      </c>
      <c r="I2892">
        <v>0</v>
      </c>
    </row>
    <row r="2893" spans="5:9" ht="15.75" hidden="1" customHeight="1" x14ac:dyDescent="0.2">
      <c r="E2893" t="s">
        <v>446</v>
      </c>
      <c r="F2893">
        <v>102</v>
      </c>
      <c r="G2893" t="s">
        <v>257</v>
      </c>
      <c r="H2893" t="s">
        <v>16</v>
      </c>
      <c r="I2893">
        <v>0</v>
      </c>
    </row>
    <row r="2894" spans="5:9" ht="15.75" hidden="1" customHeight="1" x14ac:dyDescent="0.2">
      <c r="E2894" t="s">
        <v>447</v>
      </c>
      <c r="F2894">
        <v>103</v>
      </c>
      <c r="G2894" t="s">
        <v>257</v>
      </c>
      <c r="H2894" t="s">
        <v>16</v>
      </c>
      <c r="I2894">
        <v>0</v>
      </c>
    </row>
    <row r="2895" spans="5:9" ht="15.75" hidden="1" customHeight="1" x14ac:dyDescent="0.2">
      <c r="E2895" t="s">
        <v>448</v>
      </c>
      <c r="F2895">
        <v>104</v>
      </c>
      <c r="G2895" t="s">
        <v>257</v>
      </c>
      <c r="H2895" t="s">
        <v>16</v>
      </c>
      <c r="I2895">
        <v>0</v>
      </c>
    </row>
    <row r="2896" spans="5:9" ht="15.75" hidden="1" customHeight="1" x14ac:dyDescent="0.2">
      <c r="E2896" t="s">
        <v>449</v>
      </c>
      <c r="F2896">
        <v>105</v>
      </c>
      <c r="G2896" t="s">
        <v>257</v>
      </c>
      <c r="H2896" t="s">
        <v>16</v>
      </c>
      <c r="I2896">
        <v>0</v>
      </c>
    </row>
    <row r="2897" spans="5:9" ht="15.75" hidden="1" customHeight="1" x14ac:dyDescent="0.2">
      <c r="E2897" t="s">
        <v>450</v>
      </c>
      <c r="F2897">
        <v>106</v>
      </c>
      <c r="G2897" t="s">
        <v>257</v>
      </c>
      <c r="H2897" t="s">
        <v>16</v>
      </c>
      <c r="I2897">
        <v>0</v>
      </c>
    </row>
    <row r="2898" spans="5:9" ht="15.75" hidden="1" customHeight="1" x14ac:dyDescent="0.2">
      <c r="E2898" t="s">
        <v>451</v>
      </c>
      <c r="F2898">
        <v>107</v>
      </c>
      <c r="G2898" t="s">
        <v>257</v>
      </c>
      <c r="H2898" t="s">
        <v>16</v>
      </c>
      <c r="I2898">
        <v>0</v>
      </c>
    </row>
    <row r="2899" spans="5:9" ht="15.75" hidden="1" customHeight="1" x14ac:dyDescent="0.2">
      <c r="E2899" t="s">
        <v>452</v>
      </c>
      <c r="F2899">
        <v>108</v>
      </c>
      <c r="G2899" t="s">
        <v>257</v>
      </c>
      <c r="H2899" t="s">
        <v>16</v>
      </c>
      <c r="I2899">
        <v>0</v>
      </c>
    </row>
    <row r="2900" spans="5:9" ht="15.75" hidden="1" customHeight="1" x14ac:dyDescent="0.2">
      <c r="E2900" t="s">
        <v>453</v>
      </c>
      <c r="F2900">
        <v>109</v>
      </c>
      <c r="G2900" t="s">
        <v>257</v>
      </c>
      <c r="H2900" t="s">
        <v>16</v>
      </c>
      <c r="I2900">
        <v>0</v>
      </c>
    </row>
    <row r="2901" spans="5:9" ht="15.75" hidden="1" customHeight="1" x14ac:dyDescent="0.2">
      <c r="E2901" t="s">
        <v>454</v>
      </c>
      <c r="F2901">
        <v>110</v>
      </c>
      <c r="G2901" t="s">
        <v>257</v>
      </c>
      <c r="H2901" t="s">
        <v>16</v>
      </c>
      <c r="I2901">
        <v>0</v>
      </c>
    </row>
    <row r="2902" spans="5:9" ht="15.75" hidden="1" customHeight="1" x14ac:dyDescent="0.2">
      <c r="E2902" t="s">
        <v>455</v>
      </c>
      <c r="F2902">
        <v>111</v>
      </c>
      <c r="G2902" t="s">
        <v>257</v>
      </c>
      <c r="H2902" t="s">
        <v>16</v>
      </c>
      <c r="I2902">
        <v>0</v>
      </c>
    </row>
    <row r="2903" spans="5:9" ht="15.75" hidden="1" customHeight="1" x14ac:dyDescent="0.2">
      <c r="E2903" t="s">
        <v>456</v>
      </c>
      <c r="F2903">
        <v>112</v>
      </c>
      <c r="G2903" t="s">
        <v>257</v>
      </c>
      <c r="H2903" t="s">
        <v>16</v>
      </c>
      <c r="I2903">
        <v>0</v>
      </c>
    </row>
    <row r="2904" spans="5:9" ht="15.75" hidden="1" customHeight="1" x14ac:dyDescent="0.2">
      <c r="E2904" t="s">
        <v>457</v>
      </c>
      <c r="F2904">
        <v>113</v>
      </c>
      <c r="G2904" t="s">
        <v>257</v>
      </c>
      <c r="H2904" t="s">
        <v>16</v>
      </c>
      <c r="I2904">
        <v>0</v>
      </c>
    </row>
    <row r="2905" spans="5:9" ht="15.75" hidden="1" customHeight="1" x14ac:dyDescent="0.2">
      <c r="E2905" t="s">
        <v>459</v>
      </c>
      <c r="F2905">
        <v>114</v>
      </c>
      <c r="G2905" t="s">
        <v>257</v>
      </c>
      <c r="H2905" t="s">
        <v>16</v>
      </c>
      <c r="I2905">
        <v>0</v>
      </c>
    </row>
    <row r="2906" spans="5:9" ht="15.75" hidden="1" customHeight="1" x14ac:dyDescent="0.2">
      <c r="E2906" t="s">
        <v>460</v>
      </c>
      <c r="F2906">
        <v>115</v>
      </c>
      <c r="G2906" t="s">
        <v>257</v>
      </c>
      <c r="H2906" t="s">
        <v>16</v>
      </c>
      <c r="I2906">
        <v>0</v>
      </c>
    </row>
    <row r="2907" spans="5:9" ht="15.75" hidden="1" customHeight="1" x14ac:dyDescent="0.2">
      <c r="E2907" t="s">
        <v>461</v>
      </c>
      <c r="F2907">
        <v>116</v>
      </c>
      <c r="G2907" t="s">
        <v>257</v>
      </c>
      <c r="H2907" t="s">
        <v>16</v>
      </c>
      <c r="I2907">
        <v>0</v>
      </c>
    </row>
    <row r="2908" spans="5:9" ht="15.75" hidden="1" customHeight="1" x14ac:dyDescent="0.2">
      <c r="E2908" t="s">
        <v>462</v>
      </c>
      <c r="F2908">
        <v>117</v>
      </c>
      <c r="G2908" t="s">
        <v>257</v>
      </c>
      <c r="H2908" t="s">
        <v>16</v>
      </c>
      <c r="I2908">
        <v>0</v>
      </c>
    </row>
    <row r="2909" spans="5:9" ht="15.75" hidden="1" customHeight="1" x14ac:dyDescent="0.2">
      <c r="E2909" t="s">
        <v>463</v>
      </c>
      <c r="F2909">
        <v>118</v>
      </c>
      <c r="G2909" t="s">
        <v>257</v>
      </c>
      <c r="H2909" t="s">
        <v>16</v>
      </c>
      <c r="I2909">
        <v>0</v>
      </c>
    </row>
    <row r="2910" spans="5:9" ht="15.75" hidden="1" customHeight="1" x14ac:dyDescent="0.2">
      <c r="E2910" t="s">
        <v>464</v>
      </c>
      <c r="F2910">
        <v>119</v>
      </c>
      <c r="G2910" t="s">
        <v>257</v>
      </c>
      <c r="H2910" t="s">
        <v>16</v>
      </c>
      <c r="I2910">
        <v>0</v>
      </c>
    </row>
    <row r="2911" spans="5:9" ht="15.75" hidden="1" customHeight="1" x14ac:dyDescent="0.2">
      <c r="E2911" t="s">
        <v>465</v>
      </c>
      <c r="F2911">
        <v>120</v>
      </c>
      <c r="G2911" t="s">
        <v>257</v>
      </c>
      <c r="H2911" t="s">
        <v>16</v>
      </c>
      <c r="I2911">
        <v>0</v>
      </c>
    </row>
    <row r="2912" spans="5:9" ht="15.75" hidden="1" customHeight="1" x14ac:dyDescent="0.2">
      <c r="E2912" t="s">
        <v>466</v>
      </c>
      <c r="F2912">
        <v>121</v>
      </c>
      <c r="G2912" t="s">
        <v>257</v>
      </c>
      <c r="H2912" t="s">
        <v>16</v>
      </c>
      <c r="I2912">
        <v>0</v>
      </c>
    </row>
    <row r="2913" spans="5:9" ht="15.75" hidden="1" customHeight="1" x14ac:dyDescent="0.2">
      <c r="E2913" t="s">
        <v>467</v>
      </c>
      <c r="F2913">
        <v>122</v>
      </c>
      <c r="G2913" t="s">
        <v>257</v>
      </c>
      <c r="H2913" t="s">
        <v>16</v>
      </c>
      <c r="I2913">
        <v>0</v>
      </c>
    </row>
    <row r="2914" spans="5:9" ht="15.75" hidden="1" customHeight="1" x14ac:dyDescent="0.2">
      <c r="E2914" t="s">
        <v>468</v>
      </c>
      <c r="F2914">
        <v>123</v>
      </c>
      <c r="G2914" t="s">
        <v>257</v>
      </c>
      <c r="H2914" t="s">
        <v>16</v>
      </c>
      <c r="I2914">
        <v>0</v>
      </c>
    </row>
    <row r="2915" spans="5:9" ht="15.75" hidden="1" customHeight="1" x14ac:dyDescent="0.2">
      <c r="E2915" t="s">
        <v>469</v>
      </c>
      <c r="F2915">
        <v>124</v>
      </c>
      <c r="G2915" t="s">
        <v>257</v>
      </c>
      <c r="H2915" t="s">
        <v>16</v>
      </c>
      <c r="I2915">
        <v>0</v>
      </c>
    </row>
    <row r="2916" spans="5:9" ht="15.75" hidden="1" customHeight="1" x14ac:dyDescent="0.2">
      <c r="E2916" t="s">
        <v>470</v>
      </c>
      <c r="F2916">
        <v>125</v>
      </c>
      <c r="G2916" t="s">
        <v>257</v>
      </c>
      <c r="H2916" t="s">
        <v>16</v>
      </c>
      <c r="I2916">
        <v>0</v>
      </c>
    </row>
    <row r="2917" spans="5:9" ht="15.75" hidden="1" customHeight="1" x14ac:dyDescent="0.2">
      <c r="E2917" t="s">
        <v>471</v>
      </c>
      <c r="F2917">
        <v>126</v>
      </c>
      <c r="G2917" t="s">
        <v>257</v>
      </c>
      <c r="H2917" t="s">
        <v>16</v>
      </c>
      <c r="I2917">
        <v>0</v>
      </c>
    </row>
    <row r="2918" spans="5:9" ht="15.75" hidden="1" customHeight="1" x14ac:dyDescent="0.2">
      <c r="E2918" t="s">
        <v>472</v>
      </c>
      <c r="F2918">
        <v>127</v>
      </c>
      <c r="G2918" t="s">
        <v>257</v>
      </c>
      <c r="H2918" t="s">
        <v>16</v>
      </c>
      <c r="I2918">
        <v>0</v>
      </c>
    </row>
    <row r="2919" spans="5:9" ht="15.75" hidden="1" customHeight="1" x14ac:dyDescent="0.2">
      <c r="E2919" t="s">
        <v>473</v>
      </c>
      <c r="F2919">
        <v>128</v>
      </c>
      <c r="G2919" t="s">
        <v>257</v>
      </c>
      <c r="H2919" t="s">
        <v>16</v>
      </c>
      <c r="I2919">
        <v>0</v>
      </c>
    </row>
    <row r="2920" spans="5:9" ht="15.75" hidden="1" customHeight="1" x14ac:dyDescent="0.2">
      <c r="E2920" t="s">
        <v>474</v>
      </c>
      <c r="F2920">
        <v>129</v>
      </c>
      <c r="G2920" t="s">
        <v>257</v>
      </c>
      <c r="H2920" t="s">
        <v>16</v>
      </c>
      <c r="I2920">
        <v>0</v>
      </c>
    </row>
    <row r="2921" spans="5:9" ht="15.75" hidden="1" customHeight="1" x14ac:dyDescent="0.2">
      <c r="E2921" t="s">
        <v>476</v>
      </c>
      <c r="F2921">
        <v>130</v>
      </c>
      <c r="G2921" t="s">
        <v>257</v>
      </c>
      <c r="H2921" t="s">
        <v>16</v>
      </c>
      <c r="I2921">
        <v>71.8626</v>
      </c>
    </row>
    <row r="2922" spans="5:9" ht="15.75" hidden="1" customHeight="1" x14ac:dyDescent="0.2">
      <c r="E2922" t="s">
        <v>478</v>
      </c>
      <c r="F2922">
        <v>131</v>
      </c>
      <c r="G2922" t="s">
        <v>257</v>
      </c>
      <c r="H2922" t="s">
        <v>16</v>
      </c>
      <c r="I2922">
        <v>72.302000000000007</v>
      </c>
    </row>
    <row r="2923" spans="5:9" ht="15.75" hidden="1" customHeight="1" x14ac:dyDescent="0.2">
      <c r="E2923" t="s">
        <v>440</v>
      </c>
      <c r="F2923">
        <v>132</v>
      </c>
      <c r="G2923" t="s">
        <v>257</v>
      </c>
      <c r="H2923" t="s">
        <v>16</v>
      </c>
      <c r="I2923">
        <v>79.574799999999996</v>
      </c>
    </row>
    <row r="2924" spans="5:9" ht="15.75" hidden="1" customHeight="1" x14ac:dyDescent="0.2">
      <c r="E2924" t="s">
        <v>441</v>
      </c>
      <c r="F2924">
        <v>133</v>
      </c>
      <c r="G2924" t="s">
        <v>257</v>
      </c>
      <c r="H2924" t="s">
        <v>16</v>
      </c>
      <c r="I2924">
        <v>80.543199999999999</v>
      </c>
    </row>
    <row r="2925" spans="5:9" ht="15.75" hidden="1" customHeight="1" x14ac:dyDescent="0.2">
      <c r="E2925" t="s">
        <v>442</v>
      </c>
      <c r="F2925">
        <v>134</v>
      </c>
      <c r="G2925" t="s">
        <v>257</v>
      </c>
      <c r="H2925" t="s">
        <v>16</v>
      </c>
      <c r="I2925">
        <v>80.543199999999999</v>
      </c>
    </row>
    <row r="2926" spans="5:9" ht="15.75" hidden="1" customHeight="1" x14ac:dyDescent="0.2">
      <c r="E2926" t="s">
        <v>443</v>
      </c>
      <c r="F2926">
        <v>135</v>
      </c>
      <c r="G2926" t="s">
        <v>257</v>
      </c>
      <c r="H2926" t="s">
        <v>16</v>
      </c>
      <c r="I2926">
        <v>29.525400000000001</v>
      </c>
    </row>
    <row r="2927" spans="5:9" ht="15.75" hidden="1" customHeight="1" x14ac:dyDescent="0.2">
      <c r="E2927" t="s">
        <v>362</v>
      </c>
      <c r="F2927">
        <v>136</v>
      </c>
      <c r="G2927" t="s">
        <v>257</v>
      </c>
      <c r="H2927" t="s">
        <v>16</v>
      </c>
      <c r="I2927">
        <v>69.007300000000001</v>
      </c>
    </row>
    <row r="2928" spans="5:9" ht="15.75" hidden="1" customHeight="1" x14ac:dyDescent="0.2">
      <c r="E2928" t="s">
        <v>482</v>
      </c>
      <c r="F2928">
        <v>137</v>
      </c>
      <c r="G2928" t="s">
        <v>257</v>
      </c>
      <c r="H2928" t="s">
        <v>16</v>
      </c>
      <c r="I2928">
        <v>61.099899999999998</v>
      </c>
    </row>
    <row r="2929" spans="5:9" ht="15.75" hidden="1" customHeight="1" x14ac:dyDescent="0.2">
      <c r="E2929" t="s">
        <v>483</v>
      </c>
      <c r="F2929">
        <v>138</v>
      </c>
      <c r="G2929" t="s">
        <v>257</v>
      </c>
      <c r="H2929" t="s">
        <v>16</v>
      </c>
      <c r="I2929">
        <v>47.338900000000002</v>
      </c>
    </row>
    <row r="2930" spans="5:9" ht="15.75" hidden="1" customHeight="1" x14ac:dyDescent="0.2">
      <c r="E2930" t="s">
        <v>484</v>
      </c>
      <c r="F2930">
        <v>139</v>
      </c>
      <c r="G2930" t="s">
        <v>257</v>
      </c>
      <c r="H2930" t="s">
        <v>16</v>
      </c>
      <c r="I2930">
        <v>37.346699999999998</v>
      </c>
    </row>
    <row r="2931" spans="5:9" ht="15.75" hidden="1" customHeight="1" x14ac:dyDescent="0.2">
      <c r="E2931" t="s">
        <v>486</v>
      </c>
      <c r="F2931">
        <v>140</v>
      </c>
      <c r="G2931" t="s">
        <v>257</v>
      </c>
      <c r="H2931" t="s">
        <v>16</v>
      </c>
      <c r="I2931">
        <v>62.451999999999998</v>
      </c>
    </row>
    <row r="2932" spans="5:9" ht="15.75" hidden="1" customHeight="1" x14ac:dyDescent="0.2">
      <c r="E2932" t="s">
        <v>487</v>
      </c>
      <c r="F2932">
        <v>141</v>
      </c>
      <c r="G2932" t="s">
        <v>257</v>
      </c>
      <c r="H2932" t="s">
        <v>16</v>
      </c>
      <c r="I2932">
        <v>63.865699999999997</v>
      </c>
    </row>
    <row r="2933" spans="5:9" ht="15.75" hidden="1" customHeight="1" x14ac:dyDescent="0.2">
      <c r="E2933" t="s">
        <v>446</v>
      </c>
      <c r="F2933">
        <v>142</v>
      </c>
      <c r="G2933" t="s">
        <v>257</v>
      </c>
      <c r="H2933" t="s">
        <v>16</v>
      </c>
      <c r="I2933">
        <v>50.822800000000001</v>
      </c>
    </row>
    <row r="2934" spans="5:9" ht="15.75" hidden="1" customHeight="1" x14ac:dyDescent="0.2">
      <c r="E2934" t="s">
        <v>447</v>
      </c>
      <c r="F2934">
        <v>143</v>
      </c>
      <c r="G2934" t="s">
        <v>257</v>
      </c>
      <c r="H2934" t="s">
        <v>16</v>
      </c>
      <c r="I2934">
        <v>58.3078</v>
      </c>
    </row>
    <row r="2935" spans="5:9" ht="15.75" hidden="1" customHeight="1" x14ac:dyDescent="0.2">
      <c r="E2935" t="s">
        <v>448</v>
      </c>
      <c r="F2935">
        <v>144</v>
      </c>
      <c r="G2935" t="s">
        <v>257</v>
      </c>
      <c r="H2935" t="s">
        <v>16</v>
      </c>
      <c r="I2935">
        <v>72.064999999999998</v>
      </c>
    </row>
    <row r="2936" spans="5:9" ht="15.75" hidden="1" customHeight="1" x14ac:dyDescent="0.2">
      <c r="E2936" t="s">
        <v>449</v>
      </c>
      <c r="F2936">
        <v>145</v>
      </c>
      <c r="G2936" t="s">
        <v>257</v>
      </c>
      <c r="H2936" t="s">
        <v>16</v>
      </c>
      <c r="I2936">
        <v>71.510599999999997</v>
      </c>
    </row>
    <row r="2937" spans="5:9" ht="15.75" hidden="1" customHeight="1" x14ac:dyDescent="0.2">
      <c r="E2937" t="s">
        <v>450</v>
      </c>
      <c r="F2937">
        <v>146</v>
      </c>
      <c r="G2937" t="s">
        <v>257</v>
      </c>
      <c r="H2937" t="s">
        <v>16</v>
      </c>
      <c r="I2937">
        <v>72.860699999999994</v>
      </c>
    </row>
    <row r="2938" spans="5:9" ht="15.75" hidden="1" customHeight="1" x14ac:dyDescent="0.2">
      <c r="E2938" t="s">
        <v>451</v>
      </c>
      <c r="F2938">
        <v>147</v>
      </c>
      <c r="G2938" t="s">
        <v>257</v>
      </c>
      <c r="H2938" t="s">
        <v>16</v>
      </c>
      <c r="I2938">
        <v>72.860699999999994</v>
      </c>
    </row>
    <row r="2939" spans="5:9" ht="15.75" hidden="1" customHeight="1" x14ac:dyDescent="0.2">
      <c r="E2939" t="s">
        <v>488</v>
      </c>
      <c r="F2939">
        <v>148</v>
      </c>
      <c r="G2939" t="s">
        <v>257</v>
      </c>
      <c r="H2939" t="s">
        <v>16</v>
      </c>
      <c r="I2939">
        <v>69.519900000000007</v>
      </c>
    </row>
    <row r="2940" spans="5:9" ht="15.75" hidden="1" customHeight="1" x14ac:dyDescent="0.2">
      <c r="E2940" t="s">
        <v>452</v>
      </c>
      <c r="F2940">
        <v>149</v>
      </c>
      <c r="G2940" t="s">
        <v>257</v>
      </c>
      <c r="H2940" t="s">
        <v>16</v>
      </c>
      <c r="I2940">
        <v>64.020399999999995</v>
      </c>
    </row>
    <row r="2941" spans="5:9" ht="15.75" hidden="1" customHeight="1" x14ac:dyDescent="0.2">
      <c r="E2941" t="s">
        <v>453</v>
      </c>
      <c r="F2941">
        <v>150</v>
      </c>
      <c r="G2941" t="s">
        <v>257</v>
      </c>
      <c r="H2941" t="s">
        <v>16</v>
      </c>
      <c r="I2941">
        <v>72.860699999999994</v>
      </c>
    </row>
    <row r="2942" spans="5:9" ht="15.75" hidden="1" customHeight="1" x14ac:dyDescent="0.2">
      <c r="E2942" t="s">
        <v>454</v>
      </c>
      <c r="F2942">
        <v>151</v>
      </c>
      <c r="G2942" t="s">
        <v>257</v>
      </c>
      <c r="H2942" t="s">
        <v>16</v>
      </c>
      <c r="I2942">
        <v>66.291499999999999</v>
      </c>
    </row>
    <row r="2943" spans="5:9" ht="15.75" hidden="1" customHeight="1" x14ac:dyDescent="0.2">
      <c r="E2943" t="s">
        <v>455</v>
      </c>
      <c r="F2943">
        <v>152</v>
      </c>
      <c r="G2943" t="s">
        <v>257</v>
      </c>
      <c r="H2943" t="s">
        <v>16</v>
      </c>
      <c r="I2943">
        <v>72.860699999999994</v>
      </c>
    </row>
    <row r="2944" spans="5:9" ht="15.75" hidden="1" customHeight="1" x14ac:dyDescent="0.2">
      <c r="E2944" t="s">
        <v>456</v>
      </c>
      <c r="F2944">
        <v>153</v>
      </c>
      <c r="G2944" t="s">
        <v>257</v>
      </c>
      <c r="H2944" t="s">
        <v>16</v>
      </c>
      <c r="I2944">
        <v>75.241600000000005</v>
      </c>
    </row>
    <row r="2945" spans="5:9" ht="15.75" hidden="1" customHeight="1" x14ac:dyDescent="0.2">
      <c r="E2945" t="s">
        <v>489</v>
      </c>
      <c r="F2945">
        <v>154</v>
      </c>
      <c r="G2945" t="s">
        <v>257</v>
      </c>
      <c r="H2945" t="s">
        <v>16</v>
      </c>
      <c r="I2945">
        <v>69.491699999999994</v>
      </c>
    </row>
    <row r="2946" spans="5:9" ht="15.75" hidden="1" customHeight="1" x14ac:dyDescent="0.2">
      <c r="E2946" t="s">
        <v>457</v>
      </c>
      <c r="F2946">
        <v>155</v>
      </c>
      <c r="G2946" t="s">
        <v>257</v>
      </c>
      <c r="H2946" t="s">
        <v>16</v>
      </c>
      <c r="I2946">
        <v>75.241600000000005</v>
      </c>
    </row>
    <row r="2947" spans="5:9" ht="15.75" hidden="1" customHeight="1" x14ac:dyDescent="0.2">
      <c r="E2947" t="s">
        <v>362</v>
      </c>
      <c r="F2947">
        <v>156</v>
      </c>
      <c r="G2947" t="s">
        <v>257</v>
      </c>
      <c r="H2947" t="s">
        <v>16</v>
      </c>
      <c r="I2947">
        <v>66.840599999999995</v>
      </c>
    </row>
    <row r="2948" spans="5:9" ht="15.75" hidden="1" customHeight="1" x14ac:dyDescent="0.2">
      <c r="E2948" t="s">
        <v>491</v>
      </c>
      <c r="F2948">
        <v>157</v>
      </c>
      <c r="G2948" t="s">
        <v>257</v>
      </c>
      <c r="H2948" t="s">
        <v>16</v>
      </c>
      <c r="I2948">
        <v>45.328600000000002</v>
      </c>
    </row>
    <row r="2949" spans="5:9" ht="15.75" hidden="1" customHeight="1" x14ac:dyDescent="0.2">
      <c r="E2949" t="s">
        <v>492</v>
      </c>
      <c r="F2949">
        <v>158</v>
      </c>
      <c r="G2949" t="s">
        <v>257</v>
      </c>
      <c r="H2949" t="s">
        <v>16</v>
      </c>
      <c r="I2949">
        <v>58.072200000000002</v>
      </c>
    </row>
    <row r="2950" spans="5:9" ht="15.75" hidden="1" customHeight="1" x14ac:dyDescent="0.2">
      <c r="E2950" t="s">
        <v>493</v>
      </c>
      <c r="F2950">
        <v>159</v>
      </c>
      <c r="G2950" t="s">
        <v>257</v>
      </c>
      <c r="H2950" t="s">
        <v>16</v>
      </c>
      <c r="I2950">
        <v>60.015799999999999</v>
      </c>
    </row>
    <row r="2951" spans="5:9" ht="15.75" hidden="1" customHeight="1" x14ac:dyDescent="0.2">
      <c r="E2951" t="s">
        <v>494</v>
      </c>
      <c r="F2951">
        <v>160</v>
      </c>
      <c r="G2951" t="s">
        <v>257</v>
      </c>
      <c r="H2951" t="s">
        <v>16</v>
      </c>
      <c r="I2951">
        <v>58.2639</v>
      </c>
    </row>
    <row r="2952" spans="5:9" ht="15.75" hidden="1" customHeight="1" x14ac:dyDescent="0.2">
      <c r="E2952" t="s">
        <v>496</v>
      </c>
      <c r="F2952">
        <v>161</v>
      </c>
      <c r="G2952" t="s">
        <v>257</v>
      </c>
      <c r="H2952" t="s">
        <v>16</v>
      </c>
      <c r="I2952">
        <v>57.398499999999999</v>
      </c>
    </row>
    <row r="2953" spans="5:9" ht="15.75" hidden="1" customHeight="1" x14ac:dyDescent="0.2">
      <c r="E2953" t="s">
        <v>497</v>
      </c>
      <c r="F2953">
        <v>162</v>
      </c>
      <c r="G2953" t="s">
        <v>257</v>
      </c>
      <c r="H2953" t="s">
        <v>16</v>
      </c>
      <c r="I2953">
        <v>49.212899999999998</v>
      </c>
    </row>
    <row r="2954" spans="5:9" ht="15.75" hidden="1" customHeight="1" x14ac:dyDescent="0.2">
      <c r="E2954" t="s">
        <v>459</v>
      </c>
      <c r="F2954">
        <v>163</v>
      </c>
      <c r="G2954" t="s">
        <v>257</v>
      </c>
      <c r="H2954" t="s">
        <v>16</v>
      </c>
      <c r="I2954">
        <v>58.239199999999997</v>
      </c>
    </row>
    <row r="2955" spans="5:9" ht="15.75" hidden="1" customHeight="1" x14ac:dyDescent="0.2">
      <c r="E2955" t="s">
        <v>460</v>
      </c>
      <c r="F2955">
        <v>164</v>
      </c>
      <c r="G2955" t="s">
        <v>257</v>
      </c>
      <c r="H2955" t="s">
        <v>16</v>
      </c>
      <c r="I2955">
        <v>70.129199999999997</v>
      </c>
    </row>
    <row r="2956" spans="5:9" ht="15.75" hidden="1" customHeight="1" x14ac:dyDescent="0.2">
      <c r="E2956" t="s">
        <v>461</v>
      </c>
      <c r="F2956">
        <v>165</v>
      </c>
      <c r="G2956" t="s">
        <v>257</v>
      </c>
      <c r="H2956" t="s">
        <v>16</v>
      </c>
      <c r="I2956">
        <v>57.502200000000002</v>
      </c>
    </row>
    <row r="2957" spans="5:9" ht="15.75" hidden="1" customHeight="1" x14ac:dyDescent="0.2">
      <c r="E2957" t="s">
        <v>462</v>
      </c>
      <c r="F2957">
        <v>166</v>
      </c>
      <c r="G2957" t="s">
        <v>257</v>
      </c>
      <c r="H2957" t="s">
        <v>16</v>
      </c>
      <c r="I2957">
        <v>70.129199999999997</v>
      </c>
    </row>
    <row r="2958" spans="5:9" ht="15.75" hidden="1" customHeight="1" x14ac:dyDescent="0.2">
      <c r="E2958" t="s">
        <v>463</v>
      </c>
      <c r="F2958">
        <v>167</v>
      </c>
      <c r="G2958" t="s">
        <v>257</v>
      </c>
      <c r="H2958" t="s">
        <v>16</v>
      </c>
      <c r="I2958">
        <v>57.581899999999997</v>
      </c>
    </row>
    <row r="2959" spans="5:9" ht="15.75" hidden="1" customHeight="1" x14ac:dyDescent="0.2">
      <c r="E2959" t="s">
        <v>464</v>
      </c>
      <c r="F2959">
        <v>168</v>
      </c>
      <c r="G2959" t="s">
        <v>257</v>
      </c>
      <c r="H2959" t="s">
        <v>16</v>
      </c>
      <c r="I2959">
        <v>70.129199999999997</v>
      </c>
    </row>
    <row r="2960" spans="5:9" ht="15.75" hidden="1" customHeight="1" x14ac:dyDescent="0.2">
      <c r="E2960" t="s">
        <v>465</v>
      </c>
      <c r="F2960">
        <v>169</v>
      </c>
      <c r="G2960" t="s">
        <v>257</v>
      </c>
      <c r="H2960" t="s">
        <v>16</v>
      </c>
      <c r="I2960">
        <v>74.968599999999995</v>
      </c>
    </row>
    <row r="2961" spans="5:9" ht="15.75" hidden="1" customHeight="1" x14ac:dyDescent="0.2">
      <c r="E2961" t="s">
        <v>466</v>
      </c>
      <c r="F2961">
        <v>170</v>
      </c>
      <c r="G2961" t="s">
        <v>257</v>
      </c>
      <c r="H2961" t="s">
        <v>16</v>
      </c>
      <c r="I2961">
        <v>57.502200000000002</v>
      </c>
    </row>
    <row r="2962" spans="5:9" ht="15.75" hidden="1" customHeight="1" x14ac:dyDescent="0.2">
      <c r="E2962" t="s">
        <v>467</v>
      </c>
      <c r="F2962">
        <v>171</v>
      </c>
      <c r="G2962" t="s">
        <v>257</v>
      </c>
      <c r="H2962" t="s">
        <v>16</v>
      </c>
      <c r="I2962">
        <v>74.968599999999995</v>
      </c>
    </row>
    <row r="2963" spans="5:9" ht="15.75" hidden="1" customHeight="1" x14ac:dyDescent="0.2">
      <c r="E2963" t="s">
        <v>468</v>
      </c>
      <c r="F2963">
        <v>172</v>
      </c>
      <c r="G2963" t="s">
        <v>257</v>
      </c>
      <c r="H2963" t="s">
        <v>16</v>
      </c>
      <c r="I2963">
        <v>57.581899999999997</v>
      </c>
    </row>
    <row r="2964" spans="5:9" ht="15.75" hidden="1" customHeight="1" x14ac:dyDescent="0.2">
      <c r="E2964" t="s">
        <v>469</v>
      </c>
      <c r="F2964">
        <v>173</v>
      </c>
      <c r="G2964" t="s">
        <v>257</v>
      </c>
      <c r="H2964" t="s">
        <v>16</v>
      </c>
      <c r="I2964">
        <v>57.377699999999997</v>
      </c>
    </row>
    <row r="2965" spans="5:9" ht="15.75" hidden="1" customHeight="1" x14ac:dyDescent="0.2">
      <c r="E2965" t="s">
        <v>470</v>
      </c>
      <c r="F2965">
        <v>174</v>
      </c>
      <c r="G2965" t="s">
        <v>257</v>
      </c>
      <c r="H2965" t="s">
        <v>16</v>
      </c>
      <c r="I2965">
        <v>58.459000000000003</v>
      </c>
    </row>
    <row r="2966" spans="5:9" ht="15.75" hidden="1" customHeight="1" x14ac:dyDescent="0.2">
      <c r="E2966" t="s">
        <v>471</v>
      </c>
      <c r="F2966">
        <v>175</v>
      </c>
      <c r="G2966" t="s">
        <v>257</v>
      </c>
      <c r="H2966" t="s">
        <v>16</v>
      </c>
      <c r="I2966">
        <v>67.372200000000007</v>
      </c>
    </row>
    <row r="2967" spans="5:9" ht="15.75" hidden="1" customHeight="1" x14ac:dyDescent="0.2">
      <c r="E2967" t="s">
        <v>472</v>
      </c>
      <c r="F2967">
        <v>176</v>
      </c>
      <c r="G2967" t="s">
        <v>257</v>
      </c>
      <c r="H2967" t="s">
        <v>16</v>
      </c>
      <c r="I2967">
        <v>59.106499999999997</v>
      </c>
    </row>
    <row r="2968" spans="5:9" ht="15.75" hidden="1" customHeight="1" x14ac:dyDescent="0.2">
      <c r="E2968" t="s">
        <v>362</v>
      </c>
      <c r="F2968">
        <v>177</v>
      </c>
      <c r="G2968" t="s">
        <v>257</v>
      </c>
      <c r="H2968" t="s">
        <v>16</v>
      </c>
      <c r="I2968">
        <v>68.278400000000005</v>
      </c>
    </row>
    <row r="2969" spans="5:9" ht="15.75" hidden="1" customHeight="1" x14ac:dyDescent="0.2">
      <c r="E2969" t="s">
        <v>473</v>
      </c>
      <c r="F2969">
        <v>178</v>
      </c>
      <c r="G2969" t="s">
        <v>257</v>
      </c>
      <c r="H2969" t="s">
        <v>16</v>
      </c>
      <c r="I2969">
        <v>57.205500000000001</v>
      </c>
    </row>
    <row r="2970" spans="5:9" ht="15.75" hidden="1" customHeight="1" x14ac:dyDescent="0.2">
      <c r="E2970" t="s">
        <v>474</v>
      </c>
      <c r="F2970">
        <v>179</v>
      </c>
      <c r="G2970" t="s">
        <v>257</v>
      </c>
      <c r="H2970" t="s">
        <v>16</v>
      </c>
      <c r="I2970">
        <v>57.6462</v>
      </c>
    </row>
    <row r="2971" spans="5:9" ht="15.75" hidden="1" customHeight="1" x14ac:dyDescent="0.2">
      <c r="E2971" t="s">
        <v>499</v>
      </c>
      <c r="F2971">
        <v>180</v>
      </c>
      <c r="G2971" t="s">
        <v>257</v>
      </c>
      <c r="H2971" t="s">
        <v>16</v>
      </c>
      <c r="I2971">
        <v>56.781999999999996</v>
      </c>
    </row>
    <row r="2972" spans="5:9" ht="15.75" hidden="1" customHeight="1" x14ac:dyDescent="0.2">
      <c r="E2972" t="s">
        <v>500</v>
      </c>
      <c r="F2972">
        <v>181</v>
      </c>
      <c r="G2972" t="s">
        <v>257</v>
      </c>
      <c r="H2972" t="s">
        <v>16</v>
      </c>
      <c r="I2972">
        <v>52.690899999999999</v>
      </c>
    </row>
    <row r="2973" spans="5:9" ht="15.75" hidden="1" customHeight="1" x14ac:dyDescent="0.2">
      <c r="E2973" t="s">
        <v>501</v>
      </c>
      <c r="F2973">
        <v>182</v>
      </c>
      <c r="G2973" t="s">
        <v>257</v>
      </c>
      <c r="H2973" t="s">
        <v>16</v>
      </c>
      <c r="I2973">
        <v>31.0806</v>
      </c>
    </row>
    <row r="2974" spans="5:9" ht="15.75" hidden="1" customHeight="1" x14ac:dyDescent="0.2">
      <c r="E2974" t="s">
        <v>502</v>
      </c>
      <c r="F2974">
        <v>183</v>
      </c>
      <c r="G2974" t="s">
        <v>257</v>
      </c>
      <c r="H2974" t="s">
        <v>16</v>
      </c>
      <c r="I2974">
        <v>54.461399999999998</v>
      </c>
    </row>
    <row r="2975" spans="5:9" ht="15.75" hidden="1" customHeight="1" x14ac:dyDescent="0.2">
      <c r="E2975" t="s">
        <v>503</v>
      </c>
      <c r="F2975">
        <v>184</v>
      </c>
      <c r="G2975" t="s">
        <v>257</v>
      </c>
      <c r="H2975" t="s">
        <v>16</v>
      </c>
      <c r="I2975">
        <v>50.244399999999999</v>
      </c>
    </row>
    <row r="2976" spans="5:9" ht="15.75" hidden="1" customHeight="1" x14ac:dyDescent="0.2">
      <c r="E2976" t="s">
        <v>504</v>
      </c>
      <c r="F2976">
        <v>185</v>
      </c>
      <c r="G2976" t="s">
        <v>257</v>
      </c>
      <c r="H2976" t="s">
        <v>16</v>
      </c>
      <c r="I2976">
        <v>64.164100000000005</v>
      </c>
    </row>
    <row r="2977" spans="5:9" ht="15.75" hidden="1" customHeight="1" x14ac:dyDescent="0.2">
      <c r="E2977" t="s">
        <v>505</v>
      </c>
      <c r="F2977">
        <v>186</v>
      </c>
      <c r="G2977" t="s">
        <v>257</v>
      </c>
      <c r="H2977" t="s">
        <v>16</v>
      </c>
      <c r="I2977">
        <v>61.281199999999998</v>
      </c>
    </row>
    <row r="2978" spans="5:9" ht="15.75" hidden="1" customHeight="1" x14ac:dyDescent="0.2">
      <c r="E2978" t="s">
        <v>287</v>
      </c>
      <c r="F2978">
        <v>1</v>
      </c>
      <c r="G2978" t="s">
        <v>295</v>
      </c>
      <c r="H2978" t="s">
        <v>17</v>
      </c>
      <c r="I2978">
        <v>0</v>
      </c>
    </row>
    <row r="2979" spans="5:9" ht="15.75" hidden="1" customHeight="1" x14ac:dyDescent="0.2">
      <c r="E2979" t="s">
        <v>350</v>
      </c>
      <c r="F2979">
        <v>2</v>
      </c>
      <c r="G2979" t="s">
        <v>295</v>
      </c>
      <c r="H2979" t="s">
        <v>17</v>
      </c>
      <c r="I2979">
        <v>1</v>
      </c>
    </row>
    <row r="2980" spans="5:9" ht="15.75" hidden="1" customHeight="1" x14ac:dyDescent="0.2">
      <c r="E2980" t="s">
        <v>351</v>
      </c>
      <c r="F2980">
        <v>3</v>
      </c>
      <c r="G2980" t="s">
        <v>295</v>
      </c>
      <c r="H2980" t="s">
        <v>17</v>
      </c>
      <c r="I2980">
        <v>5</v>
      </c>
    </row>
    <row r="2981" spans="5:9" ht="15.75" hidden="1" customHeight="1" x14ac:dyDescent="0.2">
      <c r="E2981" t="s">
        <v>352</v>
      </c>
      <c r="F2981">
        <v>4</v>
      </c>
      <c r="G2981" t="s">
        <v>295</v>
      </c>
      <c r="H2981" t="s">
        <v>17</v>
      </c>
      <c r="I2981">
        <v>1</v>
      </c>
    </row>
    <row r="2982" spans="5:9" ht="15.75" hidden="1" customHeight="1" x14ac:dyDescent="0.2">
      <c r="E2982" t="s">
        <v>354</v>
      </c>
      <c r="F2982">
        <v>5</v>
      </c>
      <c r="G2982" t="s">
        <v>295</v>
      </c>
      <c r="H2982" t="s">
        <v>17</v>
      </c>
      <c r="I2982">
        <v>1</v>
      </c>
    </row>
    <row r="2983" spans="5:9" ht="15.75" hidden="1" customHeight="1" x14ac:dyDescent="0.2">
      <c r="E2983" t="s">
        <v>356</v>
      </c>
      <c r="F2983">
        <v>6</v>
      </c>
      <c r="G2983" t="s">
        <v>295</v>
      </c>
      <c r="H2983" t="s">
        <v>17</v>
      </c>
      <c r="I2983">
        <v>1</v>
      </c>
    </row>
    <row r="2984" spans="5:9" ht="15.75" hidden="1" customHeight="1" x14ac:dyDescent="0.2">
      <c r="E2984" t="s">
        <v>358</v>
      </c>
      <c r="F2984">
        <v>7</v>
      </c>
      <c r="G2984" t="s">
        <v>295</v>
      </c>
      <c r="H2984" t="s">
        <v>17</v>
      </c>
      <c r="I2984">
        <v>0</v>
      </c>
    </row>
    <row r="2985" spans="5:9" ht="15.75" hidden="1" customHeight="1" x14ac:dyDescent="0.2">
      <c r="E2985" t="s">
        <v>359</v>
      </c>
      <c r="F2985">
        <v>8</v>
      </c>
      <c r="G2985" t="s">
        <v>295</v>
      </c>
      <c r="H2985" t="s">
        <v>17</v>
      </c>
      <c r="I2985">
        <v>1</v>
      </c>
    </row>
    <row r="2986" spans="5:9" ht="15.75" hidden="1" customHeight="1" x14ac:dyDescent="0.2">
      <c r="E2986" t="s">
        <v>360</v>
      </c>
      <c r="F2986">
        <v>9</v>
      </c>
      <c r="G2986" t="s">
        <v>295</v>
      </c>
      <c r="H2986" t="s">
        <v>17</v>
      </c>
      <c r="I2986">
        <v>0</v>
      </c>
    </row>
    <row r="2987" spans="5:9" ht="15.75" hidden="1" customHeight="1" x14ac:dyDescent="0.2">
      <c r="E2987" t="s">
        <v>361</v>
      </c>
      <c r="F2987">
        <v>10</v>
      </c>
      <c r="G2987" t="s">
        <v>295</v>
      </c>
      <c r="H2987" t="s">
        <v>17</v>
      </c>
      <c r="I2987">
        <v>0</v>
      </c>
    </row>
    <row r="2988" spans="5:9" ht="15.75" hidden="1" customHeight="1" x14ac:dyDescent="0.2">
      <c r="E2988" t="s">
        <v>362</v>
      </c>
      <c r="F2988">
        <v>11</v>
      </c>
      <c r="G2988" t="s">
        <v>295</v>
      </c>
      <c r="H2988" t="s">
        <v>17</v>
      </c>
      <c r="I2988">
        <v>0</v>
      </c>
    </row>
    <row r="2989" spans="5:9" ht="15.75" hidden="1" customHeight="1" x14ac:dyDescent="0.2">
      <c r="E2989" t="s">
        <v>363</v>
      </c>
      <c r="F2989">
        <v>12</v>
      </c>
      <c r="G2989" t="s">
        <v>295</v>
      </c>
      <c r="H2989" t="s">
        <v>17</v>
      </c>
      <c r="I2989">
        <v>-1</v>
      </c>
    </row>
    <row r="2990" spans="5:9" ht="15.75" hidden="1" customHeight="1" x14ac:dyDescent="0.2">
      <c r="E2990" t="s">
        <v>365</v>
      </c>
      <c r="F2990">
        <v>13</v>
      </c>
      <c r="G2990" t="s">
        <v>295</v>
      </c>
      <c r="H2990" t="s">
        <v>17</v>
      </c>
      <c r="I2990">
        <v>-1</v>
      </c>
    </row>
    <row r="2991" spans="5:9" ht="15.75" hidden="1" customHeight="1" x14ac:dyDescent="0.2">
      <c r="E2991" t="s">
        <v>369</v>
      </c>
      <c r="F2991">
        <v>14</v>
      </c>
      <c r="G2991" t="s">
        <v>295</v>
      </c>
      <c r="H2991" t="s">
        <v>17</v>
      </c>
      <c r="I2991">
        <v>0</v>
      </c>
    </row>
    <row r="2992" spans="5:9" ht="15.75" hidden="1" customHeight="1" x14ac:dyDescent="0.2">
      <c r="E2992" t="s">
        <v>370</v>
      </c>
      <c r="F2992">
        <v>15</v>
      </c>
      <c r="G2992" t="s">
        <v>295</v>
      </c>
      <c r="H2992" t="s">
        <v>17</v>
      </c>
      <c r="I2992">
        <v>1</v>
      </c>
    </row>
    <row r="2993" spans="5:9" ht="15.75" hidden="1" customHeight="1" x14ac:dyDescent="0.2">
      <c r="E2993" t="s">
        <v>371</v>
      </c>
      <c r="F2993">
        <v>16</v>
      </c>
      <c r="G2993" t="s">
        <v>295</v>
      </c>
      <c r="H2993" t="s">
        <v>17</v>
      </c>
      <c r="I2993">
        <v>1</v>
      </c>
    </row>
    <row r="2994" spans="5:9" ht="15.75" hidden="1" customHeight="1" x14ac:dyDescent="0.2">
      <c r="E2994" t="s">
        <v>372</v>
      </c>
      <c r="F2994">
        <v>17</v>
      </c>
      <c r="G2994" t="s">
        <v>295</v>
      </c>
      <c r="H2994" t="s">
        <v>17</v>
      </c>
      <c r="I2994">
        <v>2</v>
      </c>
    </row>
    <row r="2995" spans="5:9" ht="15.75" hidden="1" customHeight="1" x14ac:dyDescent="0.2">
      <c r="E2995" t="s">
        <v>373</v>
      </c>
      <c r="F2995">
        <v>18</v>
      </c>
      <c r="G2995" t="s">
        <v>295</v>
      </c>
      <c r="H2995" t="s">
        <v>17</v>
      </c>
      <c r="I2995">
        <v>0</v>
      </c>
    </row>
    <row r="2996" spans="5:9" ht="15.75" hidden="1" customHeight="1" x14ac:dyDescent="0.2">
      <c r="E2996" t="s">
        <v>374</v>
      </c>
      <c r="F2996">
        <v>19</v>
      </c>
      <c r="G2996" t="s">
        <v>295</v>
      </c>
      <c r="H2996" t="s">
        <v>17</v>
      </c>
      <c r="I2996">
        <v>0</v>
      </c>
    </row>
    <row r="2997" spans="5:9" ht="15.75" hidden="1" customHeight="1" x14ac:dyDescent="0.2">
      <c r="E2997" t="s">
        <v>375</v>
      </c>
      <c r="F2997">
        <v>20</v>
      </c>
      <c r="G2997" t="s">
        <v>295</v>
      </c>
      <c r="H2997" t="s">
        <v>17</v>
      </c>
      <c r="I2997">
        <v>0</v>
      </c>
    </row>
    <row r="2998" spans="5:9" ht="15.75" hidden="1" customHeight="1" x14ac:dyDescent="0.2">
      <c r="E2998" t="s">
        <v>376</v>
      </c>
      <c r="F2998">
        <v>21</v>
      </c>
      <c r="G2998" t="s">
        <v>295</v>
      </c>
      <c r="H2998" t="s">
        <v>17</v>
      </c>
      <c r="I2998">
        <v>0</v>
      </c>
    </row>
    <row r="2999" spans="5:9" ht="15.75" hidden="1" customHeight="1" x14ac:dyDescent="0.2">
      <c r="E2999" t="s">
        <v>377</v>
      </c>
      <c r="F2999">
        <v>22</v>
      </c>
      <c r="G2999" t="s">
        <v>295</v>
      </c>
      <c r="H2999" t="s">
        <v>17</v>
      </c>
      <c r="I2999">
        <v>0</v>
      </c>
    </row>
    <row r="3000" spans="5:9" ht="15.75" hidden="1" customHeight="1" x14ac:dyDescent="0.2">
      <c r="E3000" t="s">
        <v>378</v>
      </c>
      <c r="F3000">
        <v>23</v>
      </c>
      <c r="G3000" t="s">
        <v>295</v>
      </c>
      <c r="H3000" t="s">
        <v>17</v>
      </c>
      <c r="I3000">
        <v>0</v>
      </c>
    </row>
    <row r="3001" spans="5:9" ht="15.75" hidden="1" customHeight="1" x14ac:dyDescent="0.2">
      <c r="E3001" t="s">
        <v>379</v>
      </c>
      <c r="F3001">
        <v>24</v>
      </c>
      <c r="G3001" t="s">
        <v>295</v>
      </c>
      <c r="H3001" t="s">
        <v>17</v>
      </c>
      <c r="I3001">
        <v>0</v>
      </c>
    </row>
    <row r="3002" spans="5:9" ht="15.75" hidden="1" customHeight="1" x14ac:dyDescent="0.2">
      <c r="E3002" t="s">
        <v>380</v>
      </c>
      <c r="F3002">
        <v>25</v>
      </c>
      <c r="G3002" t="s">
        <v>295</v>
      </c>
      <c r="H3002" t="s">
        <v>17</v>
      </c>
      <c r="I3002">
        <v>0</v>
      </c>
    </row>
    <row r="3003" spans="5:9" ht="15.75" hidden="1" customHeight="1" x14ac:dyDescent="0.2">
      <c r="E3003" t="s">
        <v>381</v>
      </c>
      <c r="F3003">
        <v>26</v>
      </c>
      <c r="G3003" t="s">
        <v>295</v>
      </c>
      <c r="H3003" t="s">
        <v>17</v>
      </c>
      <c r="I3003">
        <v>0</v>
      </c>
    </row>
    <row r="3004" spans="5:9" ht="15.75" hidden="1" customHeight="1" x14ac:dyDescent="0.2">
      <c r="E3004" t="s">
        <v>382</v>
      </c>
      <c r="F3004">
        <v>27</v>
      </c>
      <c r="G3004" t="s">
        <v>295</v>
      </c>
      <c r="H3004" t="s">
        <v>17</v>
      </c>
      <c r="I3004">
        <v>0</v>
      </c>
    </row>
    <row r="3005" spans="5:9" ht="15.75" hidden="1" customHeight="1" x14ac:dyDescent="0.2">
      <c r="E3005" t="s">
        <v>383</v>
      </c>
      <c r="F3005">
        <v>28</v>
      </c>
      <c r="G3005" t="s">
        <v>295</v>
      </c>
      <c r="H3005" t="s">
        <v>17</v>
      </c>
      <c r="I3005">
        <v>0</v>
      </c>
    </row>
    <row r="3006" spans="5:9" ht="15.75" hidden="1" customHeight="1" x14ac:dyDescent="0.2">
      <c r="E3006" t="s">
        <v>385</v>
      </c>
      <c r="F3006">
        <v>29</v>
      </c>
      <c r="G3006" t="s">
        <v>295</v>
      </c>
      <c r="H3006" t="s">
        <v>17</v>
      </c>
      <c r="I3006">
        <v>1</v>
      </c>
    </row>
    <row r="3007" spans="5:9" ht="15.75" hidden="1" customHeight="1" x14ac:dyDescent="0.2">
      <c r="E3007" t="s">
        <v>387</v>
      </c>
      <c r="F3007">
        <v>30</v>
      </c>
      <c r="G3007" t="s">
        <v>295</v>
      </c>
      <c r="H3007" t="s">
        <v>17</v>
      </c>
      <c r="I3007">
        <v>1</v>
      </c>
    </row>
    <row r="3008" spans="5:9" ht="15.75" hidden="1" customHeight="1" x14ac:dyDescent="0.2">
      <c r="E3008" t="s">
        <v>388</v>
      </c>
      <c r="F3008">
        <v>31</v>
      </c>
      <c r="G3008" t="s">
        <v>295</v>
      </c>
      <c r="H3008" t="s">
        <v>17</v>
      </c>
      <c r="I3008">
        <v>1</v>
      </c>
    </row>
    <row r="3009" spans="5:9" ht="15.75" hidden="1" customHeight="1" x14ac:dyDescent="0.2">
      <c r="E3009" t="s">
        <v>389</v>
      </c>
      <c r="F3009">
        <v>32</v>
      </c>
      <c r="G3009" t="s">
        <v>295</v>
      </c>
      <c r="H3009" t="s">
        <v>17</v>
      </c>
      <c r="I3009">
        <v>1</v>
      </c>
    </row>
    <row r="3010" spans="5:9" ht="15.75" hidden="1" customHeight="1" x14ac:dyDescent="0.2">
      <c r="E3010" t="s">
        <v>390</v>
      </c>
      <c r="F3010">
        <v>33</v>
      </c>
      <c r="G3010" t="s">
        <v>295</v>
      </c>
      <c r="H3010" t="s">
        <v>17</v>
      </c>
      <c r="I3010">
        <v>1</v>
      </c>
    </row>
    <row r="3011" spans="5:9" ht="15.75" hidden="1" customHeight="1" x14ac:dyDescent="0.2">
      <c r="E3011" t="s">
        <v>391</v>
      </c>
      <c r="F3011">
        <v>34</v>
      </c>
      <c r="G3011" t="s">
        <v>295</v>
      </c>
      <c r="H3011" t="s">
        <v>17</v>
      </c>
      <c r="I3011">
        <v>1</v>
      </c>
    </row>
    <row r="3012" spans="5:9" ht="15.75" hidden="1" customHeight="1" x14ac:dyDescent="0.2">
      <c r="E3012" t="s">
        <v>393</v>
      </c>
      <c r="F3012">
        <v>35</v>
      </c>
      <c r="G3012" t="s">
        <v>295</v>
      </c>
      <c r="H3012" t="s">
        <v>17</v>
      </c>
      <c r="I3012">
        <v>0</v>
      </c>
    </row>
    <row r="3013" spans="5:9" ht="15.75" hidden="1" customHeight="1" x14ac:dyDescent="0.2">
      <c r="E3013" t="s">
        <v>394</v>
      </c>
      <c r="F3013">
        <v>36</v>
      </c>
      <c r="G3013" t="s">
        <v>295</v>
      </c>
      <c r="H3013" t="s">
        <v>17</v>
      </c>
      <c r="I3013">
        <v>4</v>
      </c>
    </row>
    <row r="3014" spans="5:9" ht="15.75" hidden="1" customHeight="1" x14ac:dyDescent="0.2">
      <c r="E3014" t="s">
        <v>395</v>
      </c>
      <c r="F3014">
        <v>37</v>
      </c>
      <c r="G3014" t="s">
        <v>295</v>
      </c>
      <c r="H3014" t="s">
        <v>17</v>
      </c>
      <c r="I3014">
        <v>1</v>
      </c>
    </row>
    <row r="3015" spans="5:9" ht="15.75" hidden="1" customHeight="1" x14ac:dyDescent="0.2">
      <c r="E3015" t="s">
        <v>396</v>
      </c>
      <c r="F3015">
        <v>38</v>
      </c>
      <c r="G3015" t="s">
        <v>295</v>
      </c>
      <c r="H3015" t="s">
        <v>17</v>
      </c>
      <c r="I3015">
        <v>1</v>
      </c>
    </row>
    <row r="3016" spans="5:9" ht="15.75" hidden="1" customHeight="1" x14ac:dyDescent="0.2">
      <c r="E3016" t="s">
        <v>397</v>
      </c>
      <c r="F3016">
        <v>39</v>
      </c>
      <c r="G3016" t="s">
        <v>295</v>
      </c>
      <c r="H3016" t="s">
        <v>17</v>
      </c>
      <c r="I3016">
        <v>2</v>
      </c>
    </row>
    <row r="3017" spans="5:9" ht="15.75" hidden="1" customHeight="1" x14ac:dyDescent="0.2">
      <c r="E3017" t="s">
        <v>398</v>
      </c>
      <c r="F3017">
        <v>40</v>
      </c>
      <c r="G3017" t="s">
        <v>295</v>
      </c>
      <c r="H3017" t="s">
        <v>17</v>
      </c>
      <c r="I3017">
        <v>0</v>
      </c>
    </row>
    <row r="3018" spans="5:9" ht="15.75" hidden="1" customHeight="1" x14ac:dyDescent="0.2">
      <c r="E3018" t="s">
        <v>399</v>
      </c>
      <c r="F3018">
        <v>41</v>
      </c>
      <c r="G3018" t="s">
        <v>295</v>
      </c>
      <c r="H3018" t="s">
        <v>17</v>
      </c>
      <c r="I3018">
        <v>0</v>
      </c>
    </row>
    <row r="3019" spans="5:9" ht="15.75" hidden="1" customHeight="1" x14ac:dyDescent="0.2">
      <c r="E3019" t="s">
        <v>400</v>
      </c>
      <c r="F3019">
        <v>42</v>
      </c>
      <c r="G3019" t="s">
        <v>295</v>
      </c>
      <c r="H3019" t="s">
        <v>17</v>
      </c>
      <c r="I3019">
        <v>0</v>
      </c>
    </row>
    <row r="3020" spans="5:9" ht="15.75" hidden="1" customHeight="1" x14ac:dyDescent="0.2">
      <c r="E3020" t="s">
        <v>401</v>
      </c>
      <c r="F3020">
        <v>43</v>
      </c>
      <c r="G3020" t="s">
        <v>295</v>
      </c>
      <c r="H3020" t="s">
        <v>17</v>
      </c>
      <c r="I3020">
        <v>0</v>
      </c>
    </row>
    <row r="3021" spans="5:9" ht="15.75" hidden="1" customHeight="1" x14ac:dyDescent="0.2">
      <c r="E3021" t="s">
        <v>402</v>
      </c>
      <c r="F3021">
        <v>44</v>
      </c>
      <c r="G3021" t="s">
        <v>295</v>
      </c>
      <c r="H3021" t="s">
        <v>17</v>
      </c>
      <c r="I3021">
        <v>0</v>
      </c>
    </row>
    <row r="3022" spans="5:9" ht="15.75" hidden="1" customHeight="1" x14ac:dyDescent="0.2">
      <c r="E3022" t="s">
        <v>403</v>
      </c>
      <c r="F3022">
        <v>45</v>
      </c>
      <c r="G3022" t="s">
        <v>295</v>
      </c>
      <c r="H3022" t="s">
        <v>17</v>
      </c>
      <c r="I3022">
        <v>0</v>
      </c>
    </row>
    <row r="3023" spans="5:9" ht="15.75" hidden="1" customHeight="1" x14ac:dyDescent="0.2">
      <c r="E3023" t="s">
        <v>404</v>
      </c>
      <c r="F3023">
        <v>46</v>
      </c>
      <c r="G3023" t="s">
        <v>295</v>
      </c>
      <c r="H3023" t="s">
        <v>17</v>
      </c>
      <c r="I3023">
        <v>0</v>
      </c>
    </row>
    <row r="3024" spans="5:9" ht="15.75" hidden="1" customHeight="1" x14ac:dyDescent="0.2">
      <c r="E3024" t="s">
        <v>405</v>
      </c>
      <c r="F3024">
        <v>47</v>
      </c>
      <c r="G3024" t="s">
        <v>295</v>
      </c>
      <c r="H3024" t="s">
        <v>17</v>
      </c>
      <c r="I3024">
        <v>0</v>
      </c>
    </row>
    <row r="3025" spans="5:9" ht="15.75" hidden="1" customHeight="1" x14ac:dyDescent="0.2">
      <c r="E3025" t="s">
        <v>406</v>
      </c>
      <c r="F3025">
        <v>48</v>
      </c>
      <c r="G3025" t="s">
        <v>295</v>
      </c>
      <c r="H3025" t="s">
        <v>17</v>
      </c>
      <c r="I3025">
        <v>0</v>
      </c>
    </row>
    <row r="3026" spans="5:9" ht="15.75" hidden="1" customHeight="1" x14ac:dyDescent="0.2">
      <c r="E3026" t="s">
        <v>376</v>
      </c>
      <c r="F3026">
        <v>49</v>
      </c>
      <c r="G3026" t="s">
        <v>295</v>
      </c>
      <c r="H3026" t="s">
        <v>17</v>
      </c>
      <c r="I3026">
        <v>0</v>
      </c>
    </row>
    <row r="3027" spans="5:9" ht="15.75" hidden="1" customHeight="1" x14ac:dyDescent="0.2">
      <c r="E3027" t="s">
        <v>407</v>
      </c>
      <c r="F3027">
        <v>50</v>
      </c>
      <c r="G3027" t="s">
        <v>295</v>
      </c>
      <c r="H3027" t="s">
        <v>17</v>
      </c>
      <c r="I3027">
        <v>1</v>
      </c>
    </row>
    <row r="3028" spans="5:9" ht="15.75" hidden="1" customHeight="1" x14ac:dyDescent="0.2">
      <c r="E3028" t="s">
        <v>408</v>
      </c>
      <c r="F3028">
        <v>51</v>
      </c>
      <c r="G3028" t="s">
        <v>295</v>
      </c>
      <c r="H3028" t="s">
        <v>17</v>
      </c>
      <c r="I3028">
        <v>2</v>
      </c>
    </row>
    <row r="3029" spans="5:9" ht="15.75" hidden="1" customHeight="1" x14ac:dyDescent="0.2">
      <c r="E3029" t="s">
        <v>409</v>
      </c>
      <c r="F3029">
        <v>52</v>
      </c>
      <c r="G3029" t="s">
        <v>295</v>
      </c>
      <c r="H3029" t="s">
        <v>17</v>
      </c>
      <c r="I3029">
        <v>0</v>
      </c>
    </row>
    <row r="3030" spans="5:9" ht="15.75" hidden="1" customHeight="1" x14ac:dyDescent="0.2">
      <c r="E3030" t="s">
        <v>410</v>
      </c>
      <c r="F3030">
        <v>53</v>
      </c>
      <c r="G3030" t="s">
        <v>295</v>
      </c>
      <c r="H3030" t="s">
        <v>17</v>
      </c>
      <c r="I3030">
        <v>0</v>
      </c>
    </row>
    <row r="3031" spans="5:9" ht="15.75" hidden="1" customHeight="1" x14ac:dyDescent="0.2">
      <c r="E3031" t="s">
        <v>411</v>
      </c>
      <c r="F3031">
        <v>54</v>
      </c>
      <c r="G3031" t="s">
        <v>295</v>
      </c>
      <c r="H3031" t="s">
        <v>17</v>
      </c>
      <c r="I3031">
        <v>2</v>
      </c>
    </row>
    <row r="3032" spans="5:9" ht="15.75" hidden="1" customHeight="1" x14ac:dyDescent="0.2">
      <c r="E3032" t="s">
        <v>412</v>
      </c>
      <c r="F3032">
        <v>55</v>
      </c>
      <c r="G3032" t="s">
        <v>295</v>
      </c>
      <c r="H3032" t="s">
        <v>17</v>
      </c>
      <c r="I3032">
        <v>0</v>
      </c>
    </row>
    <row r="3033" spans="5:9" ht="15.75" hidden="1" customHeight="1" x14ac:dyDescent="0.2">
      <c r="E3033" t="s">
        <v>413</v>
      </c>
      <c r="F3033">
        <v>56</v>
      </c>
      <c r="G3033" t="s">
        <v>295</v>
      </c>
      <c r="H3033" t="s">
        <v>17</v>
      </c>
      <c r="I3033">
        <v>0</v>
      </c>
    </row>
    <row r="3034" spans="5:9" ht="15.75" hidden="1" customHeight="1" x14ac:dyDescent="0.2">
      <c r="E3034" t="s">
        <v>414</v>
      </c>
      <c r="F3034">
        <v>57</v>
      </c>
      <c r="G3034" t="s">
        <v>295</v>
      </c>
      <c r="H3034" t="s">
        <v>17</v>
      </c>
      <c r="I3034">
        <v>2</v>
      </c>
    </row>
    <row r="3035" spans="5:9" ht="15.75" hidden="1" customHeight="1" x14ac:dyDescent="0.2">
      <c r="E3035" t="s">
        <v>415</v>
      </c>
      <c r="F3035">
        <v>58</v>
      </c>
      <c r="G3035" t="s">
        <v>295</v>
      </c>
      <c r="H3035" t="s">
        <v>17</v>
      </c>
      <c r="I3035">
        <v>2</v>
      </c>
    </row>
    <row r="3036" spans="5:9" ht="15.75" hidden="1" customHeight="1" x14ac:dyDescent="0.2">
      <c r="E3036" t="s">
        <v>416</v>
      </c>
      <c r="F3036">
        <v>59</v>
      </c>
      <c r="G3036" t="s">
        <v>295</v>
      </c>
      <c r="H3036" t="s">
        <v>17</v>
      </c>
      <c r="I3036">
        <v>4</v>
      </c>
    </row>
    <row r="3037" spans="5:9" ht="15.75" hidden="1" customHeight="1" x14ac:dyDescent="0.2">
      <c r="E3037" t="s">
        <v>417</v>
      </c>
      <c r="F3037">
        <v>60</v>
      </c>
      <c r="G3037" t="s">
        <v>295</v>
      </c>
      <c r="H3037" t="s">
        <v>17</v>
      </c>
      <c r="I3037">
        <v>4</v>
      </c>
    </row>
    <row r="3038" spans="5:9" ht="15.75" hidden="1" customHeight="1" x14ac:dyDescent="0.2">
      <c r="E3038" t="s">
        <v>418</v>
      </c>
      <c r="F3038">
        <v>61</v>
      </c>
      <c r="G3038" t="s">
        <v>295</v>
      </c>
      <c r="H3038" t="s">
        <v>17</v>
      </c>
      <c r="I3038">
        <v>0</v>
      </c>
    </row>
    <row r="3039" spans="5:9" ht="15.75" hidden="1" customHeight="1" x14ac:dyDescent="0.2">
      <c r="E3039" t="s">
        <v>419</v>
      </c>
      <c r="F3039">
        <v>62</v>
      </c>
      <c r="G3039" t="s">
        <v>295</v>
      </c>
      <c r="H3039" t="s">
        <v>17</v>
      </c>
      <c r="I3039">
        <v>0</v>
      </c>
    </row>
    <row r="3040" spans="5:9" ht="15.75" hidden="1" customHeight="1" x14ac:dyDescent="0.2">
      <c r="E3040" t="s">
        <v>421</v>
      </c>
      <c r="F3040">
        <v>63</v>
      </c>
      <c r="G3040" t="s">
        <v>295</v>
      </c>
      <c r="H3040" t="s">
        <v>17</v>
      </c>
      <c r="I3040">
        <v>0</v>
      </c>
    </row>
    <row r="3041" spans="5:9" ht="15.75" hidden="1" customHeight="1" x14ac:dyDescent="0.2">
      <c r="E3041" t="s">
        <v>422</v>
      </c>
      <c r="F3041">
        <v>64</v>
      </c>
      <c r="G3041" t="s">
        <v>295</v>
      </c>
      <c r="H3041" t="s">
        <v>17</v>
      </c>
      <c r="I3041">
        <v>0</v>
      </c>
    </row>
    <row r="3042" spans="5:9" ht="15.75" hidden="1" customHeight="1" x14ac:dyDescent="0.2">
      <c r="E3042" t="s">
        <v>423</v>
      </c>
      <c r="F3042">
        <v>65</v>
      </c>
      <c r="G3042" t="s">
        <v>295</v>
      </c>
      <c r="H3042" t="s">
        <v>17</v>
      </c>
      <c r="I3042">
        <v>0</v>
      </c>
    </row>
    <row r="3043" spans="5:9" ht="15.75" hidden="1" customHeight="1" x14ac:dyDescent="0.2">
      <c r="E3043" t="s">
        <v>424</v>
      </c>
      <c r="F3043">
        <v>66</v>
      </c>
      <c r="G3043" t="s">
        <v>295</v>
      </c>
      <c r="H3043" t="s">
        <v>17</v>
      </c>
      <c r="I3043">
        <v>0</v>
      </c>
    </row>
    <row r="3044" spans="5:9" ht="15.75" hidden="1" customHeight="1" x14ac:dyDescent="0.2">
      <c r="E3044" t="s">
        <v>425</v>
      </c>
      <c r="F3044">
        <v>67</v>
      </c>
      <c r="G3044" t="s">
        <v>295</v>
      </c>
      <c r="H3044" t="s">
        <v>17</v>
      </c>
      <c r="I3044">
        <v>0</v>
      </c>
    </row>
    <row r="3045" spans="5:9" ht="15.75" hidden="1" customHeight="1" x14ac:dyDescent="0.2">
      <c r="E3045" t="s">
        <v>426</v>
      </c>
      <c r="F3045">
        <v>68</v>
      </c>
      <c r="G3045" t="s">
        <v>295</v>
      </c>
      <c r="H3045" t="s">
        <v>17</v>
      </c>
      <c r="I3045">
        <v>0</v>
      </c>
    </row>
    <row r="3046" spans="5:9" ht="15.75" hidden="1" customHeight="1" x14ac:dyDescent="0.2">
      <c r="E3046" t="s">
        <v>427</v>
      </c>
      <c r="F3046">
        <v>69</v>
      </c>
      <c r="G3046" t="s">
        <v>295</v>
      </c>
      <c r="H3046" t="s">
        <v>17</v>
      </c>
      <c r="I3046">
        <v>0</v>
      </c>
    </row>
    <row r="3047" spans="5:9" ht="15.75" hidden="1" customHeight="1" x14ac:dyDescent="0.2">
      <c r="E3047" t="s">
        <v>428</v>
      </c>
      <c r="F3047">
        <v>70</v>
      </c>
      <c r="G3047" t="s">
        <v>295</v>
      </c>
      <c r="H3047" t="s">
        <v>17</v>
      </c>
      <c r="I3047">
        <v>0</v>
      </c>
    </row>
    <row r="3048" spans="5:9" ht="15.75" hidden="1" customHeight="1" x14ac:dyDescent="0.2">
      <c r="E3048" t="s">
        <v>429</v>
      </c>
      <c r="F3048">
        <v>71</v>
      </c>
      <c r="G3048" t="s">
        <v>295</v>
      </c>
      <c r="H3048" t="s">
        <v>17</v>
      </c>
      <c r="I3048">
        <v>0</v>
      </c>
    </row>
    <row r="3049" spans="5:9" ht="15.75" hidden="1" customHeight="1" x14ac:dyDescent="0.2">
      <c r="E3049" t="s">
        <v>430</v>
      </c>
      <c r="F3049">
        <v>72</v>
      </c>
      <c r="G3049" t="s">
        <v>295</v>
      </c>
      <c r="H3049" t="s">
        <v>17</v>
      </c>
      <c r="I3049">
        <v>0</v>
      </c>
    </row>
    <row r="3050" spans="5:9" ht="15.75" hidden="1" customHeight="1" x14ac:dyDescent="0.2">
      <c r="E3050" t="s">
        <v>370</v>
      </c>
      <c r="F3050">
        <v>73</v>
      </c>
      <c r="G3050" t="s">
        <v>295</v>
      </c>
      <c r="H3050" t="s">
        <v>17</v>
      </c>
      <c r="I3050" t="s">
        <v>366</v>
      </c>
    </row>
    <row r="3051" spans="5:9" ht="15.75" hidden="1" customHeight="1" x14ac:dyDescent="0.2">
      <c r="E3051" t="s">
        <v>373</v>
      </c>
      <c r="F3051">
        <v>74</v>
      </c>
      <c r="G3051" t="s">
        <v>295</v>
      </c>
      <c r="H3051" t="s">
        <v>17</v>
      </c>
      <c r="I3051" t="s">
        <v>366</v>
      </c>
    </row>
    <row r="3052" spans="5:9" ht="15.75" hidden="1" customHeight="1" x14ac:dyDescent="0.2">
      <c r="E3052" t="s">
        <v>374</v>
      </c>
      <c r="F3052">
        <v>75</v>
      </c>
      <c r="G3052" t="s">
        <v>295</v>
      </c>
      <c r="H3052" t="s">
        <v>17</v>
      </c>
      <c r="I3052" t="s">
        <v>366</v>
      </c>
    </row>
    <row r="3053" spans="5:9" ht="15.75" hidden="1" customHeight="1" x14ac:dyDescent="0.2">
      <c r="E3053" t="s">
        <v>375</v>
      </c>
      <c r="F3053">
        <v>76</v>
      </c>
      <c r="G3053" t="s">
        <v>295</v>
      </c>
      <c r="H3053" t="s">
        <v>17</v>
      </c>
      <c r="I3053" t="s">
        <v>366</v>
      </c>
    </row>
    <row r="3054" spans="5:9" ht="15.75" hidden="1" customHeight="1" x14ac:dyDescent="0.2">
      <c r="E3054" t="s">
        <v>376</v>
      </c>
      <c r="F3054">
        <v>77</v>
      </c>
      <c r="G3054" t="s">
        <v>295</v>
      </c>
      <c r="H3054" t="s">
        <v>17</v>
      </c>
      <c r="I3054" t="s">
        <v>366</v>
      </c>
    </row>
    <row r="3055" spans="5:9" ht="15.75" hidden="1" customHeight="1" x14ac:dyDescent="0.2">
      <c r="E3055" t="s">
        <v>382</v>
      </c>
      <c r="F3055">
        <v>78</v>
      </c>
      <c r="G3055" t="s">
        <v>295</v>
      </c>
      <c r="H3055" t="s">
        <v>17</v>
      </c>
      <c r="I3055" t="s">
        <v>366</v>
      </c>
    </row>
    <row r="3056" spans="5:9" ht="15.75" hidden="1" customHeight="1" x14ac:dyDescent="0.2">
      <c r="E3056" t="s">
        <v>383</v>
      </c>
      <c r="F3056">
        <v>79</v>
      </c>
      <c r="G3056" t="s">
        <v>295</v>
      </c>
      <c r="H3056" t="s">
        <v>17</v>
      </c>
      <c r="I3056" t="s">
        <v>366</v>
      </c>
    </row>
    <row r="3057" spans="5:9" ht="15.75" hidden="1" customHeight="1" x14ac:dyDescent="0.2">
      <c r="E3057" t="s">
        <v>395</v>
      </c>
      <c r="F3057">
        <v>80</v>
      </c>
      <c r="G3057" t="s">
        <v>295</v>
      </c>
      <c r="H3057" t="s">
        <v>17</v>
      </c>
      <c r="I3057" t="s">
        <v>366</v>
      </c>
    </row>
    <row r="3058" spans="5:9" ht="15.75" hidden="1" customHeight="1" x14ac:dyDescent="0.2">
      <c r="E3058" t="s">
        <v>397</v>
      </c>
      <c r="F3058">
        <v>81</v>
      </c>
      <c r="G3058" t="s">
        <v>295</v>
      </c>
      <c r="H3058" t="s">
        <v>17</v>
      </c>
      <c r="I3058" t="s">
        <v>366</v>
      </c>
    </row>
    <row r="3059" spans="5:9" ht="15.75" hidden="1" customHeight="1" x14ac:dyDescent="0.2">
      <c r="E3059" t="s">
        <v>399</v>
      </c>
      <c r="F3059">
        <v>82</v>
      </c>
      <c r="G3059" t="s">
        <v>295</v>
      </c>
      <c r="H3059" t="s">
        <v>17</v>
      </c>
      <c r="I3059" t="s">
        <v>366</v>
      </c>
    </row>
    <row r="3060" spans="5:9" ht="15.75" hidden="1" customHeight="1" x14ac:dyDescent="0.2">
      <c r="E3060" t="s">
        <v>400</v>
      </c>
      <c r="F3060">
        <v>83</v>
      </c>
      <c r="G3060" t="s">
        <v>295</v>
      </c>
      <c r="H3060" t="s">
        <v>17</v>
      </c>
      <c r="I3060" t="s">
        <v>366</v>
      </c>
    </row>
    <row r="3061" spans="5:9" ht="15.75" hidden="1" customHeight="1" x14ac:dyDescent="0.2">
      <c r="E3061" t="s">
        <v>401</v>
      </c>
      <c r="F3061">
        <v>84</v>
      </c>
      <c r="G3061" t="s">
        <v>295</v>
      </c>
      <c r="H3061" t="s">
        <v>17</v>
      </c>
      <c r="I3061" t="s">
        <v>366</v>
      </c>
    </row>
    <row r="3062" spans="5:9" ht="15.75" hidden="1" customHeight="1" x14ac:dyDescent="0.2">
      <c r="E3062" t="s">
        <v>402</v>
      </c>
      <c r="F3062">
        <v>85</v>
      </c>
      <c r="G3062" t="s">
        <v>295</v>
      </c>
      <c r="H3062" t="s">
        <v>17</v>
      </c>
      <c r="I3062" t="s">
        <v>366</v>
      </c>
    </row>
    <row r="3063" spans="5:9" ht="15.75" hidden="1" customHeight="1" x14ac:dyDescent="0.2">
      <c r="E3063" t="s">
        <v>403</v>
      </c>
      <c r="F3063">
        <v>86</v>
      </c>
      <c r="G3063" t="s">
        <v>295</v>
      </c>
      <c r="H3063" t="s">
        <v>17</v>
      </c>
      <c r="I3063" t="s">
        <v>366</v>
      </c>
    </row>
    <row r="3064" spans="5:9" ht="15.75" hidden="1" customHeight="1" x14ac:dyDescent="0.2">
      <c r="E3064" t="s">
        <v>404</v>
      </c>
      <c r="F3064">
        <v>87</v>
      </c>
      <c r="G3064" t="s">
        <v>295</v>
      </c>
      <c r="H3064" t="s">
        <v>17</v>
      </c>
      <c r="I3064" t="s">
        <v>366</v>
      </c>
    </row>
    <row r="3065" spans="5:9" ht="15.75" hidden="1" customHeight="1" x14ac:dyDescent="0.2">
      <c r="E3065" t="s">
        <v>405</v>
      </c>
      <c r="F3065">
        <v>88</v>
      </c>
      <c r="G3065" t="s">
        <v>295</v>
      </c>
      <c r="H3065" t="s">
        <v>17</v>
      </c>
      <c r="I3065" t="s">
        <v>366</v>
      </c>
    </row>
    <row r="3066" spans="5:9" ht="15.75" hidden="1" customHeight="1" x14ac:dyDescent="0.2">
      <c r="E3066" t="s">
        <v>406</v>
      </c>
      <c r="F3066">
        <v>89</v>
      </c>
      <c r="G3066" t="s">
        <v>295</v>
      </c>
      <c r="H3066" t="s">
        <v>17</v>
      </c>
      <c r="I3066" t="s">
        <v>366</v>
      </c>
    </row>
    <row r="3067" spans="5:9" ht="15.75" hidden="1" customHeight="1" x14ac:dyDescent="0.2">
      <c r="E3067" t="s">
        <v>376</v>
      </c>
      <c r="F3067">
        <v>90</v>
      </c>
      <c r="G3067" t="s">
        <v>295</v>
      </c>
      <c r="H3067" t="s">
        <v>17</v>
      </c>
      <c r="I3067" t="s">
        <v>366</v>
      </c>
    </row>
    <row r="3068" spans="5:9" ht="15.75" hidden="1" customHeight="1" x14ac:dyDescent="0.2">
      <c r="E3068" t="s">
        <v>409</v>
      </c>
      <c r="F3068">
        <v>91</v>
      </c>
      <c r="G3068" t="s">
        <v>295</v>
      </c>
      <c r="H3068" t="s">
        <v>17</v>
      </c>
      <c r="I3068" t="s">
        <v>366</v>
      </c>
    </row>
    <row r="3069" spans="5:9" ht="15.75" hidden="1" customHeight="1" x14ac:dyDescent="0.2">
      <c r="E3069" t="s">
        <v>410</v>
      </c>
      <c r="F3069">
        <v>92</v>
      </c>
      <c r="G3069" t="s">
        <v>295</v>
      </c>
      <c r="H3069" t="s">
        <v>17</v>
      </c>
      <c r="I3069" t="s">
        <v>366</v>
      </c>
    </row>
    <row r="3070" spans="5:9" ht="15.75" hidden="1" customHeight="1" x14ac:dyDescent="0.2">
      <c r="E3070" t="s">
        <v>413</v>
      </c>
      <c r="F3070">
        <v>93</v>
      </c>
      <c r="G3070" t="s">
        <v>295</v>
      </c>
      <c r="H3070" t="s">
        <v>17</v>
      </c>
      <c r="I3070" t="s">
        <v>366</v>
      </c>
    </row>
    <row r="3071" spans="5:9" ht="15.75" hidden="1" customHeight="1" x14ac:dyDescent="0.2">
      <c r="E3071" t="s">
        <v>414</v>
      </c>
      <c r="F3071">
        <v>94</v>
      </c>
      <c r="G3071" t="s">
        <v>295</v>
      </c>
      <c r="H3071" t="s">
        <v>17</v>
      </c>
      <c r="I3071" t="s">
        <v>366</v>
      </c>
    </row>
    <row r="3072" spans="5:9" ht="15.75" hidden="1" customHeight="1" x14ac:dyDescent="0.2">
      <c r="E3072" t="s">
        <v>417</v>
      </c>
      <c r="F3072">
        <v>95</v>
      </c>
      <c r="G3072" t="s">
        <v>295</v>
      </c>
      <c r="H3072" t="s">
        <v>17</v>
      </c>
      <c r="I3072" t="s">
        <v>366</v>
      </c>
    </row>
    <row r="3073" spans="5:9" ht="15.75" hidden="1" customHeight="1" x14ac:dyDescent="0.2">
      <c r="E3073" t="s">
        <v>440</v>
      </c>
      <c r="F3073">
        <v>96</v>
      </c>
      <c r="G3073" t="s">
        <v>295</v>
      </c>
      <c r="H3073" t="s">
        <v>17</v>
      </c>
      <c r="I3073" t="s">
        <v>366</v>
      </c>
    </row>
    <row r="3074" spans="5:9" ht="15.75" hidden="1" customHeight="1" x14ac:dyDescent="0.2">
      <c r="E3074" t="s">
        <v>441</v>
      </c>
      <c r="F3074">
        <v>97</v>
      </c>
      <c r="G3074" t="s">
        <v>295</v>
      </c>
      <c r="H3074" t="s">
        <v>17</v>
      </c>
      <c r="I3074" t="s">
        <v>366</v>
      </c>
    </row>
    <row r="3075" spans="5:9" ht="15.75" hidden="1" customHeight="1" x14ac:dyDescent="0.2">
      <c r="E3075" t="s">
        <v>442</v>
      </c>
      <c r="F3075">
        <v>98</v>
      </c>
      <c r="G3075" t="s">
        <v>295</v>
      </c>
      <c r="H3075" t="s">
        <v>17</v>
      </c>
      <c r="I3075" t="s">
        <v>366</v>
      </c>
    </row>
    <row r="3076" spans="5:9" ht="15.75" hidden="1" customHeight="1" x14ac:dyDescent="0.2">
      <c r="E3076" t="s">
        <v>443</v>
      </c>
      <c r="F3076">
        <v>99</v>
      </c>
      <c r="G3076" t="s">
        <v>295</v>
      </c>
      <c r="H3076" t="s">
        <v>17</v>
      </c>
      <c r="I3076" t="s">
        <v>366</v>
      </c>
    </row>
    <row r="3077" spans="5:9" ht="15.75" hidden="1" customHeight="1" x14ac:dyDescent="0.2">
      <c r="E3077" t="s">
        <v>444</v>
      </c>
      <c r="F3077">
        <v>100</v>
      </c>
      <c r="G3077" t="s">
        <v>295</v>
      </c>
      <c r="H3077" t="s">
        <v>17</v>
      </c>
      <c r="I3077">
        <v>1</v>
      </c>
    </row>
    <row r="3078" spans="5:9" ht="15.75" hidden="1" customHeight="1" x14ac:dyDescent="0.2">
      <c r="E3078" t="s">
        <v>362</v>
      </c>
      <c r="F3078">
        <v>101</v>
      </c>
      <c r="G3078" t="s">
        <v>295</v>
      </c>
      <c r="H3078" t="s">
        <v>17</v>
      </c>
      <c r="I3078" t="s">
        <v>366</v>
      </c>
    </row>
    <row r="3079" spans="5:9" ht="15.75" hidden="1" customHeight="1" x14ac:dyDescent="0.2">
      <c r="E3079" t="s">
        <v>446</v>
      </c>
      <c r="F3079">
        <v>102</v>
      </c>
      <c r="G3079" t="s">
        <v>295</v>
      </c>
      <c r="H3079" t="s">
        <v>17</v>
      </c>
      <c r="I3079" t="s">
        <v>366</v>
      </c>
    </row>
    <row r="3080" spans="5:9" ht="15.75" hidden="1" customHeight="1" x14ac:dyDescent="0.2">
      <c r="E3080" t="s">
        <v>447</v>
      </c>
      <c r="F3080">
        <v>103</v>
      </c>
      <c r="G3080" t="s">
        <v>295</v>
      </c>
      <c r="H3080" t="s">
        <v>17</v>
      </c>
      <c r="I3080" t="s">
        <v>366</v>
      </c>
    </row>
    <row r="3081" spans="5:9" ht="15.75" hidden="1" customHeight="1" x14ac:dyDescent="0.2">
      <c r="E3081" t="s">
        <v>448</v>
      </c>
      <c r="F3081">
        <v>104</v>
      </c>
      <c r="G3081" t="s">
        <v>295</v>
      </c>
      <c r="H3081" t="s">
        <v>17</v>
      </c>
      <c r="I3081" t="s">
        <v>366</v>
      </c>
    </row>
    <row r="3082" spans="5:9" ht="15.75" hidden="1" customHeight="1" x14ac:dyDescent="0.2">
      <c r="E3082" t="s">
        <v>449</v>
      </c>
      <c r="F3082">
        <v>105</v>
      </c>
      <c r="G3082" t="s">
        <v>295</v>
      </c>
      <c r="H3082" t="s">
        <v>17</v>
      </c>
      <c r="I3082" t="s">
        <v>366</v>
      </c>
    </row>
    <row r="3083" spans="5:9" ht="15.75" hidden="1" customHeight="1" x14ac:dyDescent="0.2">
      <c r="E3083" t="s">
        <v>450</v>
      </c>
      <c r="F3083">
        <v>106</v>
      </c>
      <c r="G3083" t="s">
        <v>295</v>
      </c>
      <c r="H3083" t="s">
        <v>17</v>
      </c>
      <c r="I3083" t="s">
        <v>366</v>
      </c>
    </row>
    <row r="3084" spans="5:9" ht="15.75" hidden="1" customHeight="1" x14ac:dyDescent="0.2">
      <c r="E3084" t="s">
        <v>451</v>
      </c>
      <c r="F3084">
        <v>107</v>
      </c>
      <c r="G3084" t="s">
        <v>295</v>
      </c>
      <c r="H3084" t="s">
        <v>17</v>
      </c>
      <c r="I3084" t="s">
        <v>366</v>
      </c>
    </row>
    <row r="3085" spans="5:9" ht="15.75" hidden="1" customHeight="1" x14ac:dyDescent="0.2">
      <c r="E3085" t="s">
        <v>452</v>
      </c>
      <c r="F3085">
        <v>108</v>
      </c>
      <c r="G3085" t="s">
        <v>295</v>
      </c>
      <c r="H3085" t="s">
        <v>17</v>
      </c>
      <c r="I3085" t="s">
        <v>366</v>
      </c>
    </row>
    <row r="3086" spans="5:9" ht="15.75" hidden="1" customHeight="1" x14ac:dyDescent="0.2">
      <c r="E3086" t="s">
        <v>453</v>
      </c>
      <c r="F3086">
        <v>109</v>
      </c>
      <c r="G3086" t="s">
        <v>295</v>
      </c>
      <c r="H3086" t="s">
        <v>17</v>
      </c>
      <c r="I3086" t="s">
        <v>366</v>
      </c>
    </row>
    <row r="3087" spans="5:9" ht="15.75" hidden="1" customHeight="1" x14ac:dyDescent="0.2">
      <c r="E3087" t="s">
        <v>454</v>
      </c>
      <c r="F3087">
        <v>110</v>
      </c>
      <c r="G3087" t="s">
        <v>295</v>
      </c>
      <c r="H3087" t="s">
        <v>17</v>
      </c>
      <c r="I3087" t="s">
        <v>366</v>
      </c>
    </row>
    <row r="3088" spans="5:9" ht="15.75" hidden="1" customHeight="1" x14ac:dyDescent="0.2">
      <c r="E3088" t="s">
        <v>455</v>
      </c>
      <c r="F3088">
        <v>111</v>
      </c>
      <c r="G3088" t="s">
        <v>295</v>
      </c>
      <c r="H3088" t="s">
        <v>17</v>
      </c>
      <c r="I3088" t="s">
        <v>366</v>
      </c>
    </row>
    <row r="3089" spans="5:9" ht="15.75" hidden="1" customHeight="1" x14ac:dyDescent="0.2">
      <c r="E3089" t="s">
        <v>456</v>
      </c>
      <c r="F3089">
        <v>112</v>
      </c>
      <c r="G3089" t="s">
        <v>295</v>
      </c>
      <c r="H3089" t="s">
        <v>17</v>
      </c>
      <c r="I3089" t="s">
        <v>366</v>
      </c>
    </row>
    <row r="3090" spans="5:9" ht="15.75" hidden="1" customHeight="1" x14ac:dyDescent="0.2">
      <c r="E3090" t="s">
        <v>457</v>
      </c>
      <c r="F3090">
        <v>113</v>
      </c>
      <c r="G3090" t="s">
        <v>295</v>
      </c>
      <c r="H3090" t="s">
        <v>17</v>
      </c>
      <c r="I3090" t="s">
        <v>366</v>
      </c>
    </row>
    <row r="3091" spans="5:9" ht="15.75" hidden="1" customHeight="1" x14ac:dyDescent="0.2">
      <c r="E3091" t="s">
        <v>459</v>
      </c>
      <c r="F3091">
        <v>114</v>
      </c>
      <c r="G3091" t="s">
        <v>295</v>
      </c>
      <c r="H3091" t="s">
        <v>17</v>
      </c>
      <c r="I3091" t="s">
        <v>366</v>
      </c>
    </row>
    <row r="3092" spans="5:9" ht="15.75" hidden="1" customHeight="1" x14ac:dyDescent="0.2">
      <c r="E3092" t="s">
        <v>460</v>
      </c>
      <c r="F3092">
        <v>115</v>
      </c>
      <c r="G3092" t="s">
        <v>295</v>
      </c>
      <c r="H3092" t="s">
        <v>17</v>
      </c>
      <c r="I3092" t="s">
        <v>366</v>
      </c>
    </row>
    <row r="3093" spans="5:9" ht="15.75" hidden="1" customHeight="1" x14ac:dyDescent="0.2">
      <c r="E3093" t="s">
        <v>461</v>
      </c>
      <c r="F3093">
        <v>116</v>
      </c>
      <c r="G3093" t="s">
        <v>295</v>
      </c>
      <c r="H3093" t="s">
        <v>17</v>
      </c>
      <c r="I3093" t="s">
        <v>366</v>
      </c>
    </row>
    <row r="3094" spans="5:9" ht="15.75" hidden="1" customHeight="1" x14ac:dyDescent="0.2">
      <c r="E3094" t="s">
        <v>462</v>
      </c>
      <c r="F3094">
        <v>117</v>
      </c>
      <c r="G3094" t="s">
        <v>295</v>
      </c>
      <c r="H3094" t="s">
        <v>17</v>
      </c>
      <c r="I3094" t="s">
        <v>366</v>
      </c>
    </row>
    <row r="3095" spans="5:9" ht="15.75" hidden="1" customHeight="1" x14ac:dyDescent="0.2">
      <c r="E3095" t="s">
        <v>463</v>
      </c>
      <c r="F3095">
        <v>118</v>
      </c>
      <c r="G3095" t="s">
        <v>295</v>
      </c>
      <c r="H3095" t="s">
        <v>17</v>
      </c>
      <c r="I3095" t="s">
        <v>366</v>
      </c>
    </row>
    <row r="3096" spans="5:9" ht="15.75" hidden="1" customHeight="1" x14ac:dyDescent="0.2">
      <c r="E3096" t="s">
        <v>464</v>
      </c>
      <c r="F3096">
        <v>119</v>
      </c>
      <c r="G3096" t="s">
        <v>295</v>
      </c>
      <c r="H3096" t="s">
        <v>17</v>
      </c>
      <c r="I3096" t="s">
        <v>366</v>
      </c>
    </row>
    <row r="3097" spans="5:9" ht="15.75" hidden="1" customHeight="1" x14ac:dyDescent="0.2">
      <c r="E3097" t="s">
        <v>465</v>
      </c>
      <c r="F3097">
        <v>120</v>
      </c>
      <c r="G3097" t="s">
        <v>295</v>
      </c>
      <c r="H3097" t="s">
        <v>17</v>
      </c>
      <c r="I3097" t="s">
        <v>366</v>
      </c>
    </row>
    <row r="3098" spans="5:9" ht="15.75" hidden="1" customHeight="1" x14ac:dyDescent="0.2">
      <c r="E3098" t="s">
        <v>466</v>
      </c>
      <c r="F3098">
        <v>121</v>
      </c>
      <c r="G3098" t="s">
        <v>295</v>
      </c>
      <c r="H3098" t="s">
        <v>17</v>
      </c>
      <c r="I3098" t="s">
        <v>366</v>
      </c>
    </row>
    <row r="3099" spans="5:9" ht="15.75" hidden="1" customHeight="1" x14ac:dyDescent="0.2">
      <c r="E3099" t="s">
        <v>467</v>
      </c>
      <c r="F3099">
        <v>122</v>
      </c>
      <c r="G3099" t="s">
        <v>295</v>
      </c>
      <c r="H3099" t="s">
        <v>17</v>
      </c>
      <c r="I3099" t="s">
        <v>366</v>
      </c>
    </row>
    <row r="3100" spans="5:9" ht="15.75" hidden="1" customHeight="1" x14ac:dyDescent="0.2">
      <c r="E3100" t="s">
        <v>468</v>
      </c>
      <c r="F3100">
        <v>123</v>
      </c>
      <c r="G3100" t="s">
        <v>295</v>
      </c>
      <c r="H3100" t="s">
        <v>17</v>
      </c>
      <c r="I3100" t="s">
        <v>366</v>
      </c>
    </row>
    <row r="3101" spans="5:9" ht="15.75" hidden="1" customHeight="1" x14ac:dyDescent="0.2">
      <c r="E3101" t="s">
        <v>469</v>
      </c>
      <c r="F3101">
        <v>124</v>
      </c>
      <c r="G3101" t="s">
        <v>295</v>
      </c>
      <c r="H3101" t="s">
        <v>17</v>
      </c>
      <c r="I3101" t="s">
        <v>366</v>
      </c>
    </row>
    <row r="3102" spans="5:9" ht="15.75" hidden="1" customHeight="1" x14ac:dyDescent="0.2">
      <c r="E3102" t="s">
        <v>470</v>
      </c>
      <c r="F3102">
        <v>125</v>
      </c>
      <c r="G3102" t="s">
        <v>295</v>
      </c>
      <c r="H3102" t="s">
        <v>17</v>
      </c>
      <c r="I3102" t="s">
        <v>366</v>
      </c>
    </row>
    <row r="3103" spans="5:9" ht="15.75" hidden="1" customHeight="1" x14ac:dyDescent="0.2">
      <c r="E3103" t="s">
        <v>471</v>
      </c>
      <c r="F3103">
        <v>126</v>
      </c>
      <c r="G3103" t="s">
        <v>295</v>
      </c>
      <c r="H3103" t="s">
        <v>17</v>
      </c>
      <c r="I3103" t="s">
        <v>366</v>
      </c>
    </row>
    <row r="3104" spans="5:9" ht="15.75" hidden="1" customHeight="1" x14ac:dyDescent="0.2">
      <c r="E3104" t="s">
        <v>472</v>
      </c>
      <c r="F3104">
        <v>127</v>
      </c>
      <c r="G3104" t="s">
        <v>295</v>
      </c>
      <c r="H3104" t="s">
        <v>17</v>
      </c>
      <c r="I3104" t="s">
        <v>366</v>
      </c>
    </row>
    <row r="3105" spans="5:9" ht="15.75" hidden="1" customHeight="1" x14ac:dyDescent="0.2">
      <c r="E3105" t="s">
        <v>473</v>
      </c>
      <c r="F3105">
        <v>128</v>
      </c>
      <c r="G3105" t="s">
        <v>295</v>
      </c>
      <c r="H3105" t="s">
        <v>17</v>
      </c>
      <c r="I3105" t="s">
        <v>366</v>
      </c>
    </row>
    <row r="3106" spans="5:9" ht="15.75" hidden="1" customHeight="1" x14ac:dyDescent="0.2">
      <c r="E3106" t="s">
        <v>474</v>
      </c>
      <c r="F3106">
        <v>129</v>
      </c>
      <c r="G3106" t="s">
        <v>295</v>
      </c>
      <c r="H3106" t="s">
        <v>17</v>
      </c>
      <c r="I3106" t="s">
        <v>366</v>
      </c>
    </row>
    <row r="3107" spans="5:9" ht="15.75" hidden="1" customHeight="1" x14ac:dyDescent="0.2">
      <c r="E3107" t="s">
        <v>476</v>
      </c>
      <c r="F3107">
        <v>130</v>
      </c>
      <c r="G3107" t="s">
        <v>295</v>
      </c>
      <c r="H3107" t="s">
        <v>17</v>
      </c>
      <c r="I3107">
        <v>0</v>
      </c>
    </row>
    <row r="3108" spans="5:9" ht="15.75" hidden="1" customHeight="1" x14ac:dyDescent="0.2">
      <c r="E3108" t="s">
        <v>478</v>
      </c>
      <c r="F3108">
        <v>131</v>
      </c>
      <c r="G3108" t="s">
        <v>295</v>
      </c>
      <c r="H3108" t="s">
        <v>17</v>
      </c>
      <c r="I3108">
        <v>0</v>
      </c>
    </row>
    <row r="3109" spans="5:9" ht="15.75" hidden="1" customHeight="1" x14ac:dyDescent="0.2">
      <c r="E3109" t="s">
        <v>440</v>
      </c>
      <c r="F3109">
        <v>132</v>
      </c>
      <c r="G3109" t="s">
        <v>295</v>
      </c>
      <c r="H3109" t="s">
        <v>17</v>
      </c>
      <c r="I3109">
        <v>0</v>
      </c>
    </row>
    <row r="3110" spans="5:9" ht="15.75" hidden="1" customHeight="1" x14ac:dyDescent="0.2">
      <c r="E3110" t="s">
        <v>441</v>
      </c>
      <c r="F3110">
        <v>133</v>
      </c>
      <c r="G3110" t="s">
        <v>295</v>
      </c>
      <c r="H3110" t="s">
        <v>17</v>
      </c>
      <c r="I3110">
        <v>0</v>
      </c>
    </row>
    <row r="3111" spans="5:9" ht="15.75" hidden="1" customHeight="1" x14ac:dyDescent="0.2">
      <c r="E3111" t="s">
        <v>442</v>
      </c>
      <c r="F3111">
        <v>134</v>
      </c>
      <c r="G3111" t="s">
        <v>295</v>
      </c>
      <c r="H3111" t="s">
        <v>17</v>
      </c>
      <c r="I3111">
        <v>0</v>
      </c>
    </row>
    <row r="3112" spans="5:9" ht="15.75" hidden="1" customHeight="1" x14ac:dyDescent="0.2">
      <c r="E3112" t="s">
        <v>443</v>
      </c>
      <c r="F3112">
        <v>135</v>
      </c>
      <c r="G3112" t="s">
        <v>295</v>
      </c>
      <c r="H3112" t="s">
        <v>17</v>
      </c>
      <c r="I3112">
        <v>5</v>
      </c>
    </row>
    <row r="3113" spans="5:9" ht="15.75" hidden="1" customHeight="1" x14ac:dyDescent="0.2">
      <c r="E3113" t="s">
        <v>362</v>
      </c>
      <c r="F3113">
        <v>136</v>
      </c>
      <c r="G3113" t="s">
        <v>295</v>
      </c>
      <c r="H3113" t="s">
        <v>17</v>
      </c>
      <c r="I3113">
        <v>0</v>
      </c>
    </row>
    <row r="3114" spans="5:9" ht="15.75" hidden="1" customHeight="1" x14ac:dyDescent="0.2">
      <c r="E3114" t="s">
        <v>482</v>
      </c>
      <c r="F3114">
        <v>137</v>
      </c>
      <c r="G3114" t="s">
        <v>295</v>
      </c>
      <c r="H3114" t="s">
        <v>17</v>
      </c>
      <c r="I3114">
        <v>1</v>
      </c>
    </row>
    <row r="3115" spans="5:9" ht="15.75" hidden="1" customHeight="1" x14ac:dyDescent="0.2">
      <c r="E3115" t="s">
        <v>483</v>
      </c>
      <c r="F3115">
        <v>138</v>
      </c>
      <c r="G3115" t="s">
        <v>295</v>
      </c>
      <c r="H3115" t="s">
        <v>17</v>
      </c>
      <c r="I3115">
        <v>1</v>
      </c>
    </row>
    <row r="3116" spans="5:9" ht="15.75" hidden="1" customHeight="1" x14ac:dyDescent="0.2">
      <c r="E3116" t="s">
        <v>484</v>
      </c>
      <c r="F3116">
        <v>139</v>
      </c>
      <c r="G3116" t="s">
        <v>295</v>
      </c>
      <c r="H3116" t="s">
        <v>17</v>
      </c>
      <c r="I3116">
        <v>3</v>
      </c>
    </row>
    <row r="3117" spans="5:9" ht="15.75" hidden="1" customHeight="1" x14ac:dyDescent="0.2">
      <c r="E3117" t="s">
        <v>486</v>
      </c>
      <c r="F3117">
        <v>140</v>
      </c>
      <c r="G3117" t="s">
        <v>295</v>
      </c>
      <c r="H3117" t="s">
        <v>17</v>
      </c>
      <c r="I3117">
        <v>0</v>
      </c>
    </row>
    <row r="3118" spans="5:9" ht="15.75" hidden="1" customHeight="1" x14ac:dyDescent="0.2">
      <c r="E3118" t="s">
        <v>487</v>
      </c>
      <c r="F3118">
        <v>141</v>
      </c>
      <c r="G3118" t="s">
        <v>295</v>
      </c>
      <c r="H3118" t="s">
        <v>17</v>
      </c>
      <c r="I3118">
        <v>0</v>
      </c>
    </row>
    <row r="3119" spans="5:9" ht="15.75" hidden="1" customHeight="1" x14ac:dyDescent="0.2">
      <c r="E3119" t="s">
        <v>446</v>
      </c>
      <c r="F3119">
        <v>142</v>
      </c>
      <c r="G3119" t="s">
        <v>295</v>
      </c>
      <c r="H3119" t="s">
        <v>17</v>
      </c>
      <c r="I3119">
        <v>2</v>
      </c>
    </row>
    <row r="3120" spans="5:9" ht="15.75" hidden="1" customHeight="1" x14ac:dyDescent="0.2">
      <c r="E3120" t="s">
        <v>447</v>
      </c>
      <c r="F3120">
        <v>143</v>
      </c>
      <c r="G3120" t="s">
        <v>295</v>
      </c>
      <c r="H3120" t="s">
        <v>17</v>
      </c>
      <c r="I3120">
        <v>1</v>
      </c>
    </row>
    <row r="3121" spans="5:9" ht="15.75" hidden="1" customHeight="1" x14ac:dyDescent="0.2">
      <c r="E3121" t="s">
        <v>448</v>
      </c>
      <c r="F3121">
        <v>144</v>
      </c>
      <c r="G3121" t="s">
        <v>295</v>
      </c>
      <c r="H3121" t="s">
        <v>17</v>
      </c>
      <c r="I3121">
        <v>0</v>
      </c>
    </row>
    <row r="3122" spans="5:9" ht="15.75" hidden="1" customHeight="1" x14ac:dyDescent="0.2">
      <c r="E3122" t="s">
        <v>449</v>
      </c>
      <c r="F3122">
        <v>145</v>
      </c>
      <c r="G3122" t="s">
        <v>295</v>
      </c>
      <c r="H3122" t="s">
        <v>17</v>
      </c>
      <c r="I3122">
        <v>0</v>
      </c>
    </row>
    <row r="3123" spans="5:9" ht="15.75" hidden="1" customHeight="1" x14ac:dyDescent="0.2">
      <c r="E3123" t="s">
        <v>450</v>
      </c>
      <c r="F3123">
        <v>146</v>
      </c>
      <c r="G3123" t="s">
        <v>295</v>
      </c>
      <c r="H3123" t="s">
        <v>17</v>
      </c>
      <c r="I3123">
        <v>0</v>
      </c>
    </row>
    <row r="3124" spans="5:9" ht="15.75" hidden="1" customHeight="1" x14ac:dyDescent="0.2">
      <c r="E3124" t="s">
        <v>451</v>
      </c>
      <c r="F3124">
        <v>147</v>
      </c>
      <c r="G3124" t="s">
        <v>295</v>
      </c>
      <c r="H3124" t="s">
        <v>17</v>
      </c>
      <c r="I3124">
        <v>0</v>
      </c>
    </row>
    <row r="3125" spans="5:9" ht="15.75" hidden="1" customHeight="1" x14ac:dyDescent="0.2">
      <c r="E3125" t="s">
        <v>488</v>
      </c>
      <c r="F3125">
        <v>148</v>
      </c>
      <c r="G3125" t="s">
        <v>295</v>
      </c>
      <c r="H3125" t="s">
        <v>17</v>
      </c>
      <c r="I3125">
        <v>0</v>
      </c>
    </row>
    <row r="3126" spans="5:9" ht="15.75" hidden="1" customHeight="1" x14ac:dyDescent="0.2">
      <c r="E3126" t="s">
        <v>452</v>
      </c>
      <c r="F3126">
        <v>149</v>
      </c>
      <c r="G3126" t="s">
        <v>295</v>
      </c>
      <c r="H3126" t="s">
        <v>17</v>
      </c>
      <c r="I3126">
        <v>0</v>
      </c>
    </row>
    <row r="3127" spans="5:9" ht="15.75" hidden="1" customHeight="1" x14ac:dyDescent="0.2">
      <c r="E3127" t="s">
        <v>453</v>
      </c>
      <c r="F3127">
        <v>150</v>
      </c>
      <c r="G3127" t="s">
        <v>295</v>
      </c>
      <c r="H3127" t="s">
        <v>17</v>
      </c>
      <c r="I3127">
        <v>0</v>
      </c>
    </row>
    <row r="3128" spans="5:9" ht="15.75" hidden="1" customHeight="1" x14ac:dyDescent="0.2">
      <c r="E3128" t="s">
        <v>454</v>
      </c>
      <c r="F3128">
        <v>151</v>
      </c>
      <c r="G3128" t="s">
        <v>295</v>
      </c>
      <c r="H3128" t="s">
        <v>17</v>
      </c>
      <c r="I3128">
        <v>0</v>
      </c>
    </row>
    <row r="3129" spans="5:9" ht="15.75" hidden="1" customHeight="1" x14ac:dyDescent="0.2">
      <c r="E3129" t="s">
        <v>455</v>
      </c>
      <c r="F3129">
        <v>152</v>
      </c>
      <c r="G3129" t="s">
        <v>295</v>
      </c>
      <c r="H3129" t="s">
        <v>17</v>
      </c>
      <c r="I3129">
        <v>0</v>
      </c>
    </row>
    <row r="3130" spans="5:9" ht="15.75" hidden="1" customHeight="1" x14ac:dyDescent="0.2">
      <c r="E3130" t="s">
        <v>456</v>
      </c>
      <c r="F3130">
        <v>153</v>
      </c>
      <c r="G3130" t="s">
        <v>295</v>
      </c>
      <c r="H3130" t="s">
        <v>17</v>
      </c>
      <c r="I3130">
        <v>0</v>
      </c>
    </row>
    <row r="3131" spans="5:9" ht="15.75" hidden="1" customHeight="1" x14ac:dyDescent="0.2">
      <c r="E3131" t="s">
        <v>489</v>
      </c>
      <c r="F3131">
        <v>154</v>
      </c>
      <c r="G3131" t="s">
        <v>295</v>
      </c>
      <c r="H3131" t="s">
        <v>17</v>
      </c>
      <c r="I3131">
        <v>0</v>
      </c>
    </row>
    <row r="3132" spans="5:9" ht="15.75" hidden="1" customHeight="1" x14ac:dyDescent="0.2">
      <c r="E3132" t="s">
        <v>457</v>
      </c>
      <c r="F3132">
        <v>155</v>
      </c>
      <c r="G3132" t="s">
        <v>295</v>
      </c>
      <c r="H3132" t="s">
        <v>17</v>
      </c>
      <c r="I3132">
        <v>0</v>
      </c>
    </row>
    <row r="3133" spans="5:9" ht="15.75" hidden="1" customHeight="1" x14ac:dyDescent="0.2">
      <c r="E3133" t="s">
        <v>362</v>
      </c>
      <c r="F3133">
        <v>156</v>
      </c>
      <c r="G3133" t="s">
        <v>295</v>
      </c>
      <c r="H3133" t="s">
        <v>17</v>
      </c>
      <c r="I3133">
        <v>0</v>
      </c>
    </row>
    <row r="3134" spans="5:9" ht="15.75" hidden="1" customHeight="1" x14ac:dyDescent="0.2">
      <c r="E3134" t="s">
        <v>491</v>
      </c>
      <c r="F3134">
        <v>157</v>
      </c>
      <c r="G3134" t="s">
        <v>295</v>
      </c>
      <c r="H3134" t="s">
        <v>17</v>
      </c>
      <c r="I3134">
        <v>1</v>
      </c>
    </row>
    <row r="3135" spans="5:9" ht="15.75" hidden="1" customHeight="1" x14ac:dyDescent="0.2">
      <c r="E3135" t="s">
        <v>492</v>
      </c>
      <c r="F3135">
        <v>158</v>
      </c>
      <c r="G3135" t="s">
        <v>295</v>
      </c>
      <c r="H3135" t="s">
        <v>17</v>
      </c>
      <c r="I3135">
        <v>1</v>
      </c>
    </row>
    <row r="3136" spans="5:9" ht="15.75" hidden="1" customHeight="1" x14ac:dyDescent="0.2">
      <c r="E3136" t="s">
        <v>493</v>
      </c>
      <c r="F3136">
        <v>159</v>
      </c>
      <c r="G3136" t="s">
        <v>295</v>
      </c>
      <c r="H3136" t="s">
        <v>17</v>
      </c>
      <c r="I3136">
        <v>2</v>
      </c>
    </row>
    <row r="3137" spans="5:9" ht="15.75" hidden="1" customHeight="1" x14ac:dyDescent="0.2">
      <c r="E3137" t="s">
        <v>494</v>
      </c>
      <c r="F3137">
        <v>160</v>
      </c>
      <c r="G3137" t="s">
        <v>295</v>
      </c>
      <c r="H3137" t="s">
        <v>17</v>
      </c>
      <c r="I3137">
        <v>1</v>
      </c>
    </row>
    <row r="3138" spans="5:9" ht="15.75" hidden="1" customHeight="1" x14ac:dyDescent="0.2">
      <c r="E3138" t="s">
        <v>496</v>
      </c>
      <c r="F3138">
        <v>161</v>
      </c>
      <c r="G3138" t="s">
        <v>295</v>
      </c>
      <c r="H3138" t="s">
        <v>17</v>
      </c>
      <c r="I3138">
        <v>0</v>
      </c>
    </row>
    <row r="3139" spans="5:9" ht="15.75" hidden="1" customHeight="1" x14ac:dyDescent="0.2">
      <c r="E3139" t="s">
        <v>497</v>
      </c>
      <c r="F3139">
        <v>162</v>
      </c>
      <c r="G3139" t="s">
        <v>295</v>
      </c>
      <c r="H3139" t="s">
        <v>17</v>
      </c>
      <c r="I3139">
        <v>1</v>
      </c>
    </row>
    <row r="3140" spans="5:9" ht="15.75" hidden="1" customHeight="1" x14ac:dyDescent="0.2">
      <c r="E3140" t="s">
        <v>459</v>
      </c>
      <c r="F3140">
        <v>163</v>
      </c>
      <c r="G3140" t="s">
        <v>295</v>
      </c>
      <c r="H3140" t="s">
        <v>17</v>
      </c>
      <c r="I3140">
        <v>1</v>
      </c>
    </row>
    <row r="3141" spans="5:9" ht="15.75" hidden="1" customHeight="1" x14ac:dyDescent="0.2">
      <c r="E3141" t="s">
        <v>460</v>
      </c>
      <c r="F3141">
        <v>164</v>
      </c>
      <c r="G3141" t="s">
        <v>295</v>
      </c>
      <c r="H3141" t="s">
        <v>17</v>
      </c>
      <c r="I3141">
        <v>0</v>
      </c>
    </row>
    <row r="3142" spans="5:9" ht="15.75" hidden="1" customHeight="1" x14ac:dyDescent="0.2">
      <c r="E3142" t="s">
        <v>461</v>
      </c>
      <c r="F3142">
        <v>165</v>
      </c>
      <c r="G3142" t="s">
        <v>295</v>
      </c>
      <c r="H3142" t="s">
        <v>17</v>
      </c>
      <c r="I3142">
        <v>0</v>
      </c>
    </row>
    <row r="3143" spans="5:9" ht="15.75" hidden="1" customHeight="1" x14ac:dyDescent="0.2">
      <c r="E3143" t="s">
        <v>462</v>
      </c>
      <c r="F3143">
        <v>166</v>
      </c>
      <c r="G3143" t="s">
        <v>295</v>
      </c>
      <c r="H3143" t="s">
        <v>17</v>
      </c>
      <c r="I3143">
        <v>0</v>
      </c>
    </row>
    <row r="3144" spans="5:9" ht="15.75" hidden="1" customHeight="1" x14ac:dyDescent="0.2">
      <c r="E3144" t="s">
        <v>463</v>
      </c>
      <c r="F3144">
        <v>167</v>
      </c>
      <c r="G3144" t="s">
        <v>295</v>
      </c>
      <c r="H3144" t="s">
        <v>17</v>
      </c>
      <c r="I3144">
        <v>0</v>
      </c>
    </row>
    <row r="3145" spans="5:9" ht="15.75" hidden="1" customHeight="1" x14ac:dyDescent="0.2">
      <c r="E3145" t="s">
        <v>464</v>
      </c>
      <c r="F3145">
        <v>168</v>
      </c>
      <c r="G3145" t="s">
        <v>295</v>
      </c>
      <c r="H3145" t="s">
        <v>17</v>
      </c>
      <c r="I3145">
        <v>0</v>
      </c>
    </row>
    <row r="3146" spans="5:9" ht="15.75" hidden="1" customHeight="1" x14ac:dyDescent="0.2">
      <c r="E3146" t="s">
        <v>465</v>
      </c>
      <c r="F3146">
        <v>169</v>
      </c>
      <c r="G3146" t="s">
        <v>295</v>
      </c>
      <c r="H3146" t="s">
        <v>17</v>
      </c>
      <c r="I3146">
        <v>0</v>
      </c>
    </row>
    <row r="3147" spans="5:9" ht="15.75" hidden="1" customHeight="1" x14ac:dyDescent="0.2">
      <c r="E3147" t="s">
        <v>466</v>
      </c>
      <c r="F3147">
        <v>170</v>
      </c>
      <c r="G3147" t="s">
        <v>295</v>
      </c>
      <c r="H3147" t="s">
        <v>17</v>
      </c>
      <c r="I3147">
        <v>0</v>
      </c>
    </row>
    <row r="3148" spans="5:9" ht="15.75" hidden="1" customHeight="1" x14ac:dyDescent="0.2">
      <c r="E3148" t="s">
        <v>467</v>
      </c>
      <c r="F3148">
        <v>171</v>
      </c>
      <c r="G3148" t="s">
        <v>295</v>
      </c>
      <c r="H3148" t="s">
        <v>17</v>
      </c>
      <c r="I3148">
        <v>0</v>
      </c>
    </row>
    <row r="3149" spans="5:9" ht="15.75" hidden="1" customHeight="1" x14ac:dyDescent="0.2">
      <c r="E3149" t="s">
        <v>468</v>
      </c>
      <c r="F3149">
        <v>172</v>
      </c>
      <c r="G3149" t="s">
        <v>295</v>
      </c>
      <c r="H3149" t="s">
        <v>17</v>
      </c>
      <c r="I3149">
        <v>0</v>
      </c>
    </row>
    <row r="3150" spans="5:9" ht="15.75" hidden="1" customHeight="1" x14ac:dyDescent="0.2">
      <c r="E3150" t="s">
        <v>469</v>
      </c>
      <c r="F3150">
        <v>173</v>
      </c>
      <c r="G3150" t="s">
        <v>295</v>
      </c>
      <c r="H3150" t="s">
        <v>17</v>
      </c>
      <c r="I3150">
        <v>0</v>
      </c>
    </row>
    <row r="3151" spans="5:9" ht="15.75" hidden="1" customHeight="1" x14ac:dyDescent="0.2">
      <c r="E3151" t="s">
        <v>470</v>
      </c>
      <c r="F3151">
        <v>174</v>
      </c>
      <c r="G3151" t="s">
        <v>295</v>
      </c>
      <c r="H3151" t="s">
        <v>17</v>
      </c>
      <c r="I3151">
        <v>1</v>
      </c>
    </row>
    <row r="3152" spans="5:9" ht="15.75" hidden="1" customHeight="1" x14ac:dyDescent="0.2">
      <c r="E3152" t="s">
        <v>471</v>
      </c>
      <c r="F3152">
        <v>175</v>
      </c>
      <c r="G3152" t="s">
        <v>295</v>
      </c>
      <c r="H3152" t="s">
        <v>17</v>
      </c>
      <c r="I3152">
        <v>0</v>
      </c>
    </row>
    <row r="3153" spans="5:9" ht="15.75" hidden="1" customHeight="1" x14ac:dyDescent="0.2">
      <c r="E3153" t="s">
        <v>472</v>
      </c>
      <c r="F3153">
        <v>176</v>
      </c>
      <c r="G3153" t="s">
        <v>295</v>
      </c>
      <c r="H3153" t="s">
        <v>17</v>
      </c>
      <c r="I3153">
        <v>0</v>
      </c>
    </row>
    <row r="3154" spans="5:9" ht="15.75" hidden="1" customHeight="1" x14ac:dyDescent="0.2">
      <c r="E3154" t="s">
        <v>362</v>
      </c>
      <c r="F3154">
        <v>177</v>
      </c>
      <c r="G3154" t="s">
        <v>295</v>
      </c>
      <c r="H3154" t="s">
        <v>17</v>
      </c>
      <c r="I3154">
        <v>0</v>
      </c>
    </row>
    <row r="3155" spans="5:9" ht="15.75" hidden="1" customHeight="1" x14ac:dyDescent="0.2">
      <c r="E3155" t="s">
        <v>473</v>
      </c>
      <c r="F3155">
        <v>178</v>
      </c>
      <c r="G3155" t="s">
        <v>295</v>
      </c>
      <c r="H3155" t="s">
        <v>17</v>
      </c>
      <c r="I3155">
        <v>0</v>
      </c>
    </row>
    <row r="3156" spans="5:9" ht="15.75" hidden="1" customHeight="1" x14ac:dyDescent="0.2">
      <c r="E3156" t="s">
        <v>474</v>
      </c>
      <c r="F3156">
        <v>179</v>
      </c>
      <c r="G3156" t="s">
        <v>295</v>
      </c>
      <c r="H3156" t="s">
        <v>17</v>
      </c>
      <c r="I3156">
        <v>0</v>
      </c>
    </row>
    <row r="3157" spans="5:9" ht="15.75" hidden="1" customHeight="1" x14ac:dyDescent="0.2">
      <c r="E3157" t="s">
        <v>499</v>
      </c>
      <c r="F3157">
        <v>180</v>
      </c>
      <c r="G3157" t="s">
        <v>295</v>
      </c>
      <c r="H3157" t="s">
        <v>17</v>
      </c>
      <c r="I3157">
        <v>1</v>
      </c>
    </row>
    <row r="3158" spans="5:9" ht="15.75" hidden="1" customHeight="1" x14ac:dyDescent="0.2">
      <c r="E3158" t="s">
        <v>500</v>
      </c>
      <c r="F3158">
        <v>181</v>
      </c>
      <c r="G3158" t="s">
        <v>295</v>
      </c>
      <c r="H3158" t="s">
        <v>17</v>
      </c>
      <c r="I3158">
        <v>2</v>
      </c>
    </row>
    <row r="3159" spans="5:9" ht="15.75" hidden="1" customHeight="1" x14ac:dyDescent="0.2">
      <c r="E3159" t="s">
        <v>501</v>
      </c>
      <c r="F3159">
        <v>182</v>
      </c>
      <c r="G3159" t="s">
        <v>295</v>
      </c>
      <c r="H3159" t="s">
        <v>17</v>
      </c>
      <c r="I3159">
        <v>5</v>
      </c>
    </row>
    <row r="3160" spans="5:9" ht="15.75" hidden="1" customHeight="1" x14ac:dyDescent="0.2">
      <c r="E3160" t="s">
        <v>502</v>
      </c>
      <c r="F3160">
        <v>183</v>
      </c>
      <c r="G3160" t="s">
        <v>295</v>
      </c>
      <c r="H3160" t="s">
        <v>17</v>
      </c>
      <c r="I3160">
        <v>0</v>
      </c>
    </row>
    <row r="3161" spans="5:9" ht="15.75" hidden="1" customHeight="1" x14ac:dyDescent="0.2">
      <c r="E3161" t="s">
        <v>503</v>
      </c>
      <c r="F3161">
        <v>184</v>
      </c>
      <c r="G3161" t="s">
        <v>295</v>
      </c>
      <c r="H3161" t="s">
        <v>17</v>
      </c>
      <c r="I3161">
        <v>1</v>
      </c>
    </row>
    <row r="3162" spans="5:9" ht="15.75" hidden="1" customHeight="1" x14ac:dyDescent="0.2">
      <c r="E3162" t="s">
        <v>504</v>
      </c>
      <c r="F3162">
        <v>185</v>
      </c>
      <c r="G3162" t="s">
        <v>295</v>
      </c>
      <c r="H3162" t="s">
        <v>17</v>
      </c>
      <c r="I3162">
        <v>0</v>
      </c>
    </row>
    <row r="3163" spans="5:9" ht="15.75" hidden="1" customHeight="1" x14ac:dyDescent="0.2">
      <c r="E3163" t="s">
        <v>505</v>
      </c>
      <c r="F3163">
        <v>186</v>
      </c>
      <c r="G3163" t="s">
        <v>295</v>
      </c>
      <c r="H3163" t="s">
        <v>17</v>
      </c>
      <c r="I3163">
        <v>0</v>
      </c>
    </row>
    <row r="3164" spans="5:9" ht="15.75" hidden="1" customHeight="1" x14ac:dyDescent="0.2">
      <c r="E3164" t="s">
        <v>287</v>
      </c>
      <c r="F3164">
        <v>1</v>
      </c>
      <c r="G3164" t="s">
        <v>297</v>
      </c>
      <c r="H3164" t="s">
        <v>18</v>
      </c>
      <c r="I3164">
        <v>2</v>
      </c>
    </row>
    <row r="3165" spans="5:9" ht="15.75" hidden="1" customHeight="1" x14ac:dyDescent="0.2">
      <c r="E3165" t="s">
        <v>350</v>
      </c>
      <c r="F3165">
        <v>2</v>
      </c>
      <c r="G3165" t="s">
        <v>297</v>
      </c>
      <c r="H3165" t="s">
        <v>18</v>
      </c>
      <c r="I3165">
        <v>1</v>
      </c>
    </row>
    <row r="3166" spans="5:9" ht="15.75" hidden="1" customHeight="1" x14ac:dyDescent="0.2">
      <c r="E3166" t="s">
        <v>351</v>
      </c>
      <c r="F3166">
        <v>3</v>
      </c>
      <c r="G3166" t="s">
        <v>297</v>
      </c>
      <c r="H3166" t="s">
        <v>18</v>
      </c>
      <c r="I3166">
        <v>19</v>
      </c>
    </row>
    <row r="3167" spans="5:9" ht="15.75" hidden="1" customHeight="1" x14ac:dyDescent="0.2">
      <c r="E3167" t="s">
        <v>352</v>
      </c>
      <c r="F3167">
        <v>4</v>
      </c>
      <c r="G3167" t="s">
        <v>297</v>
      </c>
      <c r="H3167" t="s">
        <v>18</v>
      </c>
      <c r="I3167">
        <v>17</v>
      </c>
    </row>
    <row r="3168" spans="5:9" ht="15.75" hidden="1" customHeight="1" x14ac:dyDescent="0.2">
      <c r="E3168" t="s">
        <v>354</v>
      </c>
      <c r="F3168">
        <v>5</v>
      </c>
      <c r="G3168" t="s">
        <v>297</v>
      </c>
      <c r="H3168" t="s">
        <v>18</v>
      </c>
      <c r="I3168">
        <v>10</v>
      </c>
    </row>
    <row r="3169" spans="5:9" ht="15.75" hidden="1" customHeight="1" x14ac:dyDescent="0.2">
      <c r="E3169" t="s">
        <v>356</v>
      </c>
      <c r="F3169">
        <v>6</v>
      </c>
      <c r="G3169" t="s">
        <v>297</v>
      </c>
      <c r="H3169" t="s">
        <v>18</v>
      </c>
      <c r="I3169">
        <v>10</v>
      </c>
    </row>
    <row r="3170" spans="5:9" ht="15.75" hidden="1" customHeight="1" x14ac:dyDescent="0.2">
      <c r="E3170" t="s">
        <v>358</v>
      </c>
      <c r="F3170">
        <v>7</v>
      </c>
      <c r="G3170" t="s">
        <v>297</v>
      </c>
      <c r="H3170" t="s">
        <v>18</v>
      </c>
      <c r="I3170">
        <v>2</v>
      </c>
    </row>
    <row r="3171" spans="5:9" ht="15.75" hidden="1" customHeight="1" x14ac:dyDescent="0.2">
      <c r="E3171" t="s">
        <v>359</v>
      </c>
      <c r="F3171">
        <v>8</v>
      </c>
      <c r="G3171" t="s">
        <v>297</v>
      </c>
      <c r="H3171" t="s">
        <v>18</v>
      </c>
      <c r="I3171">
        <v>6</v>
      </c>
    </row>
    <row r="3172" spans="5:9" ht="15.75" hidden="1" customHeight="1" x14ac:dyDescent="0.2">
      <c r="E3172" t="s">
        <v>360</v>
      </c>
      <c r="F3172">
        <v>9</v>
      </c>
      <c r="G3172" t="s">
        <v>297</v>
      </c>
      <c r="H3172" t="s">
        <v>18</v>
      </c>
      <c r="I3172">
        <v>1</v>
      </c>
    </row>
    <row r="3173" spans="5:9" ht="15.75" hidden="1" customHeight="1" x14ac:dyDescent="0.2">
      <c r="E3173" t="s">
        <v>361</v>
      </c>
      <c r="F3173">
        <v>10</v>
      </c>
      <c r="G3173" t="s">
        <v>297</v>
      </c>
      <c r="H3173" t="s">
        <v>18</v>
      </c>
      <c r="I3173">
        <v>3</v>
      </c>
    </row>
    <row r="3174" spans="5:9" ht="15.75" hidden="1" customHeight="1" x14ac:dyDescent="0.2">
      <c r="E3174" t="s">
        <v>362</v>
      </c>
      <c r="F3174">
        <v>11</v>
      </c>
      <c r="G3174" t="s">
        <v>297</v>
      </c>
      <c r="H3174" t="s">
        <v>18</v>
      </c>
      <c r="I3174">
        <v>1</v>
      </c>
    </row>
    <row r="3175" spans="5:9" ht="15.75" hidden="1" customHeight="1" x14ac:dyDescent="0.2">
      <c r="E3175" t="s">
        <v>363</v>
      </c>
      <c r="F3175">
        <v>12</v>
      </c>
      <c r="G3175" t="s">
        <v>297</v>
      </c>
      <c r="H3175" t="s">
        <v>18</v>
      </c>
      <c r="I3175">
        <v>0</v>
      </c>
    </row>
    <row r="3176" spans="5:9" ht="15.75" hidden="1" customHeight="1" x14ac:dyDescent="0.2">
      <c r="E3176" t="s">
        <v>365</v>
      </c>
      <c r="F3176">
        <v>13</v>
      </c>
      <c r="G3176" t="s">
        <v>297</v>
      </c>
      <c r="H3176" t="s">
        <v>18</v>
      </c>
      <c r="I3176">
        <v>0</v>
      </c>
    </row>
    <row r="3177" spans="5:9" ht="15.75" hidden="1" customHeight="1" x14ac:dyDescent="0.2">
      <c r="E3177" t="s">
        <v>369</v>
      </c>
      <c r="F3177">
        <v>14</v>
      </c>
      <c r="G3177" t="s">
        <v>297</v>
      </c>
      <c r="H3177" t="s">
        <v>18</v>
      </c>
      <c r="I3177">
        <v>1</v>
      </c>
    </row>
    <row r="3178" spans="5:9" ht="15.75" hidden="1" customHeight="1" x14ac:dyDescent="0.2">
      <c r="E3178" t="s">
        <v>370</v>
      </c>
      <c r="F3178">
        <v>15</v>
      </c>
      <c r="G3178" t="s">
        <v>297</v>
      </c>
      <c r="H3178" t="s">
        <v>18</v>
      </c>
      <c r="I3178">
        <v>4</v>
      </c>
    </row>
    <row r="3179" spans="5:9" ht="15.75" hidden="1" customHeight="1" x14ac:dyDescent="0.2">
      <c r="E3179" t="s">
        <v>371</v>
      </c>
      <c r="F3179">
        <v>16</v>
      </c>
      <c r="G3179" t="s">
        <v>297</v>
      </c>
      <c r="H3179" t="s">
        <v>18</v>
      </c>
      <c r="I3179">
        <v>3</v>
      </c>
    </row>
    <row r="3180" spans="5:9" ht="15.75" hidden="1" customHeight="1" x14ac:dyDescent="0.2">
      <c r="E3180" t="s">
        <v>372</v>
      </c>
      <c r="F3180">
        <v>17</v>
      </c>
      <c r="G3180" t="s">
        <v>297</v>
      </c>
      <c r="H3180" t="s">
        <v>18</v>
      </c>
      <c r="I3180">
        <v>5</v>
      </c>
    </row>
    <row r="3181" spans="5:9" ht="15.75" hidden="1" customHeight="1" x14ac:dyDescent="0.2">
      <c r="E3181" t="s">
        <v>373</v>
      </c>
      <c r="F3181">
        <v>18</v>
      </c>
      <c r="G3181" t="s">
        <v>297</v>
      </c>
      <c r="H3181" t="s">
        <v>18</v>
      </c>
      <c r="I3181">
        <v>3</v>
      </c>
    </row>
    <row r="3182" spans="5:9" ht="15.75" hidden="1" customHeight="1" x14ac:dyDescent="0.2">
      <c r="E3182" t="s">
        <v>374</v>
      </c>
      <c r="F3182">
        <v>19</v>
      </c>
      <c r="G3182" t="s">
        <v>297</v>
      </c>
      <c r="H3182" t="s">
        <v>18</v>
      </c>
      <c r="I3182">
        <v>1</v>
      </c>
    </row>
    <row r="3183" spans="5:9" ht="15.75" hidden="1" customHeight="1" x14ac:dyDescent="0.2">
      <c r="E3183" t="s">
        <v>375</v>
      </c>
      <c r="F3183">
        <v>20</v>
      </c>
      <c r="G3183" t="s">
        <v>297</v>
      </c>
      <c r="H3183" t="s">
        <v>18</v>
      </c>
      <c r="I3183">
        <v>4</v>
      </c>
    </row>
    <row r="3184" spans="5:9" ht="15.75" hidden="1" customHeight="1" x14ac:dyDescent="0.2">
      <c r="E3184" t="s">
        <v>376</v>
      </c>
      <c r="F3184">
        <v>21</v>
      </c>
      <c r="G3184" t="s">
        <v>297</v>
      </c>
      <c r="H3184" t="s">
        <v>18</v>
      </c>
      <c r="I3184">
        <v>3</v>
      </c>
    </row>
    <row r="3185" spans="5:9" ht="15.75" hidden="1" customHeight="1" x14ac:dyDescent="0.2">
      <c r="E3185" t="s">
        <v>377</v>
      </c>
      <c r="F3185">
        <v>22</v>
      </c>
      <c r="G3185" t="s">
        <v>297</v>
      </c>
      <c r="H3185" t="s">
        <v>18</v>
      </c>
      <c r="I3185">
        <v>2</v>
      </c>
    </row>
    <row r="3186" spans="5:9" ht="15.75" hidden="1" customHeight="1" x14ac:dyDescent="0.2">
      <c r="E3186" t="s">
        <v>378</v>
      </c>
      <c r="F3186">
        <v>23</v>
      </c>
      <c r="G3186" t="s">
        <v>297</v>
      </c>
      <c r="H3186" t="s">
        <v>18</v>
      </c>
      <c r="I3186">
        <v>1</v>
      </c>
    </row>
    <row r="3187" spans="5:9" ht="15.75" hidden="1" customHeight="1" x14ac:dyDescent="0.2">
      <c r="E3187" t="s">
        <v>379</v>
      </c>
      <c r="F3187">
        <v>24</v>
      </c>
      <c r="G3187" t="s">
        <v>297</v>
      </c>
      <c r="H3187" t="s">
        <v>18</v>
      </c>
      <c r="I3187">
        <v>0</v>
      </c>
    </row>
    <row r="3188" spans="5:9" ht="15.75" hidden="1" customHeight="1" x14ac:dyDescent="0.2">
      <c r="E3188" t="s">
        <v>380</v>
      </c>
      <c r="F3188">
        <v>25</v>
      </c>
      <c r="G3188" t="s">
        <v>297</v>
      </c>
      <c r="H3188" t="s">
        <v>18</v>
      </c>
      <c r="I3188">
        <v>3</v>
      </c>
    </row>
    <row r="3189" spans="5:9" ht="15.75" hidden="1" customHeight="1" x14ac:dyDescent="0.2">
      <c r="E3189" t="s">
        <v>381</v>
      </c>
      <c r="F3189">
        <v>26</v>
      </c>
      <c r="G3189" t="s">
        <v>297</v>
      </c>
      <c r="H3189" t="s">
        <v>18</v>
      </c>
      <c r="I3189">
        <v>1</v>
      </c>
    </row>
    <row r="3190" spans="5:9" ht="15.75" hidden="1" customHeight="1" x14ac:dyDescent="0.2">
      <c r="E3190" t="s">
        <v>382</v>
      </c>
      <c r="F3190">
        <v>27</v>
      </c>
      <c r="G3190" t="s">
        <v>297</v>
      </c>
      <c r="H3190" t="s">
        <v>18</v>
      </c>
      <c r="I3190">
        <v>1</v>
      </c>
    </row>
    <row r="3191" spans="5:9" ht="15.75" hidden="1" customHeight="1" x14ac:dyDescent="0.2">
      <c r="E3191" t="s">
        <v>383</v>
      </c>
      <c r="F3191">
        <v>28</v>
      </c>
      <c r="G3191" t="s">
        <v>297</v>
      </c>
      <c r="H3191" t="s">
        <v>18</v>
      </c>
      <c r="I3191">
        <v>3</v>
      </c>
    </row>
    <row r="3192" spans="5:9" ht="15.75" hidden="1" customHeight="1" x14ac:dyDescent="0.2">
      <c r="E3192" t="s">
        <v>385</v>
      </c>
      <c r="F3192">
        <v>29</v>
      </c>
      <c r="G3192" t="s">
        <v>297</v>
      </c>
      <c r="H3192" t="s">
        <v>18</v>
      </c>
      <c r="I3192">
        <v>10</v>
      </c>
    </row>
    <row r="3193" spans="5:9" ht="15.75" hidden="1" customHeight="1" x14ac:dyDescent="0.2">
      <c r="E3193" t="s">
        <v>387</v>
      </c>
      <c r="F3193">
        <v>30</v>
      </c>
      <c r="G3193" t="s">
        <v>297</v>
      </c>
      <c r="H3193" t="s">
        <v>18</v>
      </c>
      <c r="I3193">
        <v>6</v>
      </c>
    </row>
    <row r="3194" spans="5:9" ht="15.75" hidden="1" customHeight="1" x14ac:dyDescent="0.2">
      <c r="E3194" t="s">
        <v>388</v>
      </c>
      <c r="F3194">
        <v>31</v>
      </c>
      <c r="G3194" t="s">
        <v>297</v>
      </c>
      <c r="H3194" t="s">
        <v>18</v>
      </c>
      <c r="I3194">
        <v>2</v>
      </c>
    </row>
    <row r="3195" spans="5:9" ht="15.75" hidden="1" customHeight="1" x14ac:dyDescent="0.2">
      <c r="E3195" t="s">
        <v>389</v>
      </c>
      <c r="F3195">
        <v>32</v>
      </c>
      <c r="G3195" t="s">
        <v>297</v>
      </c>
      <c r="H3195" t="s">
        <v>18</v>
      </c>
      <c r="I3195">
        <v>2</v>
      </c>
    </row>
    <row r="3196" spans="5:9" ht="15.75" hidden="1" customHeight="1" x14ac:dyDescent="0.2">
      <c r="E3196" t="s">
        <v>390</v>
      </c>
      <c r="F3196">
        <v>33</v>
      </c>
      <c r="G3196" t="s">
        <v>297</v>
      </c>
      <c r="H3196" t="s">
        <v>18</v>
      </c>
      <c r="I3196">
        <v>3</v>
      </c>
    </row>
    <row r="3197" spans="5:9" ht="15.75" hidden="1" customHeight="1" x14ac:dyDescent="0.2">
      <c r="E3197" t="s">
        <v>391</v>
      </c>
      <c r="F3197">
        <v>34</v>
      </c>
      <c r="G3197" t="s">
        <v>297</v>
      </c>
      <c r="H3197" t="s">
        <v>18</v>
      </c>
      <c r="I3197">
        <v>2</v>
      </c>
    </row>
    <row r="3198" spans="5:9" ht="15.75" hidden="1" customHeight="1" x14ac:dyDescent="0.2">
      <c r="E3198" t="s">
        <v>393</v>
      </c>
      <c r="F3198">
        <v>35</v>
      </c>
      <c r="G3198" t="s">
        <v>297</v>
      </c>
      <c r="H3198" t="s">
        <v>18</v>
      </c>
      <c r="I3198">
        <v>10</v>
      </c>
    </row>
    <row r="3199" spans="5:9" ht="15.75" hidden="1" customHeight="1" x14ac:dyDescent="0.2">
      <c r="E3199" t="s">
        <v>394</v>
      </c>
      <c r="F3199">
        <v>36</v>
      </c>
      <c r="G3199" t="s">
        <v>297</v>
      </c>
      <c r="H3199" t="s">
        <v>18</v>
      </c>
      <c r="I3199">
        <v>22</v>
      </c>
    </row>
    <row r="3200" spans="5:9" ht="15.75" hidden="1" customHeight="1" x14ac:dyDescent="0.2">
      <c r="E3200" t="s">
        <v>395</v>
      </c>
      <c r="F3200">
        <v>37</v>
      </c>
      <c r="G3200" t="s">
        <v>297</v>
      </c>
      <c r="H3200" t="s">
        <v>18</v>
      </c>
      <c r="I3200">
        <v>8</v>
      </c>
    </row>
    <row r="3201" spans="5:9" ht="15.75" hidden="1" customHeight="1" x14ac:dyDescent="0.2">
      <c r="E3201" t="s">
        <v>396</v>
      </c>
      <c r="F3201">
        <v>38</v>
      </c>
      <c r="G3201" t="s">
        <v>297</v>
      </c>
      <c r="H3201" t="s">
        <v>18</v>
      </c>
      <c r="I3201">
        <v>8</v>
      </c>
    </row>
    <row r="3202" spans="5:9" ht="15.75" hidden="1" customHeight="1" x14ac:dyDescent="0.2">
      <c r="E3202" t="s">
        <v>397</v>
      </c>
      <c r="F3202">
        <v>39</v>
      </c>
      <c r="G3202" t="s">
        <v>297</v>
      </c>
      <c r="H3202" t="s">
        <v>18</v>
      </c>
      <c r="I3202">
        <v>8</v>
      </c>
    </row>
    <row r="3203" spans="5:9" ht="15.75" hidden="1" customHeight="1" x14ac:dyDescent="0.2">
      <c r="E3203" t="s">
        <v>398</v>
      </c>
      <c r="F3203">
        <v>40</v>
      </c>
      <c r="G3203" t="s">
        <v>297</v>
      </c>
      <c r="H3203" t="s">
        <v>18</v>
      </c>
      <c r="I3203">
        <v>4</v>
      </c>
    </row>
    <row r="3204" spans="5:9" ht="15.75" hidden="1" customHeight="1" x14ac:dyDescent="0.2">
      <c r="E3204" t="s">
        <v>399</v>
      </c>
      <c r="F3204">
        <v>41</v>
      </c>
      <c r="G3204" t="s">
        <v>297</v>
      </c>
      <c r="H3204" t="s">
        <v>18</v>
      </c>
      <c r="I3204">
        <v>1</v>
      </c>
    </row>
    <row r="3205" spans="5:9" ht="15.75" hidden="1" customHeight="1" x14ac:dyDescent="0.2">
      <c r="E3205" t="s">
        <v>400</v>
      </c>
      <c r="F3205">
        <v>42</v>
      </c>
      <c r="G3205" t="s">
        <v>297</v>
      </c>
      <c r="H3205" t="s">
        <v>18</v>
      </c>
      <c r="I3205">
        <v>1</v>
      </c>
    </row>
    <row r="3206" spans="5:9" ht="15.75" hidden="1" customHeight="1" x14ac:dyDescent="0.2">
      <c r="E3206" t="s">
        <v>401</v>
      </c>
      <c r="F3206">
        <v>43</v>
      </c>
      <c r="G3206" t="s">
        <v>297</v>
      </c>
      <c r="H3206" t="s">
        <v>18</v>
      </c>
      <c r="I3206">
        <v>1</v>
      </c>
    </row>
    <row r="3207" spans="5:9" ht="15.75" hidden="1" customHeight="1" x14ac:dyDescent="0.2">
      <c r="E3207" t="s">
        <v>402</v>
      </c>
      <c r="F3207">
        <v>44</v>
      </c>
      <c r="G3207" t="s">
        <v>297</v>
      </c>
      <c r="H3207" t="s">
        <v>18</v>
      </c>
      <c r="I3207">
        <v>1</v>
      </c>
    </row>
    <row r="3208" spans="5:9" ht="15.75" hidden="1" customHeight="1" x14ac:dyDescent="0.2">
      <c r="E3208" t="s">
        <v>403</v>
      </c>
      <c r="F3208">
        <v>45</v>
      </c>
      <c r="G3208" t="s">
        <v>297</v>
      </c>
      <c r="H3208" t="s">
        <v>18</v>
      </c>
      <c r="I3208">
        <v>1</v>
      </c>
    </row>
    <row r="3209" spans="5:9" ht="15.75" hidden="1" customHeight="1" x14ac:dyDescent="0.2">
      <c r="E3209" t="s">
        <v>404</v>
      </c>
      <c r="F3209">
        <v>46</v>
      </c>
      <c r="G3209" t="s">
        <v>297</v>
      </c>
      <c r="H3209" t="s">
        <v>18</v>
      </c>
      <c r="I3209">
        <v>1</v>
      </c>
    </row>
    <row r="3210" spans="5:9" ht="15.75" hidden="1" customHeight="1" x14ac:dyDescent="0.2">
      <c r="E3210" t="s">
        <v>405</v>
      </c>
      <c r="F3210">
        <v>47</v>
      </c>
      <c r="G3210" t="s">
        <v>297</v>
      </c>
      <c r="H3210" t="s">
        <v>18</v>
      </c>
      <c r="I3210">
        <v>2</v>
      </c>
    </row>
    <row r="3211" spans="5:9" ht="15.75" hidden="1" customHeight="1" x14ac:dyDescent="0.2">
      <c r="E3211" t="s">
        <v>406</v>
      </c>
      <c r="F3211">
        <v>48</v>
      </c>
      <c r="G3211" t="s">
        <v>297</v>
      </c>
      <c r="H3211" t="s">
        <v>18</v>
      </c>
      <c r="I3211">
        <v>1</v>
      </c>
    </row>
    <row r="3212" spans="5:9" ht="15.75" hidden="1" customHeight="1" x14ac:dyDescent="0.2">
      <c r="E3212" t="s">
        <v>376</v>
      </c>
      <c r="F3212">
        <v>49</v>
      </c>
      <c r="G3212" t="s">
        <v>297</v>
      </c>
      <c r="H3212" t="s">
        <v>18</v>
      </c>
      <c r="I3212">
        <v>1</v>
      </c>
    </row>
    <row r="3213" spans="5:9" ht="15.75" hidden="1" customHeight="1" x14ac:dyDescent="0.2">
      <c r="E3213" t="s">
        <v>407</v>
      </c>
      <c r="F3213">
        <v>50</v>
      </c>
      <c r="G3213" t="s">
        <v>297</v>
      </c>
      <c r="H3213" t="s">
        <v>18</v>
      </c>
      <c r="I3213">
        <v>8</v>
      </c>
    </row>
    <row r="3214" spans="5:9" ht="15.75" hidden="1" customHeight="1" x14ac:dyDescent="0.2">
      <c r="E3214" t="s">
        <v>408</v>
      </c>
      <c r="F3214">
        <v>51</v>
      </c>
      <c r="G3214" t="s">
        <v>297</v>
      </c>
      <c r="H3214" t="s">
        <v>18</v>
      </c>
      <c r="I3214">
        <v>9</v>
      </c>
    </row>
    <row r="3215" spans="5:9" ht="15.75" hidden="1" customHeight="1" x14ac:dyDescent="0.2">
      <c r="E3215" t="s">
        <v>409</v>
      </c>
      <c r="F3215">
        <v>52</v>
      </c>
      <c r="G3215" t="s">
        <v>297</v>
      </c>
      <c r="H3215" t="s">
        <v>18</v>
      </c>
      <c r="I3215">
        <v>1</v>
      </c>
    </row>
    <row r="3216" spans="5:9" ht="15.75" hidden="1" customHeight="1" x14ac:dyDescent="0.2">
      <c r="E3216" t="s">
        <v>410</v>
      </c>
      <c r="F3216">
        <v>53</v>
      </c>
      <c r="G3216" t="s">
        <v>297</v>
      </c>
      <c r="H3216" t="s">
        <v>18</v>
      </c>
      <c r="I3216">
        <v>5</v>
      </c>
    </row>
    <row r="3217" spans="5:9" ht="15.75" hidden="1" customHeight="1" x14ac:dyDescent="0.2">
      <c r="E3217" t="s">
        <v>411</v>
      </c>
      <c r="F3217">
        <v>54</v>
      </c>
      <c r="G3217" t="s">
        <v>297</v>
      </c>
      <c r="H3217" t="s">
        <v>18</v>
      </c>
      <c r="I3217">
        <v>28</v>
      </c>
    </row>
    <row r="3218" spans="5:9" ht="15.75" hidden="1" customHeight="1" x14ac:dyDescent="0.2">
      <c r="E3218" t="s">
        <v>412</v>
      </c>
      <c r="F3218">
        <v>55</v>
      </c>
      <c r="G3218" t="s">
        <v>297</v>
      </c>
      <c r="H3218" t="s">
        <v>18</v>
      </c>
      <c r="I3218">
        <v>9</v>
      </c>
    </row>
    <row r="3219" spans="5:9" ht="15.75" hidden="1" customHeight="1" x14ac:dyDescent="0.2">
      <c r="E3219" t="s">
        <v>413</v>
      </c>
      <c r="F3219">
        <v>56</v>
      </c>
      <c r="G3219" t="s">
        <v>297</v>
      </c>
      <c r="H3219" t="s">
        <v>18</v>
      </c>
      <c r="I3219">
        <v>5</v>
      </c>
    </row>
    <row r="3220" spans="5:9" ht="15.75" hidden="1" customHeight="1" x14ac:dyDescent="0.2">
      <c r="E3220" t="s">
        <v>414</v>
      </c>
      <c r="F3220">
        <v>57</v>
      </c>
      <c r="G3220" t="s">
        <v>297</v>
      </c>
      <c r="H3220" t="s">
        <v>18</v>
      </c>
      <c r="I3220">
        <v>15</v>
      </c>
    </row>
    <row r="3221" spans="5:9" ht="15.75" hidden="1" customHeight="1" x14ac:dyDescent="0.2">
      <c r="E3221" t="s">
        <v>415</v>
      </c>
      <c r="F3221">
        <v>58</v>
      </c>
      <c r="G3221" t="s">
        <v>297</v>
      </c>
      <c r="H3221" t="s">
        <v>18</v>
      </c>
      <c r="I3221">
        <v>15</v>
      </c>
    </row>
    <row r="3222" spans="5:9" ht="15.75" hidden="1" customHeight="1" x14ac:dyDescent="0.2">
      <c r="E3222" t="s">
        <v>416</v>
      </c>
      <c r="F3222">
        <v>59</v>
      </c>
      <c r="G3222" t="s">
        <v>297</v>
      </c>
      <c r="H3222" t="s">
        <v>18</v>
      </c>
      <c r="I3222">
        <v>8</v>
      </c>
    </row>
    <row r="3223" spans="5:9" ht="15.75" hidden="1" customHeight="1" x14ac:dyDescent="0.2">
      <c r="E3223" t="s">
        <v>417</v>
      </c>
      <c r="F3223">
        <v>60</v>
      </c>
      <c r="G3223" t="s">
        <v>297</v>
      </c>
      <c r="H3223" t="s">
        <v>18</v>
      </c>
      <c r="I3223">
        <v>8</v>
      </c>
    </row>
    <row r="3224" spans="5:9" ht="15.75" hidden="1" customHeight="1" x14ac:dyDescent="0.2">
      <c r="E3224" t="s">
        <v>418</v>
      </c>
      <c r="F3224">
        <v>61</v>
      </c>
      <c r="G3224" t="s">
        <v>297</v>
      </c>
      <c r="H3224" t="s">
        <v>18</v>
      </c>
      <c r="I3224">
        <v>3</v>
      </c>
    </row>
    <row r="3225" spans="5:9" ht="15.75" hidden="1" customHeight="1" x14ac:dyDescent="0.2">
      <c r="E3225" t="s">
        <v>419</v>
      </c>
      <c r="F3225">
        <v>62</v>
      </c>
      <c r="G3225" t="s">
        <v>297</v>
      </c>
      <c r="H3225" t="s">
        <v>18</v>
      </c>
      <c r="I3225">
        <v>3</v>
      </c>
    </row>
    <row r="3226" spans="5:9" ht="15.75" hidden="1" customHeight="1" x14ac:dyDescent="0.2">
      <c r="E3226" t="s">
        <v>421</v>
      </c>
      <c r="F3226">
        <v>63</v>
      </c>
      <c r="G3226" t="s">
        <v>297</v>
      </c>
      <c r="H3226" t="s">
        <v>18</v>
      </c>
      <c r="I3226">
        <v>0</v>
      </c>
    </row>
    <row r="3227" spans="5:9" ht="15.75" hidden="1" customHeight="1" x14ac:dyDescent="0.2">
      <c r="E3227" t="s">
        <v>422</v>
      </c>
      <c r="F3227">
        <v>64</v>
      </c>
      <c r="G3227" t="s">
        <v>297</v>
      </c>
      <c r="H3227" t="s">
        <v>18</v>
      </c>
      <c r="I3227">
        <v>7</v>
      </c>
    </row>
    <row r="3228" spans="5:9" ht="15.75" hidden="1" customHeight="1" x14ac:dyDescent="0.2">
      <c r="E3228" t="s">
        <v>423</v>
      </c>
      <c r="F3228">
        <v>65</v>
      </c>
      <c r="G3228" t="s">
        <v>297</v>
      </c>
      <c r="H3228" t="s">
        <v>18</v>
      </c>
      <c r="I3228">
        <v>1</v>
      </c>
    </row>
    <row r="3229" spans="5:9" ht="15.75" hidden="1" customHeight="1" x14ac:dyDescent="0.2">
      <c r="E3229" t="s">
        <v>424</v>
      </c>
      <c r="F3229">
        <v>66</v>
      </c>
      <c r="G3229" t="s">
        <v>297</v>
      </c>
      <c r="H3229" t="s">
        <v>18</v>
      </c>
      <c r="I3229">
        <v>1</v>
      </c>
    </row>
    <row r="3230" spans="5:9" ht="15.75" hidden="1" customHeight="1" x14ac:dyDescent="0.2">
      <c r="E3230" t="s">
        <v>425</v>
      </c>
      <c r="F3230">
        <v>67</v>
      </c>
      <c r="G3230" t="s">
        <v>297</v>
      </c>
      <c r="H3230" t="s">
        <v>18</v>
      </c>
      <c r="I3230">
        <v>1</v>
      </c>
    </row>
    <row r="3231" spans="5:9" ht="15.75" hidden="1" customHeight="1" x14ac:dyDescent="0.2">
      <c r="E3231" t="s">
        <v>426</v>
      </c>
      <c r="F3231">
        <v>68</v>
      </c>
      <c r="G3231" t="s">
        <v>297</v>
      </c>
      <c r="H3231" t="s">
        <v>18</v>
      </c>
      <c r="I3231">
        <v>1</v>
      </c>
    </row>
    <row r="3232" spans="5:9" ht="15.75" hidden="1" customHeight="1" x14ac:dyDescent="0.2">
      <c r="E3232" t="s">
        <v>427</v>
      </c>
      <c r="F3232">
        <v>69</v>
      </c>
      <c r="G3232" t="s">
        <v>297</v>
      </c>
      <c r="H3232" t="s">
        <v>18</v>
      </c>
      <c r="I3232">
        <v>2</v>
      </c>
    </row>
    <row r="3233" spans="5:9" ht="15.75" hidden="1" customHeight="1" x14ac:dyDescent="0.2">
      <c r="E3233" t="s">
        <v>428</v>
      </c>
      <c r="F3233">
        <v>70</v>
      </c>
      <c r="G3233" t="s">
        <v>297</v>
      </c>
      <c r="H3233" t="s">
        <v>18</v>
      </c>
      <c r="I3233">
        <v>2</v>
      </c>
    </row>
    <row r="3234" spans="5:9" ht="15.75" hidden="1" customHeight="1" x14ac:dyDescent="0.2">
      <c r="E3234" t="s">
        <v>429</v>
      </c>
      <c r="F3234">
        <v>71</v>
      </c>
      <c r="G3234" t="s">
        <v>297</v>
      </c>
      <c r="H3234" t="s">
        <v>18</v>
      </c>
      <c r="I3234">
        <v>2</v>
      </c>
    </row>
    <row r="3235" spans="5:9" ht="15.75" hidden="1" customHeight="1" x14ac:dyDescent="0.2">
      <c r="E3235" t="s">
        <v>430</v>
      </c>
      <c r="F3235">
        <v>72</v>
      </c>
      <c r="G3235" t="s">
        <v>297</v>
      </c>
      <c r="H3235" t="s">
        <v>18</v>
      </c>
      <c r="I3235">
        <v>2</v>
      </c>
    </row>
    <row r="3236" spans="5:9" ht="15.75" hidden="1" customHeight="1" x14ac:dyDescent="0.2">
      <c r="E3236" t="s">
        <v>370</v>
      </c>
      <c r="F3236">
        <v>73</v>
      </c>
      <c r="G3236" t="s">
        <v>297</v>
      </c>
      <c r="H3236" t="s">
        <v>18</v>
      </c>
      <c r="I3236" t="s">
        <v>366</v>
      </c>
    </row>
    <row r="3237" spans="5:9" ht="15.75" hidden="1" customHeight="1" x14ac:dyDescent="0.2">
      <c r="E3237" t="s">
        <v>373</v>
      </c>
      <c r="F3237">
        <v>74</v>
      </c>
      <c r="G3237" t="s">
        <v>297</v>
      </c>
      <c r="H3237" t="s">
        <v>18</v>
      </c>
      <c r="I3237" t="s">
        <v>366</v>
      </c>
    </row>
    <row r="3238" spans="5:9" ht="15.75" hidden="1" customHeight="1" x14ac:dyDescent="0.2">
      <c r="E3238" t="s">
        <v>374</v>
      </c>
      <c r="F3238">
        <v>75</v>
      </c>
      <c r="G3238" t="s">
        <v>297</v>
      </c>
      <c r="H3238" t="s">
        <v>18</v>
      </c>
      <c r="I3238" t="s">
        <v>366</v>
      </c>
    </row>
    <row r="3239" spans="5:9" ht="15.75" hidden="1" customHeight="1" x14ac:dyDescent="0.2">
      <c r="E3239" t="s">
        <v>375</v>
      </c>
      <c r="F3239">
        <v>76</v>
      </c>
      <c r="G3239" t="s">
        <v>297</v>
      </c>
      <c r="H3239" t="s">
        <v>18</v>
      </c>
      <c r="I3239" t="s">
        <v>366</v>
      </c>
    </row>
    <row r="3240" spans="5:9" ht="15.75" hidden="1" customHeight="1" x14ac:dyDescent="0.2">
      <c r="E3240" t="s">
        <v>376</v>
      </c>
      <c r="F3240">
        <v>77</v>
      </c>
      <c r="G3240" t="s">
        <v>297</v>
      </c>
      <c r="H3240" t="s">
        <v>18</v>
      </c>
      <c r="I3240" t="s">
        <v>366</v>
      </c>
    </row>
    <row r="3241" spans="5:9" ht="15.75" hidden="1" customHeight="1" x14ac:dyDescent="0.2">
      <c r="E3241" t="s">
        <v>382</v>
      </c>
      <c r="F3241">
        <v>78</v>
      </c>
      <c r="G3241" t="s">
        <v>297</v>
      </c>
      <c r="H3241" t="s">
        <v>18</v>
      </c>
      <c r="I3241" t="s">
        <v>366</v>
      </c>
    </row>
    <row r="3242" spans="5:9" ht="15.75" hidden="1" customHeight="1" x14ac:dyDescent="0.2">
      <c r="E3242" t="s">
        <v>383</v>
      </c>
      <c r="F3242">
        <v>79</v>
      </c>
      <c r="G3242" t="s">
        <v>297</v>
      </c>
      <c r="H3242" t="s">
        <v>18</v>
      </c>
      <c r="I3242" t="s">
        <v>366</v>
      </c>
    </row>
    <row r="3243" spans="5:9" ht="15.75" hidden="1" customHeight="1" x14ac:dyDescent="0.2">
      <c r="E3243" t="s">
        <v>395</v>
      </c>
      <c r="F3243">
        <v>80</v>
      </c>
      <c r="G3243" t="s">
        <v>297</v>
      </c>
      <c r="H3243" t="s">
        <v>18</v>
      </c>
      <c r="I3243" t="s">
        <v>366</v>
      </c>
    </row>
    <row r="3244" spans="5:9" ht="15.75" hidden="1" customHeight="1" x14ac:dyDescent="0.2">
      <c r="E3244" t="s">
        <v>397</v>
      </c>
      <c r="F3244">
        <v>81</v>
      </c>
      <c r="G3244" t="s">
        <v>297</v>
      </c>
      <c r="H3244" t="s">
        <v>18</v>
      </c>
      <c r="I3244" t="s">
        <v>366</v>
      </c>
    </row>
    <row r="3245" spans="5:9" ht="15.75" hidden="1" customHeight="1" x14ac:dyDescent="0.2">
      <c r="E3245" t="s">
        <v>399</v>
      </c>
      <c r="F3245">
        <v>82</v>
      </c>
      <c r="G3245" t="s">
        <v>297</v>
      </c>
      <c r="H3245" t="s">
        <v>18</v>
      </c>
      <c r="I3245" t="s">
        <v>366</v>
      </c>
    </row>
    <row r="3246" spans="5:9" ht="15.75" hidden="1" customHeight="1" x14ac:dyDescent="0.2">
      <c r="E3246" t="s">
        <v>400</v>
      </c>
      <c r="F3246">
        <v>83</v>
      </c>
      <c r="G3246" t="s">
        <v>297</v>
      </c>
      <c r="H3246" t="s">
        <v>18</v>
      </c>
      <c r="I3246" t="s">
        <v>366</v>
      </c>
    </row>
    <row r="3247" spans="5:9" ht="15.75" hidden="1" customHeight="1" x14ac:dyDescent="0.2">
      <c r="E3247" t="s">
        <v>401</v>
      </c>
      <c r="F3247">
        <v>84</v>
      </c>
      <c r="G3247" t="s">
        <v>297</v>
      </c>
      <c r="H3247" t="s">
        <v>18</v>
      </c>
      <c r="I3247" t="s">
        <v>366</v>
      </c>
    </row>
    <row r="3248" spans="5:9" ht="15.75" hidden="1" customHeight="1" x14ac:dyDescent="0.2">
      <c r="E3248" t="s">
        <v>402</v>
      </c>
      <c r="F3248">
        <v>85</v>
      </c>
      <c r="G3248" t="s">
        <v>297</v>
      </c>
      <c r="H3248" t="s">
        <v>18</v>
      </c>
      <c r="I3248" t="s">
        <v>366</v>
      </c>
    </row>
    <row r="3249" spans="5:9" ht="15.75" hidden="1" customHeight="1" x14ac:dyDescent="0.2">
      <c r="E3249" t="s">
        <v>403</v>
      </c>
      <c r="F3249">
        <v>86</v>
      </c>
      <c r="G3249" t="s">
        <v>297</v>
      </c>
      <c r="H3249" t="s">
        <v>18</v>
      </c>
      <c r="I3249" t="s">
        <v>366</v>
      </c>
    </row>
    <row r="3250" spans="5:9" ht="15.75" hidden="1" customHeight="1" x14ac:dyDescent="0.2">
      <c r="E3250" t="s">
        <v>404</v>
      </c>
      <c r="F3250">
        <v>87</v>
      </c>
      <c r="G3250" t="s">
        <v>297</v>
      </c>
      <c r="H3250" t="s">
        <v>18</v>
      </c>
      <c r="I3250" t="s">
        <v>366</v>
      </c>
    </row>
    <row r="3251" spans="5:9" ht="15.75" hidden="1" customHeight="1" x14ac:dyDescent="0.2">
      <c r="E3251" t="s">
        <v>405</v>
      </c>
      <c r="F3251">
        <v>88</v>
      </c>
      <c r="G3251" t="s">
        <v>297</v>
      </c>
      <c r="H3251" t="s">
        <v>18</v>
      </c>
      <c r="I3251" t="s">
        <v>366</v>
      </c>
    </row>
    <row r="3252" spans="5:9" ht="15.75" hidden="1" customHeight="1" x14ac:dyDescent="0.2">
      <c r="E3252" t="s">
        <v>406</v>
      </c>
      <c r="F3252">
        <v>89</v>
      </c>
      <c r="G3252" t="s">
        <v>297</v>
      </c>
      <c r="H3252" t="s">
        <v>18</v>
      </c>
      <c r="I3252" t="s">
        <v>366</v>
      </c>
    </row>
    <row r="3253" spans="5:9" ht="15.75" hidden="1" customHeight="1" x14ac:dyDescent="0.2">
      <c r="E3253" t="s">
        <v>376</v>
      </c>
      <c r="F3253">
        <v>90</v>
      </c>
      <c r="G3253" t="s">
        <v>297</v>
      </c>
      <c r="H3253" t="s">
        <v>18</v>
      </c>
      <c r="I3253" t="s">
        <v>366</v>
      </c>
    </row>
    <row r="3254" spans="5:9" ht="15.75" hidden="1" customHeight="1" x14ac:dyDescent="0.2">
      <c r="E3254" t="s">
        <v>409</v>
      </c>
      <c r="F3254">
        <v>91</v>
      </c>
      <c r="G3254" t="s">
        <v>297</v>
      </c>
      <c r="H3254" t="s">
        <v>18</v>
      </c>
      <c r="I3254" t="s">
        <v>366</v>
      </c>
    </row>
    <row r="3255" spans="5:9" ht="15.75" hidden="1" customHeight="1" x14ac:dyDescent="0.2">
      <c r="E3255" t="s">
        <v>410</v>
      </c>
      <c r="F3255">
        <v>92</v>
      </c>
      <c r="G3255" t="s">
        <v>297</v>
      </c>
      <c r="H3255" t="s">
        <v>18</v>
      </c>
      <c r="I3255" t="s">
        <v>366</v>
      </c>
    </row>
    <row r="3256" spans="5:9" ht="15.75" hidden="1" customHeight="1" x14ac:dyDescent="0.2">
      <c r="E3256" t="s">
        <v>413</v>
      </c>
      <c r="F3256">
        <v>93</v>
      </c>
      <c r="G3256" t="s">
        <v>297</v>
      </c>
      <c r="H3256" t="s">
        <v>18</v>
      </c>
      <c r="I3256" t="s">
        <v>366</v>
      </c>
    </row>
    <row r="3257" spans="5:9" ht="15.75" hidden="1" customHeight="1" x14ac:dyDescent="0.2">
      <c r="E3257" t="s">
        <v>414</v>
      </c>
      <c r="F3257">
        <v>94</v>
      </c>
      <c r="G3257" t="s">
        <v>297</v>
      </c>
      <c r="H3257" t="s">
        <v>18</v>
      </c>
      <c r="I3257" t="s">
        <v>366</v>
      </c>
    </row>
    <row r="3258" spans="5:9" ht="15.75" hidden="1" customHeight="1" x14ac:dyDescent="0.2">
      <c r="E3258" t="s">
        <v>417</v>
      </c>
      <c r="F3258">
        <v>95</v>
      </c>
      <c r="G3258" t="s">
        <v>297</v>
      </c>
      <c r="H3258" t="s">
        <v>18</v>
      </c>
      <c r="I3258" t="s">
        <v>366</v>
      </c>
    </row>
    <row r="3259" spans="5:9" ht="15.75" hidden="1" customHeight="1" x14ac:dyDescent="0.2">
      <c r="E3259" t="s">
        <v>440</v>
      </c>
      <c r="F3259">
        <v>96</v>
      </c>
      <c r="G3259" t="s">
        <v>297</v>
      </c>
      <c r="H3259" t="s">
        <v>18</v>
      </c>
      <c r="I3259" t="s">
        <v>366</v>
      </c>
    </row>
    <row r="3260" spans="5:9" ht="15.75" hidden="1" customHeight="1" x14ac:dyDescent="0.2">
      <c r="E3260" t="s">
        <v>441</v>
      </c>
      <c r="F3260">
        <v>97</v>
      </c>
      <c r="G3260" t="s">
        <v>297</v>
      </c>
      <c r="H3260" t="s">
        <v>18</v>
      </c>
      <c r="I3260" t="s">
        <v>366</v>
      </c>
    </row>
    <row r="3261" spans="5:9" ht="15.75" hidden="1" customHeight="1" x14ac:dyDescent="0.2">
      <c r="E3261" t="s">
        <v>442</v>
      </c>
      <c r="F3261">
        <v>98</v>
      </c>
      <c r="G3261" t="s">
        <v>297</v>
      </c>
      <c r="H3261" t="s">
        <v>18</v>
      </c>
      <c r="I3261" t="s">
        <v>366</v>
      </c>
    </row>
    <row r="3262" spans="5:9" ht="15.75" hidden="1" customHeight="1" x14ac:dyDescent="0.2">
      <c r="E3262" t="s">
        <v>443</v>
      </c>
      <c r="F3262">
        <v>99</v>
      </c>
      <c r="G3262" t="s">
        <v>297</v>
      </c>
      <c r="H3262" t="s">
        <v>18</v>
      </c>
      <c r="I3262" t="s">
        <v>366</v>
      </c>
    </row>
    <row r="3263" spans="5:9" ht="15.75" hidden="1" customHeight="1" x14ac:dyDescent="0.2">
      <c r="E3263" t="s">
        <v>444</v>
      </c>
      <c r="F3263">
        <v>100</v>
      </c>
      <c r="G3263" t="s">
        <v>297</v>
      </c>
      <c r="H3263" t="s">
        <v>18</v>
      </c>
      <c r="I3263">
        <v>7</v>
      </c>
    </row>
    <row r="3264" spans="5:9" ht="15.75" hidden="1" customHeight="1" x14ac:dyDescent="0.2">
      <c r="E3264" t="s">
        <v>362</v>
      </c>
      <c r="F3264">
        <v>101</v>
      </c>
      <c r="G3264" t="s">
        <v>297</v>
      </c>
      <c r="H3264" t="s">
        <v>18</v>
      </c>
      <c r="I3264" t="s">
        <v>366</v>
      </c>
    </row>
    <row r="3265" spans="5:9" ht="15.75" hidden="1" customHeight="1" x14ac:dyDescent="0.2">
      <c r="E3265" t="s">
        <v>446</v>
      </c>
      <c r="F3265">
        <v>102</v>
      </c>
      <c r="G3265" t="s">
        <v>297</v>
      </c>
      <c r="H3265" t="s">
        <v>18</v>
      </c>
      <c r="I3265" t="s">
        <v>366</v>
      </c>
    </row>
    <row r="3266" spans="5:9" ht="15.75" hidden="1" customHeight="1" x14ac:dyDescent="0.2">
      <c r="E3266" t="s">
        <v>447</v>
      </c>
      <c r="F3266">
        <v>103</v>
      </c>
      <c r="G3266" t="s">
        <v>297</v>
      </c>
      <c r="H3266" t="s">
        <v>18</v>
      </c>
      <c r="I3266" t="s">
        <v>366</v>
      </c>
    </row>
    <row r="3267" spans="5:9" ht="15.75" hidden="1" customHeight="1" x14ac:dyDescent="0.2">
      <c r="E3267" t="s">
        <v>448</v>
      </c>
      <c r="F3267">
        <v>104</v>
      </c>
      <c r="G3267" t="s">
        <v>297</v>
      </c>
      <c r="H3267" t="s">
        <v>18</v>
      </c>
      <c r="I3267" t="s">
        <v>366</v>
      </c>
    </row>
    <row r="3268" spans="5:9" ht="15.75" hidden="1" customHeight="1" x14ac:dyDescent="0.2">
      <c r="E3268" t="s">
        <v>449</v>
      </c>
      <c r="F3268">
        <v>105</v>
      </c>
      <c r="G3268" t="s">
        <v>297</v>
      </c>
      <c r="H3268" t="s">
        <v>18</v>
      </c>
      <c r="I3268" t="s">
        <v>366</v>
      </c>
    </row>
    <row r="3269" spans="5:9" ht="15.75" hidden="1" customHeight="1" x14ac:dyDescent="0.2">
      <c r="E3269" t="s">
        <v>450</v>
      </c>
      <c r="F3269">
        <v>106</v>
      </c>
      <c r="G3269" t="s">
        <v>297</v>
      </c>
      <c r="H3269" t="s">
        <v>18</v>
      </c>
      <c r="I3269" t="s">
        <v>366</v>
      </c>
    </row>
    <row r="3270" spans="5:9" ht="15.75" hidden="1" customHeight="1" x14ac:dyDescent="0.2">
      <c r="E3270" t="s">
        <v>451</v>
      </c>
      <c r="F3270">
        <v>107</v>
      </c>
      <c r="G3270" t="s">
        <v>297</v>
      </c>
      <c r="H3270" t="s">
        <v>18</v>
      </c>
      <c r="I3270" t="s">
        <v>366</v>
      </c>
    </row>
    <row r="3271" spans="5:9" ht="15.75" hidden="1" customHeight="1" x14ac:dyDescent="0.2">
      <c r="E3271" t="s">
        <v>452</v>
      </c>
      <c r="F3271">
        <v>108</v>
      </c>
      <c r="G3271" t="s">
        <v>297</v>
      </c>
      <c r="H3271" t="s">
        <v>18</v>
      </c>
      <c r="I3271" t="s">
        <v>366</v>
      </c>
    </row>
    <row r="3272" spans="5:9" ht="15.75" hidden="1" customHeight="1" x14ac:dyDescent="0.2">
      <c r="E3272" t="s">
        <v>453</v>
      </c>
      <c r="F3272">
        <v>109</v>
      </c>
      <c r="G3272" t="s">
        <v>297</v>
      </c>
      <c r="H3272" t="s">
        <v>18</v>
      </c>
      <c r="I3272" t="s">
        <v>366</v>
      </c>
    </row>
    <row r="3273" spans="5:9" ht="15.75" hidden="1" customHeight="1" x14ac:dyDescent="0.2">
      <c r="E3273" t="s">
        <v>454</v>
      </c>
      <c r="F3273">
        <v>110</v>
      </c>
      <c r="G3273" t="s">
        <v>297</v>
      </c>
      <c r="H3273" t="s">
        <v>18</v>
      </c>
      <c r="I3273" t="s">
        <v>366</v>
      </c>
    </row>
    <row r="3274" spans="5:9" ht="15.75" hidden="1" customHeight="1" x14ac:dyDescent="0.2">
      <c r="E3274" t="s">
        <v>455</v>
      </c>
      <c r="F3274">
        <v>111</v>
      </c>
      <c r="G3274" t="s">
        <v>297</v>
      </c>
      <c r="H3274" t="s">
        <v>18</v>
      </c>
      <c r="I3274" t="s">
        <v>366</v>
      </c>
    </row>
    <row r="3275" spans="5:9" ht="15.75" hidden="1" customHeight="1" x14ac:dyDescent="0.2">
      <c r="E3275" t="s">
        <v>456</v>
      </c>
      <c r="F3275">
        <v>112</v>
      </c>
      <c r="G3275" t="s">
        <v>297</v>
      </c>
      <c r="H3275" t="s">
        <v>18</v>
      </c>
      <c r="I3275" t="s">
        <v>366</v>
      </c>
    </row>
    <row r="3276" spans="5:9" ht="15.75" hidden="1" customHeight="1" x14ac:dyDescent="0.2">
      <c r="E3276" t="s">
        <v>457</v>
      </c>
      <c r="F3276">
        <v>113</v>
      </c>
      <c r="G3276" t="s">
        <v>297</v>
      </c>
      <c r="H3276" t="s">
        <v>18</v>
      </c>
      <c r="I3276" t="s">
        <v>366</v>
      </c>
    </row>
    <row r="3277" spans="5:9" ht="15.75" hidden="1" customHeight="1" x14ac:dyDescent="0.2">
      <c r="E3277" t="s">
        <v>459</v>
      </c>
      <c r="F3277">
        <v>114</v>
      </c>
      <c r="G3277" t="s">
        <v>297</v>
      </c>
      <c r="H3277" t="s">
        <v>18</v>
      </c>
      <c r="I3277" t="s">
        <v>366</v>
      </c>
    </row>
    <row r="3278" spans="5:9" ht="15.75" hidden="1" customHeight="1" x14ac:dyDescent="0.2">
      <c r="E3278" t="s">
        <v>460</v>
      </c>
      <c r="F3278">
        <v>115</v>
      </c>
      <c r="G3278" t="s">
        <v>297</v>
      </c>
      <c r="H3278" t="s">
        <v>18</v>
      </c>
      <c r="I3278" t="s">
        <v>366</v>
      </c>
    </row>
    <row r="3279" spans="5:9" ht="15.75" hidden="1" customHeight="1" x14ac:dyDescent="0.2">
      <c r="E3279" t="s">
        <v>461</v>
      </c>
      <c r="F3279">
        <v>116</v>
      </c>
      <c r="G3279" t="s">
        <v>297</v>
      </c>
      <c r="H3279" t="s">
        <v>18</v>
      </c>
      <c r="I3279" t="s">
        <v>366</v>
      </c>
    </row>
    <row r="3280" spans="5:9" ht="15.75" hidden="1" customHeight="1" x14ac:dyDescent="0.2">
      <c r="E3280" t="s">
        <v>462</v>
      </c>
      <c r="F3280">
        <v>117</v>
      </c>
      <c r="G3280" t="s">
        <v>297</v>
      </c>
      <c r="H3280" t="s">
        <v>18</v>
      </c>
      <c r="I3280" t="s">
        <v>366</v>
      </c>
    </row>
    <row r="3281" spans="5:9" ht="15.75" hidden="1" customHeight="1" x14ac:dyDescent="0.2">
      <c r="E3281" t="s">
        <v>463</v>
      </c>
      <c r="F3281">
        <v>118</v>
      </c>
      <c r="G3281" t="s">
        <v>297</v>
      </c>
      <c r="H3281" t="s">
        <v>18</v>
      </c>
      <c r="I3281" t="s">
        <v>366</v>
      </c>
    </row>
    <row r="3282" spans="5:9" ht="15.75" hidden="1" customHeight="1" x14ac:dyDescent="0.2">
      <c r="E3282" t="s">
        <v>464</v>
      </c>
      <c r="F3282">
        <v>119</v>
      </c>
      <c r="G3282" t="s">
        <v>297</v>
      </c>
      <c r="H3282" t="s">
        <v>18</v>
      </c>
      <c r="I3282" t="s">
        <v>366</v>
      </c>
    </row>
    <row r="3283" spans="5:9" ht="15.75" hidden="1" customHeight="1" x14ac:dyDescent="0.2">
      <c r="E3283" t="s">
        <v>465</v>
      </c>
      <c r="F3283">
        <v>120</v>
      </c>
      <c r="G3283" t="s">
        <v>297</v>
      </c>
      <c r="H3283" t="s">
        <v>18</v>
      </c>
      <c r="I3283" t="s">
        <v>366</v>
      </c>
    </row>
    <row r="3284" spans="5:9" ht="15.75" hidden="1" customHeight="1" x14ac:dyDescent="0.2">
      <c r="E3284" t="s">
        <v>466</v>
      </c>
      <c r="F3284">
        <v>121</v>
      </c>
      <c r="G3284" t="s">
        <v>297</v>
      </c>
      <c r="H3284" t="s">
        <v>18</v>
      </c>
      <c r="I3284" t="s">
        <v>366</v>
      </c>
    </row>
    <row r="3285" spans="5:9" ht="15.75" hidden="1" customHeight="1" x14ac:dyDescent="0.2">
      <c r="E3285" t="s">
        <v>467</v>
      </c>
      <c r="F3285">
        <v>122</v>
      </c>
      <c r="G3285" t="s">
        <v>297</v>
      </c>
      <c r="H3285" t="s">
        <v>18</v>
      </c>
      <c r="I3285" t="s">
        <v>366</v>
      </c>
    </row>
    <row r="3286" spans="5:9" ht="15.75" hidden="1" customHeight="1" x14ac:dyDescent="0.2">
      <c r="E3286" t="s">
        <v>468</v>
      </c>
      <c r="F3286">
        <v>123</v>
      </c>
      <c r="G3286" t="s">
        <v>297</v>
      </c>
      <c r="H3286" t="s">
        <v>18</v>
      </c>
      <c r="I3286" t="s">
        <v>366</v>
      </c>
    </row>
    <row r="3287" spans="5:9" ht="15.75" hidden="1" customHeight="1" x14ac:dyDescent="0.2">
      <c r="E3287" t="s">
        <v>469</v>
      </c>
      <c r="F3287">
        <v>124</v>
      </c>
      <c r="G3287" t="s">
        <v>297</v>
      </c>
      <c r="H3287" t="s">
        <v>18</v>
      </c>
      <c r="I3287" t="s">
        <v>366</v>
      </c>
    </row>
    <row r="3288" spans="5:9" ht="15.75" hidden="1" customHeight="1" x14ac:dyDescent="0.2">
      <c r="E3288" t="s">
        <v>470</v>
      </c>
      <c r="F3288">
        <v>125</v>
      </c>
      <c r="G3288" t="s">
        <v>297</v>
      </c>
      <c r="H3288" t="s">
        <v>18</v>
      </c>
      <c r="I3288" t="s">
        <v>366</v>
      </c>
    </row>
    <row r="3289" spans="5:9" ht="15.75" hidden="1" customHeight="1" x14ac:dyDescent="0.2">
      <c r="E3289" t="s">
        <v>471</v>
      </c>
      <c r="F3289">
        <v>126</v>
      </c>
      <c r="G3289" t="s">
        <v>297</v>
      </c>
      <c r="H3289" t="s">
        <v>18</v>
      </c>
      <c r="I3289" t="s">
        <v>366</v>
      </c>
    </row>
    <row r="3290" spans="5:9" ht="15.75" hidden="1" customHeight="1" x14ac:dyDescent="0.2">
      <c r="E3290" t="s">
        <v>472</v>
      </c>
      <c r="F3290">
        <v>127</v>
      </c>
      <c r="G3290" t="s">
        <v>297</v>
      </c>
      <c r="H3290" t="s">
        <v>18</v>
      </c>
      <c r="I3290" t="s">
        <v>366</v>
      </c>
    </row>
    <row r="3291" spans="5:9" ht="15.75" hidden="1" customHeight="1" x14ac:dyDescent="0.2">
      <c r="E3291" t="s">
        <v>473</v>
      </c>
      <c r="F3291">
        <v>128</v>
      </c>
      <c r="G3291" t="s">
        <v>297</v>
      </c>
      <c r="H3291" t="s">
        <v>18</v>
      </c>
      <c r="I3291" t="s">
        <v>366</v>
      </c>
    </row>
    <row r="3292" spans="5:9" ht="15.75" hidden="1" customHeight="1" x14ac:dyDescent="0.2">
      <c r="E3292" t="s">
        <v>474</v>
      </c>
      <c r="F3292">
        <v>129</v>
      </c>
      <c r="G3292" t="s">
        <v>297</v>
      </c>
      <c r="H3292" t="s">
        <v>18</v>
      </c>
      <c r="I3292" t="s">
        <v>366</v>
      </c>
    </row>
    <row r="3293" spans="5:9" ht="15.75" hidden="1" customHeight="1" x14ac:dyDescent="0.2">
      <c r="E3293" t="s">
        <v>476</v>
      </c>
      <c r="F3293">
        <v>130</v>
      </c>
      <c r="G3293" t="s">
        <v>297</v>
      </c>
      <c r="H3293" t="s">
        <v>18</v>
      </c>
      <c r="I3293">
        <v>0</v>
      </c>
    </row>
    <row r="3294" spans="5:9" ht="15.75" hidden="1" customHeight="1" x14ac:dyDescent="0.2">
      <c r="E3294" t="s">
        <v>478</v>
      </c>
      <c r="F3294">
        <v>131</v>
      </c>
      <c r="G3294" t="s">
        <v>297</v>
      </c>
      <c r="H3294" t="s">
        <v>18</v>
      </c>
      <c r="I3294">
        <v>6</v>
      </c>
    </row>
    <row r="3295" spans="5:9" ht="15.75" hidden="1" customHeight="1" x14ac:dyDescent="0.2">
      <c r="E3295" t="s">
        <v>440</v>
      </c>
      <c r="F3295">
        <v>132</v>
      </c>
      <c r="G3295" t="s">
        <v>297</v>
      </c>
      <c r="H3295" t="s">
        <v>18</v>
      </c>
      <c r="I3295">
        <v>1</v>
      </c>
    </row>
    <row r="3296" spans="5:9" ht="15.75" hidden="1" customHeight="1" x14ac:dyDescent="0.2">
      <c r="E3296" t="s">
        <v>441</v>
      </c>
      <c r="F3296">
        <v>133</v>
      </c>
      <c r="G3296" t="s">
        <v>297</v>
      </c>
      <c r="H3296" t="s">
        <v>18</v>
      </c>
      <c r="I3296">
        <v>1</v>
      </c>
    </row>
    <row r="3297" spans="5:9" ht="15.75" hidden="1" customHeight="1" x14ac:dyDescent="0.2">
      <c r="E3297" t="s">
        <v>442</v>
      </c>
      <c r="F3297">
        <v>134</v>
      </c>
      <c r="G3297" t="s">
        <v>297</v>
      </c>
      <c r="H3297" t="s">
        <v>18</v>
      </c>
      <c r="I3297">
        <v>1</v>
      </c>
    </row>
    <row r="3298" spans="5:9" ht="15.75" hidden="1" customHeight="1" x14ac:dyDescent="0.2">
      <c r="E3298" t="s">
        <v>443</v>
      </c>
      <c r="F3298">
        <v>135</v>
      </c>
      <c r="G3298" t="s">
        <v>297</v>
      </c>
      <c r="H3298" t="s">
        <v>18</v>
      </c>
      <c r="I3298">
        <v>31</v>
      </c>
    </row>
    <row r="3299" spans="5:9" ht="15.75" hidden="1" customHeight="1" x14ac:dyDescent="0.2">
      <c r="E3299" t="s">
        <v>362</v>
      </c>
      <c r="F3299">
        <v>136</v>
      </c>
      <c r="G3299" t="s">
        <v>297</v>
      </c>
      <c r="H3299" t="s">
        <v>18</v>
      </c>
      <c r="I3299">
        <v>3</v>
      </c>
    </row>
    <row r="3300" spans="5:9" ht="15.75" hidden="1" customHeight="1" x14ac:dyDescent="0.2">
      <c r="E3300" t="s">
        <v>482</v>
      </c>
      <c r="F3300">
        <v>137</v>
      </c>
      <c r="G3300" t="s">
        <v>297</v>
      </c>
      <c r="H3300" t="s">
        <v>18</v>
      </c>
      <c r="I3300">
        <v>6</v>
      </c>
    </row>
    <row r="3301" spans="5:9" ht="15.75" hidden="1" customHeight="1" x14ac:dyDescent="0.2">
      <c r="E3301" t="s">
        <v>483</v>
      </c>
      <c r="F3301">
        <v>138</v>
      </c>
      <c r="G3301" t="s">
        <v>297</v>
      </c>
      <c r="H3301" t="s">
        <v>18</v>
      </c>
      <c r="I3301">
        <v>14</v>
      </c>
    </row>
    <row r="3302" spans="5:9" ht="15.75" hidden="1" customHeight="1" x14ac:dyDescent="0.2">
      <c r="E3302" t="s">
        <v>484</v>
      </c>
      <c r="F3302">
        <v>139</v>
      </c>
      <c r="G3302" t="s">
        <v>297</v>
      </c>
      <c r="H3302" t="s">
        <v>18</v>
      </c>
      <c r="I3302">
        <v>21</v>
      </c>
    </row>
    <row r="3303" spans="5:9" ht="15.75" hidden="1" customHeight="1" x14ac:dyDescent="0.2">
      <c r="E3303" t="s">
        <v>486</v>
      </c>
      <c r="F3303">
        <v>140</v>
      </c>
      <c r="G3303" t="s">
        <v>297</v>
      </c>
      <c r="H3303" t="s">
        <v>18</v>
      </c>
      <c r="I3303">
        <v>6</v>
      </c>
    </row>
    <row r="3304" spans="5:9" ht="15.75" hidden="1" customHeight="1" x14ac:dyDescent="0.2">
      <c r="E3304" t="s">
        <v>487</v>
      </c>
      <c r="F3304">
        <v>141</v>
      </c>
      <c r="G3304" t="s">
        <v>297</v>
      </c>
      <c r="H3304" t="s">
        <v>18</v>
      </c>
      <c r="I3304">
        <v>6</v>
      </c>
    </row>
    <row r="3305" spans="5:9" ht="15.75" hidden="1" customHeight="1" x14ac:dyDescent="0.2">
      <c r="E3305" t="s">
        <v>446</v>
      </c>
      <c r="F3305">
        <v>142</v>
      </c>
      <c r="G3305" t="s">
        <v>297</v>
      </c>
      <c r="H3305" t="s">
        <v>18</v>
      </c>
      <c r="I3305">
        <v>6</v>
      </c>
    </row>
    <row r="3306" spans="5:9" ht="15.75" hidden="1" customHeight="1" x14ac:dyDescent="0.2">
      <c r="E3306" t="s">
        <v>447</v>
      </c>
      <c r="F3306">
        <v>143</v>
      </c>
      <c r="G3306" t="s">
        <v>297</v>
      </c>
      <c r="H3306" t="s">
        <v>18</v>
      </c>
      <c r="I3306">
        <v>4</v>
      </c>
    </row>
    <row r="3307" spans="5:9" ht="15.75" hidden="1" customHeight="1" x14ac:dyDescent="0.2">
      <c r="E3307" t="s">
        <v>448</v>
      </c>
      <c r="F3307">
        <v>144</v>
      </c>
      <c r="G3307" t="s">
        <v>297</v>
      </c>
      <c r="H3307" t="s">
        <v>18</v>
      </c>
      <c r="I3307">
        <v>1</v>
      </c>
    </row>
    <row r="3308" spans="5:9" ht="15.75" hidden="1" customHeight="1" x14ac:dyDescent="0.2">
      <c r="E3308" t="s">
        <v>449</v>
      </c>
      <c r="F3308">
        <v>145</v>
      </c>
      <c r="G3308" t="s">
        <v>297</v>
      </c>
      <c r="H3308" t="s">
        <v>18</v>
      </c>
      <c r="I3308">
        <v>1</v>
      </c>
    </row>
    <row r="3309" spans="5:9" ht="15.75" hidden="1" customHeight="1" x14ac:dyDescent="0.2">
      <c r="E3309" t="s">
        <v>450</v>
      </c>
      <c r="F3309">
        <v>146</v>
      </c>
      <c r="G3309" t="s">
        <v>297</v>
      </c>
      <c r="H3309" t="s">
        <v>18</v>
      </c>
      <c r="I3309">
        <v>1</v>
      </c>
    </row>
    <row r="3310" spans="5:9" ht="15.75" hidden="1" customHeight="1" x14ac:dyDescent="0.2">
      <c r="E3310" t="s">
        <v>451</v>
      </c>
      <c r="F3310">
        <v>147</v>
      </c>
      <c r="G3310" t="s">
        <v>297</v>
      </c>
      <c r="H3310" t="s">
        <v>18</v>
      </c>
      <c r="I3310">
        <v>1</v>
      </c>
    </row>
    <row r="3311" spans="5:9" ht="15.75" hidden="1" customHeight="1" x14ac:dyDescent="0.2">
      <c r="E3311" t="s">
        <v>488</v>
      </c>
      <c r="F3311">
        <v>148</v>
      </c>
      <c r="G3311" t="s">
        <v>297</v>
      </c>
      <c r="H3311" t="s">
        <v>18</v>
      </c>
      <c r="I3311">
        <v>4</v>
      </c>
    </row>
    <row r="3312" spans="5:9" ht="15.75" hidden="1" customHeight="1" x14ac:dyDescent="0.2">
      <c r="E3312" t="s">
        <v>452</v>
      </c>
      <c r="F3312">
        <v>149</v>
      </c>
      <c r="G3312" t="s">
        <v>297</v>
      </c>
      <c r="H3312" t="s">
        <v>18</v>
      </c>
      <c r="I3312">
        <v>3</v>
      </c>
    </row>
    <row r="3313" spans="5:9" ht="15.75" hidden="1" customHeight="1" x14ac:dyDescent="0.2">
      <c r="E3313" t="s">
        <v>453</v>
      </c>
      <c r="F3313">
        <v>150</v>
      </c>
      <c r="G3313" t="s">
        <v>297</v>
      </c>
      <c r="H3313" t="s">
        <v>18</v>
      </c>
      <c r="I3313">
        <v>1</v>
      </c>
    </row>
    <row r="3314" spans="5:9" ht="15.75" hidden="1" customHeight="1" x14ac:dyDescent="0.2">
      <c r="E3314" t="s">
        <v>454</v>
      </c>
      <c r="F3314">
        <v>151</v>
      </c>
      <c r="G3314" t="s">
        <v>297</v>
      </c>
      <c r="H3314" t="s">
        <v>18</v>
      </c>
      <c r="I3314">
        <v>3</v>
      </c>
    </row>
    <row r="3315" spans="5:9" ht="15.75" hidden="1" customHeight="1" x14ac:dyDescent="0.2">
      <c r="E3315" t="s">
        <v>455</v>
      </c>
      <c r="F3315">
        <v>152</v>
      </c>
      <c r="G3315" t="s">
        <v>297</v>
      </c>
      <c r="H3315" t="s">
        <v>18</v>
      </c>
      <c r="I3315">
        <v>1</v>
      </c>
    </row>
    <row r="3316" spans="5:9" ht="15.75" hidden="1" customHeight="1" x14ac:dyDescent="0.2">
      <c r="E3316" t="s">
        <v>456</v>
      </c>
      <c r="F3316">
        <v>153</v>
      </c>
      <c r="G3316" t="s">
        <v>297</v>
      </c>
      <c r="H3316" t="s">
        <v>18</v>
      </c>
      <c r="I3316">
        <v>1</v>
      </c>
    </row>
    <row r="3317" spans="5:9" ht="15.75" hidden="1" customHeight="1" x14ac:dyDescent="0.2">
      <c r="E3317" t="s">
        <v>489</v>
      </c>
      <c r="F3317">
        <v>154</v>
      </c>
      <c r="G3317" t="s">
        <v>297</v>
      </c>
      <c r="H3317" t="s">
        <v>18</v>
      </c>
      <c r="I3317">
        <v>3</v>
      </c>
    </row>
    <row r="3318" spans="5:9" ht="15.75" hidden="1" customHeight="1" x14ac:dyDescent="0.2">
      <c r="E3318" t="s">
        <v>457</v>
      </c>
      <c r="F3318">
        <v>155</v>
      </c>
      <c r="G3318" t="s">
        <v>297</v>
      </c>
      <c r="H3318" t="s">
        <v>18</v>
      </c>
      <c r="I3318">
        <v>1</v>
      </c>
    </row>
    <row r="3319" spans="5:9" ht="15.75" hidden="1" customHeight="1" x14ac:dyDescent="0.2">
      <c r="E3319" t="s">
        <v>362</v>
      </c>
      <c r="F3319">
        <v>156</v>
      </c>
      <c r="G3319" t="s">
        <v>297</v>
      </c>
      <c r="H3319" t="s">
        <v>18</v>
      </c>
      <c r="I3319">
        <v>2</v>
      </c>
    </row>
    <row r="3320" spans="5:9" ht="15.75" hidden="1" customHeight="1" x14ac:dyDescent="0.2">
      <c r="E3320" t="s">
        <v>491</v>
      </c>
      <c r="F3320">
        <v>157</v>
      </c>
      <c r="G3320" t="s">
        <v>297</v>
      </c>
      <c r="H3320" t="s">
        <v>18</v>
      </c>
      <c r="I3320">
        <v>13</v>
      </c>
    </row>
    <row r="3321" spans="5:9" ht="15.75" hidden="1" customHeight="1" x14ac:dyDescent="0.2">
      <c r="E3321" t="s">
        <v>492</v>
      </c>
      <c r="F3321">
        <v>158</v>
      </c>
      <c r="G3321" t="s">
        <v>297</v>
      </c>
      <c r="H3321" t="s">
        <v>18</v>
      </c>
      <c r="I3321">
        <v>4</v>
      </c>
    </row>
    <row r="3322" spans="5:9" ht="15.75" hidden="1" customHeight="1" x14ac:dyDescent="0.2">
      <c r="E3322" t="s">
        <v>493</v>
      </c>
      <c r="F3322">
        <v>159</v>
      </c>
      <c r="G3322" t="s">
        <v>297</v>
      </c>
      <c r="H3322" t="s">
        <v>18</v>
      </c>
      <c r="I3322">
        <v>5</v>
      </c>
    </row>
    <row r="3323" spans="5:9" ht="15.75" hidden="1" customHeight="1" x14ac:dyDescent="0.2">
      <c r="E3323" t="s">
        <v>494</v>
      </c>
      <c r="F3323">
        <v>160</v>
      </c>
      <c r="G3323" t="s">
        <v>297</v>
      </c>
      <c r="H3323" t="s">
        <v>18</v>
      </c>
      <c r="I3323">
        <v>8</v>
      </c>
    </row>
    <row r="3324" spans="5:9" ht="15.75" hidden="1" customHeight="1" x14ac:dyDescent="0.2">
      <c r="E3324" t="s">
        <v>496</v>
      </c>
      <c r="F3324">
        <v>161</v>
      </c>
      <c r="G3324" t="s">
        <v>297</v>
      </c>
      <c r="H3324" t="s">
        <v>18</v>
      </c>
      <c r="I3324">
        <v>9</v>
      </c>
    </row>
    <row r="3325" spans="5:9" ht="15.75" hidden="1" customHeight="1" x14ac:dyDescent="0.2">
      <c r="E3325" t="s">
        <v>497</v>
      </c>
      <c r="F3325">
        <v>162</v>
      </c>
      <c r="G3325" t="s">
        <v>297</v>
      </c>
      <c r="H3325" t="s">
        <v>18</v>
      </c>
      <c r="I3325">
        <v>9</v>
      </c>
    </row>
    <row r="3326" spans="5:9" ht="15.75" hidden="1" customHeight="1" x14ac:dyDescent="0.2">
      <c r="E3326" t="s">
        <v>459</v>
      </c>
      <c r="F3326">
        <v>163</v>
      </c>
      <c r="G3326" t="s">
        <v>297</v>
      </c>
      <c r="H3326" t="s">
        <v>18</v>
      </c>
      <c r="I3326">
        <v>4</v>
      </c>
    </row>
    <row r="3327" spans="5:9" ht="15.75" hidden="1" customHeight="1" x14ac:dyDescent="0.2">
      <c r="E3327" t="s">
        <v>460</v>
      </c>
      <c r="F3327">
        <v>164</v>
      </c>
      <c r="G3327" t="s">
        <v>297</v>
      </c>
      <c r="H3327" t="s">
        <v>18</v>
      </c>
      <c r="I3327">
        <v>1</v>
      </c>
    </row>
    <row r="3328" spans="5:9" ht="15.75" hidden="1" customHeight="1" x14ac:dyDescent="0.2">
      <c r="E3328" t="s">
        <v>461</v>
      </c>
      <c r="F3328">
        <v>165</v>
      </c>
      <c r="G3328" t="s">
        <v>297</v>
      </c>
      <c r="H3328" t="s">
        <v>18</v>
      </c>
      <c r="I3328">
        <v>2</v>
      </c>
    </row>
    <row r="3329" spans="5:9" ht="15.75" hidden="1" customHeight="1" x14ac:dyDescent="0.2">
      <c r="E3329" t="s">
        <v>462</v>
      </c>
      <c r="F3329">
        <v>166</v>
      </c>
      <c r="G3329" t="s">
        <v>297</v>
      </c>
      <c r="H3329" t="s">
        <v>18</v>
      </c>
      <c r="I3329">
        <v>1</v>
      </c>
    </row>
    <row r="3330" spans="5:9" ht="15.75" hidden="1" customHeight="1" x14ac:dyDescent="0.2">
      <c r="E3330" t="s">
        <v>463</v>
      </c>
      <c r="F3330">
        <v>167</v>
      </c>
      <c r="G3330" t="s">
        <v>297</v>
      </c>
      <c r="H3330" t="s">
        <v>18</v>
      </c>
      <c r="I3330">
        <v>2</v>
      </c>
    </row>
    <row r="3331" spans="5:9" ht="15.75" hidden="1" customHeight="1" x14ac:dyDescent="0.2">
      <c r="E3331" t="s">
        <v>464</v>
      </c>
      <c r="F3331">
        <v>168</v>
      </c>
      <c r="G3331" t="s">
        <v>297</v>
      </c>
      <c r="H3331" t="s">
        <v>18</v>
      </c>
      <c r="I3331">
        <v>1</v>
      </c>
    </row>
    <row r="3332" spans="5:9" ht="15.75" hidden="1" customHeight="1" x14ac:dyDescent="0.2">
      <c r="E3332" t="s">
        <v>465</v>
      </c>
      <c r="F3332">
        <v>169</v>
      </c>
      <c r="G3332" t="s">
        <v>297</v>
      </c>
      <c r="H3332" t="s">
        <v>18</v>
      </c>
      <c r="I3332">
        <v>1</v>
      </c>
    </row>
    <row r="3333" spans="5:9" ht="15.75" hidden="1" customHeight="1" x14ac:dyDescent="0.2">
      <c r="E3333" t="s">
        <v>466</v>
      </c>
      <c r="F3333">
        <v>170</v>
      </c>
      <c r="G3333" t="s">
        <v>297</v>
      </c>
      <c r="H3333" t="s">
        <v>18</v>
      </c>
      <c r="I3333">
        <v>2</v>
      </c>
    </row>
    <row r="3334" spans="5:9" ht="15.75" hidden="1" customHeight="1" x14ac:dyDescent="0.2">
      <c r="E3334" t="s">
        <v>467</v>
      </c>
      <c r="F3334">
        <v>171</v>
      </c>
      <c r="G3334" t="s">
        <v>297</v>
      </c>
      <c r="H3334" t="s">
        <v>18</v>
      </c>
      <c r="I3334">
        <v>1</v>
      </c>
    </row>
    <row r="3335" spans="5:9" ht="15.75" hidden="1" customHeight="1" x14ac:dyDescent="0.2">
      <c r="E3335" t="s">
        <v>468</v>
      </c>
      <c r="F3335">
        <v>172</v>
      </c>
      <c r="G3335" t="s">
        <v>297</v>
      </c>
      <c r="H3335" t="s">
        <v>18</v>
      </c>
      <c r="I3335">
        <v>2</v>
      </c>
    </row>
    <row r="3336" spans="5:9" ht="15.75" hidden="1" customHeight="1" x14ac:dyDescent="0.2">
      <c r="E3336" t="s">
        <v>469</v>
      </c>
      <c r="F3336">
        <v>173</v>
      </c>
      <c r="G3336" t="s">
        <v>297</v>
      </c>
      <c r="H3336" t="s">
        <v>18</v>
      </c>
      <c r="I3336">
        <v>2</v>
      </c>
    </row>
    <row r="3337" spans="5:9" ht="15.75" hidden="1" customHeight="1" x14ac:dyDescent="0.2">
      <c r="E3337" t="s">
        <v>470</v>
      </c>
      <c r="F3337">
        <v>174</v>
      </c>
      <c r="G3337" t="s">
        <v>297</v>
      </c>
      <c r="H3337" t="s">
        <v>18</v>
      </c>
      <c r="I3337">
        <v>2</v>
      </c>
    </row>
    <row r="3338" spans="5:9" ht="15.75" hidden="1" customHeight="1" x14ac:dyDescent="0.2">
      <c r="E3338" t="s">
        <v>471</v>
      </c>
      <c r="F3338">
        <v>175</v>
      </c>
      <c r="G3338" t="s">
        <v>297</v>
      </c>
      <c r="H3338" t="s">
        <v>18</v>
      </c>
      <c r="I3338">
        <v>1</v>
      </c>
    </row>
    <row r="3339" spans="5:9" ht="15.75" hidden="1" customHeight="1" x14ac:dyDescent="0.2">
      <c r="E3339" t="s">
        <v>472</v>
      </c>
      <c r="F3339">
        <v>176</v>
      </c>
      <c r="G3339" t="s">
        <v>297</v>
      </c>
      <c r="H3339" t="s">
        <v>18</v>
      </c>
      <c r="I3339">
        <v>1</v>
      </c>
    </row>
    <row r="3340" spans="5:9" ht="15.75" hidden="1" customHeight="1" x14ac:dyDescent="0.2">
      <c r="E3340" t="s">
        <v>362</v>
      </c>
      <c r="F3340">
        <v>177</v>
      </c>
      <c r="G3340" t="s">
        <v>297</v>
      </c>
      <c r="H3340" t="s">
        <v>18</v>
      </c>
      <c r="I3340">
        <v>3</v>
      </c>
    </row>
    <row r="3341" spans="5:9" ht="15.75" hidden="1" customHeight="1" x14ac:dyDescent="0.2">
      <c r="E3341" t="s">
        <v>473</v>
      </c>
      <c r="F3341">
        <v>178</v>
      </c>
      <c r="G3341" t="s">
        <v>297</v>
      </c>
      <c r="H3341" t="s">
        <v>18</v>
      </c>
      <c r="I3341">
        <v>2</v>
      </c>
    </row>
    <row r="3342" spans="5:9" ht="15.75" hidden="1" customHeight="1" x14ac:dyDescent="0.2">
      <c r="E3342" t="s">
        <v>474</v>
      </c>
      <c r="F3342">
        <v>179</v>
      </c>
      <c r="G3342" t="s">
        <v>297</v>
      </c>
      <c r="H3342" t="s">
        <v>18</v>
      </c>
      <c r="I3342">
        <v>2</v>
      </c>
    </row>
    <row r="3343" spans="5:9" ht="15.75" hidden="1" customHeight="1" x14ac:dyDescent="0.2">
      <c r="E3343" t="s">
        <v>499</v>
      </c>
      <c r="F3343">
        <v>180</v>
      </c>
      <c r="G3343" t="s">
        <v>297</v>
      </c>
      <c r="H3343" t="s">
        <v>18</v>
      </c>
      <c r="I3343">
        <v>4</v>
      </c>
    </row>
    <row r="3344" spans="5:9" ht="15.75" hidden="1" customHeight="1" x14ac:dyDescent="0.2">
      <c r="E3344" t="s">
        <v>500</v>
      </c>
      <c r="F3344">
        <v>181</v>
      </c>
      <c r="G3344" t="s">
        <v>297</v>
      </c>
      <c r="H3344" t="s">
        <v>18</v>
      </c>
      <c r="I3344">
        <v>7</v>
      </c>
    </row>
    <row r="3345" spans="5:9" ht="15.75" hidden="1" customHeight="1" x14ac:dyDescent="0.2">
      <c r="E3345" t="s">
        <v>501</v>
      </c>
      <c r="F3345">
        <v>182</v>
      </c>
      <c r="G3345" t="s">
        <v>297</v>
      </c>
      <c r="H3345" t="s">
        <v>18</v>
      </c>
      <c r="I3345">
        <v>24</v>
      </c>
    </row>
    <row r="3346" spans="5:9" ht="15.75" hidden="1" customHeight="1" x14ac:dyDescent="0.2">
      <c r="E3346" t="s">
        <v>502</v>
      </c>
      <c r="F3346">
        <v>183</v>
      </c>
      <c r="G3346" t="s">
        <v>297</v>
      </c>
      <c r="H3346" t="s">
        <v>18</v>
      </c>
      <c r="I3346">
        <v>12</v>
      </c>
    </row>
    <row r="3347" spans="5:9" ht="15.75" hidden="1" customHeight="1" x14ac:dyDescent="0.2">
      <c r="E3347" t="s">
        <v>503</v>
      </c>
      <c r="F3347">
        <v>184</v>
      </c>
      <c r="G3347" t="s">
        <v>297</v>
      </c>
      <c r="H3347" t="s">
        <v>18</v>
      </c>
      <c r="I3347">
        <v>8</v>
      </c>
    </row>
    <row r="3348" spans="5:9" ht="15.75" hidden="1" customHeight="1" x14ac:dyDescent="0.2">
      <c r="E3348" t="s">
        <v>504</v>
      </c>
      <c r="F3348">
        <v>185</v>
      </c>
      <c r="G3348" t="s">
        <v>297</v>
      </c>
      <c r="H3348" t="s">
        <v>18</v>
      </c>
      <c r="I3348">
        <v>3</v>
      </c>
    </row>
    <row r="3349" spans="5:9" ht="15.75" hidden="1" customHeight="1" x14ac:dyDescent="0.2">
      <c r="E3349" t="s">
        <v>505</v>
      </c>
      <c r="F3349">
        <v>186</v>
      </c>
      <c r="G3349" t="s">
        <v>297</v>
      </c>
      <c r="H3349" t="s">
        <v>18</v>
      </c>
      <c r="I3349">
        <v>5</v>
      </c>
    </row>
    <row r="3350" spans="5:9" ht="15.75" hidden="1" customHeight="1" x14ac:dyDescent="0.2">
      <c r="E3350" t="s">
        <v>287</v>
      </c>
      <c r="F3350">
        <v>1</v>
      </c>
      <c r="G3350" t="s">
        <v>298</v>
      </c>
      <c r="H3350" t="s">
        <v>19</v>
      </c>
      <c r="I3350">
        <v>0</v>
      </c>
    </row>
    <row r="3351" spans="5:9" ht="15.75" hidden="1" customHeight="1" x14ac:dyDescent="0.2">
      <c r="E3351" t="s">
        <v>350</v>
      </c>
      <c r="F3351">
        <v>2</v>
      </c>
      <c r="G3351" t="s">
        <v>298</v>
      </c>
      <c r="H3351" t="s">
        <v>19</v>
      </c>
      <c r="I3351">
        <v>0</v>
      </c>
    </row>
    <row r="3352" spans="5:9" ht="15.75" hidden="1" customHeight="1" x14ac:dyDescent="0.2">
      <c r="E3352" t="s">
        <v>351</v>
      </c>
      <c r="F3352">
        <v>3</v>
      </c>
      <c r="G3352" t="s">
        <v>298</v>
      </c>
      <c r="H3352" t="s">
        <v>19</v>
      </c>
      <c r="I3352">
        <v>3</v>
      </c>
    </row>
    <row r="3353" spans="5:9" ht="15.75" hidden="1" customHeight="1" x14ac:dyDescent="0.2">
      <c r="E3353" t="s">
        <v>352</v>
      </c>
      <c r="F3353">
        <v>4</v>
      </c>
      <c r="G3353" t="s">
        <v>298</v>
      </c>
      <c r="H3353" t="s">
        <v>19</v>
      </c>
      <c r="I3353">
        <v>0</v>
      </c>
    </row>
    <row r="3354" spans="5:9" ht="15.75" hidden="1" customHeight="1" x14ac:dyDescent="0.2">
      <c r="E3354" t="s">
        <v>354</v>
      </c>
      <c r="F3354">
        <v>5</v>
      </c>
      <c r="G3354" t="s">
        <v>298</v>
      </c>
      <c r="H3354" t="s">
        <v>19</v>
      </c>
      <c r="I3354">
        <v>4</v>
      </c>
    </row>
    <row r="3355" spans="5:9" ht="15.75" hidden="1" customHeight="1" x14ac:dyDescent="0.2">
      <c r="E3355" t="s">
        <v>356</v>
      </c>
      <c r="F3355">
        <v>6</v>
      </c>
      <c r="G3355" t="s">
        <v>298</v>
      </c>
      <c r="H3355" t="s">
        <v>19</v>
      </c>
      <c r="I3355">
        <v>4</v>
      </c>
    </row>
    <row r="3356" spans="5:9" ht="15.75" hidden="1" customHeight="1" x14ac:dyDescent="0.2">
      <c r="E3356" t="s">
        <v>358</v>
      </c>
      <c r="F3356">
        <v>7</v>
      </c>
      <c r="G3356" t="s">
        <v>298</v>
      </c>
      <c r="H3356" t="s">
        <v>19</v>
      </c>
      <c r="I3356">
        <v>0</v>
      </c>
    </row>
    <row r="3357" spans="5:9" ht="15.75" hidden="1" customHeight="1" x14ac:dyDescent="0.2">
      <c r="E3357" t="s">
        <v>359</v>
      </c>
      <c r="F3357">
        <v>8</v>
      </c>
      <c r="G3357" t="s">
        <v>298</v>
      </c>
      <c r="H3357" t="s">
        <v>19</v>
      </c>
      <c r="I3357">
        <v>0</v>
      </c>
    </row>
    <row r="3358" spans="5:9" ht="15.75" hidden="1" customHeight="1" x14ac:dyDescent="0.2">
      <c r="E3358" t="s">
        <v>360</v>
      </c>
      <c r="F3358">
        <v>9</v>
      </c>
      <c r="G3358" t="s">
        <v>298</v>
      </c>
      <c r="H3358" t="s">
        <v>19</v>
      </c>
      <c r="I3358">
        <v>0</v>
      </c>
    </row>
    <row r="3359" spans="5:9" ht="15.75" hidden="1" customHeight="1" x14ac:dyDescent="0.2">
      <c r="E3359" t="s">
        <v>361</v>
      </c>
      <c r="F3359">
        <v>10</v>
      </c>
      <c r="G3359" t="s">
        <v>298</v>
      </c>
      <c r="H3359" t="s">
        <v>19</v>
      </c>
      <c r="I3359">
        <v>0</v>
      </c>
    </row>
    <row r="3360" spans="5:9" ht="15.75" hidden="1" customHeight="1" x14ac:dyDescent="0.2">
      <c r="E3360" t="s">
        <v>362</v>
      </c>
      <c r="F3360">
        <v>11</v>
      </c>
      <c r="G3360" t="s">
        <v>298</v>
      </c>
      <c r="H3360" t="s">
        <v>19</v>
      </c>
      <c r="I3360">
        <v>0</v>
      </c>
    </row>
    <row r="3361" spans="5:9" ht="15.75" hidden="1" customHeight="1" x14ac:dyDescent="0.2">
      <c r="E3361" t="s">
        <v>363</v>
      </c>
      <c r="F3361">
        <v>12</v>
      </c>
      <c r="G3361" t="s">
        <v>298</v>
      </c>
      <c r="H3361" t="s">
        <v>19</v>
      </c>
      <c r="I3361">
        <v>0</v>
      </c>
    </row>
    <row r="3362" spans="5:9" ht="15.75" hidden="1" customHeight="1" x14ac:dyDescent="0.2">
      <c r="E3362" t="s">
        <v>365</v>
      </c>
      <c r="F3362">
        <v>13</v>
      </c>
      <c r="G3362" t="s">
        <v>298</v>
      </c>
      <c r="H3362" t="s">
        <v>19</v>
      </c>
      <c r="I3362">
        <v>0</v>
      </c>
    </row>
    <row r="3363" spans="5:9" ht="15.75" hidden="1" customHeight="1" x14ac:dyDescent="0.2">
      <c r="E3363" t="s">
        <v>369</v>
      </c>
      <c r="F3363">
        <v>14</v>
      </c>
      <c r="G3363" t="s">
        <v>298</v>
      </c>
      <c r="H3363" t="s">
        <v>19</v>
      </c>
      <c r="I3363">
        <v>0</v>
      </c>
    </row>
    <row r="3364" spans="5:9" ht="15.75" hidden="1" customHeight="1" x14ac:dyDescent="0.2">
      <c r="E3364" t="s">
        <v>370</v>
      </c>
      <c r="F3364">
        <v>15</v>
      </c>
      <c r="G3364" t="s">
        <v>298</v>
      </c>
      <c r="H3364" t="s">
        <v>19</v>
      </c>
      <c r="I3364">
        <v>0</v>
      </c>
    </row>
    <row r="3365" spans="5:9" ht="15.75" hidden="1" customHeight="1" x14ac:dyDescent="0.2">
      <c r="E3365" t="s">
        <v>371</v>
      </c>
      <c r="F3365">
        <v>16</v>
      </c>
      <c r="G3365" t="s">
        <v>298</v>
      </c>
      <c r="H3365" t="s">
        <v>19</v>
      </c>
      <c r="I3365">
        <v>1</v>
      </c>
    </row>
    <row r="3366" spans="5:9" ht="15.75" hidden="1" customHeight="1" x14ac:dyDescent="0.2">
      <c r="E3366" t="s">
        <v>372</v>
      </c>
      <c r="F3366">
        <v>17</v>
      </c>
      <c r="G3366" t="s">
        <v>298</v>
      </c>
      <c r="H3366" t="s">
        <v>19</v>
      </c>
      <c r="I3366">
        <v>1</v>
      </c>
    </row>
    <row r="3367" spans="5:9" ht="15.75" hidden="1" customHeight="1" x14ac:dyDescent="0.2">
      <c r="E3367" t="s">
        <v>373</v>
      </c>
      <c r="F3367">
        <v>18</v>
      </c>
      <c r="G3367" t="s">
        <v>298</v>
      </c>
      <c r="H3367" t="s">
        <v>19</v>
      </c>
      <c r="I3367">
        <v>1</v>
      </c>
    </row>
    <row r="3368" spans="5:9" ht="15.75" hidden="1" customHeight="1" x14ac:dyDescent="0.2">
      <c r="E3368" t="s">
        <v>374</v>
      </c>
      <c r="F3368">
        <v>19</v>
      </c>
      <c r="G3368" t="s">
        <v>298</v>
      </c>
      <c r="H3368" t="s">
        <v>19</v>
      </c>
      <c r="I3368">
        <v>0</v>
      </c>
    </row>
    <row r="3369" spans="5:9" ht="15.75" hidden="1" customHeight="1" x14ac:dyDescent="0.2">
      <c r="E3369" t="s">
        <v>375</v>
      </c>
      <c r="F3369">
        <v>20</v>
      </c>
      <c r="G3369" t="s">
        <v>298</v>
      </c>
      <c r="H3369" t="s">
        <v>19</v>
      </c>
      <c r="I3369">
        <v>1</v>
      </c>
    </row>
    <row r="3370" spans="5:9" ht="15.75" hidden="1" customHeight="1" x14ac:dyDescent="0.2">
      <c r="E3370" t="s">
        <v>376</v>
      </c>
      <c r="F3370">
        <v>21</v>
      </c>
      <c r="G3370" t="s">
        <v>298</v>
      </c>
      <c r="H3370" t="s">
        <v>19</v>
      </c>
      <c r="I3370">
        <v>1</v>
      </c>
    </row>
    <row r="3371" spans="5:9" ht="15.75" hidden="1" customHeight="1" x14ac:dyDescent="0.2">
      <c r="E3371" t="s">
        <v>377</v>
      </c>
      <c r="F3371">
        <v>22</v>
      </c>
      <c r="G3371" t="s">
        <v>298</v>
      </c>
      <c r="H3371" t="s">
        <v>19</v>
      </c>
      <c r="I3371">
        <v>0</v>
      </c>
    </row>
    <row r="3372" spans="5:9" ht="15.75" hidden="1" customHeight="1" x14ac:dyDescent="0.2">
      <c r="E3372" t="s">
        <v>378</v>
      </c>
      <c r="F3372">
        <v>23</v>
      </c>
      <c r="G3372" t="s">
        <v>298</v>
      </c>
      <c r="H3372" t="s">
        <v>19</v>
      </c>
      <c r="I3372">
        <v>0</v>
      </c>
    </row>
    <row r="3373" spans="5:9" ht="15.75" hidden="1" customHeight="1" x14ac:dyDescent="0.2">
      <c r="E3373" t="s">
        <v>379</v>
      </c>
      <c r="F3373">
        <v>24</v>
      </c>
      <c r="G3373" t="s">
        <v>298</v>
      </c>
      <c r="H3373" t="s">
        <v>19</v>
      </c>
      <c r="I3373">
        <v>0</v>
      </c>
    </row>
    <row r="3374" spans="5:9" ht="15.75" hidden="1" customHeight="1" x14ac:dyDescent="0.2">
      <c r="E3374" t="s">
        <v>380</v>
      </c>
      <c r="F3374">
        <v>25</v>
      </c>
      <c r="G3374" t="s">
        <v>298</v>
      </c>
      <c r="H3374" t="s">
        <v>19</v>
      </c>
      <c r="I3374">
        <v>1</v>
      </c>
    </row>
    <row r="3375" spans="5:9" ht="15.75" hidden="1" customHeight="1" x14ac:dyDescent="0.2">
      <c r="E3375" t="s">
        <v>381</v>
      </c>
      <c r="F3375">
        <v>26</v>
      </c>
      <c r="G3375" t="s">
        <v>298</v>
      </c>
      <c r="H3375" t="s">
        <v>19</v>
      </c>
      <c r="I3375">
        <v>0</v>
      </c>
    </row>
    <row r="3376" spans="5:9" ht="15.75" hidden="1" customHeight="1" x14ac:dyDescent="0.2">
      <c r="E3376" t="s">
        <v>382</v>
      </c>
      <c r="F3376">
        <v>27</v>
      </c>
      <c r="G3376" t="s">
        <v>298</v>
      </c>
      <c r="H3376" t="s">
        <v>19</v>
      </c>
      <c r="I3376">
        <v>0</v>
      </c>
    </row>
    <row r="3377" spans="5:9" ht="15.75" hidden="1" customHeight="1" x14ac:dyDescent="0.2">
      <c r="E3377" t="s">
        <v>383</v>
      </c>
      <c r="F3377">
        <v>28</v>
      </c>
      <c r="G3377" t="s">
        <v>298</v>
      </c>
      <c r="H3377" t="s">
        <v>19</v>
      </c>
      <c r="I3377">
        <v>1</v>
      </c>
    </row>
    <row r="3378" spans="5:9" ht="15.75" hidden="1" customHeight="1" x14ac:dyDescent="0.2">
      <c r="E3378" t="s">
        <v>385</v>
      </c>
      <c r="F3378">
        <v>29</v>
      </c>
      <c r="G3378" t="s">
        <v>298</v>
      </c>
      <c r="H3378" t="s">
        <v>19</v>
      </c>
      <c r="I3378">
        <v>4</v>
      </c>
    </row>
    <row r="3379" spans="5:9" ht="15.75" hidden="1" customHeight="1" x14ac:dyDescent="0.2">
      <c r="E3379" t="s">
        <v>387</v>
      </c>
      <c r="F3379">
        <v>30</v>
      </c>
      <c r="G3379" t="s">
        <v>298</v>
      </c>
      <c r="H3379" t="s">
        <v>19</v>
      </c>
      <c r="I3379">
        <v>0</v>
      </c>
    </row>
    <row r="3380" spans="5:9" ht="15.75" hidden="1" customHeight="1" x14ac:dyDescent="0.2">
      <c r="E3380" t="s">
        <v>388</v>
      </c>
      <c r="F3380">
        <v>31</v>
      </c>
      <c r="G3380" t="s">
        <v>298</v>
      </c>
      <c r="H3380" t="s">
        <v>19</v>
      </c>
      <c r="I3380">
        <v>1</v>
      </c>
    </row>
    <row r="3381" spans="5:9" ht="15.75" hidden="1" customHeight="1" x14ac:dyDescent="0.2">
      <c r="E3381" t="s">
        <v>389</v>
      </c>
      <c r="F3381">
        <v>32</v>
      </c>
      <c r="G3381" t="s">
        <v>298</v>
      </c>
      <c r="H3381" t="s">
        <v>19</v>
      </c>
      <c r="I3381">
        <v>1</v>
      </c>
    </row>
    <row r="3382" spans="5:9" ht="15.75" hidden="1" customHeight="1" x14ac:dyDescent="0.2">
      <c r="E3382" t="s">
        <v>390</v>
      </c>
      <c r="F3382">
        <v>33</v>
      </c>
      <c r="G3382" t="s">
        <v>298</v>
      </c>
      <c r="H3382" t="s">
        <v>19</v>
      </c>
      <c r="I3382">
        <v>2</v>
      </c>
    </row>
    <row r="3383" spans="5:9" ht="15.75" hidden="1" customHeight="1" x14ac:dyDescent="0.2">
      <c r="E3383" t="s">
        <v>391</v>
      </c>
      <c r="F3383">
        <v>34</v>
      </c>
      <c r="G3383" t="s">
        <v>298</v>
      </c>
      <c r="H3383" t="s">
        <v>19</v>
      </c>
      <c r="I3383">
        <v>1</v>
      </c>
    </row>
    <row r="3384" spans="5:9" ht="15.75" hidden="1" customHeight="1" x14ac:dyDescent="0.2">
      <c r="E3384" t="s">
        <v>393</v>
      </c>
      <c r="F3384">
        <v>35</v>
      </c>
      <c r="G3384" t="s">
        <v>298</v>
      </c>
      <c r="H3384" t="s">
        <v>19</v>
      </c>
      <c r="I3384">
        <v>0</v>
      </c>
    </row>
    <row r="3385" spans="5:9" ht="15.75" hidden="1" customHeight="1" x14ac:dyDescent="0.2">
      <c r="E3385" t="s">
        <v>394</v>
      </c>
      <c r="F3385">
        <v>36</v>
      </c>
      <c r="G3385" t="s">
        <v>298</v>
      </c>
      <c r="H3385" t="s">
        <v>19</v>
      </c>
      <c r="I3385">
        <v>9</v>
      </c>
    </row>
    <row r="3386" spans="5:9" ht="15.75" hidden="1" customHeight="1" x14ac:dyDescent="0.2">
      <c r="E3386" t="s">
        <v>395</v>
      </c>
      <c r="F3386">
        <v>37</v>
      </c>
      <c r="G3386" t="s">
        <v>298</v>
      </c>
      <c r="H3386" t="s">
        <v>19</v>
      </c>
      <c r="I3386">
        <v>1</v>
      </c>
    </row>
    <row r="3387" spans="5:9" ht="15.75" hidden="1" customHeight="1" x14ac:dyDescent="0.2">
      <c r="E3387" t="s">
        <v>396</v>
      </c>
      <c r="F3387">
        <v>38</v>
      </c>
      <c r="G3387" t="s">
        <v>298</v>
      </c>
      <c r="H3387" t="s">
        <v>19</v>
      </c>
      <c r="I3387">
        <v>1</v>
      </c>
    </row>
    <row r="3388" spans="5:9" ht="15.75" hidden="1" customHeight="1" x14ac:dyDescent="0.2">
      <c r="E3388" t="s">
        <v>397</v>
      </c>
      <c r="F3388">
        <v>39</v>
      </c>
      <c r="G3388" t="s">
        <v>298</v>
      </c>
      <c r="H3388" t="s">
        <v>19</v>
      </c>
      <c r="I3388">
        <v>0</v>
      </c>
    </row>
    <row r="3389" spans="5:9" ht="15.75" hidden="1" customHeight="1" x14ac:dyDescent="0.2">
      <c r="E3389" t="s">
        <v>398</v>
      </c>
      <c r="F3389">
        <v>40</v>
      </c>
      <c r="G3389" t="s">
        <v>298</v>
      </c>
      <c r="H3389" t="s">
        <v>19</v>
      </c>
      <c r="I3389">
        <v>0</v>
      </c>
    </row>
    <row r="3390" spans="5:9" ht="15.75" hidden="1" customHeight="1" x14ac:dyDescent="0.2">
      <c r="E3390" t="s">
        <v>399</v>
      </c>
      <c r="F3390">
        <v>41</v>
      </c>
      <c r="G3390" t="s">
        <v>298</v>
      </c>
      <c r="H3390" t="s">
        <v>19</v>
      </c>
      <c r="I3390">
        <v>0</v>
      </c>
    </row>
    <row r="3391" spans="5:9" ht="15.75" hidden="1" customHeight="1" x14ac:dyDescent="0.2">
      <c r="E3391" t="s">
        <v>400</v>
      </c>
      <c r="F3391">
        <v>42</v>
      </c>
      <c r="G3391" t="s">
        <v>298</v>
      </c>
      <c r="H3391" t="s">
        <v>19</v>
      </c>
      <c r="I3391">
        <v>0</v>
      </c>
    </row>
    <row r="3392" spans="5:9" ht="15.75" hidden="1" customHeight="1" x14ac:dyDescent="0.2">
      <c r="E3392" t="s">
        <v>401</v>
      </c>
      <c r="F3392">
        <v>43</v>
      </c>
      <c r="G3392" t="s">
        <v>298</v>
      </c>
      <c r="H3392" t="s">
        <v>19</v>
      </c>
      <c r="I3392">
        <v>0</v>
      </c>
    </row>
    <row r="3393" spans="5:9" ht="15.75" hidden="1" customHeight="1" x14ac:dyDescent="0.2">
      <c r="E3393" t="s">
        <v>402</v>
      </c>
      <c r="F3393">
        <v>44</v>
      </c>
      <c r="G3393" t="s">
        <v>298</v>
      </c>
      <c r="H3393" t="s">
        <v>19</v>
      </c>
      <c r="I3393">
        <v>0</v>
      </c>
    </row>
    <row r="3394" spans="5:9" ht="15.75" hidden="1" customHeight="1" x14ac:dyDescent="0.2">
      <c r="E3394" t="s">
        <v>403</v>
      </c>
      <c r="F3394">
        <v>45</v>
      </c>
      <c r="G3394" t="s">
        <v>298</v>
      </c>
      <c r="H3394" t="s">
        <v>19</v>
      </c>
      <c r="I3394">
        <v>0</v>
      </c>
    </row>
    <row r="3395" spans="5:9" ht="15.75" hidden="1" customHeight="1" x14ac:dyDescent="0.2">
      <c r="E3395" t="s">
        <v>404</v>
      </c>
      <c r="F3395">
        <v>46</v>
      </c>
      <c r="G3395" t="s">
        <v>298</v>
      </c>
      <c r="H3395" t="s">
        <v>19</v>
      </c>
      <c r="I3395">
        <v>0</v>
      </c>
    </row>
    <row r="3396" spans="5:9" ht="15.75" hidden="1" customHeight="1" x14ac:dyDescent="0.2">
      <c r="E3396" t="s">
        <v>405</v>
      </c>
      <c r="F3396">
        <v>47</v>
      </c>
      <c r="G3396" t="s">
        <v>298</v>
      </c>
      <c r="H3396" t="s">
        <v>19</v>
      </c>
      <c r="I3396">
        <v>0</v>
      </c>
    </row>
    <row r="3397" spans="5:9" ht="15.75" hidden="1" customHeight="1" x14ac:dyDescent="0.2">
      <c r="E3397" t="s">
        <v>406</v>
      </c>
      <c r="F3397">
        <v>48</v>
      </c>
      <c r="G3397" t="s">
        <v>298</v>
      </c>
      <c r="H3397" t="s">
        <v>19</v>
      </c>
      <c r="I3397">
        <v>0</v>
      </c>
    </row>
    <row r="3398" spans="5:9" ht="15.75" hidden="1" customHeight="1" x14ac:dyDescent="0.2">
      <c r="E3398" t="s">
        <v>376</v>
      </c>
      <c r="F3398">
        <v>49</v>
      </c>
      <c r="G3398" t="s">
        <v>298</v>
      </c>
      <c r="H3398" t="s">
        <v>19</v>
      </c>
      <c r="I3398">
        <v>0</v>
      </c>
    </row>
    <row r="3399" spans="5:9" ht="15.75" hidden="1" customHeight="1" x14ac:dyDescent="0.2">
      <c r="E3399" t="s">
        <v>407</v>
      </c>
      <c r="F3399">
        <v>50</v>
      </c>
      <c r="G3399" t="s">
        <v>298</v>
      </c>
      <c r="H3399" t="s">
        <v>19</v>
      </c>
      <c r="I3399">
        <v>1</v>
      </c>
    </row>
    <row r="3400" spans="5:9" ht="15.75" hidden="1" customHeight="1" x14ac:dyDescent="0.2">
      <c r="E3400" t="s">
        <v>408</v>
      </c>
      <c r="F3400">
        <v>51</v>
      </c>
      <c r="G3400" t="s">
        <v>298</v>
      </c>
      <c r="H3400" t="s">
        <v>19</v>
      </c>
      <c r="I3400">
        <v>1</v>
      </c>
    </row>
    <row r="3401" spans="5:9" ht="15.75" hidden="1" customHeight="1" x14ac:dyDescent="0.2">
      <c r="E3401" t="s">
        <v>409</v>
      </c>
      <c r="F3401">
        <v>52</v>
      </c>
      <c r="G3401" t="s">
        <v>298</v>
      </c>
      <c r="H3401" t="s">
        <v>19</v>
      </c>
      <c r="I3401">
        <v>0</v>
      </c>
    </row>
    <row r="3402" spans="5:9" ht="15.75" hidden="1" customHeight="1" x14ac:dyDescent="0.2">
      <c r="E3402" t="s">
        <v>410</v>
      </c>
      <c r="F3402">
        <v>53</v>
      </c>
      <c r="G3402" t="s">
        <v>298</v>
      </c>
      <c r="H3402" t="s">
        <v>19</v>
      </c>
      <c r="I3402">
        <v>0</v>
      </c>
    </row>
    <row r="3403" spans="5:9" ht="15.75" hidden="1" customHeight="1" x14ac:dyDescent="0.2">
      <c r="E3403" t="s">
        <v>411</v>
      </c>
      <c r="F3403">
        <v>54</v>
      </c>
      <c r="G3403" t="s">
        <v>298</v>
      </c>
      <c r="H3403" t="s">
        <v>19</v>
      </c>
      <c r="I3403">
        <v>12</v>
      </c>
    </row>
    <row r="3404" spans="5:9" ht="15.75" hidden="1" customHeight="1" x14ac:dyDescent="0.2">
      <c r="E3404" t="s">
        <v>412</v>
      </c>
      <c r="F3404">
        <v>55</v>
      </c>
      <c r="G3404" t="s">
        <v>298</v>
      </c>
      <c r="H3404" t="s">
        <v>19</v>
      </c>
      <c r="I3404">
        <v>0</v>
      </c>
    </row>
    <row r="3405" spans="5:9" ht="15.75" hidden="1" customHeight="1" x14ac:dyDescent="0.2">
      <c r="E3405" t="s">
        <v>413</v>
      </c>
      <c r="F3405">
        <v>56</v>
      </c>
      <c r="G3405" t="s">
        <v>298</v>
      </c>
      <c r="H3405" t="s">
        <v>19</v>
      </c>
      <c r="I3405">
        <v>0</v>
      </c>
    </row>
    <row r="3406" spans="5:9" ht="15.75" hidden="1" customHeight="1" x14ac:dyDescent="0.2">
      <c r="E3406" t="s">
        <v>414</v>
      </c>
      <c r="F3406">
        <v>57</v>
      </c>
      <c r="G3406" t="s">
        <v>298</v>
      </c>
      <c r="H3406" t="s">
        <v>19</v>
      </c>
      <c r="I3406">
        <v>6</v>
      </c>
    </row>
    <row r="3407" spans="5:9" ht="15.75" hidden="1" customHeight="1" x14ac:dyDescent="0.2">
      <c r="E3407" t="s">
        <v>415</v>
      </c>
      <c r="F3407">
        <v>58</v>
      </c>
      <c r="G3407" t="s">
        <v>298</v>
      </c>
      <c r="H3407" t="s">
        <v>19</v>
      </c>
      <c r="I3407">
        <v>6</v>
      </c>
    </row>
    <row r="3408" spans="5:9" ht="15.75" hidden="1" customHeight="1" x14ac:dyDescent="0.2">
      <c r="E3408" t="s">
        <v>416</v>
      </c>
      <c r="F3408">
        <v>59</v>
      </c>
      <c r="G3408" t="s">
        <v>298</v>
      </c>
      <c r="H3408" t="s">
        <v>19</v>
      </c>
      <c r="I3408">
        <v>2</v>
      </c>
    </row>
    <row r="3409" spans="5:9" ht="15.75" hidden="1" customHeight="1" x14ac:dyDescent="0.2">
      <c r="E3409" t="s">
        <v>417</v>
      </c>
      <c r="F3409">
        <v>60</v>
      </c>
      <c r="G3409" t="s">
        <v>298</v>
      </c>
      <c r="H3409" t="s">
        <v>19</v>
      </c>
      <c r="I3409">
        <v>2</v>
      </c>
    </row>
    <row r="3410" spans="5:9" ht="15.75" hidden="1" customHeight="1" x14ac:dyDescent="0.2">
      <c r="E3410" t="s">
        <v>418</v>
      </c>
      <c r="F3410">
        <v>61</v>
      </c>
      <c r="G3410" t="s">
        <v>298</v>
      </c>
      <c r="H3410" t="s">
        <v>19</v>
      </c>
      <c r="I3410">
        <v>1</v>
      </c>
    </row>
    <row r="3411" spans="5:9" ht="15.75" hidden="1" customHeight="1" x14ac:dyDescent="0.2">
      <c r="E3411" t="s">
        <v>419</v>
      </c>
      <c r="F3411">
        <v>62</v>
      </c>
      <c r="G3411" t="s">
        <v>298</v>
      </c>
      <c r="H3411" t="s">
        <v>19</v>
      </c>
      <c r="I3411">
        <v>1</v>
      </c>
    </row>
    <row r="3412" spans="5:9" ht="15.75" hidden="1" customHeight="1" x14ac:dyDescent="0.2">
      <c r="E3412" t="s">
        <v>421</v>
      </c>
      <c r="F3412">
        <v>63</v>
      </c>
      <c r="G3412" t="s">
        <v>298</v>
      </c>
      <c r="H3412" t="s">
        <v>19</v>
      </c>
      <c r="I3412">
        <v>0</v>
      </c>
    </row>
    <row r="3413" spans="5:9" ht="15.75" hidden="1" customHeight="1" x14ac:dyDescent="0.2">
      <c r="E3413" t="s">
        <v>422</v>
      </c>
      <c r="F3413">
        <v>64</v>
      </c>
      <c r="G3413" t="s">
        <v>298</v>
      </c>
      <c r="H3413" t="s">
        <v>19</v>
      </c>
      <c r="I3413">
        <v>0</v>
      </c>
    </row>
    <row r="3414" spans="5:9" ht="15.75" hidden="1" customHeight="1" x14ac:dyDescent="0.2">
      <c r="E3414" t="s">
        <v>423</v>
      </c>
      <c r="F3414">
        <v>65</v>
      </c>
      <c r="G3414" t="s">
        <v>298</v>
      </c>
      <c r="H3414" t="s">
        <v>19</v>
      </c>
      <c r="I3414">
        <v>0</v>
      </c>
    </row>
    <row r="3415" spans="5:9" ht="15.75" hidden="1" customHeight="1" x14ac:dyDescent="0.2">
      <c r="E3415" t="s">
        <v>424</v>
      </c>
      <c r="F3415">
        <v>66</v>
      </c>
      <c r="G3415" t="s">
        <v>298</v>
      </c>
      <c r="H3415" t="s">
        <v>19</v>
      </c>
      <c r="I3415">
        <v>0</v>
      </c>
    </row>
    <row r="3416" spans="5:9" ht="15.75" hidden="1" customHeight="1" x14ac:dyDescent="0.2">
      <c r="E3416" t="s">
        <v>425</v>
      </c>
      <c r="F3416">
        <v>67</v>
      </c>
      <c r="G3416" t="s">
        <v>298</v>
      </c>
      <c r="H3416" t="s">
        <v>19</v>
      </c>
      <c r="I3416">
        <v>0</v>
      </c>
    </row>
    <row r="3417" spans="5:9" ht="15.75" hidden="1" customHeight="1" x14ac:dyDescent="0.2">
      <c r="E3417" t="s">
        <v>426</v>
      </c>
      <c r="F3417">
        <v>68</v>
      </c>
      <c r="G3417" t="s">
        <v>298</v>
      </c>
      <c r="H3417" t="s">
        <v>19</v>
      </c>
      <c r="I3417">
        <v>0</v>
      </c>
    </row>
    <row r="3418" spans="5:9" ht="15.75" hidden="1" customHeight="1" x14ac:dyDescent="0.2">
      <c r="E3418" t="s">
        <v>427</v>
      </c>
      <c r="F3418">
        <v>69</v>
      </c>
      <c r="G3418" t="s">
        <v>298</v>
      </c>
      <c r="H3418" t="s">
        <v>19</v>
      </c>
      <c r="I3418">
        <v>0</v>
      </c>
    </row>
    <row r="3419" spans="5:9" ht="15.75" hidden="1" customHeight="1" x14ac:dyDescent="0.2">
      <c r="E3419" t="s">
        <v>428</v>
      </c>
      <c r="F3419">
        <v>70</v>
      </c>
      <c r="G3419" t="s">
        <v>298</v>
      </c>
      <c r="H3419" t="s">
        <v>19</v>
      </c>
      <c r="I3419">
        <v>0</v>
      </c>
    </row>
    <row r="3420" spans="5:9" ht="15.75" hidden="1" customHeight="1" x14ac:dyDescent="0.2">
      <c r="E3420" t="s">
        <v>429</v>
      </c>
      <c r="F3420">
        <v>71</v>
      </c>
      <c r="G3420" t="s">
        <v>298</v>
      </c>
      <c r="H3420" t="s">
        <v>19</v>
      </c>
      <c r="I3420">
        <v>0</v>
      </c>
    </row>
    <row r="3421" spans="5:9" ht="15.75" hidden="1" customHeight="1" x14ac:dyDescent="0.2">
      <c r="E3421" t="s">
        <v>430</v>
      </c>
      <c r="F3421">
        <v>72</v>
      </c>
      <c r="G3421" t="s">
        <v>298</v>
      </c>
      <c r="H3421" t="s">
        <v>19</v>
      </c>
      <c r="I3421">
        <v>0</v>
      </c>
    </row>
    <row r="3422" spans="5:9" ht="15.75" hidden="1" customHeight="1" x14ac:dyDescent="0.2">
      <c r="E3422" t="s">
        <v>370</v>
      </c>
      <c r="F3422">
        <v>73</v>
      </c>
      <c r="G3422" t="s">
        <v>298</v>
      </c>
      <c r="H3422" t="s">
        <v>19</v>
      </c>
      <c r="I3422">
        <v>4</v>
      </c>
    </row>
    <row r="3423" spans="5:9" ht="15.75" hidden="1" customHeight="1" x14ac:dyDescent="0.2">
      <c r="E3423" t="s">
        <v>373</v>
      </c>
      <c r="F3423">
        <v>74</v>
      </c>
      <c r="G3423" t="s">
        <v>298</v>
      </c>
      <c r="H3423" t="s">
        <v>19</v>
      </c>
      <c r="I3423">
        <v>4</v>
      </c>
    </row>
    <row r="3424" spans="5:9" ht="15.75" hidden="1" customHeight="1" x14ac:dyDescent="0.2">
      <c r="E3424" t="s">
        <v>374</v>
      </c>
      <c r="F3424">
        <v>75</v>
      </c>
      <c r="G3424" t="s">
        <v>298</v>
      </c>
      <c r="H3424" t="s">
        <v>19</v>
      </c>
      <c r="I3424">
        <v>4</v>
      </c>
    </row>
    <row r="3425" spans="5:9" ht="15.75" hidden="1" customHeight="1" x14ac:dyDescent="0.2">
      <c r="E3425" t="s">
        <v>375</v>
      </c>
      <c r="F3425">
        <v>76</v>
      </c>
      <c r="G3425" t="s">
        <v>298</v>
      </c>
      <c r="H3425" t="s">
        <v>19</v>
      </c>
      <c r="I3425">
        <v>4</v>
      </c>
    </row>
    <row r="3426" spans="5:9" ht="15.75" hidden="1" customHeight="1" x14ac:dyDescent="0.2">
      <c r="E3426" t="s">
        <v>376</v>
      </c>
      <c r="F3426">
        <v>77</v>
      </c>
      <c r="G3426" t="s">
        <v>298</v>
      </c>
      <c r="H3426" t="s">
        <v>19</v>
      </c>
      <c r="I3426">
        <v>4</v>
      </c>
    </row>
    <row r="3427" spans="5:9" ht="15.75" hidden="1" customHeight="1" x14ac:dyDescent="0.2">
      <c r="E3427" t="s">
        <v>382</v>
      </c>
      <c r="F3427">
        <v>78</v>
      </c>
      <c r="G3427" t="s">
        <v>298</v>
      </c>
      <c r="H3427" t="s">
        <v>19</v>
      </c>
      <c r="I3427">
        <v>4</v>
      </c>
    </row>
    <row r="3428" spans="5:9" ht="15.75" hidden="1" customHeight="1" x14ac:dyDescent="0.2">
      <c r="E3428" t="s">
        <v>383</v>
      </c>
      <c r="F3428">
        <v>79</v>
      </c>
      <c r="G3428" t="s">
        <v>298</v>
      </c>
      <c r="H3428" t="s">
        <v>19</v>
      </c>
      <c r="I3428">
        <v>4</v>
      </c>
    </row>
    <row r="3429" spans="5:9" ht="15.75" hidden="1" customHeight="1" x14ac:dyDescent="0.2">
      <c r="E3429" t="s">
        <v>395</v>
      </c>
      <c r="F3429">
        <v>80</v>
      </c>
      <c r="G3429" t="s">
        <v>298</v>
      </c>
      <c r="H3429" t="s">
        <v>19</v>
      </c>
      <c r="I3429">
        <v>0</v>
      </c>
    </row>
    <row r="3430" spans="5:9" ht="15.75" hidden="1" customHeight="1" x14ac:dyDescent="0.2">
      <c r="E3430" t="s">
        <v>397</v>
      </c>
      <c r="F3430">
        <v>81</v>
      </c>
      <c r="G3430" t="s">
        <v>298</v>
      </c>
      <c r="H3430" t="s">
        <v>19</v>
      </c>
      <c r="I3430">
        <v>0</v>
      </c>
    </row>
    <row r="3431" spans="5:9" ht="15.75" hidden="1" customHeight="1" x14ac:dyDescent="0.2">
      <c r="E3431" t="s">
        <v>399</v>
      </c>
      <c r="F3431">
        <v>82</v>
      </c>
      <c r="G3431" t="s">
        <v>298</v>
      </c>
      <c r="H3431" t="s">
        <v>19</v>
      </c>
      <c r="I3431">
        <v>0</v>
      </c>
    </row>
    <row r="3432" spans="5:9" ht="15.75" hidden="1" customHeight="1" x14ac:dyDescent="0.2">
      <c r="E3432" t="s">
        <v>400</v>
      </c>
      <c r="F3432">
        <v>83</v>
      </c>
      <c r="G3432" t="s">
        <v>298</v>
      </c>
      <c r="H3432" t="s">
        <v>19</v>
      </c>
      <c r="I3432">
        <v>0</v>
      </c>
    </row>
    <row r="3433" spans="5:9" ht="15.75" hidden="1" customHeight="1" x14ac:dyDescent="0.2">
      <c r="E3433" t="s">
        <v>401</v>
      </c>
      <c r="F3433">
        <v>84</v>
      </c>
      <c r="G3433" t="s">
        <v>298</v>
      </c>
      <c r="H3433" t="s">
        <v>19</v>
      </c>
      <c r="I3433">
        <v>0</v>
      </c>
    </row>
    <row r="3434" spans="5:9" ht="15.75" hidden="1" customHeight="1" x14ac:dyDescent="0.2">
      <c r="E3434" t="s">
        <v>402</v>
      </c>
      <c r="F3434">
        <v>85</v>
      </c>
      <c r="G3434" t="s">
        <v>298</v>
      </c>
      <c r="H3434" t="s">
        <v>19</v>
      </c>
      <c r="I3434">
        <v>0</v>
      </c>
    </row>
    <row r="3435" spans="5:9" ht="15.75" hidden="1" customHeight="1" x14ac:dyDescent="0.2">
      <c r="E3435" t="s">
        <v>403</v>
      </c>
      <c r="F3435">
        <v>86</v>
      </c>
      <c r="G3435" t="s">
        <v>298</v>
      </c>
      <c r="H3435" t="s">
        <v>19</v>
      </c>
      <c r="I3435">
        <v>0</v>
      </c>
    </row>
    <row r="3436" spans="5:9" ht="15.75" hidden="1" customHeight="1" x14ac:dyDescent="0.2">
      <c r="E3436" t="s">
        <v>404</v>
      </c>
      <c r="F3436">
        <v>87</v>
      </c>
      <c r="G3436" t="s">
        <v>298</v>
      </c>
      <c r="H3436" t="s">
        <v>19</v>
      </c>
      <c r="I3436">
        <v>0</v>
      </c>
    </row>
    <row r="3437" spans="5:9" ht="15.75" hidden="1" customHeight="1" x14ac:dyDescent="0.2">
      <c r="E3437" t="s">
        <v>405</v>
      </c>
      <c r="F3437">
        <v>88</v>
      </c>
      <c r="G3437" t="s">
        <v>298</v>
      </c>
      <c r="H3437" t="s">
        <v>19</v>
      </c>
      <c r="I3437">
        <v>0</v>
      </c>
    </row>
    <row r="3438" spans="5:9" ht="15.75" hidden="1" customHeight="1" x14ac:dyDescent="0.2">
      <c r="E3438" t="s">
        <v>406</v>
      </c>
      <c r="F3438">
        <v>89</v>
      </c>
      <c r="G3438" t="s">
        <v>298</v>
      </c>
      <c r="H3438" t="s">
        <v>19</v>
      </c>
      <c r="I3438">
        <v>0</v>
      </c>
    </row>
    <row r="3439" spans="5:9" ht="15.75" hidden="1" customHeight="1" x14ac:dyDescent="0.2">
      <c r="E3439" t="s">
        <v>376</v>
      </c>
      <c r="F3439">
        <v>90</v>
      </c>
      <c r="G3439" t="s">
        <v>298</v>
      </c>
      <c r="H3439" t="s">
        <v>19</v>
      </c>
      <c r="I3439">
        <v>0</v>
      </c>
    </row>
    <row r="3440" spans="5:9" ht="15.75" hidden="1" customHeight="1" x14ac:dyDescent="0.2">
      <c r="E3440" t="s">
        <v>409</v>
      </c>
      <c r="F3440">
        <v>91</v>
      </c>
      <c r="G3440" t="s">
        <v>298</v>
      </c>
      <c r="H3440" t="s">
        <v>19</v>
      </c>
      <c r="I3440">
        <v>0</v>
      </c>
    </row>
    <row r="3441" spans="5:9" ht="15.75" hidden="1" customHeight="1" x14ac:dyDescent="0.2">
      <c r="E3441" t="s">
        <v>410</v>
      </c>
      <c r="F3441">
        <v>92</v>
      </c>
      <c r="G3441" t="s">
        <v>298</v>
      </c>
      <c r="H3441" t="s">
        <v>19</v>
      </c>
      <c r="I3441">
        <v>0</v>
      </c>
    </row>
    <row r="3442" spans="5:9" ht="15.75" hidden="1" customHeight="1" x14ac:dyDescent="0.2">
      <c r="E3442" t="s">
        <v>413</v>
      </c>
      <c r="F3442">
        <v>93</v>
      </c>
      <c r="G3442" t="s">
        <v>298</v>
      </c>
      <c r="H3442" t="s">
        <v>19</v>
      </c>
      <c r="I3442">
        <v>0</v>
      </c>
    </row>
    <row r="3443" spans="5:9" ht="15.75" hidden="1" customHeight="1" x14ac:dyDescent="0.2">
      <c r="E3443" t="s">
        <v>414</v>
      </c>
      <c r="F3443">
        <v>94</v>
      </c>
      <c r="G3443" t="s">
        <v>298</v>
      </c>
      <c r="H3443" t="s">
        <v>19</v>
      </c>
      <c r="I3443">
        <v>0</v>
      </c>
    </row>
    <row r="3444" spans="5:9" ht="15.75" hidden="1" customHeight="1" x14ac:dyDescent="0.2">
      <c r="E3444" t="s">
        <v>417</v>
      </c>
      <c r="F3444">
        <v>95</v>
      </c>
      <c r="G3444" t="s">
        <v>298</v>
      </c>
      <c r="H3444" t="s">
        <v>19</v>
      </c>
      <c r="I3444">
        <v>0</v>
      </c>
    </row>
    <row r="3445" spans="5:9" ht="15.75" hidden="1" customHeight="1" x14ac:dyDescent="0.2">
      <c r="E3445" t="s">
        <v>440</v>
      </c>
      <c r="F3445">
        <v>96</v>
      </c>
      <c r="G3445" t="s">
        <v>298</v>
      </c>
      <c r="H3445" t="s">
        <v>19</v>
      </c>
      <c r="I3445">
        <v>1</v>
      </c>
    </row>
    <row r="3446" spans="5:9" ht="15.75" hidden="1" customHeight="1" x14ac:dyDescent="0.2">
      <c r="E3446" t="s">
        <v>441</v>
      </c>
      <c r="F3446">
        <v>97</v>
      </c>
      <c r="G3446" t="s">
        <v>298</v>
      </c>
      <c r="H3446" t="s">
        <v>19</v>
      </c>
      <c r="I3446">
        <v>1</v>
      </c>
    </row>
    <row r="3447" spans="5:9" ht="15.75" hidden="1" customHeight="1" x14ac:dyDescent="0.2">
      <c r="E3447" t="s">
        <v>442</v>
      </c>
      <c r="F3447">
        <v>98</v>
      </c>
      <c r="G3447" t="s">
        <v>298</v>
      </c>
      <c r="H3447" t="s">
        <v>19</v>
      </c>
      <c r="I3447">
        <v>1</v>
      </c>
    </row>
    <row r="3448" spans="5:9" ht="15.75" hidden="1" customHeight="1" x14ac:dyDescent="0.2">
      <c r="E3448" t="s">
        <v>443</v>
      </c>
      <c r="F3448">
        <v>99</v>
      </c>
      <c r="G3448" t="s">
        <v>298</v>
      </c>
      <c r="H3448" t="s">
        <v>19</v>
      </c>
      <c r="I3448">
        <v>1</v>
      </c>
    </row>
    <row r="3449" spans="5:9" ht="15.75" hidden="1" customHeight="1" x14ac:dyDescent="0.2">
      <c r="E3449" t="s">
        <v>444</v>
      </c>
      <c r="F3449">
        <v>100</v>
      </c>
      <c r="G3449" t="s">
        <v>298</v>
      </c>
      <c r="H3449" t="s">
        <v>19</v>
      </c>
      <c r="I3449">
        <v>1</v>
      </c>
    </row>
    <row r="3450" spans="5:9" ht="15.75" hidden="1" customHeight="1" x14ac:dyDescent="0.2">
      <c r="E3450" t="s">
        <v>362</v>
      </c>
      <c r="F3450">
        <v>101</v>
      </c>
      <c r="G3450" t="s">
        <v>298</v>
      </c>
      <c r="H3450" t="s">
        <v>19</v>
      </c>
      <c r="I3450">
        <v>1</v>
      </c>
    </row>
    <row r="3451" spans="5:9" ht="15.75" hidden="1" customHeight="1" x14ac:dyDescent="0.2">
      <c r="E3451" t="s">
        <v>446</v>
      </c>
      <c r="F3451">
        <v>102</v>
      </c>
      <c r="G3451" t="s">
        <v>298</v>
      </c>
      <c r="H3451" t="s">
        <v>19</v>
      </c>
      <c r="I3451">
        <v>0</v>
      </c>
    </row>
    <row r="3452" spans="5:9" ht="15.75" hidden="1" customHeight="1" x14ac:dyDescent="0.2">
      <c r="E3452" t="s">
        <v>447</v>
      </c>
      <c r="F3452">
        <v>103</v>
      </c>
      <c r="G3452" t="s">
        <v>298</v>
      </c>
      <c r="H3452" t="s">
        <v>19</v>
      </c>
      <c r="I3452">
        <v>0</v>
      </c>
    </row>
    <row r="3453" spans="5:9" ht="15.75" hidden="1" customHeight="1" x14ac:dyDescent="0.2">
      <c r="E3453" t="s">
        <v>448</v>
      </c>
      <c r="F3453">
        <v>104</v>
      </c>
      <c r="G3453" t="s">
        <v>298</v>
      </c>
      <c r="H3453" t="s">
        <v>19</v>
      </c>
      <c r="I3453">
        <v>0</v>
      </c>
    </row>
    <row r="3454" spans="5:9" ht="15.75" hidden="1" customHeight="1" x14ac:dyDescent="0.2">
      <c r="E3454" t="s">
        <v>449</v>
      </c>
      <c r="F3454">
        <v>105</v>
      </c>
      <c r="G3454" t="s">
        <v>298</v>
      </c>
      <c r="H3454" t="s">
        <v>19</v>
      </c>
      <c r="I3454">
        <v>0</v>
      </c>
    </row>
    <row r="3455" spans="5:9" ht="15.75" hidden="1" customHeight="1" x14ac:dyDescent="0.2">
      <c r="E3455" t="s">
        <v>450</v>
      </c>
      <c r="F3455">
        <v>106</v>
      </c>
      <c r="G3455" t="s">
        <v>298</v>
      </c>
      <c r="H3455" t="s">
        <v>19</v>
      </c>
      <c r="I3455">
        <v>0</v>
      </c>
    </row>
    <row r="3456" spans="5:9" ht="15.75" hidden="1" customHeight="1" x14ac:dyDescent="0.2">
      <c r="E3456" t="s">
        <v>451</v>
      </c>
      <c r="F3456">
        <v>107</v>
      </c>
      <c r="G3456" t="s">
        <v>298</v>
      </c>
      <c r="H3456" t="s">
        <v>19</v>
      </c>
      <c r="I3456">
        <v>0</v>
      </c>
    </row>
    <row r="3457" spans="5:9" ht="15.75" hidden="1" customHeight="1" x14ac:dyDescent="0.2">
      <c r="E3457" t="s">
        <v>452</v>
      </c>
      <c r="F3457">
        <v>108</v>
      </c>
      <c r="G3457" t="s">
        <v>298</v>
      </c>
      <c r="H3457" t="s">
        <v>19</v>
      </c>
      <c r="I3457">
        <v>0</v>
      </c>
    </row>
    <row r="3458" spans="5:9" ht="15.75" hidden="1" customHeight="1" x14ac:dyDescent="0.2">
      <c r="E3458" t="s">
        <v>453</v>
      </c>
      <c r="F3458">
        <v>109</v>
      </c>
      <c r="G3458" t="s">
        <v>298</v>
      </c>
      <c r="H3458" t="s">
        <v>19</v>
      </c>
      <c r="I3458">
        <v>0</v>
      </c>
    </row>
    <row r="3459" spans="5:9" ht="15.75" hidden="1" customHeight="1" x14ac:dyDescent="0.2">
      <c r="E3459" t="s">
        <v>454</v>
      </c>
      <c r="F3459">
        <v>110</v>
      </c>
      <c r="G3459" t="s">
        <v>298</v>
      </c>
      <c r="H3459" t="s">
        <v>19</v>
      </c>
      <c r="I3459">
        <v>0</v>
      </c>
    </row>
    <row r="3460" spans="5:9" ht="15.75" hidden="1" customHeight="1" x14ac:dyDescent="0.2">
      <c r="E3460" t="s">
        <v>455</v>
      </c>
      <c r="F3460">
        <v>111</v>
      </c>
      <c r="G3460" t="s">
        <v>298</v>
      </c>
      <c r="H3460" t="s">
        <v>19</v>
      </c>
      <c r="I3460">
        <v>0</v>
      </c>
    </row>
    <row r="3461" spans="5:9" ht="15.75" hidden="1" customHeight="1" x14ac:dyDescent="0.2">
      <c r="E3461" t="s">
        <v>456</v>
      </c>
      <c r="F3461">
        <v>112</v>
      </c>
      <c r="G3461" t="s">
        <v>298</v>
      </c>
      <c r="H3461" t="s">
        <v>19</v>
      </c>
      <c r="I3461">
        <v>0</v>
      </c>
    </row>
    <row r="3462" spans="5:9" ht="15.75" hidden="1" customHeight="1" x14ac:dyDescent="0.2">
      <c r="E3462" t="s">
        <v>457</v>
      </c>
      <c r="F3462">
        <v>113</v>
      </c>
      <c r="G3462" t="s">
        <v>298</v>
      </c>
      <c r="H3462" t="s">
        <v>19</v>
      </c>
      <c r="I3462">
        <v>0</v>
      </c>
    </row>
    <row r="3463" spans="5:9" ht="15.75" hidden="1" customHeight="1" x14ac:dyDescent="0.2">
      <c r="E3463" t="s">
        <v>459</v>
      </c>
      <c r="F3463">
        <v>114</v>
      </c>
      <c r="G3463" t="s">
        <v>298</v>
      </c>
      <c r="H3463" t="s">
        <v>19</v>
      </c>
      <c r="I3463">
        <v>4</v>
      </c>
    </row>
    <row r="3464" spans="5:9" ht="15.75" hidden="1" customHeight="1" x14ac:dyDescent="0.2">
      <c r="E3464" t="s">
        <v>460</v>
      </c>
      <c r="F3464">
        <v>115</v>
      </c>
      <c r="G3464" t="s">
        <v>298</v>
      </c>
      <c r="H3464" t="s">
        <v>19</v>
      </c>
      <c r="I3464">
        <v>4</v>
      </c>
    </row>
    <row r="3465" spans="5:9" ht="15.75" hidden="1" customHeight="1" x14ac:dyDescent="0.2">
      <c r="E3465" t="s">
        <v>461</v>
      </c>
      <c r="F3465">
        <v>116</v>
      </c>
      <c r="G3465" t="s">
        <v>298</v>
      </c>
      <c r="H3465" t="s">
        <v>19</v>
      </c>
      <c r="I3465">
        <v>4</v>
      </c>
    </row>
    <row r="3466" spans="5:9" ht="15.75" hidden="1" customHeight="1" x14ac:dyDescent="0.2">
      <c r="E3466" t="s">
        <v>462</v>
      </c>
      <c r="F3466">
        <v>117</v>
      </c>
      <c r="G3466" t="s">
        <v>298</v>
      </c>
      <c r="H3466" t="s">
        <v>19</v>
      </c>
      <c r="I3466">
        <v>4</v>
      </c>
    </row>
    <row r="3467" spans="5:9" ht="15.75" hidden="1" customHeight="1" x14ac:dyDescent="0.2">
      <c r="E3467" t="s">
        <v>463</v>
      </c>
      <c r="F3467">
        <v>118</v>
      </c>
      <c r="G3467" t="s">
        <v>298</v>
      </c>
      <c r="H3467" t="s">
        <v>19</v>
      </c>
      <c r="I3467">
        <v>4</v>
      </c>
    </row>
    <row r="3468" spans="5:9" ht="15.75" hidden="1" customHeight="1" x14ac:dyDescent="0.2">
      <c r="E3468" t="s">
        <v>464</v>
      </c>
      <c r="F3468">
        <v>119</v>
      </c>
      <c r="G3468" t="s">
        <v>298</v>
      </c>
      <c r="H3468" t="s">
        <v>19</v>
      </c>
      <c r="I3468">
        <v>4</v>
      </c>
    </row>
    <row r="3469" spans="5:9" ht="15.75" hidden="1" customHeight="1" x14ac:dyDescent="0.2">
      <c r="E3469" t="s">
        <v>465</v>
      </c>
      <c r="F3469">
        <v>120</v>
      </c>
      <c r="G3469" t="s">
        <v>298</v>
      </c>
      <c r="H3469" t="s">
        <v>19</v>
      </c>
      <c r="I3469">
        <v>4</v>
      </c>
    </row>
    <row r="3470" spans="5:9" ht="15.75" hidden="1" customHeight="1" x14ac:dyDescent="0.2">
      <c r="E3470" t="s">
        <v>466</v>
      </c>
      <c r="F3470">
        <v>121</v>
      </c>
      <c r="G3470" t="s">
        <v>298</v>
      </c>
      <c r="H3470" t="s">
        <v>19</v>
      </c>
      <c r="I3470">
        <v>4</v>
      </c>
    </row>
    <row r="3471" spans="5:9" ht="15.75" hidden="1" customHeight="1" x14ac:dyDescent="0.2">
      <c r="E3471" t="s">
        <v>467</v>
      </c>
      <c r="F3471">
        <v>122</v>
      </c>
      <c r="G3471" t="s">
        <v>298</v>
      </c>
      <c r="H3471" t="s">
        <v>19</v>
      </c>
      <c r="I3471">
        <v>4</v>
      </c>
    </row>
    <row r="3472" spans="5:9" ht="15.75" hidden="1" customHeight="1" x14ac:dyDescent="0.2">
      <c r="E3472" t="s">
        <v>468</v>
      </c>
      <c r="F3472">
        <v>123</v>
      </c>
      <c r="G3472" t="s">
        <v>298</v>
      </c>
      <c r="H3472" t="s">
        <v>19</v>
      </c>
      <c r="I3472">
        <v>4</v>
      </c>
    </row>
    <row r="3473" spans="5:9" ht="15.75" hidden="1" customHeight="1" x14ac:dyDescent="0.2">
      <c r="E3473" t="s">
        <v>469</v>
      </c>
      <c r="F3473">
        <v>124</v>
      </c>
      <c r="G3473" t="s">
        <v>298</v>
      </c>
      <c r="H3473" t="s">
        <v>19</v>
      </c>
      <c r="I3473">
        <v>4</v>
      </c>
    </row>
    <row r="3474" spans="5:9" ht="15.75" hidden="1" customHeight="1" x14ac:dyDescent="0.2">
      <c r="E3474" t="s">
        <v>470</v>
      </c>
      <c r="F3474">
        <v>125</v>
      </c>
      <c r="G3474" t="s">
        <v>298</v>
      </c>
      <c r="H3474" t="s">
        <v>19</v>
      </c>
      <c r="I3474">
        <v>4</v>
      </c>
    </row>
    <row r="3475" spans="5:9" ht="15.75" hidden="1" customHeight="1" x14ac:dyDescent="0.2">
      <c r="E3475" t="s">
        <v>471</v>
      </c>
      <c r="F3475">
        <v>126</v>
      </c>
      <c r="G3475" t="s">
        <v>298</v>
      </c>
      <c r="H3475" t="s">
        <v>19</v>
      </c>
      <c r="I3475">
        <v>4</v>
      </c>
    </row>
    <row r="3476" spans="5:9" ht="15.75" hidden="1" customHeight="1" x14ac:dyDescent="0.2">
      <c r="E3476" t="s">
        <v>472</v>
      </c>
      <c r="F3476">
        <v>127</v>
      </c>
      <c r="G3476" t="s">
        <v>298</v>
      </c>
      <c r="H3476" t="s">
        <v>19</v>
      </c>
      <c r="I3476">
        <v>4</v>
      </c>
    </row>
    <row r="3477" spans="5:9" ht="15.75" hidden="1" customHeight="1" x14ac:dyDescent="0.2">
      <c r="E3477" t="s">
        <v>473</v>
      </c>
      <c r="F3477">
        <v>128</v>
      </c>
      <c r="G3477" t="s">
        <v>298</v>
      </c>
      <c r="H3477" t="s">
        <v>19</v>
      </c>
      <c r="I3477">
        <v>4</v>
      </c>
    </row>
    <row r="3478" spans="5:9" ht="15.75" hidden="1" customHeight="1" x14ac:dyDescent="0.2">
      <c r="E3478" t="s">
        <v>474</v>
      </c>
      <c r="F3478">
        <v>129</v>
      </c>
      <c r="G3478" t="s">
        <v>298</v>
      </c>
      <c r="H3478" t="s">
        <v>19</v>
      </c>
      <c r="I3478">
        <v>4</v>
      </c>
    </row>
    <row r="3479" spans="5:9" ht="15.75" hidden="1" customHeight="1" x14ac:dyDescent="0.2">
      <c r="E3479" t="s">
        <v>476</v>
      </c>
      <c r="F3479">
        <v>130</v>
      </c>
      <c r="G3479" t="s">
        <v>298</v>
      </c>
      <c r="H3479" t="s">
        <v>19</v>
      </c>
      <c r="I3479">
        <v>0</v>
      </c>
    </row>
    <row r="3480" spans="5:9" ht="15.75" hidden="1" customHeight="1" x14ac:dyDescent="0.2">
      <c r="E3480" t="s">
        <v>478</v>
      </c>
      <c r="F3480">
        <v>131</v>
      </c>
      <c r="G3480" t="s">
        <v>298</v>
      </c>
      <c r="H3480" t="s">
        <v>19</v>
      </c>
      <c r="I3480">
        <v>0</v>
      </c>
    </row>
    <row r="3481" spans="5:9" ht="15.75" hidden="1" customHeight="1" x14ac:dyDescent="0.2">
      <c r="E3481" t="s">
        <v>440</v>
      </c>
      <c r="F3481">
        <v>132</v>
      </c>
      <c r="G3481" t="s">
        <v>298</v>
      </c>
      <c r="H3481" t="s">
        <v>19</v>
      </c>
      <c r="I3481">
        <v>0</v>
      </c>
    </row>
    <row r="3482" spans="5:9" ht="15.75" hidden="1" customHeight="1" x14ac:dyDescent="0.2">
      <c r="E3482" t="s">
        <v>441</v>
      </c>
      <c r="F3482">
        <v>133</v>
      </c>
      <c r="G3482" t="s">
        <v>298</v>
      </c>
      <c r="H3482" t="s">
        <v>19</v>
      </c>
      <c r="I3482">
        <v>0</v>
      </c>
    </row>
    <row r="3483" spans="5:9" ht="15.75" hidden="1" customHeight="1" x14ac:dyDescent="0.2">
      <c r="E3483" t="s">
        <v>442</v>
      </c>
      <c r="F3483">
        <v>134</v>
      </c>
      <c r="G3483" t="s">
        <v>298</v>
      </c>
      <c r="H3483" t="s">
        <v>19</v>
      </c>
      <c r="I3483">
        <v>0</v>
      </c>
    </row>
    <row r="3484" spans="5:9" ht="15.75" hidden="1" customHeight="1" x14ac:dyDescent="0.2">
      <c r="E3484" t="s">
        <v>443</v>
      </c>
      <c r="F3484">
        <v>135</v>
      </c>
      <c r="G3484" t="s">
        <v>298</v>
      </c>
      <c r="H3484" t="s">
        <v>19</v>
      </c>
      <c r="I3484">
        <v>5</v>
      </c>
    </row>
    <row r="3485" spans="5:9" ht="15.75" hidden="1" customHeight="1" x14ac:dyDescent="0.2">
      <c r="E3485" t="s">
        <v>362</v>
      </c>
      <c r="F3485">
        <v>136</v>
      </c>
      <c r="G3485" t="s">
        <v>298</v>
      </c>
      <c r="H3485" t="s">
        <v>19</v>
      </c>
      <c r="I3485">
        <v>0</v>
      </c>
    </row>
    <row r="3486" spans="5:9" ht="15.75" hidden="1" customHeight="1" x14ac:dyDescent="0.2">
      <c r="E3486" t="s">
        <v>482</v>
      </c>
      <c r="F3486">
        <v>137</v>
      </c>
      <c r="G3486" t="s">
        <v>298</v>
      </c>
      <c r="H3486" t="s">
        <v>19</v>
      </c>
      <c r="I3486">
        <v>0</v>
      </c>
    </row>
    <row r="3487" spans="5:9" ht="15.75" hidden="1" customHeight="1" x14ac:dyDescent="0.2">
      <c r="E3487" t="s">
        <v>483</v>
      </c>
      <c r="F3487">
        <v>138</v>
      </c>
      <c r="G3487" t="s">
        <v>298</v>
      </c>
      <c r="H3487" t="s">
        <v>19</v>
      </c>
      <c r="I3487">
        <v>0</v>
      </c>
    </row>
    <row r="3488" spans="5:9" ht="15.75" hidden="1" customHeight="1" x14ac:dyDescent="0.2">
      <c r="E3488" t="s">
        <v>484</v>
      </c>
      <c r="F3488">
        <v>139</v>
      </c>
      <c r="G3488" t="s">
        <v>298</v>
      </c>
      <c r="H3488" t="s">
        <v>19</v>
      </c>
      <c r="I3488">
        <v>2</v>
      </c>
    </row>
    <row r="3489" spans="5:9" ht="15.75" hidden="1" customHeight="1" x14ac:dyDescent="0.2">
      <c r="E3489" t="s">
        <v>486</v>
      </c>
      <c r="F3489">
        <v>140</v>
      </c>
      <c r="G3489" t="s">
        <v>298</v>
      </c>
      <c r="H3489" t="s">
        <v>19</v>
      </c>
      <c r="I3489">
        <v>0</v>
      </c>
    </row>
    <row r="3490" spans="5:9" ht="15.75" hidden="1" customHeight="1" x14ac:dyDescent="0.2">
      <c r="E3490" t="s">
        <v>487</v>
      </c>
      <c r="F3490">
        <v>141</v>
      </c>
      <c r="G3490" t="s">
        <v>298</v>
      </c>
      <c r="H3490" t="s">
        <v>19</v>
      </c>
      <c r="I3490">
        <v>0</v>
      </c>
    </row>
    <row r="3491" spans="5:9" ht="15.75" hidden="1" customHeight="1" x14ac:dyDescent="0.2">
      <c r="E3491" t="s">
        <v>446</v>
      </c>
      <c r="F3491">
        <v>142</v>
      </c>
      <c r="G3491" t="s">
        <v>298</v>
      </c>
      <c r="H3491" t="s">
        <v>19</v>
      </c>
      <c r="I3491">
        <v>1</v>
      </c>
    </row>
    <row r="3492" spans="5:9" ht="15.75" hidden="1" customHeight="1" x14ac:dyDescent="0.2">
      <c r="E3492" t="s">
        <v>447</v>
      </c>
      <c r="F3492">
        <v>143</v>
      </c>
      <c r="G3492" t="s">
        <v>298</v>
      </c>
      <c r="H3492" t="s">
        <v>19</v>
      </c>
      <c r="I3492">
        <v>0</v>
      </c>
    </row>
    <row r="3493" spans="5:9" ht="15.75" hidden="1" customHeight="1" x14ac:dyDescent="0.2">
      <c r="E3493" t="s">
        <v>448</v>
      </c>
      <c r="F3493">
        <v>144</v>
      </c>
      <c r="G3493" t="s">
        <v>298</v>
      </c>
      <c r="H3493" t="s">
        <v>19</v>
      </c>
      <c r="I3493">
        <v>0</v>
      </c>
    </row>
    <row r="3494" spans="5:9" ht="15.75" hidden="1" customHeight="1" x14ac:dyDescent="0.2">
      <c r="E3494" t="s">
        <v>449</v>
      </c>
      <c r="F3494">
        <v>145</v>
      </c>
      <c r="G3494" t="s">
        <v>298</v>
      </c>
      <c r="H3494" t="s">
        <v>19</v>
      </c>
      <c r="I3494">
        <v>0</v>
      </c>
    </row>
    <row r="3495" spans="5:9" ht="15.75" hidden="1" customHeight="1" x14ac:dyDescent="0.2">
      <c r="E3495" t="s">
        <v>450</v>
      </c>
      <c r="F3495">
        <v>146</v>
      </c>
      <c r="G3495" t="s">
        <v>298</v>
      </c>
      <c r="H3495" t="s">
        <v>19</v>
      </c>
      <c r="I3495">
        <v>0</v>
      </c>
    </row>
    <row r="3496" spans="5:9" ht="15.75" hidden="1" customHeight="1" x14ac:dyDescent="0.2">
      <c r="E3496" t="s">
        <v>451</v>
      </c>
      <c r="F3496">
        <v>147</v>
      </c>
      <c r="G3496" t="s">
        <v>298</v>
      </c>
      <c r="H3496" t="s">
        <v>19</v>
      </c>
      <c r="I3496">
        <v>0</v>
      </c>
    </row>
    <row r="3497" spans="5:9" ht="15.75" hidden="1" customHeight="1" x14ac:dyDescent="0.2">
      <c r="E3497" t="s">
        <v>488</v>
      </c>
      <c r="F3497">
        <v>148</v>
      </c>
      <c r="G3497" t="s">
        <v>298</v>
      </c>
      <c r="H3497" t="s">
        <v>19</v>
      </c>
      <c r="I3497">
        <v>0</v>
      </c>
    </row>
    <row r="3498" spans="5:9" ht="15.75" hidden="1" customHeight="1" x14ac:dyDescent="0.2">
      <c r="E3498" t="s">
        <v>452</v>
      </c>
      <c r="F3498">
        <v>149</v>
      </c>
      <c r="G3498" t="s">
        <v>298</v>
      </c>
      <c r="H3498" t="s">
        <v>19</v>
      </c>
      <c r="I3498">
        <v>0</v>
      </c>
    </row>
    <row r="3499" spans="5:9" ht="15.75" hidden="1" customHeight="1" x14ac:dyDescent="0.2">
      <c r="E3499" t="s">
        <v>453</v>
      </c>
      <c r="F3499">
        <v>150</v>
      </c>
      <c r="G3499" t="s">
        <v>298</v>
      </c>
      <c r="H3499" t="s">
        <v>19</v>
      </c>
      <c r="I3499">
        <v>0</v>
      </c>
    </row>
    <row r="3500" spans="5:9" ht="15.75" hidden="1" customHeight="1" x14ac:dyDescent="0.2">
      <c r="E3500" t="s">
        <v>454</v>
      </c>
      <c r="F3500">
        <v>151</v>
      </c>
      <c r="G3500" t="s">
        <v>298</v>
      </c>
      <c r="H3500" t="s">
        <v>19</v>
      </c>
      <c r="I3500">
        <v>0</v>
      </c>
    </row>
    <row r="3501" spans="5:9" ht="15.75" hidden="1" customHeight="1" x14ac:dyDescent="0.2">
      <c r="E3501" t="s">
        <v>455</v>
      </c>
      <c r="F3501">
        <v>152</v>
      </c>
      <c r="G3501" t="s">
        <v>298</v>
      </c>
      <c r="H3501" t="s">
        <v>19</v>
      </c>
      <c r="I3501">
        <v>0</v>
      </c>
    </row>
    <row r="3502" spans="5:9" ht="15.75" hidden="1" customHeight="1" x14ac:dyDescent="0.2">
      <c r="E3502" t="s">
        <v>456</v>
      </c>
      <c r="F3502">
        <v>153</v>
      </c>
      <c r="G3502" t="s">
        <v>298</v>
      </c>
      <c r="H3502" t="s">
        <v>19</v>
      </c>
      <c r="I3502">
        <v>0</v>
      </c>
    </row>
    <row r="3503" spans="5:9" ht="15.75" hidden="1" customHeight="1" x14ac:dyDescent="0.2">
      <c r="E3503" t="s">
        <v>489</v>
      </c>
      <c r="F3503">
        <v>154</v>
      </c>
      <c r="G3503" t="s">
        <v>298</v>
      </c>
      <c r="H3503" t="s">
        <v>19</v>
      </c>
      <c r="I3503">
        <v>0</v>
      </c>
    </row>
    <row r="3504" spans="5:9" ht="15.75" hidden="1" customHeight="1" x14ac:dyDescent="0.2">
      <c r="E3504" t="s">
        <v>457</v>
      </c>
      <c r="F3504">
        <v>155</v>
      </c>
      <c r="G3504" t="s">
        <v>298</v>
      </c>
      <c r="H3504" t="s">
        <v>19</v>
      </c>
      <c r="I3504">
        <v>0</v>
      </c>
    </row>
    <row r="3505" spans="5:9" ht="15.75" hidden="1" customHeight="1" x14ac:dyDescent="0.2">
      <c r="E3505" t="s">
        <v>362</v>
      </c>
      <c r="F3505">
        <v>156</v>
      </c>
      <c r="G3505" t="s">
        <v>298</v>
      </c>
      <c r="H3505" t="s">
        <v>19</v>
      </c>
      <c r="I3505">
        <v>0</v>
      </c>
    </row>
    <row r="3506" spans="5:9" ht="15.75" hidden="1" customHeight="1" x14ac:dyDescent="0.2">
      <c r="E3506" t="s">
        <v>491</v>
      </c>
      <c r="F3506">
        <v>157</v>
      </c>
      <c r="G3506" t="s">
        <v>298</v>
      </c>
      <c r="H3506" t="s">
        <v>19</v>
      </c>
      <c r="I3506">
        <v>0</v>
      </c>
    </row>
    <row r="3507" spans="5:9" ht="15.75" hidden="1" customHeight="1" x14ac:dyDescent="0.2">
      <c r="E3507" t="s">
        <v>492</v>
      </c>
      <c r="F3507">
        <v>158</v>
      </c>
      <c r="G3507" t="s">
        <v>298</v>
      </c>
      <c r="H3507" t="s">
        <v>19</v>
      </c>
      <c r="I3507">
        <v>0</v>
      </c>
    </row>
    <row r="3508" spans="5:9" ht="15.75" hidden="1" customHeight="1" x14ac:dyDescent="0.2">
      <c r="E3508" t="s">
        <v>493</v>
      </c>
      <c r="F3508">
        <v>159</v>
      </c>
      <c r="G3508" t="s">
        <v>298</v>
      </c>
      <c r="H3508" t="s">
        <v>19</v>
      </c>
      <c r="I3508">
        <v>0</v>
      </c>
    </row>
    <row r="3509" spans="5:9" ht="15.75" hidden="1" customHeight="1" x14ac:dyDescent="0.2">
      <c r="E3509" t="s">
        <v>494</v>
      </c>
      <c r="F3509">
        <v>160</v>
      </c>
      <c r="G3509" t="s">
        <v>298</v>
      </c>
      <c r="H3509" t="s">
        <v>19</v>
      </c>
      <c r="I3509">
        <v>0</v>
      </c>
    </row>
    <row r="3510" spans="5:9" ht="15.75" hidden="1" customHeight="1" x14ac:dyDescent="0.2">
      <c r="E3510" t="s">
        <v>496</v>
      </c>
      <c r="F3510">
        <v>161</v>
      </c>
      <c r="G3510" t="s">
        <v>298</v>
      </c>
      <c r="H3510" t="s">
        <v>19</v>
      </c>
      <c r="I3510">
        <v>0</v>
      </c>
    </row>
    <row r="3511" spans="5:9" ht="15.75" hidden="1" customHeight="1" x14ac:dyDescent="0.2">
      <c r="E3511" t="s">
        <v>497</v>
      </c>
      <c r="F3511">
        <v>162</v>
      </c>
      <c r="G3511" t="s">
        <v>298</v>
      </c>
      <c r="H3511" t="s">
        <v>19</v>
      </c>
      <c r="I3511">
        <v>0</v>
      </c>
    </row>
    <row r="3512" spans="5:9" ht="15.75" hidden="1" customHeight="1" x14ac:dyDescent="0.2">
      <c r="E3512" t="s">
        <v>459</v>
      </c>
      <c r="F3512">
        <v>163</v>
      </c>
      <c r="G3512" t="s">
        <v>298</v>
      </c>
      <c r="H3512" t="s">
        <v>19</v>
      </c>
      <c r="I3512">
        <v>2</v>
      </c>
    </row>
    <row r="3513" spans="5:9" ht="15.75" hidden="1" customHeight="1" x14ac:dyDescent="0.2">
      <c r="E3513" t="s">
        <v>460</v>
      </c>
      <c r="F3513">
        <v>164</v>
      </c>
      <c r="G3513" t="s">
        <v>298</v>
      </c>
      <c r="H3513" t="s">
        <v>19</v>
      </c>
      <c r="I3513">
        <v>0</v>
      </c>
    </row>
    <row r="3514" spans="5:9" ht="15.75" hidden="1" customHeight="1" x14ac:dyDescent="0.2">
      <c r="E3514" t="s">
        <v>461</v>
      </c>
      <c r="F3514">
        <v>165</v>
      </c>
      <c r="G3514" t="s">
        <v>298</v>
      </c>
      <c r="H3514" t="s">
        <v>19</v>
      </c>
      <c r="I3514">
        <v>1</v>
      </c>
    </row>
    <row r="3515" spans="5:9" ht="15.75" hidden="1" customHeight="1" x14ac:dyDescent="0.2">
      <c r="E3515" t="s">
        <v>462</v>
      </c>
      <c r="F3515">
        <v>166</v>
      </c>
      <c r="G3515" t="s">
        <v>298</v>
      </c>
      <c r="H3515" t="s">
        <v>19</v>
      </c>
      <c r="I3515">
        <v>0</v>
      </c>
    </row>
    <row r="3516" spans="5:9" ht="15.75" hidden="1" customHeight="1" x14ac:dyDescent="0.2">
      <c r="E3516" t="s">
        <v>463</v>
      </c>
      <c r="F3516">
        <v>167</v>
      </c>
      <c r="G3516" t="s">
        <v>298</v>
      </c>
      <c r="H3516" t="s">
        <v>19</v>
      </c>
      <c r="I3516">
        <v>1</v>
      </c>
    </row>
    <row r="3517" spans="5:9" ht="15.75" hidden="1" customHeight="1" x14ac:dyDescent="0.2">
      <c r="E3517" t="s">
        <v>464</v>
      </c>
      <c r="F3517">
        <v>168</v>
      </c>
      <c r="G3517" t="s">
        <v>298</v>
      </c>
      <c r="H3517" t="s">
        <v>19</v>
      </c>
      <c r="I3517">
        <v>0</v>
      </c>
    </row>
    <row r="3518" spans="5:9" ht="15.75" hidden="1" customHeight="1" x14ac:dyDescent="0.2">
      <c r="E3518" t="s">
        <v>465</v>
      </c>
      <c r="F3518">
        <v>169</v>
      </c>
      <c r="G3518" t="s">
        <v>298</v>
      </c>
      <c r="H3518" t="s">
        <v>19</v>
      </c>
      <c r="I3518">
        <v>0</v>
      </c>
    </row>
    <row r="3519" spans="5:9" ht="15.75" hidden="1" customHeight="1" x14ac:dyDescent="0.2">
      <c r="E3519" t="s">
        <v>466</v>
      </c>
      <c r="F3519">
        <v>170</v>
      </c>
      <c r="G3519" t="s">
        <v>298</v>
      </c>
      <c r="H3519" t="s">
        <v>19</v>
      </c>
      <c r="I3519">
        <v>1</v>
      </c>
    </row>
    <row r="3520" spans="5:9" ht="15.75" hidden="1" customHeight="1" x14ac:dyDescent="0.2">
      <c r="E3520" t="s">
        <v>467</v>
      </c>
      <c r="F3520">
        <v>171</v>
      </c>
      <c r="G3520" t="s">
        <v>298</v>
      </c>
      <c r="H3520" t="s">
        <v>19</v>
      </c>
      <c r="I3520">
        <v>0</v>
      </c>
    </row>
    <row r="3521" spans="5:9" ht="15.75" hidden="1" customHeight="1" x14ac:dyDescent="0.2">
      <c r="E3521" t="s">
        <v>468</v>
      </c>
      <c r="F3521">
        <v>172</v>
      </c>
      <c r="G3521" t="s">
        <v>298</v>
      </c>
      <c r="H3521" t="s">
        <v>19</v>
      </c>
      <c r="I3521">
        <v>1</v>
      </c>
    </row>
    <row r="3522" spans="5:9" ht="15.75" hidden="1" customHeight="1" x14ac:dyDescent="0.2">
      <c r="E3522" t="s">
        <v>469</v>
      </c>
      <c r="F3522">
        <v>173</v>
      </c>
      <c r="G3522" t="s">
        <v>298</v>
      </c>
      <c r="H3522" t="s">
        <v>19</v>
      </c>
      <c r="I3522">
        <v>1</v>
      </c>
    </row>
    <row r="3523" spans="5:9" ht="15.75" hidden="1" customHeight="1" x14ac:dyDescent="0.2">
      <c r="E3523" t="s">
        <v>470</v>
      </c>
      <c r="F3523">
        <v>174</v>
      </c>
      <c r="G3523" t="s">
        <v>298</v>
      </c>
      <c r="H3523" t="s">
        <v>19</v>
      </c>
      <c r="I3523">
        <v>1</v>
      </c>
    </row>
    <row r="3524" spans="5:9" ht="15.75" hidden="1" customHeight="1" x14ac:dyDescent="0.2">
      <c r="E3524" t="s">
        <v>471</v>
      </c>
      <c r="F3524">
        <v>175</v>
      </c>
      <c r="G3524" t="s">
        <v>298</v>
      </c>
      <c r="H3524" t="s">
        <v>19</v>
      </c>
      <c r="I3524">
        <v>1</v>
      </c>
    </row>
    <row r="3525" spans="5:9" ht="15.75" hidden="1" customHeight="1" x14ac:dyDescent="0.2">
      <c r="E3525" t="s">
        <v>472</v>
      </c>
      <c r="F3525">
        <v>176</v>
      </c>
      <c r="G3525" t="s">
        <v>298</v>
      </c>
      <c r="H3525" t="s">
        <v>19</v>
      </c>
      <c r="I3525">
        <v>1</v>
      </c>
    </row>
    <row r="3526" spans="5:9" ht="15.75" hidden="1" customHeight="1" x14ac:dyDescent="0.2">
      <c r="E3526" t="s">
        <v>362</v>
      </c>
      <c r="F3526">
        <v>177</v>
      </c>
      <c r="G3526" t="s">
        <v>298</v>
      </c>
      <c r="H3526" t="s">
        <v>19</v>
      </c>
      <c r="I3526">
        <v>0</v>
      </c>
    </row>
    <row r="3527" spans="5:9" ht="15.75" hidden="1" customHeight="1" x14ac:dyDescent="0.2">
      <c r="E3527" t="s">
        <v>473</v>
      </c>
      <c r="F3527">
        <v>178</v>
      </c>
      <c r="G3527" t="s">
        <v>298</v>
      </c>
      <c r="H3527" t="s">
        <v>19</v>
      </c>
      <c r="I3527">
        <v>1</v>
      </c>
    </row>
    <row r="3528" spans="5:9" ht="15.75" hidden="1" customHeight="1" x14ac:dyDescent="0.2">
      <c r="E3528" t="s">
        <v>474</v>
      </c>
      <c r="F3528">
        <v>179</v>
      </c>
      <c r="G3528" t="s">
        <v>298</v>
      </c>
      <c r="H3528" t="s">
        <v>19</v>
      </c>
      <c r="I3528">
        <v>1</v>
      </c>
    </row>
    <row r="3529" spans="5:9" ht="15.75" hidden="1" customHeight="1" x14ac:dyDescent="0.2">
      <c r="E3529" t="s">
        <v>499</v>
      </c>
      <c r="F3529">
        <v>180</v>
      </c>
      <c r="G3529" t="s">
        <v>298</v>
      </c>
      <c r="H3529" t="s">
        <v>19</v>
      </c>
      <c r="I3529">
        <v>1</v>
      </c>
    </row>
    <row r="3530" spans="5:9" ht="15.75" hidden="1" customHeight="1" x14ac:dyDescent="0.2">
      <c r="E3530" t="s">
        <v>500</v>
      </c>
      <c r="F3530">
        <v>181</v>
      </c>
      <c r="G3530" t="s">
        <v>298</v>
      </c>
      <c r="H3530" t="s">
        <v>19</v>
      </c>
      <c r="I3530">
        <v>1</v>
      </c>
    </row>
    <row r="3531" spans="5:9" ht="15.75" hidden="1" customHeight="1" x14ac:dyDescent="0.2">
      <c r="E3531" t="s">
        <v>501</v>
      </c>
      <c r="F3531">
        <v>182</v>
      </c>
      <c r="G3531" t="s">
        <v>298</v>
      </c>
      <c r="H3531" t="s">
        <v>19</v>
      </c>
      <c r="I3531">
        <v>2</v>
      </c>
    </row>
    <row r="3532" spans="5:9" ht="15.75" hidden="1" customHeight="1" x14ac:dyDescent="0.2">
      <c r="E3532" t="s">
        <v>502</v>
      </c>
      <c r="F3532">
        <v>183</v>
      </c>
      <c r="G3532" t="s">
        <v>298</v>
      </c>
      <c r="H3532" t="s">
        <v>19</v>
      </c>
      <c r="I3532">
        <v>0</v>
      </c>
    </row>
    <row r="3533" spans="5:9" ht="15.75" hidden="1" customHeight="1" x14ac:dyDescent="0.2">
      <c r="E3533" t="s">
        <v>503</v>
      </c>
      <c r="F3533">
        <v>184</v>
      </c>
      <c r="G3533" t="s">
        <v>298</v>
      </c>
      <c r="H3533" t="s">
        <v>19</v>
      </c>
      <c r="I3533">
        <v>0</v>
      </c>
    </row>
    <row r="3534" spans="5:9" ht="15.75" hidden="1" customHeight="1" x14ac:dyDescent="0.2">
      <c r="E3534" t="s">
        <v>504</v>
      </c>
      <c r="F3534">
        <v>185</v>
      </c>
      <c r="G3534" t="s">
        <v>298</v>
      </c>
      <c r="H3534" t="s">
        <v>19</v>
      </c>
      <c r="I3534">
        <v>0</v>
      </c>
    </row>
    <row r="3535" spans="5:9" ht="15.75" hidden="1" customHeight="1" x14ac:dyDescent="0.2">
      <c r="E3535" t="s">
        <v>505</v>
      </c>
      <c r="F3535">
        <v>186</v>
      </c>
      <c r="G3535" t="s">
        <v>298</v>
      </c>
      <c r="H3535" t="s">
        <v>19</v>
      </c>
      <c r="I3535">
        <v>0</v>
      </c>
    </row>
    <row r="3536" spans="5:9" ht="15.75" customHeight="1" x14ac:dyDescent="0.2">
      <c r="E3536" t="s">
        <v>417</v>
      </c>
      <c r="F3536">
        <v>95</v>
      </c>
      <c r="G3536" t="s">
        <v>299</v>
      </c>
      <c r="H3536" t="s">
        <v>20</v>
      </c>
      <c r="I3536">
        <v>1</v>
      </c>
    </row>
    <row r="3537" spans="5:9" ht="15.75" customHeight="1" x14ac:dyDescent="0.2">
      <c r="E3537" t="s">
        <v>443</v>
      </c>
      <c r="F3537">
        <v>99</v>
      </c>
      <c r="G3537" t="s">
        <v>299</v>
      </c>
      <c r="H3537" t="s">
        <v>20</v>
      </c>
      <c r="I3537">
        <v>1</v>
      </c>
    </row>
    <row r="3538" spans="5:9" ht="15.75" customHeight="1" x14ac:dyDescent="0.2">
      <c r="E3538" t="s">
        <v>447</v>
      </c>
      <c r="F3538">
        <v>103</v>
      </c>
      <c r="G3538" t="s">
        <v>299</v>
      </c>
      <c r="H3538" t="s">
        <v>20</v>
      </c>
      <c r="I3538">
        <v>1</v>
      </c>
    </row>
    <row r="3539" spans="5:9" ht="15.75" customHeight="1" x14ac:dyDescent="0.2">
      <c r="E3539" t="s">
        <v>452</v>
      </c>
      <c r="F3539">
        <v>108</v>
      </c>
      <c r="G3539" t="s">
        <v>299</v>
      </c>
      <c r="H3539" t="s">
        <v>20</v>
      </c>
      <c r="I3539">
        <v>1</v>
      </c>
    </row>
    <row r="3540" spans="5:9" ht="15.75" customHeight="1" x14ac:dyDescent="0.2">
      <c r="E3540" t="s">
        <v>469</v>
      </c>
      <c r="F3540">
        <v>124</v>
      </c>
      <c r="G3540" t="s">
        <v>299</v>
      </c>
      <c r="H3540" t="s">
        <v>20</v>
      </c>
      <c r="I3540">
        <v>1</v>
      </c>
    </row>
    <row r="3541" spans="5:9" ht="15.75" customHeight="1" x14ac:dyDescent="0.2">
      <c r="E3541" t="s">
        <v>470</v>
      </c>
      <c r="F3541">
        <v>125</v>
      </c>
      <c r="G3541" t="s">
        <v>299</v>
      </c>
      <c r="H3541" t="s">
        <v>20</v>
      </c>
      <c r="I3541">
        <v>1</v>
      </c>
    </row>
    <row r="3542" spans="5:9" ht="15.75" customHeight="1" x14ac:dyDescent="0.2">
      <c r="E3542" t="s">
        <v>473</v>
      </c>
      <c r="F3542">
        <v>128</v>
      </c>
      <c r="G3542" t="s">
        <v>299</v>
      </c>
      <c r="H3542" t="s">
        <v>20</v>
      </c>
      <c r="I3542">
        <v>1</v>
      </c>
    </row>
    <row r="3543" spans="5:9" ht="15.75" customHeight="1" x14ac:dyDescent="0.2">
      <c r="E3543" t="s">
        <v>474</v>
      </c>
      <c r="F3543">
        <v>129</v>
      </c>
      <c r="G3543" t="s">
        <v>299</v>
      </c>
      <c r="H3543" t="s">
        <v>20</v>
      </c>
      <c r="I3543">
        <v>1</v>
      </c>
    </row>
    <row r="3544" spans="5:9" ht="15.75" customHeight="1" x14ac:dyDescent="0.2">
      <c r="E3544" t="s">
        <v>476</v>
      </c>
      <c r="F3544">
        <v>130</v>
      </c>
      <c r="G3544" t="s">
        <v>299</v>
      </c>
      <c r="H3544" t="s">
        <v>20</v>
      </c>
      <c r="I3544">
        <v>1</v>
      </c>
    </row>
    <row r="3545" spans="5:9" ht="15.75" customHeight="1" x14ac:dyDescent="0.2">
      <c r="E3545" t="s">
        <v>443</v>
      </c>
      <c r="F3545">
        <v>135</v>
      </c>
      <c r="G3545" t="s">
        <v>299</v>
      </c>
      <c r="H3545" t="s">
        <v>20</v>
      </c>
      <c r="I3545">
        <v>1</v>
      </c>
    </row>
    <row r="3546" spans="5:9" ht="15.75" customHeight="1" x14ac:dyDescent="0.2">
      <c r="E3546" t="s">
        <v>447</v>
      </c>
      <c r="F3546">
        <v>143</v>
      </c>
      <c r="G3546" t="s">
        <v>299</v>
      </c>
      <c r="H3546" t="s">
        <v>20</v>
      </c>
      <c r="I3546">
        <v>1</v>
      </c>
    </row>
    <row r="3547" spans="5:9" ht="15.75" customHeight="1" x14ac:dyDescent="0.2">
      <c r="E3547" t="s">
        <v>452</v>
      </c>
      <c r="F3547">
        <v>149</v>
      </c>
      <c r="G3547" t="s">
        <v>299</v>
      </c>
      <c r="H3547" t="s">
        <v>20</v>
      </c>
      <c r="I3547">
        <v>1</v>
      </c>
    </row>
    <row r="3548" spans="5:9" ht="15.75" customHeight="1" x14ac:dyDescent="0.2">
      <c r="E3548" t="s">
        <v>491</v>
      </c>
      <c r="F3548">
        <v>157</v>
      </c>
      <c r="G3548" t="s">
        <v>299</v>
      </c>
      <c r="H3548" t="s">
        <v>20</v>
      </c>
      <c r="I3548">
        <v>1</v>
      </c>
    </row>
    <row r="3549" spans="5:9" ht="15.75" customHeight="1" x14ac:dyDescent="0.2">
      <c r="E3549" t="s">
        <v>492</v>
      </c>
      <c r="F3549">
        <v>158</v>
      </c>
      <c r="G3549" t="s">
        <v>299</v>
      </c>
      <c r="H3549" t="s">
        <v>20</v>
      </c>
      <c r="I3549">
        <v>1</v>
      </c>
    </row>
    <row r="3550" spans="5:9" ht="15.75" customHeight="1" x14ac:dyDescent="0.2">
      <c r="E3550" t="s">
        <v>494</v>
      </c>
      <c r="F3550">
        <v>160</v>
      </c>
      <c r="G3550" t="s">
        <v>299</v>
      </c>
      <c r="H3550" t="s">
        <v>20</v>
      </c>
      <c r="I3550">
        <v>1</v>
      </c>
    </row>
    <row r="3551" spans="5:9" ht="15.75" customHeight="1" x14ac:dyDescent="0.2">
      <c r="E3551" t="s">
        <v>469</v>
      </c>
      <c r="F3551">
        <v>173</v>
      </c>
      <c r="G3551" t="s">
        <v>299</v>
      </c>
      <c r="H3551" t="s">
        <v>20</v>
      </c>
      <c r="I3551">
        <v>1</v>
      </c>
    </row>
    <row r="3552" spans="5:9" ht="15.75" customHeight="1" x14ac:dyDescent="0.2">
      <c r="E3552" t="s">
        <v>470</v>
      </c>
      <c r="F3552">
        <v>174</v>
      </c>
      <c r="G3552" t="s">
        <v>299</v>
      </c>
      <c r="H3552" t="s">
        <v>20</v>
      </c>
      <c r="I3552">
        <v>1</v>
      </c>
    </row>
    <row r="3553" spans="5:9" ht="15.75" customHeight="1" x14ac:dyDescent="0.2">
      <c r="E3553" t="s">
        <v>473</v>
      </c>
      <c r="F3553">
        <v>178</v>
      </c>
      <c r="G3553" t="s">
        <v>299</v>
      </c>
      <c r="H3553" t="s">
        <v>20</v>
      </c>
      <c r="I3553">
        <v>1</v>
      </c>
    </row>
    <row r="3554" spans="5:9" ht="15.75" customHeight="1" x14ac:dyDescent="0.2">
      <c r="E3554" t="s">
        <v>474</v>
      </c>
      <c r="F3554">
        <v>179</v>
      </c>
      <c r="G3554" t="s">
        <v>299</v>
      </c>
      <c r="H3554" t="s">
        <v>20</v>
      </c>
      <c r="I3554">
        <v>1</v>
      </c>
    </row>
    <row r="3555" spans="5:9" ht="15.75" customHeight="1" x14ac:dyDescent="0.2">
      <c r="E3555" t="s">
        <v>499</v>
      </c>
      <c r="F3555">
        <v>180</v>
      </c>
      <c r="G3555" t="s">
        <v>299</v>
      </c>
      <c r="H3555" t="s">
        <v>20</v>
      </c>
      <c r="I3555">
        <v>1</v>
      </c>
    </row>
    <row r="3556" spans="5:9" ht="15.75" customHeight="1" x14ac:dyDescent="0.2">
      <c r="E3556" t="s">
        <v>500</v>
      </c>
      <c r="F3556">
        <v>181</v>
      </c>
      <c r="G3556" t="s">
        <v>299</v>
      </c>
      <c r="H3556" t="s">
        <v>20</v>
      </c>
      <c r="I3556">
        <v>1</v>
      </c>
    </row>
    <row r="3557" spans="5:9" ht="15.75" customHeight="1" x14ac:dyDescent="0.2">
      <c r="E3557" t="s">
        <v>503</v>
      </c>
      <c r="F3557">
        <v>184</v>
      </c>
      <c r="G3557" t="s">
        <v>299</v>
      </c>
      <c r="H3557" t="s">
        <v>20</v>
      </c>
      <c r="I3557">
        <v>1</v>
      </c>
    </row>
    <row r="3558" spans="5:9" ht="15.75" customHeight="1" x14ac:dyDescent="0.2">
      <c r="E3558" t="s">
        <v>504</v>
      </c>
      <c r="F3558">
        <v>185</v>
      </c>
      <c r="G3558" t="s">
        <v>299</v>
      </c>
      <c r="H3558" t="s">
        <v>20</v>
      </c>
      <c r="I3558">
        <v>1</v>
      </c>
    </row>
    <row r="3559" spans="5:9" ht="15.75" customHeight="1" x14ac:dyDescent="0.2">
      <c r="E3559" t="s">
        <v>505</v>
      </c>
      <c r="F3559">
        <v>186</v>
      </c>
      <c r="G3559" t="s">
        <v>299</v>
      </c>
      <c r="H3559" t="s">
        <v>20</v>
      </c>
      <c r="I3559">
        <v>1</v>
      </c>
    </row>
    <row r="3560" spans="5:9" ht="15.75" customHeight="1" x14ac:dyDescent="0.2">
      <c r="E3560" t="s">
        <v>363</v>
      </c>
      <c r="F3560">
        <v>12</v>
      </c>
      <c r="G3560" t="s">
        <v>255</v>
      </c>
      <c r="H3560" t="s">
        <v>15</v>
      </c>
      <c r="I3560">
        <v>0</v>
      </c>
    </row>
    <row r="3561" spans="5:9" ht="15.75" customHeight="1" x14ac:dyDescent="0.2">
      <c r="E3561" t="s">
        <v>365</v>
      </c>
      <c r="F3561">
        <v>13</v>
      </c>
      <c r="G3561" t="s">
        <v>255</v>
      </c>
      <c r="H3561" t="s">
        <v>15</v>
      </c>
      <c r="I3561">
        <v>0</v>
      </c>
    </row>
    <row r="3562" spans="5:9" ht="15.75" customHeight="1" x14ac:dyDescent="0.2">
      <c r="E3562" t="s">
        <v>370</v>
      </c>
      <c r="F3562">
        <v>73</v>
      </c>
      <c r="G3562" t="s">
        <v>255</v>
      </c>
      <c r="H3562" t="s">
        <v>15</v>
      </c>
      <c r="I3562">
        <v>0</v>
      </c>
    </row>
    <row r="3563" spans="5:9" ht="15.75" customHeight="1" x14ac:dyDescent="0.2">
      <c r="E3563" t="s">
        <v>373</v>
      </c>
      <c r="F3563">
        <v>74</v>
      </c>
      <c r="G3563" t="s">
        <v>255</v>
      </c>
      <c r="H3563" t="s">
        <v>15</v>
      </c>
      <c r="I3563">
        <v>0</v>
      </c>
    </row>
    <row r="3564" spans="5:9" ht="15.75" customHeight="1" x14ac:dyDescent="0.2">
      <c r="E3564" t="s">
        <v>374</v>
      </c>
      <c r="F3564">
        <v>75</v>
      </c>
      <c r="G3564" t="s">
        <v>255</v>
      </c>
      <c r="H3564" t="s">
        <v>15</v>
      </c>
      <c r="I3564">
        <v>0</v>
      </c>
    </row>
    <row r="3565" spans="5:9" ht="15.75" customHeight="1" x14ac:dyDescent="0.2">
      <c r="E3565" t="s">
        <v>375</v>
      </c>
      <c r="F3565">
        <v>76</v>
      </c>
      <c r="G3565" t="s">
        <v>255</v>
      </c>
      <c r="H3565" t="s">
        <v>15</v>
      </c>
      <c r="I3565">
        <v>0</v>
      </c>
    </row>
    <row r="3566" spans="5:9" ht="15.75" customHeight="1" x14ac:dyDescent="0.2">
      <c r="E3566" t="s">
        <v>376</v>
      </c>
      <c r="F3566">
        <v>77</v>
      </c>
      <c r="G3566" t="s">
        <v>255</v>
      </c>
      <c r="H3566" t="s">
        <v>15</v>
      </c>
      <c r="I3566">
        <v>0</v>
      </c>
    </row>
    <row r="3567" spans="5:9" ht="15.75" customHeight="1" x14ac:dyDescent="0.2">
      <c r="E3567" t="s">
        <v>382</v>
      </c>
      <c r="F3567">
        <v>78</v>
      </c>
      <c r="G3567" t="s">
        <v>255</v>
      </c>
      <c r="H3567" t="s">
        <v>15</v>
      </c>
      <c r="I3567">
        <v>0</v>
      </c>
    </row>
    <row r="3568" spans="5:9" ht="15.75" customHeight="1" x14ac:dyDescent="0.2">
      <c r="E3568" t="s">
        <v>383</v>
      </c>
      <c r="F3568">
        <v>79</v>
      </c>
      <c r="G3568" t="s">
        <v>255</v>
      </c>
      <c r="H3568" t="s">
        <v>15</v>
      </c>
      <c r="I3568">
        <v>0</v>
      </c>
    </row>
    <row r="3569" spans="5:9" ht="15.75" customHeight="1" x14ac:dyDescent="0.2">
      <c r="E3569" t="s">
        <v>395</v>
      </c>
      <c r="F3569">
        <v>80</v>
      </c>
      <c r="G3569" t="s">
        <v>255</v>
      </c>
      <c r="H3569" t="s">
        <v>15</v>
      </c>
      <c r="I3569">
        <v>0</v>
      </c>
    </row>
    <row r="3570" spans="5:9" ht="15.75" customHeight="1" x14ac:dyDescent="0.2">
      <c r="E3570" t="s">
        <v>397</v>
      </c>
      <c r="F3570">
        <v>81</v>
      </c>
      <c r="G3570" t="s">
        <v>255</v>
      </c>
      <c r="H3570" t="s">
        <v>15</v>
      </c>
      <c r="I3570">
        <v>0</v>
      </c>
    </row>
    <row r="3571" spans="5:9" ht="15.75" customHeight="1" x14ac:dyDescent="0.2">
      <c r="E3571" t="s">
        <v>399</v>
      </c>
      <c r="F3571">
        <v>82</v>
      </c>
      <c r="G3571" t="s">
        <v>255</v>
      </c>
      <c r="H3571" t="s">
        <v>15</v>
      </c>
      <c r="I3571">
        <v>0</v>
      </c>
    </row>
    <row r="3572" spans="5:9" ht="15.75" customHeight="1" x14ac:dyDescent="0.2">
      <c r="E3572" t="s">
        <v>400</v>
      </c>
      <c r="F3572">
        <v>83</v>
      </c>
      <c r="G3572" t="s">
        <v>255</v>
      </c>
      <c r="H3572" t="s">
        <v>15</v>
      </c>
      <c r="I3572">
        <v>0</v>
      </c>
    </row>
    <row r="3573" spans="5:9" ht="15.75" customHeight="1" x14ac:dyDescent="0.2">
      <c r="E3573" t="s">
        <v>401</v>
      </c>
      <c r="F3573">
        <v>84</v>
      </c>
      <c r="G3573" t="s">
        <v>255</v>
      </c>
      <c r="H3573" t="s">
        <v>15</v>
      </c>
      <c r="I3573">
        <v>0</v>
      </c>
    </row>
    <row r="3574" spans="5:9" ht="15.75" customHeight="1" x14ac:dyDescent="0.2">
      <c r="E3574" t="s">
        <v>402</v>
      </c>
      <c r="F3574">
        <v>85</v>
      </c>
      <c r="G3574" t="s">
        <v>255</v>
      </c>
      <c r="H3574" t="s">
        <v>15</v>
      </c>
      <c r="I3574">
        <v>0</v>
      </c>
    </row>
    <row r="3575" spans="5:9" ht="15.75" customHeight="1" x14ac:dyDescent="0.2">
      <c r="E3575" t="s">
        <v>403</v>
      </c>
      <c r="F3575">
        <v>86</v>
      </c>
      <c r="G3575" t="s">
        <v>255</v>
      </c>
      <c r="H3575" t="s">
        <v>15</v>
      </c>
      <c r="I3575">
        <v>0</v>
      </c>
    </row>
    <row r="3576" spans="5:9" ht="15.75" customHeight="1" x14ac:dyDescent="0.2">
      <c r="E3576" t="s">
        <v>404</v>
      </c>
      <c r="F3576">
        <v>87</v>
      </c>
      <c r="G3576" t="s">
        <v>255</v>
      </c>
      <c r="H3576" t="s">
        <v>15</v>
      </c>
      <c r="I3576">
        <v>0</v>
      </c>
    </row>
    <row r="3577" spans="5:9" ht="15.75" customHeight="1" x14ac:dyDescent="0.2">
      <c r="E3577" t="s">
        <v>405</v>
      </c>
      <c r="F3577">
        <v>88</v>
      </c>
      <c r="G3577" t="s">
        <v>255</v>
      </c>
      <c r="H3577" t="s">
        <v>15</v>
      </c>
      <c r="I3577">
        <v>0</v>
      </c>
    </row>
    <row r="3578" spans="5:9" ht="15.75" customHeight="1" x14ac:dyDescent="0.2">
      <c r="E3578" t="s">
        <v>406</v>
      </c>
      <c r="F3578">
        <v>89</v>
      </c>
      <c r="G3578" t="s">
        <v>255</v>
      </c>
      <c r="H3578" t="s">
        <v>15</v>
      </c>
      <c r="I3578">
        <v>0</v>
      </c>
    </row>
    <row r="3579" spans="5:9" ht="15.75" customHeight="1" x14ac:dyDescent="0.2">
      <c r="E3579" t="s">
        <v>376</v>
      </c>
      <c r="F3579">
        <v>90</v>
      </c>
      <c r="G3579" t="s">
        <v>255</v>
      </c>
      <c r="H3579" t="s">
        <v>15</v>
      </c>
      <c r="I3579">
        <v>0</v>
      </c>
    </row>
    <row r="3580" spans="5:9" ht="15.75" customHeight="1" x14ac:dyDescent="0.2">
      <c r="E3580" t="s">
        <v>409</v>
      </c>
      <c r="F3580">
        <v>91</v>
      </c>
      <c r="G3580" t="s">
        <v>255</v>
      </c>
      <c r="H3580" t="s">
        <v>15</v>
      </c>
      <c r="I3580">
        <v>0</v>
      </c>
    </row>
    <row r="3581" spans="5:9" ht="15.75" customHeight="1" x14ac:dyDescent="0.2">
      <c r="E3581" t="s">
        <v>410</v>
      </c>
      <c r="F3581">
        <v>92</v>
      </c>
      <c r="G3581" t="s">
        <v>255</v>
      </c>
      <c r="H3581" t="s">
        <v>15</v>
      </c>
      <c r="I3581">
        <v>0</v>
      </c>
    </row>
    <row r="3582" spans="5:9" ht="15.75" customHeight="1" x14ac:dyDescent="0.2">
      <c r="E3582" t="s">
        <v>413</v>
      </c>
      <c r="F3582">
        <v>93</v>
      </c>
      <c r="G3582" t="s">
        <v>255</v>
      </c>
      <c r="H3582" t="s">
        <v>15</v>
      </c>
      <c r="I3582">
        <v>0</v>
      </c>
    </row>
    <row r="3583" spans="5:9" ht="15.75" customHeight="1" x14ac:dyDescent="0.2">
      <c r="E3583" t="s">
        <v>414</v>
      </c>
      <c r="F3583">
        <v>94</v>
      </c>
      <c r="G3583" t="s">
        <v>255</v>
      </c>
      <c r="H3583" t="s">
        <v>15</v>
      </c>
      <c r="I3583">
        <v>0</v>
      </c>
    </row>
    <row r="3584" spans="5:9" ht="15.75" customHeight="1" x14ac:dyDescent="0.2">
      <c r="E3584" t="s">
        <v>417</v>
      </c>
      <c r="F3584">
        <v>95</v>
      </c>
      <c r="G3584" t="s">
        <v>255</v>
      </c>
      <c r="H3584" t="s">
        <v>15</v>
      </c>
      <c r="I3584">
        <v>0</v>
      </c>
    </row>
    <row r="3585" spans="5:9" ht="15.75" customHeight="1" x14ac:dyDescent="0.2">
      <c r="E3585" t="s">
        <v>440</v>
      </c>
      <c r="F3585">
        <v>96</v>
      </c>
      <c r="G3585" t="s">
        <v>255</v>
      </c>
      <c r="H3585" t="s">
        <v>15</v>
      </c>
      <c r="I3585">
        <v>0</v>
      </c>
    </row>
    <row r="3586" spans="5:9" ht="15.75" customHeight="1" x14ac:dyDescent="0.2">
      <c r="E3586" t="s">
        <v>441</v>
      </c>
      <c r="F3586">
        <v>97</v>
      </c>
      <c r="G3586" t="s">
        <v>255</v>
      </c>
      <c r="H3586" t="s">
        <v>15</v>
      </c>
      <c r="I3586">
        <v>0</v>
      </c>
    </row>
    <row r="3587" spans="5:9" ht="15.75" customHeight="1" x14ac:dyDescent="0.2">
      <c r="E3587" t="s">
        <v>442</v>
      </c>
      <c r="F3587">
        <v>98</v>
      </c>
      <c r="G3587" t="s">
        <v>255</v>
      </c>
      <c r="H3587" t="s">
        <v>15</v>
      </c>
      <c r="I3587">
        <v>0</v>
      </c>
    </row>
    <row r="3588" spans="5:9" ht="15.75" customHeight="1" x14ac:dyDescent="0.2">
      <c r="E3588" t="s">
        <v>443</v>
      </c>
      <c r="F3588">
        <v>99</v>
      </c>
      <c r="G3588" t="s">
        <v>255</v>
      </c>
      <c r="H3588" t="s">
        <v>15</v>
      </c>
      <c r="I3588">
        <v>0</v>
      </c>
    </row>
    <row r="3589" spans="5:9" ht="15.75" customHeight="1" x14ac:dyDescent="0.2">
      <c r="E3589" t="s">
        <v>362</v>
      </c>
      <c r="F3589">
        <v>101</v>
      </c>
      <c r="G3589" t="s">
        <v>255</v>
      </c>
      <c r="H3589" t="s">
        <v>15</v>
      </c>
      <c r="I3589">
        <v>0</v>
      </c>
    </row>
    <row r="3590" spans="5:9" ht="15.75" customHeight="1" x14ac:dyDescent="0.2">
      <c r="E3590" t="s">
        <v>446</v>
      </c>
      <c r="F3590">
        <v>102</v>
      </c>
      <c r="G3590" t="s">
        <v>255</v>
      </c>
      <c r="H3590" t="s">
        <v>15</v>
      </c>
      <c r="I3590">
        <v>0</v>
      </c>
    </row>
    <row r="3591" spans="5:9" ht="15.75" customHeight="1" x14ac:dyDescent="0.2">
      <c r="E3591" t="s">
        <v>447</v>
      </c>
      <c r="F3591">
        <v>103</v>
      </c>
      <c r="G3591" t="s">
        <v>255</v>
      </c>
      <c r="H3591" t="s">
        <v>15</v>
      </c>
      <c r="I3591">
        <v>0</v>
      </c>
    </row>
    <row r="3592" spans="5:9" ht="15.75" customHeight="1" x14ac:dyDescent="0.2">
      <c r="E3592" t="s">
        <v>448</v>
      </c>
      <c r="F3592">
        <v>104</v>
      </c>
      <c r="G3592" t="s">
        <v>255</v>
      </c>
      <c r="H3592" t="s">
        <v>15</v>
      </c>
      <c r="I3592">
        <v>0</v>
      </c>
    </row>
    <row r="3593" spans="5:9" ht="15.75" customHeight="1" x14ac:dyDescent="0.2">
      <c r="E3593" t="s">
        <v>449</v>
      </c>
      <c r="F3593">
        <v>105</v>
      </c>
      <c r="G3593" t="s">
        <v>255</v>
      </c>
      <c r="H3593" t="s">
        <v>15</v>
      </c>
      <c r="I3593">
        <v>0</v>
      </c>
    </row>
    <row r="3594" spans="5:9" ht="15.75" customHeight="1" x14ac:dyDescent="0.2">
      <c r="E3594" t="s">
        <v>450</v>
      </c>
      <c r="F3594">
        <v>106</v>
      </c>
      <c r="G3594" t="s">
        <v>255</v>
      </c>
      <c r="H3594" t="s">
        <v>15</v>
      </c>
      <c r="I3594">
        <v>0</v>
      </c>
    </row>
    <row r="3595" spans="5:9" ht="15.75" customHeight="1" x14ac:dyDescent="0.2">
      <c r="E3595" t="s">
        <v>451</v>
      </c>
      <c r="F3595">
        <v>107</v>
      </c>
      <c r="G3595" t="s">
        <v>255</v>
      </c>
      <c r="H3595" t="s">
        <v>15</v>
      </c>
      <c r="I3595">
        <v>0</v>
      </c>
    </row>
    <row r="3596" spans="5:9" ht="15.75" customHeight="1" x14ac:dyDescent="0.2">
      <c r="E3596" t="s">
        <v>452</v>
      </c>
      <c r="F3596">
        <v>108</v>
      </c>
      <c r="G3596" t="s">
        <v>255</v>
      </c>
      <c r="H3596" t="s">
        <v>15</v>
      </c>
      <c r="I3596">
        <v>0</v>
      </c>
    </row>
    <row r="3597" spans="5:9" ht="15.75" customHeight="1" x14ac:dyDescent="0.2">
      <c r="E3597" t="s">
        <v>453</v>
      </c>
      <c r="F3597">
        <v>109</v>
      </c>
      <c r="G3597" t="s">
        <v>255</v>
      </c>
      <c r="H3597" t="s">
        <v>15</v>
      </c>
      <c r="I3597">
        <v>0</v>
      </c>
    </row>
    <row r="3598" spans="5:9" ht="15.75" customHeight="1" x14ac:dyDescent="0.2">
      <c r="E3598" t="s">
        <v>454</v>
      </c>
      <c r="F3598">
        <v>110</v>
      </c>
      <c r="G3598" t="s">
        <v>255</v>
      </c>
      <c r="H3598" t="s">
        <v>15</v>
      </c>
      <c r="I3598">
        <v>0</v>
      </c>
    </row>
    <row r="3599" spans="5:9" ht="15.75" customHeight="1" x14ac:dyDescent="0.2">
      <c r="E3599" t="s">
        <v>455</v>
      </c>
      <c r="F3599">
        <v>111</v>
      </c>
      <c r="G3599" t="s">
        <v>255</v>
      </c>
      <c r="H3599" t="s">
        <v>15</v>
      </c>
      <c r="I3599">
        <v>0</v>
      </c>
    </row>
    <row r="3600" spans="5:9" ht="15.75" customHeight="1" x14ac:dyDescent="0.2">
      <c r="E3600" t="s">
        <v>456</v>
      </c>
      <c r="F3600">
        <v>112</v>
      </c>
      <c r="G3600" t="s">
        <v>255</v>
      </c>
      <c r="H3600" t="s">
        <v>15</v>
      </c>
      <c r="I3600">
        <v>0</v>
      </c>
    </row>
    <row r="3601" spans="5:9" ht="15.75" customHeight="1" x14ac:dyDescent="0.2">
      <c r="E3601" t="s">
        <v>457</v>
      </c>
      <c r="F3601">
        <v>113</v>
      </c>
      <c r="G3601" t="s">
        <v>255</v>
      </c>
      <c r="H3601" t="s">
        <v>15</v>
      </c>
      <c r="I3601">
        <v>0</v>
      </c>
    </row>
    <row r="3602" spans="5:9" ht="15.75" customHeight="1" x14ac:dyDescent="0.2">
      <c r="E3602" t="s">
        <v>459</v>
      </c>
      <c r="F3602">
        <v>114</v>
      </c>
      <c r="G3602" t="s">
        <v>255</v>
      </c>
      <c r="H3602" t="s">
        <v>15</v>
      </c>
      <c r="I3602">
        <v>0</v>
      </c>
    </row>
    <row r="3603" spans="5:9" ht="15.75" customHeight="1" x14ac:dyDescent="0.2">
      <c r="E3603" t="s">
        <v>460</v>
      </c>
      <c r="F3603">
        <v>115</v>
      </c>
      <c r="G3603" t="s">
        <v>255</v>
      </c>
      <c r="H3603" t="s">
        <v>15</v>
      </c>
      <c r="I3603">
        <v>0</v>
      </c>
    </row>
    <row r="3604" spans="5:9" ht="15.75" customHeight="1" x14ac:dyDescent="0.2">
      <c r="E3604" t="s">
        <v>461</v>
      </c>
      <c r="F3604">
        <v>116</v>
      </c>
      <c r="G3604" t="s">
        <v>255</v>
      </c>
      <c r="H3604" t="s">
        <v>15</v>
      </c>
      <c r="I3604">
        <v>0</v>
      </c>
    </row>
    <row r="3605" spans="5:9" ht="15.75" customHeight="1" x14ac:dyDescent="0.2">
      <c r="E3605" t="s">
        <v>462</v>
      </c>
      <c r="F3605">
        <v>117</v>
      </c>
      <c r="G3605" t="s">
        <v>255</v>
      </c>
      <c r="H3605" t="s">
        <v>15</v>
      </c>
      <c r="I3605">
        <v>0</v>
      </c>
    </row>
    <row r="3606" spans="5:9" ht="15.75" customHeight="1" x14ac:dyDescent="0.2">
      <c r="E3606" t="s">
        <v>463</v>
      </c>
      <c r="F3606">
        <v>118</v>
      </c>
      <c r="G3606" t="s">
        <v>255</v>
      </c>
      <c r="H3606" t="s">
        <v>15</v>
      </c>
      <c r="I3606">
        <v>0</v>
      </c>
    </row>
    <row r="3607" spans="5:9" ht="15.75" customHeight="1" x14ac:dyDescent="0.2">
      <c r="E3607" t="s">
        <v>464</v>
      </c>
      <c r="F3607">
        <v>119</v>
      </c>
      <c r="G3607" t="s">
        <v>255</v>
      </c>
      <c r="H3607" t="s">
        <v>15</v>
      </c>
      <c r="I3607">
        <v>0</v>
      </c>
    </row>
    <row r="3608" spans="5:9" ht="15.75" customHeight="1" x14ac:dyDescent="0.2">
      <c r="E3608" t="s">
        <v>465</v>
      </c>
      <c r="F3608">
        <v>120</v>
      </c>
      <c r="G3608" t="s">
        <v>255</v>
      </c>
      <c r="H3608" t="s">
        <v>15</v>
      </c>
      <c r="I3608">
        <v>0</v>
      </c>
    </row>
    <row r="3609" spans="5:9" ht="15.75" customHeight="1" x14ac:dyDescent="0.2">
      <c r="E3609" t="s">
        <v>466</v>
      </c>
      <c r="F3609">
        <v>121</v>
      </c>
      <c r="G3609" t="s">
        <v>255</v>
      </c>
      <c r="H3609" t="s">
        <v>15</v>
      </c>
      <c r="I3609">
        <v>0</v>
      </c>
    </row>
    <row r="3610" spans="5:9" ht="15.75" customHeight="1" x14ac:dyDescent="0.2">
      <c r="E3610" t="s">
        <v>467</v>
      </c>
      <c r="F3610">
        <v>122</v>
      </c>
      <c r="G3610" t="s">
        <v>255</v>
      </c>
      <c r="H3610" t="s">
        <v>15</v>
      </c>
      <c r="I3610">
        <v>0</v>
      </c>
    </row>
    <row r="3611" spans="5:9" ht="15.75" customHeight="1" x14ac:dyDescent="0.2">
      <c r="E3611" t="s">
        <v>468</v>
      </c>
      <c r="F3611">
        <v>123</v>
      </c>
      <c r="G3611" t="s">
        <v>255</v>
      </c>
      <c r="H3611" t="s">
        <v>15</v>
      </c>
      <c r="I3611">
        <v>0</v>
      </c>
    </row>
    <row r="3612" spans="5:9" ht="15.75" customHeight="1" x14ac:dyDescent="0.2">
      <c r="E3612" t="s">
        <v>469</v>
      </c>
      <c r="F3612">
        <v>124</v>
      </c>
      <c r="G3612" t="s">
        <v>255</v>
      </c>
      <c r="H3612" t="s">
        <v>15</v>
      </c>
      <c r="I3612">
        <v>0</v>
      </c>
    </row>
    <row r="3613" spans="5:9" ht="15.75" customHeight="1" x14ac:dyDescent="0.2">
      <c r="E3613" t="s">
        <v>470</v>
      </c>
      <c r="F3613">
        <v>125</v>
      </c>
      <c r="G3613" t="s">
        <v>255</v>
      </c>
      <c r="H3613" t="s">
        <v>15</v>
      </c>
      <c r="I3613">
        <v>0</v>
      </c>
    </row>
    <row r="3614" spans="5:9" ht="15.75" customHeight="1" x14ac:dyDescent="0.2">
      <c r="E3614" t="s">
        <v>471</v>
      </c>
      <c r="F3614">
        <v>126</v>
      </c>
      <c r="G3614" t="s">
        <v>255</v>
      </c>
      <c r="H3614" t="s">
        <v>15</v>
      </c>
      <c r="I3614">
        <v>0</v>
      </c>
    </row>
    <row r="3615" spans="5:9" ht="15.75" customHeight="1" x14ac:dyDescent="0.2">
      <c r="E3615" t="s">
        <v>472</v>
      </c>
      <c r="F3615">
        <v>127</v>
      </c>
      <c r="G3615" t="s">
        <v>255</v>
      </c>
      <c r="H3615" t="s">
        <v>15</v>
      </c>
      <c r="I3615">
        <v>0</v>
      </c>
    </row>
    <row r="3616" spans="5:9" ht="15.75" customHeight="1" x14ac:dyDescent="0.2">
      <c r="E3616" t="s">
        <v>473</v>
      </c>
      <c r="F3616">
        <v>128</v>
      </c>
      <c r="G3616" t="s">
        <v>255</v>
      </c>
      <c r="H3616" t="s">
        <v>15</v>
      </c>
      <c r="I3616">
        <v>0</v>
      </c>
    </row>
    <row r="3617" spans="5:9" ht="15.75" customHeight="1" x14ac:dyDescent="0.2">
      <c r="E3617" t="s">
        <v>474</v>
      </c>
      <c r="F3617">
        <v>129</v>
      </c>
      <c r="G3617" t="s">
        <v>255</v>
      </c>
      <c r="H3617" t="s">
        <v>15</v>
      </c>
      <c r="I3617">
        <v>0</v>
      </c>
    </row>
    <row r="3618" spans="5:9" ht="15.75" customHeight="1" x14ac:dyDescent="0.2">
      <c r="E3618" t="s">
        <v>350</v>
      </c>
      <c r="F3618">
        <v>2</v>
      </c>
      <c r="G3618" t="s">
        <v>299</v>
      </c>
      <c r="H3618" t="s">
        <v>20</v>
      </c>
      <c r="I3618">
        <v>0</v>
      </c>
    </row>
    <row r="3619" spans="5:9" ht="15.75" customHeight="1" x14ac:dyDescent="0.2">
      <c r="E3619" t="s">
        <v>360</v>
      </c>
      <c r="F3619">
        <v>9</v>
      </c>
      <c r="G3619" t="s">
        <v>299</v>
      </c>
      <c r="H3619" t="s">
        <v>20</v>
      </c>
      <c r="I3619">
        <v>0</v>
      </c>
    </row>
    <row r="3620" spans="5:9" ht="15.75" customHeight="1" x14ac:dyDescent="0.2">
      <c r="E3620" t="s">
        <v>361</v>
      </c>
      <c r="F3620">
        <v>10</v>
      </c>
      <c r="G3620" t="s">
        <v>299</v>
      </c>
      <c r="H3620" t="s">
        <v>20</v>
      </c>
      <c r="I3620">
        <v>0</v>
      </c>
    </row>
    <row r="3621" spans="5:9" ht="15.75" customHeight="1" x14ac:dyDescent="0.2">
      <c r="E3621" t="s">
        <v>362</v>
      </c>
      <c r="F3621">
        <v>11</v>
      </c>
      <c r="G3621" t="s">
        <v>299</v>
      </c>
      <c r="H3621" t="s">
        <v>20</v>
      </c>
      <c r="I3621">
        <v>0</v>
      </c>
    </row>
    <row r="3622" spans="5:9" ht="15.75" customHeight="1" x14ac:dyDescent="0.2">
      <c r="E3622" t="s">
        <v>365</v>
      </c>
      <c r="F3622">
        <v>13</v>
      </c>
      <c r="G3622" t="s">
        <v>299</v>
      </c>
      <c r="H3622" t="s">
        <v>20</v>
      </c>
      <c r="I3622">
        <v>0</v>
      </c>
    </row>
    <row r="3623" spans="5:9" ht="15.75" customHeight="1" x14ac:dyDescent="0.2">
      <c r="E3623" t="s">
        <v>369</v>
      </c>
      <c r="F3623">
        <v>14</v>
      </c>
      <c r="G3623" t="s">
        <v>299</v>
      </c>
      <c r="H3623" t="s">
        <v>20</v>
      </c>
      <c r="I3623">
        <v>0</v>
      </c>
    </row>
    <row r="3624" spans="5:9" ht="15.75" customHeight="1" x14ac:dyDescent="0.2">
      <c r="E3624" t="s">
        <v>372</v>
      </c>
      <c r="F3624">
        <v>17</v>
      </c>
      <c r="G3624" t="s">
        <v>299</v>
      </c>
      <c r="H3624" t="s">
        <v>20</v>
      </c>
      <c r="I3624">
        <v>0</v>
      </c>
    </row>
    <row r="3625" spans="5:9" ht="15.75" customHeight="1" x14ac:dyDescent="0.2">
      <c r="E3625" t="s">
        <v>373</v>
      </c>
      <c r="F3625">
        <v>18</v>
      </c>
      <c r="G3625" t="s">
        <v>299</v>
      </c>
      <c r="H3625" t="s">
        <v>20</v>
      </c>
      <c r="I3625">
        <v>0</v>
      </c>
    </row>
    <row r="3626" spans="5:9" ht="15.75" customHeight="1" x14ac:dyDescent="0.2">
      <c r="E3626" t="s">
        <v>374</v>
      </c>
      <c r="F3626">
        <v>19</v>
      </c>
      <c r="G3626" t="s">
        <v>299</v>
      </c>
      <c r="H3626" t="s">
        <v>20</v>
      </c>
      <c r="I3626">
        <v>0</v>
      </c>
    </row>
    <row r="3627" spans="5:9" ht="15.75" customHeight="1" x14ac:dyDescent="0.2">
      <c r="E3627" t="s">
        <v>376</v>
      </c>
      <c r="F3627">
        <v>21</v>
      </c>
      <c r="G3627" t="s">
        <v>299</v>
      </c>
      <c r="H3627" t="s">
        <v>20</v>
      </c>
      <c r="I3627">
        <v>0</v>
      </c>
    </row>
    <row r="3628" spans="5:9" ht="15.75" customHeight="1" x14ac:dyDescent="0.2">
      <c r="E3628" t="s">
        <v>378</v>
      </c>
      <c r="F3628">
        <v>23</v>
      </c>
      <c r="G3628" t="s">
        <v>299</v>
      </c>
      <c r="H3628" t="s">
        <v>20</v>
      </c>
      <c r="I3628">
        <v>0</v>
      </c>
    </row>
    <row r="3629" spans="5:9" ht="15.75" customHeight="1" x14ac:dyDescent="0.2">
      <c r="E3629" t="s">
        <v>379</v>
      </c>
      <c r="F3629">
        <v>24</v>
      </c>
      <c r="G3629" t="s">
        <v>299</v>
      </c>
      <c r="H3629" t="s">
        <v>20</v>
      </c>
      <c r="I3629">
        <v>0</v>
      </c>
    </row>
    <row r="3630" spans="5:9" ht="15.75" customHeight="1" x14ac:dyDescent="0.2">
      <c r="E3630" t="s">
        <v>382</v>
      </c>
      <c r="F3630">
        <v>27</v>
      </c>
      <c r="G3630" t="s">
        <v>299</v>
      </c>
      <c r="H3630" t="s">
        <v>20</v>
      </c>
      <c r="I3630">
        <v>0</v>
      </c>
    </row>
    <row r="3631" spans="5:9" ht="15.75" customHeight="1" x14ac:dyDescent="0.2">
      <c r="E3631" t="s">
        <v>399</v>
      </c>
      <c r="F3631">
        <v>41</v>
      </c>
      <c r="G3631" t="s">
        <v>299</v>
      </c>
      <c r="H3631" t="s">
        <v>20</v>
      </c>
      <c r="I3631">
        <v>0</v>
      </c>
    </row>
    <row r="3632" spans="5:9" ht="15.75" customHeight="1" x14ac:dyDescent="0.2">
      <c r="E3632" t="s">
        <v>400</v>
      </c>
      <c r="F3632">
        <v>42</v>
      </c>
      <c r="G3632" t="s">
        <v>299</v>
      </c>
      <c r="H3632" t="s">
        <v>20</v>
      </c>
      <c r="I3632">
        <v>0</v>
      </c>
    </row>
    <row r="3633" spans="5:9" ht="15.75" customHeight="1" x14ac:dyDescent="0.2">
      <c r="E3633" t="s">
        <v>401</v>
      </c>
      <c r="F3633">
        <v>43</v>
      </c>
      <c r="G3633" t="s">
        <v>299</v>
      </c>
      <c r="H3633" t="s">
        <v>20</v>
      </c>
      <c r="I3633">
        <v>0</v>
      </c>
    </row>
    <row r="3634" spans="5:9" ht="15.75" customHeight="1" x14ac:dyDescent="0.2">
      <c r="E3634" t="s">
        <v>402</v>
      </c>
      <c r="F3634">
        <v>44</v>
      </c>
      <c r="G3634" t="s">
        <v>299</v>
      </c>
      <c r="H3634" t="s">
        <v>20</v>
      </c>
      <c r="I3634">
        <v>0</v>
      </c>
    </row>
    <row r="3635" spans="5:9" ht="15.75" customHeight="1" x14ac:dyDescent="0.2">
      <c r="E3635" t="s">
        <v>403</v>
      </c>
      <c r="F3635">
        <v>45</v>
      </c>
      <c r="G3635" t="s">
        <v>299</v>
      </c>
      <c r="H3635" t="s">
        <v>20</v>
      </c>
      <c r="I3635">
        <v>0</v>
      </c>
    </row>
    <row r="3636" spans="5:9" ht="15.75" customHeight="1" x14ac:dyDescent="0.2">
      <c r="E3636" t="s">
        <v>404</v>
      </c>
      <c r="F3636">
        <v>46</v>
      </c>
      <c r="G3636" t="s">
        <v>299</v>
      </c>
      <c r="H3636" t="s">
        <v>20</v>
      </c>
      <c r="I3636">
        <v>0</v>
      </c>
    </row>
    <row r="3637" spans="5:9" ht="15.75" customHeight="1" x14ac:dyDescent="0.2">
      <c r="E3637" t="s">
        <v>405</v>
      </c>
      <c r="F3637">
        <v>47</v>
      </c>
      <c r="G3637" t="s">
        <v>299</v>
      </c>
      <c r="H3637" t="s">
        <v>20</v>
      </c>
      <c r="I3637">
        <v>0</v>
      </c>
    </row>
    <row r="3638" spans="5:9" ht="15.75" customHeight="1" x14ac:dyDescent="0.2">
      <c r="E3638" t="s">
        <v>406</v>
      </c>
      <c r="F3638">
        <v>48</v>
      </c>
      <c r="G3638" t="s">
        <v>299</v>
      </c>
      <c r="H3638" t="s">
        <v>20</v>
      </c>
      <c r="I3638">
        <v>0</v>
      </c>
    </row>
    <row r="3639" spans="5:9" ht="15.75" customHeight="1" x14ac:dyDescent="0.2">
      <c r="E3639" t="s">
        <v>376</v>
      </c>
      <c r="F3639">
        <v>49</v>
      </c>
      <c r="G3639" t="s">
        <v>299</v>
      </c>
      <c r="H3639" t="s">
        <v>20</v>
      </c>
      <c r="I3639">
        <v>0</v>
      </c>
    </row>
    <row r="3640" spans="5:9" ht="15.75" customHeight="1" x14ac:dyDescent="0.2">
      <c r="E3640" t="s">
        <v>409</v>
      </c>
      <c r="F3640">
        <v>52</v>
      </c>
      <c r="G3640" t="s">
        <v>299</v>
      </c>
      <c r="H3640" t="s">
        <v>20</v>
      </c>
      <c r="I3640">
        <v>0</v>
      </c>
    </row>
    <row r="3641" spans="5:9" ht="15.75" customHeight="1" x14ac:dyDescent="0.2">
      <c r="E3641" t="s">
        <v>414</v>
      </c>
      <c r="F3641">
        <v>57</v>
      </c>
      <c r="G3641" t="s">
        <v>299</v>
      </c>
      <c r="H3641" t="s">
        <v>20</v>
      </c>
      <c r="I3641">
        <v>0</v>
      </c>
    </row>
    <row r="3642" spans="5:9" ht="15.75" customHeight="1" x14ac:dyDescent="0.2">
      <c r="E3642" t="s">
        <v>415</v>
      </c>
      <c r="F3642">
        <v>58</v>
      </c>
      <c r="G3642" t="s">
        <v>299</v>
      </c>
      <c r="H3642" t="s">
        <v>20</v>
      </c>
      <c r="I3642">
        <v>0</v>
      </c>
    </row>
    <row r="3643" spans="5:9" ht="15.75" customHeight="1" x14ac:dyDescent="0.2">
      <c r="E3643" t="s">
        <v>421</v>
      </c>
      <c r="F3643">
        <v>63</v>
      </c>
      <c r="G3643" t="s">
        <v>299</v>
      </c>
      <c r="H3643" t="s">
        <v>20</v>
      </c>
      <c r="I3643">
        <v>0</v>
      </c>
    </row>
    <row r="3644" spans="5:9" ht="15.75" customHeight="1" x14ac:dyDescent="0.2">
      <c r="E3644" t="s">
        <v>423</v>
      </c>
      <c r="F3644">
        <v>65</v>
      </c>
      <c r="G3644" t="s">
        <v>299</v>
      </c>
      <c r="H3644" t="s">
        <v>20</v>
      </c>
      <c r="I3644">
        <v>0</v>
      </c>
    </row>
    <row r="3645" spans="5:9" ht="15.75" customHeight="1" x14ac:dyDescent="0.2">
      <c r="E3645" t="s">
        <v>424</v>
      </c>
      <c r="F3645">
        <v>66</v>
      </c>
      <c r="G3645" t="s">
        <v>299</v>
      </c>
      <c r="H3645" t="s">
        <v>20</v>
      </c>
      <c r="I3645">
        <v>0</v>
      </c>
    </row>
    <row r="3646" spans="5:9" ht="15.75" customHeight="1" x14ac:dyDescent="0.2">
      <c r="E3646" t="s">
        <v>425</v>
      </c>
      <c r="F3646">
        <v>67</v>
      </c>
      <c r="G3646" t="s">
        <v>299</v>
      </c>
      <c r="H3646" t="s">
        <v>20</v>
      </c>
      <c r="I3646">
        <v>0</v>
      </c>
    </row>
    <row r="3647" spans="5:9" ht="15.75" customHeight="1" x14ac:dyDescent="0.2">
      <c r="E3647" t="s">
        <v>426</v>
      </c>
      <c r="F3647">
        <v>68</v>
      </c>
      <c r="G3647" t="s">
        <v>299</v>
      </c>
      <c r="H3647" t="s">
        <v>20</v>
      </c>
      <c r="I3647">
        <v>0</v>
      </c>
    </row>
    <row r="3648" spans="5:9" ht="15.75" customHeight="1" x14ac:dyDescent="0.2">
      <c r="E3648" t="s">
        <v>373</v>
      </c>
      <c r="F3648">
        <v>74</v>
      </c>
      <c r="G3648" t="s">
        <v>299</v>
      </c>
      <c r="H3648" t="s">
        <v>20</v>
      </c>
      <c r="I3648">
        <v>0</v>
      </c>
    </row>
    <row r="3649" spans="5:9" ht="15.75" customHeight="1" x14ac:dyDescent="0.2">
      <c r="E3649" t="s">
        <v>374</v>
      </c>
      <c r="F3649">
        <v>75</v>
      </c>
      <c r="G3649" t="s">
        <v>299</v>
      </c>
      <c r="H3649" t="s">
        <v>20</v>
      </c>
      <c r="I3649">
        <v>0</v>
      </c>
    </row>
    <row r="3650" spans="5:9" ht="15.75" customHeight="1" x14ac:dyDescent="0.2">
      <c r="E3650" t="s">
        <v>376</v>
      </c>
      <c r="F3650">
        <v>77</v>
      </c>
      <c r="G3650" t="s">
        <v>299</v>
      </c>
      <c r="H3650" t="s">
        <v>20</v>
      </c>
      <c r="I3650">
        <v>0</v>
      </c>
    </row>
    <row r="3651" spans="5:9" ht="15.75" customHeight="1" x14ac:dyDescent="0.2">
      <c r="E3651" t="s">
        <v>382</v>
      </c>
      <c r="F3651">
        <v>78</v>
      </c>
      <c r="G3651" t="s">
        <v>299</v>
      </c>
      <c r="H3651" t="s">
        <v>20</v>
      </c>
      <c r="I3651">
        <v>0</v>
      </c>
    </row>
    <row r="3652" spans="5:9" ht="15.75" customHeight="1" x14ac:dyDescent="0.2">
      <c r="E3652" t="s">
        <v>399</v>
      </c>
      <c r="F3652">
        <v>82</v>
      </c>
      <c r="G3652" t="s">
        <v>299</v>
      </c>
      <c r="H3652" t="s">
        <v>20</v>
      </c>
      <c r="I3652">
        <v>0</v>
      </c>
    </row>
    <row r="3653" spans="5:9" ht="15.75" customHeight="1" x14ac:dyDescent="0.2">
      <c r="E3653" t="s">
        <v>400</v>
      </c>
      <c r="F3653">
        <v>83</v>
      </c>
      <c r="G3653" t="s">
        <v>299</v>
      </c>
      <c r="H3653" t="s">
        <v>20</v>
      </c>
      <c r="I3653">
        <v>0</v>
      </c>
    </row>
    <row r="3654" spans="5:9" ht="15.75" customHeight="1" x14ac:dyDescent="0.2">
      <c r="E3654" t="s">
        <v>401</v>
      </c>
      <c r="F3654">
        <v>84</v>
      </c>
      <c r="G3654" t="s">
        <v>299</v>
      </c>
      <c r="H3654" t="s">
        <v>20</v>
      </c>
      <c r="I3654">
        <v>0</v>
      </c>
    </row>
    <row r="3655" spans="5:9" ht="15.75" customHeight="1" x14ac:dyDescent="0.2">
      <c r="E3655" t="s">
        <v>402</v>
      </c>
      <c r="F3655">
        <v>85</v>
      </c>
      <c r="G3655" t="s">
        <v>299</v>
      </c>
      <c r="H3655" t="s">
        <v>20</v>
      </c>
      <c r="I3655">
        <v>0</v>
      </c>
    </row>
    <row r="3656" spans="5:9" ht="15.75" customHeight="1" x14ac:dyDescent="0.2">
      <c r="E3656" t="s">
        <v>403</v>
      </c>
      <c r="F3656">
        <v>86</v>
      </c>
      <c r="G3656" t="s">
        <v>299</v>
      </c>
      <c r="H3656" t="s">
        <v>20</v>
      </c>
      <c r="I3656">
        <v>0</v>
      </c>
    </row>
    <row r="3657" spans="5:9" ht="15.75" customHeight="1" x14ac:dyDescent="0.2">
      <c r="E3657" t="s">
        <v>404</v>
      </c>
      <c r="F3657">
        <v>87</v>
      </c>
      <c r="G3657" t="s">
        <v>299</v>
      </c>
      <c r="H3657" t="s">
        <v>20</v>
      </c>
      <c r="I3657">
        <v>0</v>
      </c>
    </row>
    <row r="3658" spans="5:9" ht="15.75" customHeight="1" x14ac:dyDescent="0.2">
      <c r="E3658" t="s">
        <v>405</v>
      </c>
      <c r="F3658">
        <v>88</v>
      </c>
      <c r="G3658" t="s">
        <v>299</v>
      </c>
      <c r="H3658" t="s">
        <v>20</v>
      </c>
      <c r="I3658">
        <v>0</v>
      </c>
    </row>
    <row r="3659" spans="5:9" ht="15.75" customHeight="1" x14ac:dyDescent="0.2">
      <c r="E3659" t="s">
        <v>406</v>
      </c>
      <c r="F3659">
        <v>89</v>
      </c>
      <c r="G3659" t="s">
        <v>299</v>
      </c>
      <c r="H3659" t="s">
        <v>20</v>
      </c>
      <c r="I3659">
        <v>0</v>
      </c>
    </row>
    <row r="3660" spans="5:9" ht="15.75" customHeight="1" x14ac:dyDescent="0.2">
      <c r="E3660" t="s">
        <v>376</v>
      </c>
      <c r="F3660">
        <v>90</v>
      </c>
      <c r="G3660" t="s">
        <v>299</v>
      </c>
      <c r="H3660" t="s">
        <v>20</v>
      </c>
      <c r="I3660">
        <v>0</v>
      </c>
    </row>
    <row r="3661" spans="5:9" ht="15.75" customHeight="1" x14ac:dyDescent="0.2">
      <c r="E3661" t="s">
        <v>409</v>
      </c>
      <c r="F3661">
        <v>91</v>
      </c>
      <c r="G3661" t="s">
        <v>299</v>
      </c>
      <c r="H3661" t="s">
        <v>20</v>
      </c>
      <c r="I3661">
        <v>0</v>
      </c>
    </row>
    <row r="3662" spans="5:9" ht="15.75" customHeight="1" x14ac:dyDescent="0.2">
      <c r="E3662" t="s">
        <v>414</v>
      </c>
      <c r="F3662">
        <v>94</v>
      </c>
      <c r="G3662" t="s">
        <v>299</v>
      </c>
      <c r="H3662" t="s">
        <v>20</v>
      </c>
      <c r="I3662">
        <v>0</v>
      </c>
    </row>
    <row r="3663" spans="5:9" ht="15.75" customHeight="1" x14ac:dyDescent="0.2">
      <c r="E3663" t="s">
        <v>440</v>
      </c>
      <c r="F3663">
        <v>96</v>
      </c>
      <c r="G3663" t="s">
        <v>299</v>
      </c>
      <c r="H3663" t="s">
        <v>20</v>
      </c>
      <c r="I3663">
        <v>0</v>
      </c>
    </row>
    <row r="3664" spans="5:9" ht="15.75" customHeight="1" x14ac:dyDescent="0.2">
      <c r="E3664" t="s">
        <v>441</v>
      </c>
      <c r="F3664">
        <v>97</v>
      </c>
      <c r="G3664" t="s">
        <v>299</v>
      </c>
      <c r="H3664" t="s">
        <v>20</v>
      </c>
      <c r="I3664">
        <v>0</v>
      </c>
    </row>
    <row r="3665" spans="5:9" ht="15.75" customHeight="1" x14ac:dyDescent="0.2">
      <c r="E3665" t="s">
        <v>442</v>
      </c>
      <c r="F3665">
        <v>98</v>
      </c>
      <c r="G3665" t="s">
        <v>299</v>
      </c>
      <c r="H3665" t="s">
        <v>20</v>
      </c>
      <c r="I3665">
        <v>0</v>
      </c>
    </row>
    <row r="3666" spans="5:9" ht="15.75" customHeight="1" x14ac:dyDescent="0.2">
      <c r="E3666" t="s">
        <v>362</v>
      </c>
      <c r="F3666">
        <v>101</v>
      </c>
      <c r="G3666" t="s">
        <v>299</v>
      </c>
      <c r="H3666" t="s">
        <v>20</v>
      </c>
      <c r="I3666">
        <v>0</v>
      </c>
    </row>
    <row r="3667" spans="5:9" ht="15.75" customHeight="1" x14ac:dyDescent="0.2">
      <c r="E3667" t="s">
        <v>446</v>
      </c>
      <c r="F3667">
        <v>102</v>
      </c>
      <c r="G3667" t="s">
        <v>299</v>
      </c>
      <c r="H3667" t="s">
        <v>20</v>
      </c>
      <c r="I3667">
        <v>0</v>
      </c>
    </row>
    <row r="3668" spans="5:9" ht="15.75" customHeight="1" x14ac:dyDescent="0.2">
      <c r="E3668" t="s">
        <v>448</v>
      </c>
      <c r="F3668">
        <v>104</v>
      </c>
      <c r="G3668" t="s">
        <v>299</v>
      </c>
      <c r="H3668" t="s">
        <v>20</v>
      </c>
      <c r="I3668">
        <v>0</v>
      </c>
    </row>
    <row r="3669" spans="5:9" ht="15.75" customHeight="1" x14ac:dyDescent="0.2">
      <c r="E3669" t="s">
        <v>449</v>
      </c>
      <c r="F3669">
        <v>105</v>
      </c>
      <c r="G3669" t="s">
        <v>299</v>
      </c>
      <c r="H3669" t="s">
        <v>20</v>
      </c>
      <c r="I3669">
        <v>0</v>
      </c>
    </row>
    <row r="3670" spans="5:9" ht="15.75" customHeight="1" x14ac:dyDescent="0.2">
      <c r="E3670" t="s">
        <v>450</v>
      </c>
      <c r="F3670">
        <v>106</v>
      </c>
      <c r="G3670" t="s">
        <v>299</v>
      </c>
      <c r="H3670" t="s">
        <v>20</v>
      </c>
      <c r="I3670">
        <v>0</v>
      </c>
    </row>
    <row r="3671" spans="5:9" ht="15.75" customHeight="1" x14ac:dyDescent="0.2">
      <c r="E3671" t="s">
        <v>451</v>
      </c>
      <c r="F3671">
        <v>107</v>
      </c>
      <c r="G3671" t="s">
        <v>299</v>
      </c>
      <c r="H3671" t="s">
        <v>20</v>
      </c>
      <c r="I3671">
        <v>0</v>
      </c>
    </row>
    <row r="3672" spans="5:9" ht="15.75" customHeight="1" x14ac:dyDescent="0.2">
      <c r="E3672" t="s">
        <v>453</v>
      </c>
      <c r="F3672">
        <v>109</v>
      </c>
      <c r="G3672" t="s">
        <v>299</v>
      </c>
      <c r="H3672" t="s">
        <v>20</v>
      </c>
      <c r="I3672">
        <v>0</v>
      </c>
    </row>
    <row r="3673" spans="5:9" ht="15.75" customHeight="1" x14ac:dyDescent="0.2">
      <c r="E3673" t="s">
        <v>454</v>
      </c>
      <c r="F3673">
        <v>110</v>
      </c>
      <c r="G3673" t="s">
        <v>299</v>
      </c>
      <c r="H3673" t="s">
        <v>20</v>
      </c>
      <c r="I3673">
        <v>0</v>
      </c>
    </row>
    <row r="3674" spans="5:9" ht="15.75" customHeight="1" x14ac:dyDescent="0.2">
      <c r="E3674" t="s">
        <v>455</v>
      </c>
      <c r="F3674">
        <v>111</v>
      </c>
      <c r="G3674" t="s">
        <v>299</v>
      </c>
      <c r="H3674" t="s">
        <v>20</v>
      </c>
      <c r="I3674">
        <v>0</v>
      </c>
    </row>
    <row r="3675" spans="5:9" ht="15.75" customHeight="1" x14ac:dyDescent="0.2">
      <c r="E3675" t="s">
        <v>456</v>
      </c>
      <c r="F3675">
        <v>112</v>
      </c>
      <c r="G3675" t="s">
        <v>299</v>
      </c>
      <c r="H3675" t="s">
        <v>20</v>
      </c>
      <c r="I3675">
        <v>0</v>
      </c>
    </row>
    <row r="3676" spans="5:9" ht="15.75" customHeight="1" x14ac:dyDescent="0.2">
      <c r="E3676" t="s">
        <v>457</v>
      </c>
      <c r="F3676">
        <v>113</v>
      </c>
      <c r="G3676" t="s">
        <v>299</v>
      </c>
      <c r="H3676" t="s">
        <v>20</v>
      </c>
      <c r="I3676">
        <v>0</v>
      </c>
    </row>
    <row r="3677" spans="5:9" ht="15.75" customHeight="1" x14ac:dyDescent="0.2">
      <c r="E3677" t="s">
        <v>459</v>
      </c>
      <c r="F3677">
        <v>114</v>
      </c>
      <c r="G3677" t="s">
        <v>299</v>
      </c>
      <c r="H3677" t="s">
        <v>20</v>
      </c>
      <c r="I3677">
        <v>0</v>
      </c>
    </row>
    <row r="3678" spans="5:9" ht="15.75" customHeight="1" x14ac:dyDescent="0.2">
      <c r="E3678" t="s">
        <v>460</v>
      </c>
      <c r="F3678">
        <v>115</v>
      </c>
      <c r="G3678" t="s">
        <v>299</v>
      </c>
      <c r="H3678" t="s">
        <v>20</v>
      </c>
      <c r="I3678">
        <v>0</v>
      </c>
    </row>
    <row r="3679" spans="5:9" ht="15.75" customHeight="1" x14ac:dyDescent="0.2">
      <c r="E3679" t="s">
        <v>461</v>
      </c>
      <c r="F3679">
        <v>116</v>
      </c>
      <c r="G3679" t="s">
        <v>299</v>
      </c>
      <c r="H3679" t="s">
        <v>20</v>
      </c>
      <c r="I3679">
        <v>0</v>
      </c>
    </row>
    <row r="3680" spans="5:9" ht="15.75" customHeight="1" x14ac:dyDescent="0.2">
      <c r="E3680" t="s">
        <v>462</v>
      </c>
      <c r="F3680">
        <v>117</v>
      </c>
      <c r="G3680" t="s">
        <v>299</v>
      </c>
      <c r="H3680" t="s">
        <v>20</v>
      </c>
      <c r="I3680">
        <v>0</v>
      </c>
    </row>
    <row r="3681" spans="5:9" ht="15.75" customHeight="1" x14ac:dyDescent="0.2">
      <c r="E3681" t="s">
        <v>463</v>
      </c>
      <c r="F3681">
        <v>118</v>
      </c>
      <c r="G3681" t="s">
        <v>299</v>
      </c>
      <c r="H3681" t="s">
        <v>20</v>
      </c>
      <c r="I3681">
        <v>0</v>
      </c>
    </row>
    <row r="3682" spans="5:9" ht="15.75" customHeight="1" x14ac:dyDescent="0.2">
      <c r="E3682" t="s">
        <v>464</v>
      </c>
      <c r="F3682">
        <v>119</v>
      </c>
      <c r="G3682" t="s">
        <v>299</v>
      </c>
      <c r="H3682" t="s">
        <v>20</v>
      </c>
      <c r="I3682">
        <v>0</v>
      </c>
    </row>
    <row r="3683" spans="5:9" ht="15.75" customHeight="1" x14ac:dyDescent="0.2">
      <c r="E3683" t="s">
        <v>465</v>
      </c>
      <c r="F3683">
        <v>120</v>
      </c>
      <c r="G3683" t="s">
        <v>299</v>
      </c>
      <c r="H3683" t="s">
        <v>20</v>
      </c>
      <c r="I3683">
        <v>0</v>
      </c>
    </row>
    <row r="3684" spans="5:9" ht="15.75" customHeight="1" x14ac:dyDescent="0.2">
      <c r="E3684" t="s">
        <v>466</v>
      </c>
      <c r="F3684">
        <v>121</v>
      </c>
      <c r="G3684" t="s">
        <v>299</v>
      </c>
      <c r="H3684" t="s">
        <v>20</v>
      </c>
      <c r="I3684">
        <v>0</v>
      </c>
    </row>
    <row r="3685" spans="5:9" ht="15.75" customHeight="1" x14ac:dyDescent="0.2">
      <c r="E3685" t="s">
        <v>467</v>
      </c>
      <c r="F3685">
        <v>122</v>
      </c>
      <c r="G3685" t="s">
        <v>299</v>
      </c>
      <c r="H3685" t="s">
        <v>20</v>
      </c>
      <c r="I3685">
        <v>0</v>
      </c>
    </row>
    <row r="3686" spans="5:9" ht="15.75" customHeight="1" x14ac:dyDescent="0.2">
      <c r="E3686" t="s">
        <v>468</v>
      </c>
      <c r="F3686">
        <v>123</v>
      </c>
      <c r="G3686" t="s">
        <v>299</v>
      </c>
      <c r="H3686" t="s">
        <v>20</v>
      </c>
      <c r="I3686">
        <v>0</v>
      </c>
    </row>
    <row r="3687" spans="5:9" ht="15.75" customHeight="1" x14ac:dyDescent="0.2">
      <c r="E3687" t="s">
        <v>471</v>
      </c>
      <c r="F3687">
        <v>126</v>
      </c>
      <c r="G3687" t="s">
        <v>299</v>
      </c>
      <c r="H3687" t="s">
        <v>20</v>
      </c>
      <c r="I3687">
        <v>0</v>
      </c>
    </row>
    <row r="3688" spans="5:9" ht="15.75" customHeight="1" x14ac:dyDescent="0.2">
      <c r="E3688" t="s">
        <v>472</v>
      </c>
      <c r="F3688">
        <v>127</v>
      </c>
      <c r="G3688" t="s">
        <v>299</v>
      </c>
      <c r="H3688" t="s">
        <v>20</v>
      </c>
      <c r="I3688">
        <v>0</v>
      </c>
    </row>
    <row r="3689" spans="5:9" ht="15.75" customHeight="1" x14ac:dyDescent="0.2">
      <c r="E3689" t="s">
        <v>440</v>
      </c>
      <c r="F3689">
        <v>132</v>
      </c>
      <c r="G3689" t="s">
        <v>299</v>
      </c>
      <c r="H3689" t="s">
        <v>20</v>
      </c>
      <c r="I3689">
        <v>0</v>
      </c>
    </row>
    <row r="3690" spans="5:9" ht="15.75" customHeight="1" x14ac:dyDescent="0.2">
      <c r="E3690" t="s">
        <v>441</v>
      </c>
      <c r="F3690">
        <v>133</v>
      </c>
      <c r="G3690" t="s">
        <v>299</v>
      </c>
      <c r="H3690" t="s">
        <v>20</v>
      </c>
      <c r="I3690">
        <v>0</v>
      </c>
    </row>
    <row r="3691" spans="5:9" ht="15.75" customHeight="1" x14ac:dyDescent="0.2">
      <c r="E3691" t="s">
        <v>442</v>
      </c>
      <c r="F3691">
        <v>134</v>
      </c>
      <c r="G3691" t="s">
        <v>299</v>
      </c>
      <c r="H3691" t="s">
        <v>20</v>
      </c>
      <c r="I3691">
        <v>0</v>
      </c>
    </row>
    <row r="3692" spans="5:9" ht="15.75" customHeight="1" x14ac:dyDescent="0.2">
      <c r="E3692" t="s">
        <v>362</v>
      </c>
      <c r="F3692">
        <v>136</v>
      </c>
      <c r="G3692" t="s">
        <v>299</v>
      </c>
      <c r="H3692" t="s">
        <v>20</v>
      </c>
      <c r="I3692">
        <v>0</v>
      </c>
    </row>
    <row r="3693" spans="5:9" ht="15.75" customHeight="1" x14ac:dyDescent="0.2">
      <c r="E3693" t="s">
        <v>446</v>
      </c>
      <c r="F3693">
        <v>142</v>
      </c>
      <c r="G3693" t="s">
        <v>299</v>
      </c>
      <c r="H3693" t="s">
        <v>20</v>
      </c>
      <c r="I3693">
        <v>0</v>
      </c>
    </row>
    <row r="3694" spans="5:9" ht="15.75" customHeight="1" x14ac:dyDescent="0.2">
      <c r="E3694" t="s">
        <v>448</v>
      </c>
      <c r="F3694">
        <v>144</v>
      </c>
      <c r="G3694" t="s">
        <v>299</v>
      </c>
      <c r="H3694" t="s">
        <v>20</v>
      </c>
      <c r="I3694">
        <v>0</v>
      </c>
    </row>
    <row r="3695" spans="5:9" ht="15.75" customHeight="1" x14ac:dyDescent="0.2">
      <c r="E3695" t="s">
        <v>449</v>
      </c>
      <c r="F3695">
        <v>145</v>
      </c>
      <c r="G3695" t="s">
        <v>299</v>
      </c>
      <c r="H3695" t="s">
        <v>20</v>
      </c>
      <c r="I3695">
        <v>0</v>
      </c>
    </row>
    <row r="3696" spans="5:9" ht="15.75" customHeight="1" x14ac:dyDescent="0.2">
      <c r="E3696" t="s">
        <v>450</v>
      </c>
      <c r="F3696">
        <v>146</v>
      </c>
      <c r="G3696" t="s">
        <v>299</v>
      </c>
      <c r="H3696" t="s">
        <v>20</v>
      </c>
      <c r="I3696">
        <v>0</v>
      </c>
    </row>
    <row r="3697" spans="5:9" ht="15.75" customHeight="1" x14ac:dyDescent="0.2">
      <c r="E3697" t="s">
        <v>451</v>
      </c>
      <c r="F3697">
        <v>147</v>
      </c>
      <c r="G3697" t="s">
        <v>299</v>
      </c>
      <c r="H3697" t="s">
        <v>20</v>
      </c>
      <c r="I3697">
        <v>0</v>
      </c>
    </row>
    <row r="3698" spans="5:9" ht="15.75" customHeight="1" x14ac:dyDescent="0.2">
      <c r="E3698" t="s">
        <v>488</v>
      </c>
      <c r="F3698">
        <v>148</v>
      </c>
      <c r="G3698" t="s">
        <v>299</v>
      </c>
      <c r="H3698" t="s">
        <v>20</v>
      </c>
      <c r="I3698">
        <v>0</v>
      </c>
    </row>
    <row r="3699" spans="5:9" ht="15.75" customHeight="1" x14ac:dyDescent="0.2">
      <c r="E3699" t="s">
        <v>453</v>
      </c>
      <c r="F3699">
        <v>150</v>
      </c>
      <c r="G3699" t="s">
        <v>299</v>
      </c>
      <c r="H3699" t="s">
        <v>20</v>
      </c>
      <c r="I3699">
        <v>0</v>
      </c>
    </row>
    <row r="3700" spans="5:9" ht="15.75" customHeight="1" x14ac:dyDescent="0.2">
      <c r="E3700" t="s">
        <v>454</v>
      </c>
      <c r="F3700">
        <v>151</v>
      </c>
      <c r="G3700" t="s">
        <v>299</v>
      </c>
      <c r="H3700" t="s">
        <v>20</v>
      </c>
      <c r="I3700">
        <v>0</v>
      </c>
    </row>
    <row r="3701" spans="5:9" ht="15.75" customHeight="1" x14ac:dyDescent="0.2">
      <c r="E3701" t="s">
        <v>455</v>
      </c>
      <c r="F3701">
        <v>152</v>
      </c>
      <c r="G3701" t="s">
        <v>299</v>
      </c>
      <c r="H3701" t="s">
        <v>20</v>
      </c>
      <c r="I3701">
        <v>0</v>
      </c>
    </row>
    <row r="3702" spans="5:9" ht="15.75" customHeight="1" x14ac:dyDescent="0.2">
      <c r="E3702" t="s">
        <v>456</v>
      </c>
      <c r="F3702">
        <v>153</v>
      </c>
      <c r="G3702" t="s">
        <v>299</v>
      </c>
      <c r="H3702" t="s">
        <v>20</v>
      </c>
      <c r="I3702">
        <v>0</v>
      </c>
    </row>
    <row r="3703" spans="5:9" ht="15.75" customHeight="1" x14ac:dyDescent="0.2">
      <c r="E3703" t="s">
        <v>489</v>
      </c>
      <c r="F3703">
        <v>154</v>
      </c>
      <c r="G3703" t="s">
        <v>299</v>
      </c>
      <c r="H3703" t="s">
        <v>20</v>
      </c>
      <c r="I3703">
        <v>0</v>
      </c>
    </row>
    <row r="3704" spans="5:9" ht="15.75" customHeight="1" x14ac:dyDescent="0.2">
      <c r="E3704" t="s">
        <v>457</v>
      </c>
      <c r="F3704">
        <v>155</v>
      </c>
      <c r="G3704" t="s">
        <v>299</v>
      </c>
      <c r="H3704" t="s">
        <v>20</v>
      </c>
      <c r="I3704">
        <v>0</v>
      </c>
    </row>
    <row r="3705" spans="5:9" ht="15.75" customHeight="1" x14ac:dyDescent="0.2">
      <c r="E3705" t="s">
        <v>362</v>
      </c>
      <c r="F3705">
        <v>156</v>
      </c>
      <c r="G3705" t="s">
        <v>299</v>
      </c>
      <c r="H3705" t="s">
        <v>20</v>
      </c>
      <c r="I3705">
        <v>0</v>
      </c>
    </row>
    <row r="3706" spans="5:9" ht="15.75" customHeight="1" x14ac:dyDescent="0.2">
      <c r="E3706" t="s">
        <v>493</v>
      </c>
      <c r="F3706">
        <v>159</v>
      </c>
      <c r="G3706" t="s">
        <v>299</v>
      </c>
      <c r="H3706" t="s">
        <v>20</v>
      </c>
      <c r="I3706">
        <v>0</v>
      </c>
    </row>
    <row r="3707" spans="5:9" ht="15.75" customHeight="1" x14ac:dyDescent="0.2">
      <c r="E3707" t="s">
        <v>459</v>
      </c>
      <c r="F3707">
        <v>163</v>
      </c>
      <c r="G3707" t="s">
        <v>299</v>
      </c>
      <c r="H3707" t="s">
        <v>20</v>
      </c>
      <c r="I3707">
        <v>0</v>
      </c>
    </row>
    <row r="3708" spans="5:9" ht="15.75" customHeight="1" x14ac:dyDescent="0.2">
      <c r="E3708" t="s">
        <v>460</v>
      </c>
      <c r="F3708">
        <v>164</v>
      </c>
      <c r="G3708" t="s">
        <v>299</v>
      </c>
      <c r="H3708" t="s">
        <v>20</v>
      </c>
      <c r="I3708">
        <v>0</v>
      </c>
    </row>
    <row r="3709" spans="5:9" ht="15.75" customHeight="1" x14ac:dyDescent="0.2">
      <c r="E3709" t="s">
        <v>461</v>
      </c>
      <c r="F3709">
        <v>165</v>
      </c>
      <c r="G3709" t="s">
        <v>299</v>
      </c>
      <c r="H3709" t="s">
        <v>20</v>
      </c>
      <c r="I3709">
        <v>0</v>
      </c>
    </row>
    <row r="3710" spans="5:9" ht="15.75" customHeight="1" x14ac:dyDescent="0.2">
      <c r="E3710" t="s">
        <v>462</v>
      </c>
      <c r="F3710">
        <v>166</v>
      </c>
      <c r="G3710" t="s">
        <v>299</v>
      </c>
      <c r="H3710" t="s">
        <v>20</v>
      </c>
      <c r="I3710">
        <v>0</v>
      </c>
    </row>
    <row r="3711" spans="5:9" ht="15.75" customHeight="1" x14ac:dyDescent="0.2">
      <c r="E3711" t="s">
        <v>463</v>
      </c>
      <c r="F3711">
        <v>167</v>
      </c>
      <c r="G3711" t="s">
        <v>299</v>
      </c>
      <c r="H3711" t="s">
        <v>20</v>
      </c>
      <c r="I3711">
        <v>0</v>
      </c>
    </row>
    <row r="3712" spans="5:9" ht="15.75" customHeight="1" x14ac:dyDescent="0.2">
      <c r="E3712" t="s">
        <v>464</v>
      </c>
      <c r="F3712">
        <v>168</v>
      </c>
      <c r="G3712" t="s">
        <v>299</v>
      </c>
      <c r="H3712" t="s">
        <v>20</v>
      </c>
      <c r="I3712">
        <v>0</v>
      </c>
    </row>
    <row r="3713" spans="5:9" ht="15.75" customHeight="1" x14ac:dyDescent="0.2">
      <c r="E3713" t="s">
        <v>465</v>
      </c>
      <c r="F3713">
        <v>169</v>
      </c>
      <c r="G3713" t="s">
        <v>299</v>
      </c>
      <c r="H3713" t="s">
        <v>20</v>
      </c>
      <c r="I3713">
        <v>0</v>
      </c>
    </row>
    <row r="3714" spans="5:9" ht="15.75" customHeight="1" x14ac:dyDescent="0.2">
      <c r="E3714" t="s">
        <v>466</v>
      </c>
      <c r="F3714">
        <v>170</v>
      </c>
      <c r="G3714" t="s">
        <v>299</v>
      </c>
      <c r="H3714" t="s">
        <v>20</v>
      </c>
      <c r="I3714">
        <v>0</v>
      </c>
    </row>
    <row r="3715" spans="5:9" ht="15.75" customHeight="1" x14ac:dyDescent="0.2">
      <c r="E3715" t="s">
        <v>467</v>
      </c>
      <c r="F3715">
        <v>171</v>
      </c>
      <c r="G3715" t="s">
        <v>299</v>
      </c>
      <c r="H3715" t="s">
        <v>20</v>
      </c>
      <c r="I3715">
        <v>0</v>
      </c>
    </row>
    <row r="3716" spans="5:9" ht="15.75" customHeight="1" x14ac:dyDescent="0.2">
      <c r="E3716" t="s">
        <v>468</v>
      </c>
      <c r="F3716">
        <v>172</v>
      </c>
      <c r="G3716" t="s">
        <v>299</v>
      </c>
      <c r="H3716" t="s">
        <v>20</v>
      </c>
      <c r="I3716">
        <v>0</v>
      </c>
    </row>
    <row r="3717" spans="5:9" ht="15.75" customHeight="1" x14ac:dyDescent="0.2">
      <c r="E3717" t="s">
        <v>471</v>
      </c>
      <c r="F3717">
        <v>175</v>
      </c>
      <c r="G3717" t="s">
        <v>299</v>
      </c>
      <c r="H3717" t="s">
        <v>20</v>
      </c>
      <c r="I3717">
        <v>0</v>
      </c>
    </row>
    <row r="3718" spans="5:9" ht="15.75" customHeight="1" x14ac:dyDescent="0.2">
      <c r="E3718" t="s">
        <v>472</v>
      </c>
      <c r="F3718">
        <v>176</v>
      </c>
      <c r="G3718" t="s">
        <v>299</v>
      </c>
      <c r="H3718" t="s">
        <v>20</v>
      </c>
      <c r="I3718">
        <v>0</v>
      </c>
    </row>
    <row r="3719" spans="5:9" ht="15.75" customHeight="1" x14ac:dyDescent="0.2">
      <c r="E3719" t="s">
        <v>362</v>
      </c>
      <c r="F3719">
        <v>177</v>
      </c>
      <c r="G3719" t="s">
        <v>299</v>
      </c>
      <c r="H3719" t="s">
        <v>20</v>
      </c>
      <c r="I3719">
        <v>0</v>
      </c>
    </row>
    <row r="3720" spans="5:9" ht="15.75" customHeight="1" x14ac:dyDescent="0.2">
      <c r="E3720" t="s">
        <v>501</v>
      </c>
      <c r="F3720">
        <v>182</v>
      </c>
      <c r="G3720" t="s">
        <v>299</v>
      </c>
      <c r="H3720" t="s">
        <v>20</v>
      </c>
      <c r="I3720">
        <v>0</v>
      </c>
    </row>
    <row r="3721" spans="5:9" ht="15.75" customHeight="1" x14ac:dyDescent="0.2">
      <c r="E3721" t="s">
        <v>502</v>
      </c>
      <c r="F3721">
        <v>183</v>
      </c>
      <c r="G3721" t="s">
        <v>299</v>
      </c>
      <c r="H3721" t="s">
        <v>20</v>
      </c>
      <c r="I3721">
        <v>0</v>
      </c>
    </row>
    <row r="3722" spans="5:9" ht="15.75" hidden="1" customHeight="1" x14ac:dyDescent="0.2"/>
    <row r="3723" spans="5:9" ht="15.75" hidden="1" customHeight="1" x14ac:dyDescent="0.2"/>
    <row r="3724" spans="5:9" ht="15.75" hidden="1" customHeight="1" x14ac:dyDescent="0.2"/>
    <row r="3725" spans="5:9" ht="15.75" hidden="1" customHeight="1" x14ac:dyDescent="0.2"/>
    <row r="3726" spans="5:9" ht="15.75" hidden="1" customHeight="1" x14ac:dyDescent="0.2"/>
    <row r="3727" spans="5:9" ht="15.75" hidden="1" customHeight="1" x14ac:dyDescent="0.2"/>
    <row r="3728" spans="5:9" ht="15.75" hidden="1" customHeight="1" x14ac:dyDescent="0.2"/>
    <row r="3729" ht="15.75" hidden="1" customHeight="1" x14ac:dyDescent="0.2"/>
    <row r="3730" ht="15.75" hidden="1" customHeight="1" x14ac:dyDescent="0.2"/>
    <row r="3731" ht="15.75" hidden="1" customHeight="1" x14ac:dyDescent="0.2"/>
    <row r="3732" ht="15.75" hidden="1" customHeight="1" x14ac:dyDescent="0.2"/>
    <row r="3733" ht="15.75" hidden="1" customHeight="1" x14ac:dyDescent="0.2"/>
    <row r="3734" ht="15.75" hidden="1" customHeight="1" x14ac:dyDescent="0.2"/>
    <row r="3735" ht="15.75" hidden="1" customHeight="1" x14ac:dyDescent="0.2"/>
    <row r="3736" ht="15.75" hidden="1" customHeight="1" x14ac:dyDescent="0.2"/>
    <row r="3737" ht="15.75" hidden="1" customHeight="1" x14ac:dyDescent="0.2"/>
    <row r="3738" ht="15.75" hidden="1" customHeight="1" x14ac:dyDescent="0.2"/>
    <row r="3739" ht="15.75" hidden="1" customHeight="1" x14ac:dyDescent="0.2"/>
    <row r="3740" ht="15.75" hidden="1" customHeight="1" x14ac:dyDescent="0.2"/>
    <row r="3741" ht="15.75" hidden="1" customHeight="1" x14ac:dyDescent="0.2"/>
    <row r="3742" ht="15.75" hidden="1" customHeight="1" x14ac:dyDescent="0.2"/>
    <row r="3743" ht="15.75" hidden="1" customHeight="1" x14ac:dyDescent="0.2"/>
    <row r="3744" ht="15.75" hidden="1" customHeight="1" x14ac:dyDescent="0.2"/>
    <row r="3745" spans="10:12" ht="15.75" hidden="1" customHeight="1" x14ac:dyDescent="0.2"/>
    <row r="3746" spans="10:12" ht="15.75" hidden="1" customHeight="1" x14ac:dyDescent="0.2"/>
    <row r="3747" spans="10:12" ht="15.75" hidden="1" customHeight="1" x14ac:dyDescent="0.2"/>
    <row r="3748" spans="10:12" ht="15.75" hidden="1" customHeight="1" x14ac:dyDescent="0.2"/>
    <row r="3749" spans="10:12" ht="15.75" hidden="1" customHeight="1" x14ac:dyDescent="0.2"/>
    <row r="3750" spans="10:12" ht="15.75" hidden="1" customHeight="1" x14ac:dyDescent="0.2"/>
    <row r="3751" spans="10:12" ht="15.75" hidden="1" customHeight="1" x14ac:dyDescent="0.2">
      <c r="J3751" t="s">
        <v>300</v>
      </c>
      <c r="K3751" t="s">
        <v>301</v>
      </c>
      <c r="L3751">
        <v>1</v>
      </c>
    </row>
    <row r="3752" spans="10:12" ht="15.75" hidden="1" customHeight="1" x14ac:dyDescent="0.2">
      <c r="J3752" t="s">
        <v>288</v>
      </c>
      <c r="K3752" t="s">
        <v>302</v>
      </c>
      <c r="L3752">
        <v>0</v>
      </c>
    </row>
    <row r="3753" spans="10:12" ht="15.75" hidden="1" customHeight="1" x14ac:dyDescent="0.2">
      <c r="J3753" t="s">
        <v>303</v>
      </c>
      <c r="K3753" t="s">
        <v>304</v>
      </c>
      <c r="L3753">
        <v>5</v>
      </c>
    </row>
    <row r="3754" spans="10:12" ht="15.75" hidden="1" customHeight="1" x14ac:dyDescent="0.2">
      <c r="J3754" t="s">
        <v>305</v>
      </c>
      <c r="K3754" t="s">
        <v>306</v>
      </c>
      <c r="L3754">
        <v>0</v>
      </c>
    </row>
    <row r="3755" spans="10:12" ht="15.75" hidden="1" customHeight="1" x14ac:dyDescent="0.2">
      <c r="J3755" t="s">
        <v>307</v>
      </c>
      <c r="K3755" t="s">
        <v>308</v>
      </c>
      <c r="L3755">
        <v>2</v>
      </c>
    </row>
    <row r="3756" spans="10:12" ht="15.75" hidden="1" customHeight="1" x14ac:dyDescent="0.2">
      <c r="J3756" t="s">
        <v>243</v>
      </c>
      <c r="K3756" t="s">
        <v>309</v>
      </c>
      <c r="L3756">
        <v>7.5</v>
      </c>
    </row>
    <row r="3757" spans="10:12" ht="15.75" hidden="1" customHeight="1" x14ac:dyDescent="0.2">
      <c r="J3757" t="s">
        <v>245</v>
      </c>
      <c r="K3757" t="s">
        <v>310</v>
      </c>
      <c r="L3757">
        <v>485.43779999999998</v>
      </c>
    </row>
    <row r="3758" spans="10:12" ht="15.75" hidden="1" customHeight="1" x14ac:dyDescent="0.2">
      <c r="J3758" t="s">
        <v>247</v>
      </c>
      <c r="K3758" t="s">
        <v>311</v>
      </c>
      <c r="L3758">
        <v>2.06E-2</v>
      </c>
    </row>
    <row r="3759" spans="10:12" ht="15.75" hidden="1" customHeight="1" x14ac:dyDescent="0.2">
      <c r="J3759" t="s">
        <v>249</v>
      </c>
      <c r="K3759" t="s">
        <v>312</v>
      </c>
      <c r="L3759">
        <v>17</v>
      </c>
    </row>
    <row r="3760" spans="10:12" ht="15.75" hidden="1" customHeight="1" x14ac:dyDescent="0.2">
      <c r="J3760" t="s">
        <v>251</v>
      </c>
      <c r="K3760" t="s">
        <v>313</v>
      </c>
      <c r="L3760">
        <v>14</v>
      </c>
    </row>
    <row r="3761" spans="10:12" ht="15.75" hidden="1" customHeight="1" x14ac:dyDescent="0.2">
      <c r="J3761" t="s">
        <v>253</v>
      </c>
      <c r="K3761" t="s">
        <v>314</v>
      </c>
      <c r="L3761">
        <v>64.724999999999994</v>
      </c>
    </row>
    <row r="3762" spans="10:12" ht="15.75" hidden="1" customHeight="1" x14ac:dyDescent="0.2">
      <c r="J3762" t="s">
        <v>315</v>
      </c>
      <c r="K3762" t="s">
        <v>316</v>
      </c>
      <c r="L3762">
        <v>0</v>
      </c>
    </row>
    <row r="3763" spans="10:12" ht="15.75" hidden="1" customHeight="1" x14ac:dyDescent="0.2">
      <c r="J3763" t="s">
        <v>317</v>
      </c>
      <c r="K3763" t="s">
        <v>318</v>
      </c>
      <c r="L3763">
        <v>11</v>
      </c>
    </row>
    <row r="3764" spans="10:12" ht="15.75" hidden="1" customHeight="1" x14ac:dyDescent="0.2">
      <c r="J3764" t="s">
        <v>257</v>
      </c>
      <c r="K3764" t="s">
        <v>319</v>
      </c>
      <c r="L3764">
        <v>64.636200000000002</v>
      </c>
    </row>
    <row r="3765" spans="10:12" ht="15.75" hidden="1" customHeight="1" x14ac:dyDescent="0.2">
      <c r="J3765" t="s">
        <v>320</v>
      </c>
      <c r="K3765" t="s">
        <v>321</v>
      </c>
      <c r="L3765">
        <v>5</v>
      </c>
    </row>
    <row r="3766" spans="10:12" ht="15.75" hidden="1" customHeight="1" x14ac:dyDescent="0.2">
      <c r="J3766" t="s">
        <v>263</v>
      </c>
      <c r="K3766" t="s">
        <v>322</v>
      </c>
      <c r="L3766">
        <v>4</v>
      </c>
    </row>
    <row r="3767" spans="10:12" ht="15.75" hidden="1" customHeight="1" x14ac:dyDescent="0.2">
      <c r="J3767" t="s">
        <v>323</v>
      </c>
      <c r="K3767" t="s">
        <v>324</v>
      </c>
      <c r="L3767">
        <v>0</v>
      </c>
    </row>
    <row r="3768" spans="10:12" ht="15.75" hidden="1" customHeight="1" x14ac:dyDescent="0.2">
      <c r="J3768" t="s">
        <v>325</v>
      </c>
      <c r="K3768" t="s">
        <v>326</v>
      </c>
      <c r="L3768">
        <v>0</v>
      </c>
    </row>
    <row r="3769" spans="10:12" ht="15.75" hidden="1" customHeight="1" x14ac:dyDescent="0.2">
      <c r="J3769" t="s">
        <v>327</v>
      </c>
      <c r="K3769" t="s">
        <v>328</v>
      </c>
      <c r="L3769">
        <v>10</v>
      </c>
    </row>
    <row r="3770" spans="10:12" ht="15.75" hidden="1" customHeight="1" x14ac:dyDescent="0.2">
      <c r="J3770" t="s">
        <v>329</v>
      </c>
      <c r="K3770" t="s">
        <v>330</v>
      </c>
      <c r="L3770">
        <v>53</v>
      </c>
    </row>
    <row r="3771" spans="10:12" ht="15.75" hidden="1" customHeight="1" x14ac:dyDescent="0.2">
      <c r="J3771" t="s">
        <v>331</v>
      </c>
      <c r="K3771" t="s">
        <v>332</v>
      </c>
      <c r="L3771">
        <v>0</v>
      </c>
    </row>
    <row r="3772" spans="10:12" ht="15.75" hidden="1" customHeight="1" x14ac:dyDescent="0.2">
      <c r="J3772" t="s">
        <v>333</v>
      </c>
      <c r="K3772" t="s">
        <v>334</v>
      </c>
      <c r="L3772">
        <v>1</v>
      </c>
    </row>
    <row r="3773" spans="10:12" ht="15.75" hidden="1" customHeight="1" x14ac:dyDescent="0.2">
      <c r="J3773" t="s">
        <v>335</v>
      </c>
      <c r="K3773" t="s">
        <v>336</v>
      </c>
      <c r="L3773">
        <v>49</v>
      </c>
    </row>
    <row r="3774" spans="10:12" ht="15.75" hidden="1" customHeight="1" x14ac:dyDescent="0.2">
      <c r="J3774" t="s">
        <v>337</v>
      </c>
      <c r="K3774" t="s">
        <v>338</v>
      </c>
      <c r="L3774">
        <v>0</v>
      </c>
    </row>
    <row r="3775" spans="10:12" ht="15.75" hidden="1" customHeight="1" x14ac:dyDescent="0.2">
      <c r="J3775" t="s">
        <v>339</v>
      </c>
      <c r="K3775" t="s">
        <v>340</v>
      </c>
      <c r="L3775">
        <v>0</v>
      </c>
    </row>
    <row r="3776" spans="10:12" ht="15.75" hidden="1" customHeight="1" x14ac:dyDescent="0.2">
      <c r="J3776" t="s">
        <v>341</v>
      </c>
      <c r="K3776" t="s">
        <v>342</v>
      </c>
      <c r="L3776">
        <v>7</v>
      </c>
    </row>
    <row r="3777" spans="10:12" ht="15.75" hidden="1" customHeight="1" x14ac:dyDescent="0.2">
      <c r="J3777" t="s">
        <v>343</v>
      </c>
      <c r="K3777" t="s">
        <v>344</v>
      </c>
      <c r="L3777">
        <v>0</v>
      </c>
    </row>
    <row r="3778" spans="10:12" ht="15.75" hidden="1" customHeight="1" x14ac:dyDescent="0.2">
      <c r="J3778" t="s">
        <v>345</v>
      </c>
      <c r="K3778" t="s">
        <v>346</v>
      </c>
      <c r="L3778">
        <v>0</v>
      </c>
    </row>
    <row r="3779" spans="10:12" ht="15.75" hidden="1" customHeight="1" x14ac:dyDescent="0.2">
      <c r="J3779" t="s">
        <v>347</v>
      </c>
      <c r="K3779" t="s">
        <v>348</v>
      </c>
      <c r="L3779">
        <v>1</v>
      </c>
    </row>
    <row r="3780" spans="10:12" ht="15.75" hidden="1" customHeight="1" x14ac:dyDescent="0.2">
      <c r="J3780" t="s">
        <v>300</v>
      </c>
      <c r="K3780" t="s">
        <v>301</v>
      </c>
      <c r="L3780">
        <v>7</v>
      </c>
    </row>
    <row r="3781" spans="10:12" ht="15.75" hidden="1" customHeight="1" x14ac:dyDescent="0.2">
      <c r="J3781" t="s">
        <v>288</v>
      </c>
      <c r="K3781" t="s">
        <v>302</v>
      </c>
      <c r="L3781">
        <v>12</v>
      </c>
    </row>
    <row r="3782" spans="10:12" ht="15.75" hidden="1" customHeight="1" x14ac:dyDescent="0.2">
      <c r="J3782" t="s">
        <v>303</v>
      </c>
      <c r="K3782" t="s">
        <v>304</v>
      </c>
      <c r="L3782">
        <v>18</v>
      </c>
    </row>
    <row r="3783" spans="10:12" ht="15.75" hidden="1" customHeight="1" x14ac:dyDescent="0.2">
      <c r="J3783" t="s">
        <v>305</v>
      </c>
      <c r="K3783" t="s">
        <v>306</v>
      </c>
      <c r="L3783">
        <v>2</v>
      </c>
    </row>
    <row r="3784" spans="10:12" ht="15.75" hidden="1" customHeight="1" x14ac:dyDescent="0.2">
      <c r="J3784" t="s">
        <v>307</v>
      </c>
      <c r="K3784" t="s">
        <v>308</v>
      </c>
      <c r="L3784">
        <v>1</v>
      </c>
    </row>
    <row r="3785" spans="10:12" ht="15.75" hidden="1" customHeight="1" x14ac:dyDescent="0.2">
      <c r="J3785" t="s">
        <v>243</v>
      </c>
      <c r="K3785" t="s">
        <v>309</v>
      </c>
      <c r="L3785">
        <v>43.928600000000003</v>
      </c>
    </row>
    <row r="3786" spans="10:12" ht="15.75" hidden="1" customHeight="1" x14ac:dyDescent="0.2">
      <c r="J3786" t="s">
        <v>245</v>
      </c>
      <c r="K3786" t="s">
        <v>310</v>
      </c>
      <c r="L3786">
        <v>64796.031000000003</v>
      </c>
    </row>
    <row r="3787" spans="10:12" ht="15.75" hidden="1" customHeight="1" x14ac:dyDescent="0.2">
      <c r="J3787" t="s">
        <v>247</v>
      </c>
      <c r="K3787" t="s">
        <v>311</v>
      </c>
      <c r="L3787">
        <v>0.53769999999999996</v>
      </c>
    </row>
    <row r="3788" spans="10:12" ht="15.75" hidden="1" customHeight="1" x14ac:dyDescent="0.2">
      <c r="J3788" t="s">
        <v>249</v>
      </c>
      <c r="K3788" t="s">
        <v>312</v>
      </c>
      <c r="L3788">
        <v>224</v>
      </c>
    </row>
    <row r="3789" spans="10:12" ht="15.75" hidden="1" customHeight="1" x14ac:dyDescent="0.2">
      <c r="J3789" t="s">
        <v>251</v>
      </c>
      <c r="K3789" t="s">
        <v>313</v>
      </c>
      <c r="L3789">
        <v>96</v>
      </c>
    </row>
    <row r="3790" spans="10:12" ht="15.75" hidden="1" customHeight="1" x14ac:dyDescent="0.2">
      <c r="J3790" t="s">
        <v>253</v>
      </c>
      <c r="K3790" t="s">
        <v>314</v>
      </c>
      <c r="L3790">
        <v>1475.0316</v>
      </c>
    </row>
    <row r="3791" spans="10:12" ht="15.75" hidden="1" customHeight="1" x14ac:dyDescent="0.2">
      <c r="J3791" t="s">
        <v>315</v>
      </c>
      <c r="K3791" t="s">
        <v>316</v>
      </c>
      <c r="L3791">
        <v>0</v>
      </c>
    </row>
    <row r="3792" spans="10:12" ht="15.75" hidden="1" customHeight="1" x14ac:dyDescent="0.2">
      <c r="J3792" t="s">
        <v>317</v>
      </c>
      <c r="K3792" t="s">
        <v>318</v>
      </c>
      <c r="L3792">
        <v>79</v>
      </c>
    </row>
    <row r="3793" spans="10:12" ht="15.75" hidden="1" customHeight="1" x14ac:dyDescent="0.2">
      <c r="J3793" t="s">
        <v>257</v>
      </c>
      <c r="K3793" t="s">
        <v>319</v>
      </c>
      <c r="L3793">
        <v>36.0623</v>
      </c>
    </row>
    <row r="3794" spans="10:12" ht="15.75" hidden="1" customHeight="1" x14ac:dyDescent="0.2">
      <c r="J3794" t="s">
        <v>320</v>
      </c>
      <c r="K3794" t="s">
        <v>321</v>
      </c>
      <c r="L3794">
        <v>36</v>
      </c>
    </row>
    <row r="3795" spans="10:12" ht="15.75" hidden="1" customHeight="1" x14ac:dyDescent="0.2">
      <c r="J3795" t="s">
        <v>263</v>
      </c>
      <c r="K3795" t="s">
        <v>322</v>
      </c>
      <c r="L3795">
        <v>71</v>
      </c>
    </row>
    <row r="3796" spans="10:12" ht="15.75" hidden="1" customHeight="1" x14ac:dyDescent="0.2">
      <c r="J3796" t="s">
        <v>323</v>
      </c>
      <c r="K3796" t="s">
        <v>324</v>
      </c>
      <c r="L3796">
        <v>0</v>
      </c>
    </row>
    <row r="3797" spans="10:12" ht="15.75" hidden="1" customHeight="1" x14ac:dyDescent="0.2">
      <c r="J3797" t="s">
        <v>325</v>
      </c>
      <c r="K3797" t="s">
        <v>326</v>
      </c>
      <c r="L3797">
        <v>3</v>
      </c>
    </row>
    <row r="3798" spans="10:12" ht="15.75" hidden="1" customHeight="1" x14ac:dyDescent="0.2">
      <c r="J3798" t="s">
        <v>327</v>
      </c>
      <c r="K3798" t="s">
        <v>328</v>
      </c>
      <c r="L3798">
        <v>2</v>
      </c>
    </row>
    <row r="3799" spans="10:12" ht="15.75" hidden="1" customHeight="1" x14ac:dyDescent="0.2">
      <c r="J3799" t="s">
        <v>329</v>
      </c>
      <c r="K3799" t="s">
        <v>330</v>
      </c>
      <c r="L3799">
        <v>13</v>
      </c>
    </row>
    <row r="3800" spans="10:12" ht="15.75" hidden="1" customHeight="1" x14ac:dyDescent="0.2">
      <c r="J3800" t="s">
        <v>331</v>
      </c>
      <c r="K3800" t="s">
        <v>332</v>
      </c>
      <c r="L3800">
        <v>0</v>
      </c>
    </row>
    <row r="3801" spans="10:12" ht="15.75" hidden="1" customHeight="1" x14ac:dyDescent="0.2">
      <c r="J3801" t="s">
        <v>333</v>
      </c>
      <c r="K3801" t="s">
        <v>334</v>
      </c>
      <c r="L3801">
        <v>3</v>
      </c>
    </row>
    <row r="3802" spans="10:12" ht="15.75" hidden="1" customHeight="1" x14ac:dyDescent="0.2">
      <c r="J3802" t="s">
        <v>335</v>
      </c>
      <c r="K3802" t="s">
        <v>336</v>
      </c>
      <c r="L3802">
        <v>16</v>
      </c>
    </row>
    <row r="3803" spans="10:12" ht="15.75" hidden="1" customHeight="1" x14ac:dyDescent="0.2">
      <c r="J3803" t="s">
        <v>337</v>
      </c>
      <c r="K3803" t="s">
        <v>338</v>
      </c>
      <c r="L3803">
        <v>0</v>
      </c>
    </row>
    <row r="3804" spans="10:12" ht="15.75" hidden="1" customHeight="1" x14ac:dyDescent="0.2">
      <c r="J3804" t="s">
        <v>339</v>
      </c>
      <c r="K3804" t="s">
        <v>340</v>
      </c>
      <c r="L3804">
        <v>0</v>
      </c>
    </row>
    <row r="3805" spans="10:12" ht="15.75" hidden="1" customHeight="1" x14ac:dyDescent="0.2">
      <c r="J3805" t="s">
        <v>341</v>
      </c>
      <c r="K3805" t="s">
        <v>342</v>
      </c>
      <c r="L3805">
        <v>32</v>
      </c>
    </row>
    <row r="3806" spans="10:12" ht="15.75" hidden="1" customHeight="1" x14ac:dyDescent="0.2">
      <c r="J3806" t="s">
        <v>343</v>
      </c>
      <c r="K3806" t="s">
        <v>344</v>
      </c>
      <c r="L3806">
        <v>0</v>
      </c>
    </row>
    <row r="3807" spans="10:12" ht="15.75" hidden="1" customHeight="1" x14ac:dyDescent="0.2">
      <c r="J3807" t="s">
        <v>345</v>
      </c>
      <c r="K3807" t="s">
        <v>346</v>
      </c>
      <c r="L3807">
        <v>1</v>
      </c>
    </row>
    <row r="3808" spans="10:12" ht="15.75" hidden="1" customHeight="1" x14ac:dyDescent="0.2">
      <c r="J3808" t="s">
        <v>347</v>
      </c>
      <c r="K3808" t="s">
        <v>348</v>
      </c>
      <c r="L3808">
        <v>14</v>
      </c>
    </row>
    <row r="3809" spans="10:12" ht="15.75" hidden="1" customHeight="1" x14ac:dyDescent="0.2">
      <c r="J3809" t="s">
        <v>300</v>
      </c>
      <c r="K3809" t="s">
        <v>301</v>
      </c>
      <c r="L3809">
        <v>1</v>
      </c>
    </row>
    <row r="3810" spans="10:12" ht="15.75" hidden="1" customHeight="1" x14ac:dyDescent="0.2">
      <c r="J3810" t="s">
        <v>288</v>
      </c>
      <c r="K3810" t="s">
        <v>302</v>
      </c>
      <c r="L3810">
        <v>5</v>
      </c>
    </row>
    <row r="3811" spans="10:12" ht="15.75" hidden="1" customHeight="1" x14ac:dyDescent="0.2">
      <c r="J3811" t="s">
        <v>303</v>
      </c>
      <c r="K3811" t="s">
        <v>304</v>
      </c>
      <c r="L3811">
        <v>5</v>
      </c>
    </row>
    <row r="3812" spans="10:12" ht="15.75" hidden="1" customHeight="1" x14ac:dyDescent="0.2">
      <c r="J3812" t="s">
        <v>305</v>
      </c>
      <c r="K3812" t="s">
        <v>306</v>
      </c>
      <c r="L3812">
        <v>0</v>
      </c>
    </row>
    <row r="3813" spans="10:12" ht="15.75" hidden="1" customHeight="1" x14ac:dyDescent="0.2">
      <c r="J3813" t="s">
        <v>307</v>
      </c>
      <c r="K3813" t="s">
        <v>308</v>
      </c>
      <c r="L3813">
        <v>2</v>
      </c>
    </row>
    <row r="3814" spans="10:12" ht="15.75" hidden="1" customHeight="1" x14ac:dyDescent="0.2">
      <c r="J3814" t="s">
        <v>243</v>
      </c>
      <c r="K3814" t="s">
        <v>309</v>
      </c>
      <c r="L3814">
        <v>30</v>
      </c>
    </row>
    <row r="3815" spans="10:12" ht="15.75" hidden="1" customHeight="1" x14ac:dyDescent="0.2">
      <c r="J3815" t="s">
        <v>245</v>
      </c>
      <c r="K3815" t="s">
        <v>310</v>
      </c>
      <c r="L3815">
        <v>14268.0854</v>
      </c>
    </row>
    <row r="3816" spans="10:12" ht="15.75" hidden="1" customHeight="1" x14ac:dyDescent="0.2">
      <c r="J3816" t="s">
        <v>247</v>
      </c>
      <c r="K3816" t="s">
        <v>311</v>
      </c>
      <c r="L3816">
        <v>0.1961</v>
      </c>
    </row>
    <row r="3817" spans="10:12" ht="15.75" hidden="1" customHeight="1" x14ac:dyDescent="0.2">
      <c r="J3817" t="s">
        <v>249</v>
      </c>
      <c r="K3817" t="s">
        <v>312</v>
      </c>
      <c r="L3817">
        <v>96</v>
      </c>
    </row>
    <row r="3818" spans="10:12" ht="15.75" hidden="1" customHeight="1" x14ac:dyDescent="0.2">
      <c r="J3818" t="s">
        <v>251</v>
      </c>
      <c r="K3818" t="s">
        <v>313</v>
      </c>
      <c r="L3818">
        <v>31</v>
      </c>
    </row>
    <row r="3819" spans="10:12" ht="15.75" hidden="1" customHeight="1" x14ac:dyDescent="0.2">
      <c r="J3819" t="s">
        <v>253</v>
      </c>
      <c r="K3819" t="s">
        <v>314</v>
      </c>
      <c r="L3819">
        <v>475.6028</v>
      </c>
    </row>
    <row r="3820" spans="10:12" ht="15.75" hidden="1" customHeight="1" x14ac:dyDescent="0.2">
      <c r="J3820" t="s">
        <v>315</v>
      </c>
      <c r="K3820" t="s">
        <v>316</v>
      </c>
      <c r="L3820">
        <v>0</v>
      </c>
    </row>
    <row r="3821" spans="10:12" ht="15.75" hidden="1" customHeight="1" x14ac:dyDescent="0.2">
      <c r="J3821" t="s">
        <v>317</v>
      </c>
      <c r="K3821" t="s">
        <v>318</v>
      </c>
      <c r="L3821">
        <v>27</v>
      </c>
    </row>
    <row r="3822" spans="10:12" ht="15.75" hidden="1" customHeight="1" x14ac:dyDescent="0.2">
      <c r="J3822" t="s">
        <v>257</v>
      </c>
      <c r="K3822" t="s">
        <v>319</v>
      </c>
      <c r="L3822">
        <v>49.738500000000002</v>
      </c>
    </row>
    <row r="3823" spans="10:12" ht="15.75" hidden="1" customHeight="1" x14ac:dyDescent="0.2">
      <c r="J3823" t="s">
        <v>320</v>
      </c>
      <c r="K3823" t="s">
        <v>321</v>
      </c>
      <c r="L3823">
        <v>21</v>
      </c>
    </row>
    <row r="3824" spans="10:12" ht="15.75" hidden="1" customHeight="1" x14ac:dyDescent="0.2">
      <c r="J3824" t="s">
        <v>263</v>
      </c>
      <c r="K3824" t="s">
        <v>322</v>
      </c>
      <c r="L3824">
        <v>28</v>
      </c>
    </row>
    <row r="3825" spans="10:12" ht="15.75" hidden="1" customHeight="1" x14ac:dyDescent="0.2">
      <c r="J3825" t="s">
        <v>323</v>
      </c>
      <c r="K3825" t="s">
        <v>324</v>
      </c>
      <c r="L3825">
        <v>0</v>
      </c>
    </row>
    <row r="3826" spans="10:12" ht="15.75" hidden="1" customHeight="1" x14ac:dyDescent="0.2">
      <c r="J3826" t="s">
        <v>325</v>
      </c>
      <c r="K3826" t="s">
        <v>326</v>
      </c>
      <c r="L3826">
        <v>0</v>
      </c>
    </row>
    <row r="3827" spans="10:12" ht="15.75" hidden="1" customHeight="1" x14ac:dyDescent="0.2">
      <c r="J3827" t="s">
        <v>327</v>
      </c>
      <c r="K3827" t="s">
        <v>328</v>
      </c>
      <c r="L3827">
        <v>10</v>
      </c>
    </row>
    <row r="3828" spans="10:12" ht="15.75" hidden="1" customHeight="1" x14ac:dyDescent="0.2">
      <c r="J3828" t="s">
        <v>329</v>
      </c>
      <c r="K3828" t="s">
        <v>330</v>
      </c>
      <c r="L3828">
        <v>53</v>
      </c>
    </row>
    <row r="3829" spans="10:12" ht="15.75" hidden="1" customHeight="1" x14ac:dyDescent="0.2">
      <c r="J3829" t="s">
        <v>331</v>
      </c>
      <c r="K3829" t="s">
        <v>332</v>
      </c>
      <c r="L3829">
        <v>0</v>
      </c>
    </row>
    <row r="3830" spans="10:12" ht="15.75" hidden="1" customHeight="1" x14ac:dyDescent="0.2">
      <c r="J3830" t="s">
        <v>333</v>
      </c>
      <c r="K3830" t="s">
        <v>334</v>
      </c>
      <c r="L3830">
        <v>1</v>
      </c>
    </row>
    <row r="3831" spans="10:12" ht="15.75" hidden="1" customHeight="1" x14ac:dyDescent="0.2">
      <c r="J3831" t="s">
        <v>335</v>
      </c>
      <c r="K3831" t="s">
        <v>336</v>
      </c>
      <c r="L3831">
        <v>49</v>
      </c>
    </row>
    <row r="3832" spans="10:12" ht="15.75" hidden="1" customHeight="1" x14ac:dyDescent="0.2">
      <c r="J3832" t="s">
        <v>337</v>
      </c>
      <c r="K3832" t="s">
        <v>338</v>
      </c>
      <c r="L3832">
        <v>0</v>
      </c>
    </row>
    <row r="3833" spans="10:12" ht="15.75" hidden="1" customHeight="1" x14ac:dyDescent="0.2">
      <c r="J3833" t="s">
        <v>339</v>
      </c>
      <c r="K3833" t="s">
        <v>340</v>
      </c>
      <c r="L3833">
        <v>0</v>
      </c>
    </row>
    <row r="3834" spans="10:12" ht="15.75" hidden="1" customHeight="1" x14ac:dyDescent="0.2">
      <c r="J3834" t="s">
        <v>341</v>
      </c>
      <c r="K3834" t="s">
        <v>342</v>
      </c>
      <c r="L3834">
        <v>8</v>
      </c>
    </row>
    <row r="3835" spans="10:12" ht="15.75" hidden="1" customHeight="1" x14ac:dyDescent="0.2">
      <c r="J3835" t="s">
        <v>343</v>
      </c>
      <c r="K3835" t="s">
        <v>344</v>
      </c>
      <c r="L3835">
        <v>0</v>
      </c>
    </row>
    <row r="3836" spans="10:12" ht="15.75" hidden="1" customHeight="1" x14ac:dyDescent="0.2">
      <c r="J3836" t="s">
        <v>345</v>
      </c>
      <c r="K3836" t="s">
        <v>346</v>
      </c>
      <c r="L3836">
        <v>0</v>
      </c>
    </row>
    <row r="3837" spans="10:12" ht="15.75" hidden="1" customHeight="1" x14ac:dyDescent="0.2">
      <c r="J3837" t="s">
        <v>347</v>
      </c>
      <c r="K3837" t="s">
        <v>348</v>
      </c>
      <c r="L3837">
        <v>9</v>
      </c>
    </row>
    <row r="3838" spans="10:12" ht="15.75" hidden="1" customHeight="1" x14ac:dyDescent="0.2">
      <c r="J3838" t="s">
        <v>300</v>
      </c>
      <c r="K3838" t="s">
        <v>301</v>
      </c>
      <c r="L3838">
        <v>1</v>
      </c>
    </row>
    <row r="3839" spans="10:12" ht="15.75" hidden="1" customHeight="1" x14ac:dyDescent="0.2">
      <c r="J3839" t="s">
        <v>288</v>
      </c>
      <c r="K3839" t="s">
        <v>302</v>
      </c>
      <c r="L3839">
        <v>5</v>
      </c>
    </row>
    <row r="3840" spans="10:12" ht="15.75" hidden="1" customHeight="1" x14ac:dyDescent="0.2">
      <c r="J3840" t="s">
        <v>303</v>
      </c>
      <c r="K3840" t="s">
        <v>304</v>
      </c>
      <c r="L3840">
        <v>5</v>
      </c>
    </row>
    <row r="3841" spans="10:12" ht="15.75" hidden="1" customHeight="1" x14ac:dyDescent="0.2">
      <c r="J3841" t="s">
        <v>305</v>
      </c>
      <c r="K3841" t="s">
        <v>306</v>
      </c>
      <c r="L3841">
        <v>0</v>
      </c>
    </row>
    <row r="3842" spans="10:12" ht="15.75" hidden="1" customHeight="1" x14ac:dyDescent="0.2">
      <c r="J3842" t="s">
        <v>307</v>
      </c>
      <c r="K3842" t="s">
        <v>308</v>
      </c>
      <c r="L3842">
        <v>2</v>
      </c>
    </row>
    <row r="3843" spans="10:12" ht="15.75" hidden="1" customHeight="1" x14ac:dyDescent="0.2">
      <c r="J3843" t="s">
        <v>243</v>
      </c>
      <c r="K3843" t="s">
        <v>309</v>
      </c>
      <c r="L3843">
        <v>30</v>
      </c>
    </row>
    <row r="3844" spans="10:12" ht="15.75" hidden="1" customHeight="1" x14ac:dyDescent="0.2">
      <c r="J3844" t="s">
        <v>245</v>
      </c>
      <c r="K3844" t="s">
        <v>310</v>
      </c>
      <c r="L3844">
        <v>14268.0854</v>
      </c>
    </row>
    <row r="3845" spans="10:12" ht="15.75" hidden="1" customHeight="1" x14ac:dyDescent="0.2">
      <c r="J3845" t="s">
        <v>247</v>
      </c>
      <c r="K3845" t="s">
        <v>311</v>
      </c>
      <c r="L3845">
        <v>0.1961</v>
      </c>
    </row>
    <row r="3846" spans="10:12" ht="15.75" hidden="1" customHeight="1" x14ac:dyDescent="0.2">
      <c r="J3846" t="s">
        <v>249</v>
      </c>
      <c r="K3846" t="s">
        <v>312</v>
      </c>
      <c r="L3846">
        <v>96</v>
      </c>
    </row>
    <row r="3847" spans="10:12" ht="15.75" hidden="1" customHeight="1" x14ac:dyDescent="0.2">
      <c r="J3847" t="s">
        <v>251</v>
      </c>
      <c r="K3847" t="s">
        <v>313</v>
      </c>
      <c r="L3847">
        <v>31</v>
      </c>
    </row>
    <row r="3848" spans="10:12" ht="15.75" hidden="1" customHeight="1" x14ac:dyDescent="0.2">
      <c r="J3848" t="s">
        <v>253</v>
      </c>
      <c r="K3848" t="s">
        <v>314</v>
      </c>
      <c r="L3848">
        <v>475.6028</v>
      </c>
    </row>
    <row r="3849" spans="10:12" ht="15.75" hidden="1" customHeight="1" x14ac:dyDescent="0.2">
      <c r="J3849" t="s">
        <v>315</v>
      </c>
      <c r="K3849" t="s">
        <v>316</v>
      </c>
      <c r="L3849">
        <v>0</v>
      </c>
    </row>
    <row r="3850" spans="10:12" ht="15.75" hidden="1" customHeight="1" x14ac:dyDescent="0.2">
      <c r="J3850" t="s">
        <v>317</v>
      </c>
      <c r="K3850" t="s">
        <v>318</v>
      </c>
      <c r="L3850">
        <v>27</v>
      </c>
    </row>
    <row r="3851" spans="10:12" ht="15.75" hidden="1" customHeight="1" x14ac:dyDescent="0.2">
      <c r="J3851" t="s">
        <v>257</v>
      </c>
      <c r="K3851" t="s">
        <v>319</v>
      </c>
      <c r="L3851">
        <v>49.738500000000002</v>
      </c>
    </row>
    <row r="3852" spans="10:12" ht="15.75" hidden="1" customHeight="1" x14ac:dyDescent="0.2">
      <c r="J3852" t="s">
        <v>320</v>
      </c>
      <c r="K3852" t="s">
        <v>321</v>
      </c>
      <c r="L3852">
        <v>21</v>
      </c>
    </row>
    <row r="3853" spans="10:12" ht="15.75" hidden="1" customHeight="1" x14ac:dyDescent="0.2">
      <c r="J3853" t="s">
        <v>263</v>
      </c>
      <c r="K3853" t="s">
        <v>322</v>
      </c>
      <c r="L3853">
        <v>28</v>
      </c>
    </row>
    <row r="3854" spans="10:12" ht="15.75" hidden="1" customHeight="1" x14ac:dyDescent="0.2">
      <c r="J3854" t="s">
        <v>323</v>
      </c>
      <c r="K3854" t="s">
        <v>324</v>
      </c>
      <c r="L3854">
        <v>0</v>
      </c>
    </row>
    <row r="3855" spans="10:12" ht="15.75" hidden="1" customHeight="1" x14ac:dyDescent="0.2">
      <c r="J3855" t="s">
        <v>325</v>
      </c>
      <c r="K3855" t="s">
        <v>326</v>
      </c>
      <c r="L3855">
        <v>0</v>
      </c>
    </row>
    <row r="3856" spans="10:12" ht="15.75" hidden="1" customHeight="1" x14ac:dyDescent="0.2">
      <c r="J3856" t="s">
        <v>327</v>
      </c>
      <c r="K3856" t="s">
        <v>328</v>
      </c>
      <c r="L3856">
        <v>10</v>
      </c>
    </row>
    <row r="3857" spans="10:12" ht="15.75" hidden="1" customHeight="1" x14ac:dyDescent="0.2">
      <c r="J3857" t="s">
        <v>329</v>
      </c>
      <c r="K3857" t="s">
        <v>330</v>
      </c>
      <c r="L3857">
        <v>53</v>
      </c>
    </row>
    <row r="3858" spans="10:12" ht="15.75" hidden="1" customHeight="1" x14ac:dyDescent="0.2">
      <c r="J3858" t="s">
        <v>331</v>
      </c>
      <c r="K3858" t="s">
        <v>332</v>
      </c>
      <c r="L3858">
        <v>0</v>
      </c>
    </row>
    <row r="3859" spans="10:12" ht="15.75" hidden="1" customHeight="1" x14ac:dyDescent="0.2">
      <c r="J3859" t="s">
        <v>333</v>
      </c>
      <c r="K3859" t="s">
        <v>334</v>
      </c>
      <c r="L3859">
        <v>1</v>
      </c>
    </row>
    <row r="3860" spans="10:12" ht="15.75" hidden="1" customHeight="1" x14ac:dyDescent="0.2">
      <c r="J3860" t="s">
        <v>335</v>
      </c>
      <c r="K3860" t="s">
        <v>336</v>
      </c>
      <c r="L3860">
        <v>49</v>
      </c>
    </row>
    <row r="3861" spans="10:12" ht="15.75" hidden="1" customHeight="1" x14ac:dyDescent="0.2">
      <c r="J3861" t="s">
        <v>337</v>
      </c>
      <c r="K3861" t="s">
        <v>338</v>
      </c>
      <c r="L3861">
        <v>0</v>
      </c>
    </row>
    <row r="3862" spans="10:12" ht="15.75" hidden="1" customHeight="1" x14ac:dyDescent="0.2">
      <c r="J3862" t="s">
        <v>339</v>
      </c>
      <c r="K3862" t="s">
        <v>340</v>
      </c>
      <c r="L3862">
        <v>0</v>
      </c>
    </row>
    <row r="3863" spans="10:12" ht="15.75" hidden="1" customHeight="1" x14ac:dyDescent="0.2">
      <c r="J3863" t="s">
        <v>341</v>
      </c>
      <c r="K3863" t="s">
        <v>342</v>
      </c>
      <c r="L3863">
        <v>8</v>
      </c>
    </row>
    <row r="3864" spans="10:12" ht="15.75" hidden="1" customHeight="1" x14ac:dyDescent="0.2">
      <c r="J3864" t="s">
        <v>343</v>
      </c>
      <c r="K3864" t="s">
        <v>344</v>
      </c>
      <c r="L3864">
        <v>0</v>
      </c>
    </row>
    <row r="3865" spans="10:12" ht="15.75" hidden="1" customHeight="1" x14ac:dyDescent="0.2">
      <c r="J3865" t="s">
        <v>345</v>
      </c>
      <c r="K3865" t="s">
        <v>346</v>
      </c>
      <c r="L3865">
        <v>0</v>
      </c>
    </row>
    <row r="3866" spans="10:12" ht="15.75" hidden="1" customHeight="1" x14ac:dyDescent="0.2">
      <c r="J3866" t="s">
        <v>347</v>
      </c>
      <c r="K3866" t="s">
        <v>348</v>
      </c>
      <c r="L3866">
        <v>9</v>
      </c>
    </row>
    <row r="3867" spans="10:12" ht="15.75" hidden="1" customHeight="1" x14ac:dyDescent="0.2">
      <c r="J3867" t="s">
        <v>300</v>
      </c>
      <c r="K3867" t="s">
        <v>301</v>
      </c>
      <c r="L3867">
        <v>1</v>
      </c>
    </row>
    <row r="3868" spans="10:12" ht="15.75" hidden="1" customHeight="1" x14ac:dyDescent="0.2">
      <c r="J3868" t="s">
        <v>288</v>
      </c>
      <c r="K3868" t="s">
        <v>302</v>
      </c>
      <c r="L3868">
        <v>1</v>
      </c>
    </row>
    <row r="3869" spans="10:12" ht="15.75" hidden="1" customHeight="1" x14ac:dyDescent="0.2">
      <c r="J3869" t="s">
        <v>303</v>
      </c>
      <c r="K3869" t="s">
        <v>304</v>
      </c>
      <c r="L3869" t="s">
        <v>366</v>
      </c>
    </row>
    <row r="3870" spans="10:12" ht="15.75" hidden="1" customHeight="1" x14ac:dyDescent="0.2">
      <c r="J3870" t="s">
        <v>305</v>
      </c>
      <c r="K3870" t="s">
        <v>306</v>
      </c>
      <c r="L3870" t="s">
        <v>366</v>
      </c>
    </row>
    <row r="3871" spans="10:12" ht="15.75" hidden="1" customHeight="1" x14ac:dyDescent="0.2">
      <c r="J3871" t="s">
        <v>307</v>
      </c>
      <c r="K3871" t="s">
        <v>308</v>
      </c>
      <c r="L3871" t="s">
        <v>366</v>
      </c>
    </row>
    <row r="3872" spans="10:12" ht="15.75" hidden="1" customHeight="1" x14ac:dyDescent="0.2">
      <c r="J3872" t="s">
        <v>243</v>
      </c>
      <c r="K3872" t="s">
        <v>309</v>
      </c>
      <c r="L3872" t="s">
        <v>366</v>
      </c>
    </row>
    <row r="3873" spans="10:12" ht="15.75" hidden="1" customHeight="1" x14ac:dyDescent="0.2">
      <c r="J3873" t="s">
        <v>245</v>
      </c>
      <c r="K3873" t="s">
        <v>310</v>
      </c>
      <c r="L3873" t="s">
        <v>366</v>
      </c>
    </row>
    <row r="3874" spans="10:12" ht="15.75" hidden="1" customHeight="1" x14ac:dyDescent="0.2">
      <c r="J3874" t="s">
        <v>247</v>
      </c>
      <c r="K3874" t="s">
        <v>311</v>
      </c>
      <c r="L3874" t="s">
        <v>366</v>
      </c>
    </row>
    <row r="3875" spans="10:12" ht="15.75" hidden="1" customHeight="1" x14ac:dyDescent="0.2">
      <c r="J3875" t="s">
        <v>249</v>
      </c>
      <c r="K3875" t="s">
        <v>312</v>
      </c>
      <c r="L3875" t="s">
        <v>366</v>
      </c>
    </row>
    <row r="3876" spans="10:12" ht="15.75" hidden="1" customHeight="1" x14ac:dyDescent="0.2">
      <c r="J3876" t="s">
        <v>251</v>
      </c>
      <c r="K3876" t="s">
        <v>313</v>
      </c>
      <c r="L3876" t="s">
        <v>366</v>
      </c>
    </row>
    <row r="3877" spans="10:12" ht="15.75" hidden="1" customHeight="1" x14ac:dyDescent="0.2">
      <c r="J3877" t="s">
        <v>253</v>
      </c>
      <c r="K3877" t="s">
        <v>314</v>
      </c>
      <c r="L3877" t="s">
        <v>366</v>
      </c>
    </row>
    <row r="3878" spans="10:12" ht="15.75" hidden="1" customHeight="1" x14ac:dyDescent="0.2">
      <c r="J3878" t="s">
        <v>315</v>
      </c>
      <c r="K3878" t="s">
        <v>316</v>
      </c>
      <c r="L3878" t="s">
        <v>366</v>
      </c>
    </row>
    <row r="3879" spans="10:12" ht="15.75" hidden="1" customHeight="1" x14ac:dyDescent="0.2">
      <c r="J3879" t="s">
        <v>317</v>
      </c>
      <c r="K3879" t="s">
        <v>318</v>
      </c>
      <c r="L3879">
        <v>66</v>
      </c>
    </row>
    <row r="3880" spans="10:12" ht="15.75" hidden="1" customHeight="1" x14ac:dyDescent="0.2">
      <c r="J3880" t="s">
        <v>257</v>
      </c>
      <c r="K3880" t="s">
        <v>319</v>
      </c>
      <c r="L3880" t="s">
        <v>367</v>
      </c>
    </row>
    <row r="3881" spans="10:12" ht="15.75" hidden="1" customHeight="1" x14ac:dyDescent="0.2">
      <c r="J3881" t="s">
        <v>320</v>
      </c>
      <c r="K3881" t="s">
        <v>321</v>
      </c>
      <c r="L3881" t="s">
        <v>366</v>
      </c>
    </row>
    <row r="3882" spans="10:12" ht="15.75" hidden="1" customHeight="1" x14ac:dyDescent="0.2">
      <c r="J3882" t="s">
        <v>263</v>
      </c>
      <c r="K3882" t="s">
        <v>322</v>
      </c>
      <c r="L3882">
        <v>34</v>
      </c>
    </row>
    <row r="3883" spans="10:12" ht="15.75" hidden="1" customHeight="1" x14ac:dyDescent="0.2">
      <c r="J3883" t="s">
        <v>323</v>
      </c>
      <c r="K3883" t="s">
        <v>324</v>
      </c>
      <c r="L3883" t="s">
        <v>366</v>
      </c>
    </row>
    <row r="3884" spans="10:12" ht="15.75" hidden="1" customHeight="1" x14ac:dyDescent="0.2">
      <c r="J3884" t="s">
        <v>325</v>
      </c>
      <c r="K3884" t="s">
        <v>326</v>
      </c>
      <c r="L3884" t="s">
        <v>366</v>
      </c>
    </row>
    <row r="3885" spans="10:12" ht="15.75" hidden="1" customHeight="1" x14ac:dyDescent="0.2">
      <c r="J3885" t="s">
        <v>327</v>
      </c>
      <c r="K3885" t="s">
        <v>328</v>
      </c>
      <c r="L3885" t="s">
        <v>366</v>
      </c>
    </row>
    <row r="3886" spans="10:12" ht="15.75" hidden="1" customHeight="1" x14ac:dyDescent="0.2">
      <c r="J3886" t="s">
        <v>329</v>
      </c>
      <c r="K3886" t="s">
        <v>330</v>
      </c>
      <c r="L3886" t="s">
        <v>366</v>
      </c>
    </row>
    <row r="3887" spans="10:12" ht="15.75" hidden="1" customHeight="1" x14ac:dyDescent="0.2">
      <c r="J3887" t="s">
        <v>331</v>
      </c>
      <c r="K3887" t="s">
        <v>332</v>
      </c>
      <c r="L3887" t="s">
        <v>366</v>
      </c>
    </row>
    <row r="3888" spans="10:12" ht="15.75" hidden="1" customHeight="1" x14ac:dyDescent="0.2">
      <c r="J3888" t="s">
        <v>333</v>
      </c>
      <c r="K3888" t="s">
        <v>334</v>
      </c>
      <c r="L3888" t="s">
        <v>366</v>
      </c>
    </row>
    <row r="3889" spans="10:12" ht="15.75" hidden="1" customHeight="1" x14ac:dyDescent="0.2">
      <c r="J3889" t="s">
        <v>335</v>
      </c>
      <c r="K3889" t="s">
        <v>336</v>
      </c>
      <c r="L3889" t="s">
        <v>366</v>
      </c>
    </row>
    <row r="3890" spans="10:12" ht="15.75" hidden="1" customHeight="1" x14ac:dyDescent="0.2">
      <c r="J3890" t="s">
        <v>337</v>
      </c>
      <c r="K3890" t="s">
        <v>338</v>
      </c>
      <c r="L3890" t="s">
        <v>366</v>
      </c>
    </row>
    <row r="3891" spans="10:12" ht="15.75" hidden="1" customHeight="1" x14ac:dyDescent="0.2">
      <c r="J3891" t="s">
        <v>339</v>
      </c>
      <c r="K3891" t="s">
        <v>340</v>
      </c>
      <c r="L3891" t="s">
        <v>366</v>
      </c>
    </row>
    <row r="3892" spans="10:12" ht="15.75" hidden="1" customHeight="1" x14ac:dyDescent="0.2">
      <c r="J3892" t="s">
        <v>341</v>
      </c>
      <c r="K3892" t="s">
        <v>342</v>
      </c>
      <c r="L3892" t="s">
        <v>366</v>
      </c>
    </row>
    <row r="3893" spans="10:12" ht="15.75" hidden="1" customHeight="1" x14ac:dyDescent="0.2">
      <c r="J3893" t="s">
        <v>343</v>
      </c>
      <c r="K3893" t="s">
        <v>344</v>
      </c>
      <c r="L3893" t="s">
        <v>366</v>
      </c>
    </row>
    <row r="3894" spans="10:12" ht="15.75" hidden="1" customHeight="1" x14ac:dyDescent="0.2">
      <c r="J3894" t="s">
        <v>345</v>
      </c>
      <c r="K3894" t="s">
        <v>346</v>
      </c>
      <c r="L3894" t="s">
        <v>366</v>
      </c>
    </row>
    <row r="3895" spans="10:12" ht="15.75" hidden="1" customHeight="1" x14ac:dyDescent="0.2">
      <c r="J3895" t="s">
        <v>347</v>
      </c>
      <c r="K3895" t="s">
        <v>348</v>
      </c>
      <c r="L3895" t="s">
        <v>366</v>
      </c>
    </row>
    <row r="3896" spans="10:12" ht="15.75" hidden="1" customHeight="1" x14ac:dyDescent="0.2">
      <c r="J3896" t="s">
        <v>300</v>
      </c>
      <c r="K3896" t="s">
        <v>301</v>
      </c>
      <c r="L3896">
        <v>2</v>
      </c>
    </row>
    <row r="3897" spans="10:12" ht="15.75" hidden="1" customHeight="1" x14ac:dyDescent="0.2">
      <c r="J3897" t="s">
        <v>288</v>
      </c>
      <c r="K3897" t="s">
        <v>302</v>
      </c>
      <c r="L3897">
        <v>17</v>
      </c>
    </row>
    <row r="3898" spans="10:12" ht="15.75" hidden="1" customHeight="1" x14ac:dyDescent="0.2">
      <c r="J3898" t="s">
        <v>303</v>
      </c>
      <c r="K3898" t="s">
        <v>304</v>
      </c>
      <c r="L3898">
        <v>14</v>
      </c>
    </row>
    <row r="3899" spans="10:12" ht="15.75" hidden="1" customHeight="1" x14ac:dyDescent="0.2">
      <c r="J3899" t="s">
        <v>305</v>
      </c>
      <c r="K3899" t="s">
        <v>306</v>
      </c>
      <c r="L3899">
        <v>1</v>
      </c>
    </row>
    <row r="3900" spans="10:12" ht="15.75" hidden="1" customHeight="1" x14ac:dyDescent="0.2">
      <c r="J3900" t="s">
        <v>307</v>
      </c>
      <c r="K3900" t="s">
        <v>308</v>
      </c>
      <c r="L3900">
        <v>1</v>
      </c>
    </row>
    <row r="3901" spans="10:12" ht="15.75" hidden="1" customHeight="1" x14ac:dyDescent="0.2">
      <c r="J3901" t="s">
        <v>243</v>
      </c>
      <c r="K3901" t="s">
        <v>309</v>
      </c>
      <c r="L3901">
        <v>78.400000000000006</v>
      </c>
    </row>
    <row r="3902" spans="10:12" ht="15.75" hidden="1" customHeight="1" x14ac:dyDescent="0.2">
      <c r="J3902" t="s">
        <v>245</v>
      </c>
      <c r="K3902" t="s">
        <v>310</v>
      </c>
      <c r="L3902">
        <v>110381.7196</v>
      </c>
    </row>
    <row r="3903" spans="10:12" ht="15.75" hidden="1" customHeight="1" x14ac:dyDescent="0.2">
      <c r="J3903" t="s">
        <v>247</v>
      </c>
      <c r="K3903" t="s">
        <v>311</v>
      </c>
      <c r="L3903">
        <v>0.76700000000000002</v>
      </c>
    </row>
    <row r="3904" spans="10:12" ht="15.75" hidden="1" customHeight="1" x14ac:dyDescent="0.2">
      <c r="J3904" t="s">
        <v>249</v>
      </c>
      <c r="K3904" t="s">
        <v>312</v>
      </c>
      <c r="L3904">
        <v>224</v>
      </c>
    </row>
    <row r="3905" spans="10:12" ht="15.75" hidden="1" customHeight="1" x14ac:dyDescent="0.2">
      <c r="J3905" t="s">
        <v>251</v>
      </c>
      <c r="K3905" t="s">
        <v>313</v>
      </c>
      <c r="L3905">
        <v>78</v>
      </c>
    </row>
    <row r="3906" spans="10:12" ht="15.75" hidden="1" customHeight="1" x14ac:dyDescent="0.2">
      <c r="J3906" t="s">
        <v>253</v>
      </c>
      <c r="K3906" t="s">
        <v>314</v>
      </c>
      <c r="L3906">
        <v>1407.9301</v>
      </c>
    </row>
    <row r="3907" spans="10:12" ht="15.75" hidden="1" customHeight="1" x14ac:dyDescent="0.2">
      <c r="J3907" t="s">
        <v>315</v>
      </c>
      <c r="K3907" t="s">
        <v>316</v>
      </c>
      <c r="L3907">
        <v>1</v>
      </c>
    </row>
    <row r="3908" spans="10:12" ht="15.75" hidden="1" customHeight="1" x14ac:dyDescent="0.2">
      <c r="J3908" t="s">
        <v>317</v>
      </c>
      <c r="K3908" t="s">
        <v>318</v>
      </c>
      <c r="L3908">
        <v>224</v>
      </c>
    </row>
    <row r="3909" spans="10:12" ht="15.75" hidden="1" customHeight="1" x14ac:dyDescent="0.2">
      <c r="J3909" t="s">
        <v>257</v>
      </c>
      <c r="K3909" t="s">
        <v>319</v>
      </c>
      <c r="L3909">
        <v>26.209199999999999</v>
      </c>
    </row>
    <row r="3910" spans="10:12" ht="15.75" hidden="1" customHeight="1" x14ac:dyDescent="0.2">
      <c r="J3910" t="s">
        <v>320</v>
      </c>
      <c r="K3910" t="s">
        <v>321</v>
      </c>
      <c r="L3910">
        <v>34</v>
      </c>
    </row>
    <row r="3911" spans="10:12" ht="15.75" hidden="1" customHeight="1" x14ac:dyDescent="0.2">
      <c r="J3911" t="s">
        <v>263</v>
      </c>
      <c r="K3911" t="s">
        <v>322</v>
      </c>
      <c r="L3911">
        <v>71</v>
      </c>
    </row>
    <row r="3912" spans="10:12" ht="15.75" hidden="1" customHeight="1" x14ac:dyDescent="0.2">
      <c r="J3912" t="s">
        <v>323</v>
      </c>
      <c r="K3912" t="s">
        <v>324</v>
      </c>
      <c r="L3912">
        <v>1</v>
      </c>
    </row>
    <row r="3913" spans="10:12" ht="15.75" hidden="1" customHeight="1" x14ac:dyDescent="0.2">
      <c r="J3913" t="s">
        <v>325</v>
      </c>
      <c r="K3913" t="s">
        <v>326</v>
      </c>
      <c r="L3913">
        <v>14</v>
      </c>
    </row>
    <row r="3914" spans="10:12" ht="15.75" hidden="1" customHeight="1" x14ac:dyDescent="0.2">
      <c r="J3914" t="s">
        <v>327</v>
      </c>
      <c r="K3914" t="s">
        <v>328</v>
      </c>
      <c r="L3914">
        <v>2</v>
      </c>
    </row>
    <row r="3915" spans="10:12" ht="15.75" hidden="1" customHeight="1" x14ac:dyDescent="0.2">
      <c r="J3915" t="s">
        <v>329</v>
      </c>
      <c r="K3915" t="s">
        <v>330</v>
      </c>
      <c r="L3915">
        <v>35</v>
      </c>
    </row>
    <row r="3916" spans="10:12" ht="15.75" hidden="1" customHeight="1" x14ac:dyDescent="0.2">
      <c r="J3916" t="s">
        <v>331</v>
      </c>
      <c r="K3916" t="s">
        <v>332</v>
      </c>
      <c r="L3916">
        <v>0</v>
      </c>
    </row>
    <row r="3917" spans="10:12" ht="15.75" hidden="1" customHeight="1" x14ac:dyDescent="0.2">
      <c r="J3917" t="s">
        <v>333</v>
      </c>
      <c r="K3917" t="s">
        <v>334</v>
      </c>
      <c r="L3917">
        <v>15</v>
      </c>
    </row>
    <row r="3918" spans="10:12" ht="15.75" hidden="1" customHeight="1" x14ac:dyDescent="0.2">
      <c r="J3918" t="s">
        <v>335</v>
      </c>
      <c r="K3918" t="s">
        <v>336</v>
      </c>
      <c r="L3918">
        <v>35</v>
      </c>
    </row>
    <row r="3919" spans="10:12" ht="15.75" hidden="1" customHeight="1" x14ac:dyDescent="0.2">
      <c r="J3919" t="s">
        <v>337</v>
      </c>
      <c r="K3919" t="s">
        <v>338</v>
      </c>
      <c r="L3919">
        <v>0</v>
      </c>
    </row>
    <row r="3920" spans="10:12" ht="15.75" hidden="1" customHeight="1" x14ac:dyDescent="0.2">
      <c r="J3920" t="s">
        <v>339</v>
      </c>
      <c r="K3920" t="s">
        <v>340</v>
      </c>
      <c r="L3920">
        <v>0</v>
      </c>
    </row>
    <row r="3921" spans="10:12" ht="15.75" hidden="1" customHeight="1" x14ac:dyDescent="0.2">
      <c r="J3921" t="s">
        <v>341</v>
      </c>
      <c r="K3921" t="s">
        <v>342</v>
      </c>
      <c r="L3921">
        <v>33</v>
      </c>
    </row>
    <row r="3922" spans="10:12" ht="15.75" hidden="1" customHeight="1" x14ac:dyDescent="0.2">
      <c r="J3922" t="s">
        <v>343</v>
      </c>
      <c r="K3922" t="s">
        <v>344</v>
      </c>
      <c r="L3922">
        <v>0.35899999999999999</v>
      </c>
    </row>
    <row r="3923" spans="10:12" ht="15.75" hidden="1" customHeight="1" x14ac:dyDescent="0.2">
      <c r="J3923" t="s">
        <v>345</v>
      </c>
      <c r="K3923" t="s">
        <v>346</v>
      </c>
      <c r="L3923">
        <v>0.71430000000000005</v>
      </c>
    </row>
    <row r="3924" spans="10:12" ht="15.75" hidden="1" customHeight="1" x14ac:dyDescent="0.2">
      <c r="J3924" t="s">
        <v>347</v>
      </c>
      <c r="K3924" t="s">
        <v>348</v>
      </c>
      <c r="L3924">
        <v>35</v>
      </c>
    </row>
    <row r="3925" spans="10:12" ht="15.75" hidden="1" customHeight="1" x14ac:dyDescent="0.2">
      <c r="J3925" t="s">
        <v>300</v>
      </c>
      <c r="K3925" t="s">
        <v>301</v>
      </c>
      <c r="L3925">
        <v>1</v>
      </c>
    </row>
    <row r="3926" spans="10:12" ht="15.75" hidden="1" customHeight="1" x14ac:dyDescent="0.2">
      <c r="J3926" t="s">
        <v>288</v>
      </c>
      <c r="K3926" t="s">
        <v>302</v>
      </c>
      <c r="L3926">
        <v>5</v>
      </c>
    </row>
    <row r="3927" spans="10:12" ht="15.75" hidden="1" customHeight="1" x14ac:dyDescent="0.2">
      <c r="J3927" t="s">
        <v>303</v>
      </c>
      <c r="K3927" t="s">
        <v>304</v>
      </c>
      <c r="L3927">
        <v>5</v>
      </c>
    </row>
    <row r="3928" spans="10:12" ht="15.75" hidden="1" customHeight="1" x14ac:dyDescent="0.2">
      <c r="J3928" t="s">
        <v>305</v>
      </c>
      <c r="K3928" t="s">
        <v>306</v>
      </c>
      <c r="L3928">
        <v>0</v>
      </c>
    </row>
    <row r="3929" spans="10:12" ht="15.75" hidden="1" customHeight="1" x14ac:dyDescent="0.2">
      <c r="J3929" t="s">
        <v>307</v>
      </c>
      <c r="K3929" t="s">
        <v>308</v>
      </c>
      <c r="L3929">
        <v>2</v>
      </c>
    </row>
    <row r="3930" spans="10:12" ht="15.75" hidden="1" customHeight="1" x14ac:dyDescent="0.2">
      <c r="J3930" t="s">
        <v>243</v>
      </c>
      <c r="K3930" t="s">
        <v>309</v>
      </c>
      <c r="L3930">
        <v>30</v>
      </c>
    </row>
    <row r="3931" spans="10:12" ht="15.75" hidden="1" customHeight="1" x14ac:dyDescent="0.2">
      <c r="J3931" t="s">
        <v>245</v>
      </c>
      <c r="K3931" t="s">
        <v>310</v>
      </c>
      <c r="L3931">
        <v>14268.0854</v>
      </c>
    </row>
    <row r="3932" spans="10:12" ht="15.75" hidden="1" customHeight="1" x14ac:dyDescent="0.2">
      <c r="J3932" t="s">
        <v>247</v>
      </c>
      <c r="K3932" t="s">
        <v>311</v>
      </c>
      <c r="L3932">
        <v>0.1961</v>
      </c>
    </row>
    <row r="3933" spans="10:12" ht="15.75" hidden="1" customHeight="1" x14ac:dyDescent="0.2">
      <c r="J3933" t="s">
        <v>249</v>
      </c>
      <c r="K3933" t="s">
        <v>312</v>
      </c>
      <c r="L3933">
        <v>96</v>
      </c>
    </row>
    <row r="3934" spans="10:12" ht="15.75" hidden="1" customHeight="1" x14ac:dyDescent="0.2">
      <c r="J3934" t="s">
        <v>251</v>
      </c>
      <c r="K3934" t="s">
        <v>313</v>
      </c>
      <c r="L3934">
        <v>31</v>
      </c>
    </row>
    <row r="3935" spans="10:12" ht="15.75" hidden="1" customHeight="1" x14ac:dyDescent="0.2">
      <c r="J3935" t="s">
        <v>253</v>
      </c>
      <c r="K3935" t="s">
        <v>314</v>
      </c>
      <c r="L3935">
        <v>475.6028</v>
      </c>
    </row>
    <row r="3936" spans="10:12" ht="15.75" hidden="1" customHeight="1" x14ac:dyDescent="0.2">
      <c r="J3936" t="s">
        <v>315</v>
      </c>
      <c r="K3936" t="s">
        <v>316</v>
      </c>
      <c r="L3936">
        <v>0</v>
      </c>
    </row>
    <row r="3937" spans="10:12" ht="15.75" hidden="1" customHeight="1" x14ac:dyDescent="0.2">
      <c r="J3937" t="s">
        <v>317</v>
      </c>
      <c r="K3937" t="s">
        <v>318</v>
      </c>
      <c r="L3937">
        <v>27</v>
      </c>
    </row>
    <row r="3938" spans="10:12" ht="15.75" hidden="1" customHeight="1" x14ac:dyDescent="0.2">
      <c r="J3938" t="s">
        <v>257</v>
      </c>
      <c r="K3938" t="s">
        <v>319</v>
      </c>
      <c r="L3938">
        <v>49.738500000000002</v>
      </c>
    </row>
    <row r="3939" spans="10:12" ht="15.75" hidden="1" customHeight="1" x14ac:dyDescent="0.2">
      <c r="J3939" t="s">
        <v>320</v>
      </c>
      <c r="K3939" t="s">
        <v>321</v>
      </c>
      <c r="L3939">
        <v>21</v>
      </c>
    </row>
    <row r="3940" spans="10:12" ht="15.75" hidden="1" customHeight="1" x14ac:dyDescent="0.2">
      <c r="J3940" t="s">
        <v>263</v>
      </c>
      <c r="K3940" t="s">
        <v>322</v>
      </c>
      <c r="L3940">
        <v>28</v>
      </c>
    </row>
    <row r="3941" spans="10:12" ht="15.75" hidden="1" customHeight="1" x14ac:dyDescent="0.2">
      <c r="J3941" t="s">
        <v>323</v>
      </c>
      <c r="K3941" t="s">
        <v>324</v>
      </c>
      <c r="L3941">
        <v>0</v>
      </c>
    </row>
    <row r="3942" spans="10:12" ht="15.75" hidden="1" customHeight="1" x14ac:dyDescent="0.2">
      <c r="J3942" t="s">
        <v>325</v>
      </c>
      <c r="K3942" t="s">
        <v>326</v>
      </c>
      <c r="L3942">
        <v>0</v>
      </c>
    </row>
    <row r="3943" spans="10:12" ht="15.75" hidden="1" customHeight="1" x14ac:dyDescent="0.2">
      <c r="J3943" t="s">
        <v>327</v>
      </c>
      <c r="K3943" t="s">
        <v>328</v>
      </c>
      <c r="L3943">
        <v>10</v>
      </c>
    </row>
    <row r="3944" spans="10:12" ht="15.75" hidden="1" customHeight="1" x14ac:dyDescent="0.2">
      <c r="J3944" t="s">
        <v>329</v>
      </c>
      <c r="K3944" t="s">
        <v>330</v>
      </c>
      <c r="L3944">
        <v>53</v>
      </c>
    </row>
    <row r="3945" spans="10:12" ht="15.75" hidden="1" customHeight="1" x14ac:dyDescent="0.2">
      <c r="J3945" t="s">
        <v>331</v>
      </c>
      <c r="K3945" t="s">
        <v>332</v>
      </c>
      <c r="L3945">
        <v>0</v>
      </c>
    </row>
    <row r="3946" spans="10:12" ht="15.75" hidden="1" customHeight="1" x14ac:dyDescent="0.2">
      <c r="J3946" t="s">
        <v>333</v>
      </c>
      <c r="K3946" t="s">
        <v>334</v>
      </c>
      <c r="L3946">
        <v>1</v>
      </c>
    </row>
    <row r="3947" spans="10:12" ht="15.75" hidden="1" customHeight="1" x14ac:dyDescent="0.2">
      <c r="J3947" t="s">
        <v>335</v>
      </c>
      <c r="K3947" t="s">
        <v>336</v>
      </c>
      <c r="L3947">
        <v>49</v>
      </c>
    </row>
    <row r="3948" spans="10:12" ht="15.75" hidden="1" customHeight="1" x14ac:dyDescent="0.2">
      <c r="J3948" t="s">
        <v>337</v>
      </c>
      <c r="K3948" t="s">
        <v>338</v>
      </c>
      <c r="L3948">
        <v>0</v>
      </c>
    </row>
    <row r="3949" spans="10:12" ht="15.75" hidden="1" customHeight="1" x14ac:dyDescent="0.2">
      <c r="J3949" t="s">
        <v>339</v>
      </c>
      <c r="K3949" t="s">
        <v>340</v>
      </c>
      <c r="L3949">
        <v>0</v>
      </c>
    </row>
    <row r="3950" spans="10:12" ht="15.75" hidden="1" customHeight="1" x14ac:dyDescent="0.2">
      <c r="J3950" t="s">
        <v>341</v>
      </c>
      <c r="K3950" t="s">
        <v>342</v>
      </c>
      <c r="L3950">
        <v>8</v>
      </c>
    </row>
    <row r="3951" spans="10:12" ht="15.75" hidden="1" customHeight="1" x14ac:dyDescent="0.2">
      <c r="J3951" t="s">
        <v>343</v>
      </c>
      <c r="K3951" t="s">
        <v>344</v>
      </c>
      <c r="L3951">
        <v>0</v>
      </c>
    </row>
    <row r="3952" spans="10:12" ht="15.75" hidden="1" customHeight="1" x14ac:dyDescent="0.2">
      <c r="J3952" t="s">
        <v>345</v>
      </c>
      <c r="K3952" t="s">
        <v>346</v>
      </c>
      <c r="L3952">
        <v>0</v>
      </c>
    </row>
    <row r="3953" spans="10:12" ht="15.75" hidden="1" customHeight="1" x14ac:dyDescent="0.2">
      <c r="J3953" t="s">
        <v>347</v>
      </c>
      <c r="K3953" t="s">
        <v>348</v>
      </c>
      <c r="L3953">
        <v>9</v>
      </c>
    </row>
    <row r="3954" spans="10:12" ht="15.75" hidden="1" customHeight="1" x14ac:dyDescent="0.2">
      <c r="J3954" t="s">
        <v>300</v>
      </c>
      <c r="K3954" t="s">
        <v>301</v>
      </c>
      <c r="L3954">
        <v>1</v>
      </c>
    </row>
    <row r="3955" spans="10:12" ht="15.75" hidden="1" customHeight="1" x14ac:dyDescent="0.2">
      <c r="J3955" t="s">
        <v>288</v>
      </c>
      <c r="K3955" t="s">
        <v>302</v>
      </c>
      <c r="L3955">
        <v>6</v>
      </c>
    </row>
    <row r="3956" spans="10:12" ht="15.75" hidden="1" customHeight="1" x14ac:dyDescent="0.2">
      <c r="J3956" t="s">
        <v>303</v>
      </c>
      <c r="K3956" t="s">
        <v>304</v>
      </c>
      <c r="L3956">
        <v>5</v>
      </c>
    </row>
    <row r="3957" spans="10:12" ht="15.75" hidden="1" customHeight="1" x14ac:dyDescent="0.2">
      <c r="J3957" t="s">
        <v>305</v>
      </c>
      <c r="K3957" t="s">
        <v>306</v>
      </c>
      <c r="L3957">
        <v>0</v>
      </c>
    </row>
    <row r="3958" spans="10:12" ht="15.75" hidden="1" customHeight="1" x14ac:dyDescent="0.2">
      <c r="J3958" t="s">
        <v>307</v>
      </c>
      <c r="K3958" t="s">
        <v>308</v>
      </c>
      <c r="L3958">
        <v>2</v>
      </c>
    </row>
    <row r="3959" spans="10:12" ht="15.75" hidden="1" customHeight="1" x14ac:dyDescent="0.2">
      <c r="J3959" t="s">
        <v>243</v>
      </c>
      <c r="K3959" t="s">
        <v>309</v>
      </c>
      <c r="L3959">
        <v>60</v>
      </c>
    </row>
    <row r="3960" spans="10:12" ht="15.75" hidden="1" customHeight="1" x14ac:dyDescent="0.2">
      <c r="J3960" t="s">
        <v>245</v>
      </c>
      <c r="K3960" t="s">
        <v>310</v>
      </c>
      <c r="L3960">
        <v>60989.296000000002</v>
      </c>
    </row>
    <row r="3961" spans="10:12" ht="15.75" hidden="1" customHeight="1" x14ac:dyDescent="0.2">
      <c r="J3961" t="s">
        <v>247</v>
      </c>
      <c r="K3961" t="s">
        <v>311</v>
      </c>
      <c r="L3961">
        <v>0.51649999999999996</v>
      </c>
    </row>
    <row r="3962" spans="10:12" ht="15.75" hidden="1" customHeight="1" x14ac:dyDescent="0.2">
      <c r="J3962" t="s">
        <v>249</v>
      </c>
      <c r="K3962" t="s">
        <v>312</v>
      </c>
      <c r="L3962">
        <v>191</v>
      </c>
    </row>
    <row r="3963" spans="10:12" ht="15.75" hidden="1" customHeight="1" x14ac:dyDescent="0.2">
      <c r="J3963" t="s">
        <v>251</v>
      </c>
      <c r="K3963" t="s">
        <v>313</v>
      </c>
      <c r="L3963">
        <v>40</v>
      </c>
    </row>
    <row r="3964" spans="10:12" ht="15.75" hidden="1" customHeight="1" x14ac:dyDescent="0.2">
      <c r="J3964" t="s">
        <v>253</v>
      </c>
      <c r="K3964" t="s">
        <v>314</v>
      </c>
      <c r="L3964">
        <v>1016.4883</v>
      </c>
    </row>
    <row r="3965" spans="10:12" ht="15.75" hidden="1" customHeight="1" x14ac:dyDescent="0.2">
      <c r="J3965" t="s">
        <v>315</v>
      </c>
      <c r="K3965" t="s">
        <v>316</v>
      </c>
      <c r="L3965">
        <v>0</v>
      </c>
    </row>
    <row r="3966" spans="10:12" ht="15.75" hidden="1" customHeight="1" x14ac:dyDescent="0.2">
      <c r="J3966" t="s">
        <v>317</v>
      </c>
      <c r="K3966" t="s">
        <v>318</v>
      </c>
      <c r="L3966">
        <v>72</v>
      </c>
    </row>
    <row r="3967" spans="10:12" ht="15.75" hidden="1" customHeight="1" x14ac:dyDescent="0.2">
      <c r="J3967" t="s">
        <v>257</v>
      </c>
      <c r="K3967" t="s">
        <v>319</v>
      </c>
      <c r="L3967">
        <v>38.0749</v>
      </c>
    </row>
    <row r="3968" spans="10:12" ht="15.75" hidden="1" customHeight="1" x14ac:dyDescent="0.2">
      <c r="J3968" t="s">
        <v>320</v>
      </c>
      <c r="K3968" t="s">
        <v>321</v>
      </c>
      <c r="L3968">
        <v>49</v>
      </c>
    </row>
    <row r="3969" spans="10:12" ht="15.75" hidden="1" customHeight="1" x14ac:dyDescent="0.2">
      <c r="J3969" t="s">
        <v>263</v>
      </c>
      <c r="K3969" t="s">
        <v>322</v>
      </c>
      <c r="L3969">
        <v>46</v>
      </c>
    </row>
    <row r="3970" spans="10:12" ht="15.75" hidden="1" customHeight="1" x14ac:dyDescent="0.2">
      <c r="J3970" t="s">
        <v>323</v>
      </c>
      <c r="K3970" t="s">
        <v>324</v>
      </c>
      <c r="L3970">
        <v>0</v>
      </c>
    </row>
    <row r="3971" spans="10:12" ht="15.75" hidden="1" customHeight="1" x14ac:dyDescent="0.2">
      <c r="J3971" t="s">
        <v>325</v>
      </c>
      <c r="K3971" t="s">
        <v>326</v>
      </c>
      <c r="L3971">
        <v>4</v>
      </c>
    </row>
    <row r="3972" spans="10:12" ht="15.75" hidden="1" customHeight="1" x14ac:dyDescent="0.2">
      <c r="J3972" t="s">
        <v>327</v>
      </c>
      <c r="K3972" t="s">
        <v>328</v>
      </c>
      <c r="L3972">
        <v>10</v>
      </c>
    </row>
    <row r="3973" spans="10:12" ht="15.75" hidden="1" customHeight="1" x14ac:dyDescent="0.2">
      <c r="J3973" t="s">
        <v>329</v>
      </c>
      <c r="K3973" t="s">
        <v>330</v>
      </c>
      <c r="L3973">
        <v>57</v>
      </c>
    </row>
    <row r="3974" spans="10:12" ht="15.75" hidden="1" customHeight="1" x14ac:dyDescent="0.2">
      <c r="J3974" t="s">
        <v>331</v>
      </c>
      <c r="K3974" t="s">
        <v>332</v>
      </c>
      <c r="L3974">
        <v>0</v>
      </c>
    </row>
    <row r="3975" spans="10:12" ht="15.75" hidden="1" customHeight="1" x14ac:dyDescent="0.2">
      <c r="J3975" t="s">
        <v>333</v>
      </c>
      <c r="K3975" t="s">
        <v>334</v>
      </c>
      <c r="L3975">
        <v>5</v>
      </c>
    </row>
    <row r="3976" spans="10:12" ht="15.75" hidden="1" customHeight="1" x14ac:dyDescent="0.2">
      <c r="J3976" t="s">
        <v>335</v>
      </c>
      <c r="K3976" t="s">
        <v>336</v>
      </c>
      <c r="L3976">
        <v>53</v>
      </c>
    </row>
    <row r="3977" spans="10:12" ht="15.75" hidden="1" customHeight="1" x14ac:dyDescent="0.2">
      <c r="J3977" t="s">
        <v>337</v>
      </c>
      <c r="K3977" t="s">
        <v>338</v>
      </c>
      <c r="L3977">
        <v>0</v>
      </c>
    </row>
    <row r="3978" spans="10:12" ht="15.75" hidden="1" customHeight="1" x14ac:dyDescent="0.2">
      <c r="J3978" t="s">
        <v>339</v>
      </c>
      <c r="K3978" t="s">
        <v>340</v>
      </c>
      <c r="L3978">
        <v>0</v>
      </c>
    </row>
    <row r="3979" spans="10:12" ht="15.75" hidden="1" customHeight="1" x14ac:dyDescent="0.2">
      <c r="J3979" t="s">
        <v>341</v>
      </c>
      <c r="K3979" t="s">
        <v>342</v>
      </c>
      <c r="L3979">
        <v>11</v>
      </c>
    </row>
    <row r="3980" spans="10:12" ht="15.75" hidden="1" customHeight="1" x14ac:dyDescent="0.2">
      <c r="J3980" t="s">
        <v>343</v>
      </c>
      <c r="K3980" t="s">
        <v>344</v>
      </c>
      <c r="L3980">
        <v>0</v>
      </c>
    </row>
    <row r="3981" spans="10:12" ht="15.75" hidden="1" customHeight="1" x14ac:dyDescent="0.2">
      <c r="J3981" t="s">
        <v>345</v>
      </c>
      <c r="K3981" t="s">
        <v>346</v>
      </c>
      <c r="L3981">
        <v>1</v>
      </c>
    </row>
    <row r="3982" spans="10:12" ht="15.75" hidden="1" customHeight="1" x14ac:dyDescent="0.2">
      <c r="J3982" t="s">
        <v>347</v>
      </c>
      <c r="K3982" t="s">
        <v>348</v>
      </c>
      <c r="L3982">
        <v>14</v>
      </c>
    </row>
    <row r="3983" spans="10:12" ht="15.75" hidden="1" customHeight="1" x14ac:dyDescent="0.2">
      <c r="J3983" t="s">
        <v>300</v>
      </c>
      <c r="K3983" t="s">
        <v>301</v>
      </c>
      <c r="L3983">
        <v>8</v>
      </c>
    </row>
    <row r="3984" spans="10:12" ht="15.75" hidden="1" customHeight="1" x14ac:dyDescent="0.2">
      <c r="J3984" t="s">
        <v>288</v>
      </c>
      <c r="K3984" t="s">
        <v>302</v>
      </c>
      <c r="L3984">
        <v>109</v>
      </c>
    </row>
    <row r="3985" spans="10:12" ht="15.75" hidden="1" customHeight="1" x14ac:dyDescent="0.2">
      <c r="J3985" t="s">
        <v>303</v>
      </c>
      <c r="K3985" t="s">
        <v>304</v>
      </c>
      <c r="L3985">
        <v>33</v>
      </c>
    </row>
    <row r="3986" spans="10:12" ht="15.75" hidden="1" customHeight="1" x14ac:dyDescent="0.2">
      <c r="J3986" t="s">
        <v>305</v>
      </c>
      <c r="K3986" t="s">
        <v>306</v>
      </c>
      <c r="L3986">
        <v>3</v>
      </c>
    </row>
    <row r="3987" spans="10:12" ht="15.75" hidden="1" customHeight="1" x14ac:dyDescent="0.2">
      <c r="J3987" t="s">
        <v>307</v>
      </c>
      <c r="K3987" t="s">
        <v>308</v>
      </c>
      <c r="L3987">
        <v>1</v>
      </c>
    </row>
    <row r="3988" spans="10:12" ht="15.75" hidden="1" customHeight="1" x14ac:dyDescent="0.2">
      <c r="J3988" t="s">
        <v>243</v>
      </c>
      <c r="K3988" t="s">
        <v>309</v>
      </c>
      <c r="L3988">
        <v>257.62889999999999</v>
      </c>
    </row>
    <row r="3989" spans="10:12" ht="15.75" hidden="1" customHeight="1" x14ac:dyDescent="0.2">
      <c r="J3989" t="s">
        <v>245</v>
      </c>
      <c r="K3989" t="s">
        <v>310</v>
      </c>
      <c r="L3989">
        <v>2789075.1924999999</v>
      </c>
    </row>
    <row r="3990" spans="10:12" ht="15.75" hidden="1" customHeight="1" x14ac:dyDescent="0.2">
      <c r="J3990" t="s">
        <v>247</v>
      </c>
      <c r="K3990" t="s">
        <v>311</v>
      </c>
      <c r="L3990">
        <v>6.6047000000000002</v>
      </c>
    </row>
    <row r="3991" spans="10:12" ht="15.75" hidden="1" customHeight="1" x14ac:dyDescent="0.2">
      <c r="J3991" t="s">
        <v>249</v>
      </c>
      <c r="K3991" t="s">
        <v>312</v>
      </c>
      <c r="L3991">
        <v>1381</v>
      </c>
    </row>
    <row r="3992" spans="10:12" ht="15.75" hidden="1" customHeight="1" x14ac:dyDescent="0.2">
      <c r="J3992" t="s">
        <v>251</v>
      </c>
      <c r="K3992" t="s">
        <v>313</v>
      </c>
      <c r="L3992">
        <v>229</v>
      </c>
    </row>
    <row r="3993" spans="10:12" ht="15.75" hidden="1" customHeight="1" x14ac:dyDescent="0.2">
      <c r="J3993" t="s">
        <v>253</v>
      </c>
      <c r="K3993" t="s">
        <v>314</v>
      </c>
      <c r="L3993">
        <v>10825.940399999999</v>
      </c>
    </row>
    <row r="3994" spans="10:12" ht="15.75" hidden="1" customHeight="1" x14ac:dyDescent="0.2">
      <c r="J3994" t="s">
        <v>315</v>
      </c>
      <c r="K3994" t="s">
        <v>316</v>
      </c>
      <c r="L3994">
        <v>1</v>
      </c>
    </row>
    <row r="3995" spans="10:12" ht="15.75" hidden="1" customHeight="1" x14ac:dyDescent="0.2">
      <c r="J3995" t="s">
        <v>317</v>
      </c>
      <c r="K3995" t="s">
        <v>318</v>
      </c>
      <c r="L3995">
        <v>587</v>
      </c>
    </row>
    <row r="3996" spans="10:12" ht="15.75" hidden="1" customHeight="1" x14ac:dyDescent="0.2">
      <c r="J3996" t="s">
        <v>257</v>
      </c>
      <c r="K3996" t="s">
        <v>319</v>
      </c>
      <c r="L3996">
        <v>10.7012</v>
      </c>
    </row>
    <row r="3997" spans="10:12" ht="15.75" hidden="1" customHeight="1" x14ac:dyDescent="0.2">
      <c r="J3997" t="s">
        <v>320</v>
      </c>
      <c r="K3997" t="s">
        <v>321</v>
      </c>
      <c r="L3997">
        <v>241</v>
      </c>
    </row>
    <row r="3998" spans="10:12" ht="15.75" hidden="1" customHeight="1" x14ac:dyDescent="0.2">
      <c r="J3998" t="s">
        <v>263</v>
      </c>
      <c r="K3998" t="s">
        <v>322</v>
      </c>
      <c r="L3998">
        <v>395</v>
      </c>
    </row>
    <row r="3999" spans="10:12" ht="15.75" hidden="1" customHeight="1" x14ac:dyDescent="0.2">
      <c r="J3999" t="s">
        <v>323</v>
      </c>
      <c r="K3999" t="s">
        <v>324</v>
      </c>
      <c r="L3999">
        <v>4</v>
      </c>
    </row>
    <row r="4000" spans="10:12" ht="15.75" hidden="1" customHeight="1" x14ac:dyDescent="0.2">
      <c r="J4000" t="s">
        <v>325</v>
      </c>
      <c r="K4000" t="s">
        <v>326</v>
      </c>
      <c r="L4000">
        <v>27</v>
      </c>
    </row>
    <row r="4001" spans="10:12" ht="15.75" hidden="1" customHeight="1" x14ac:dyDescent="0.2">
      <c r="J4001" t="s">
        <v>327</v>
      </c>
      <c r="K4001" t="s">
        <v>328</v>
      </c>
      <c r="L4001">
        <v>16</v>
      </c>
    </row>
    <row r="4002" spans="10:12" ht="15.75" hidden="1" customHeight="1" x14ac:dyDescent="0.2">
      <c r="J4002" t="s">
        <v>329</v>
      </c>
      <c r="K4002" t="s">
        <v>330</v>
      </c>
      <c r="L4002">
        <v>62</v>
      </c>
    </row>
    <row r="4003" spans="10:12" ht="15.75" hidden="1" customHeight="1" x14ac:dyDescent="0.2">
      <c r="J4003" t="s">
        <v>331</v>
      </c>
      <c r="K4003" t="s">
        <v>332</v>
      </c>
      <c r="L4003">
        <v>0</v>
      </c>
    </row>
    <row r="4004" spans="10:12" ht="15.75" hidden="1" customHeight="1" x14ac:dyDescent="0.2">
      <c r="J4004" t="s">
        <v>333</v>
      </c>
      <c r="K4004" t="s">
        <v>334</v>
      </c>
      <c r="L4004">
        <v>28</v>
      </c>
    </row>
    <row r="4005" spans="10:12" ht="15.75" hidden="1" customHeight="1" x14ac:dyDescent="0.2">
      <c r="J4005" t="s">
        <v>335</v>
      </c>
      <c r="K4005" t="s">
        <v>336</v>
      </c>
      <c r="L4005">
        <v>57</v>
      </c>
    </row>
    <row r="4006" spans="10:12" ht="15.75" hidden="1" customHeight="1" x14ac:dyDescent="0.2">
      <c r="J4006" t="s">
        <v>337</v>
      </c>
      <c r="K4006" t="s">
        <v>338</v>
      </c>
      <c r="L4006">
        <v>0</v>
      </c>
    </row>
    <row r="4007" spans="10:12" ht="15.75" hidden="1" customHeight="1" x14ac:dyDescent="0.2">
      <c r="J4007" t="s">
        <v>339</v>
      </c>
      <c r="K4007" t="s">
        <v>340</v>
      </c>
      <c r="L4007">
        <v>0</v>
      </c>
    </row>
    <row r="4008" spans="10:12" ht="15.75" hidden="1" customHeight="1" x14ac:dyDescent="0.2">
      <c r="J4008" t="s">
        <v>341</v>
      </c>
      <c r="K4008" t="s">
        <v>342</v>
      </c>
      <c r="L4008">
        <v>101</v>
      </c>
    </row>
    <row r="4009" spans="10:12" ht="15.75" hidden="1" customHeight="1" x14ac:dyDescent="0.2">
      <c r="J4009" t="s">
        <v>343</v>
      </c>
      <c r="K4009" t="s">
        <v>344</v>
      </c>
      <c r="L4009">
        <v>0.21340000000000001</v>
      </c>
    </row>
    <row r="4010" spans="10:12" ht="15.75" hidden="1" customHeight="1" x14ac:dyDescent="0.2">
      <c r="J4010" t="s">
        <v>345</v>
      </c>
      <c r="K4010" t="s">
        <v>346</v>
      </c>
      <c r="L4010">
        <v>0.70369999999999999</v>
      </c>
    </row>
    <row r="4011" spans="10:12" ht="15.75" hidden="1" customHeight="1" x14ac:dyDescent="0.2">
      <c r="J4011" t="s">
        <v>347</v>
      </c>
      <c r="K4011" t="s">
        <v>348</v>
      </c>
      <c r="L4011">
        <v>130</v>
      </c>
    </row>
    <row r="4012" spans="10:12" ht="15.75" hidden="1" customHeight="1" x14ac:dyDescent="0.2">
      <c r="J4012" t="s">
        <v>300</v>
      </c>
      <c r="K4012" t="s">
        <v>301</v>
      </c>
      <c r="L4012">
        <v>0</v>
      </c>
    </row>
    <row r="4013" spans="10:12" ht="15.75" hidden="1" customHeight="1" x14ac:dyDescent="0.2">
      <c r="J4013" t="s">
        <v>288</v>
      </c>
      <c r="K4013" t="s">
        <v>302</v>
      </c>
      <c r="L4013">
        <v>0</v>
      </c>
    </row>
    <row r="4014" spans="10:12" ht="15.75" hidden="1" customHeight="1" x14ac:dyDescent="0.2">
      <c r="J4014" t="s">
        <v>303</v>
      </c>
      <c r="K4014" t="s">
        <v>304</v>
      </c>
      <c r="L4014">
        <v>4</v>
      </c>
    </row>
    <row r="4015" spans="10:12" ht="15.75" hidden="1" customHeight="1" x14ac:dyDescent="0.2">
      <c r="J4015" t="s">
        <v>305</v>
      </c>
      <c r="K4015" t="s">
        <v>306</v>
      </c>
      <c r="L4015">
        <v>2</v>
      </c>
    </row>
    <row r="4016" spans="10:12" ht="15.75" hidden="1" customHeight="1" x14ac:dyDescent="0.2">
      <c r="J4016" t="s">
        <v>307</v>
      </c>
      <c r="K4016" t="s">
        <v>308</v>
      </c>
      <c r="L4016">
        <v>1</v>
      </c>
    </row>
    <row r="4017" spans="10:12" ht="15.75" hidden="1" customHeight="1" x14ac:dyDescent="0.2">
      <c r="J4017" t="s">
        <v>243</v>
      </c>
      <c r="K4017" t="s">
        <v>309</v>
      </c>
      <c r="L4017">
        <v>10</v>
      </c>
    </row>
    <row r="4018" spans="10:12" ht="15.75" hidden="1" customHeight="1" x14ac:dyDescent="0.2">
      <c r="J4018" t="s">
        <v>245</v>
      </c>
      <c r="K4018" t="s">
        <v>310</v>
      </c>
      <c r="L4018">
        <v>2543.6543000000001</v>
      </c>
    </row>
    <row r="4019" spans="10:12" ht="15.75" hidden="1" customHeight="1" x14ac:dyDescent="0.2">
      <c r="J4019" t="s">
        <v>247</v>
      </c>
      <c r="K4019" t="s">
        <v>311</v>
      </c>
      <c r="L4019">
        <v>6.2100000000000002E-2</v>
      </c>
    </row>
    <row r="4020" spans="10:12" ht="15.75" hidden="1" customHeight="1" x14ac:dyDescent="0.2">
      <c r="J4020" t="s">
        <v>249</v>
      </c>
      <c r="K4020" t="s">
        <v>312</v>
      </c>
      <c r="L4020">
        <v>61</v>
      </c>
    </row>
    <row r="4021" spans="10:12" ht="15.75" hidden="1" customHeight="1" x14ac:dyDescent="0.2">
      <c r="J4021" t="s">
        <v>251</v>
      </c>
      <c r="K4021" t="s">
        <v>313</v>
      </c>
      <c r="L4021">
        <v>18</v>
      </c>
    </row>
    <row r="4022" spans="10:12" ht="15.75" hidden="1" customHeight="1" x14ac:dyDescent="0.2">
      <c r="J4022" t="s">
        <v>253</v>
      </c>
      <c r="K4022" t="s">
        <v>314</v>
      </c>
      <c r="L4022">
        <v>254.36539999999999</v>
      </c>
    </row>
    <row r="4023" spans="10:12" ht="15.75" hidden="1" customHeight="1" x14ac:dyDescent="0.2">
      <c r="J4023" t="s">
        <v>315</v>
      </c>
      <c r="K4023" t="s">
        <v>316</v>
      </c>
      <c r="L4023">
        <v>4</v>
      </c>
    </row>
    <row r="4024" spans="10:12" ht="15.75" hidden="1" customHeight="1" x14ac:dyDescent="0.2">
      <c r="J4024" t="s">
        <v>317</v>
      </c>
      <c r="K4024" t="s">
        <v>318</v>
      </c>
      <c r="L4024">
        <v>24</v>
      </c>
    </row>
    <row r="4025" spans="10:12" ht="15.75" hidden="1" customHeight="1" x14ac:dyDescent="0.2">
      <c r="J4025" t="s">
        <v>257</v>
      </c>
      <c r="K4025" t="s">
        <v>319</v>
      </c>
      <c r="L4025">
        <v>52.743699999999997</v>
      </c>
    </row>
    <row r="4026" spans="10:12" ht="15.75" hidden="1" customHeight="1" x14ac:dyDescent="0.2">
      <c r="J4026" t="s">
        <v>320</v>
      </c>
      <c r="K4026" t="s">
        <v>321</v>
      </c>
      <c r="L4026">
        <v>1</v>
      </c>
    </row>
    <row r="4027" spans="10:12" ht="15.75" hidden="1" customHeight="1" x14ac:dyDescent="0.2">
      <c r="J4027" t="s">
        <v>263</v>
      </c>
      <c r="K4027" t="s">
        <v>322</v>
      </c>
      <c r="L4027">
        <v>27</v>
      </c>
    </row>
    <row r="4028" spans="10:12" ht="15.75" hidden="1" customHeight="1" x14ac:dyDescent="0.2">
      <c r="J4028" t="s">
        <v>323</v>
      </c>
      <c r="K4028" t="s">
        <v>324</v>
      </c>
      <c r="L4028">
        <v>8</v>
      </c>
    </row>
    <row r="4029" spans="10:12" ht="15.75" hidden="1" customHeight="1" x14ac:dyDescent="0.2">
      <c r="J4029" t="s">
        <v>325</v>
      </c>
      <c r="K4029" t="s">
        <v>326</v>
      </c>
      <c r="L4029">
        <v>8</v>
      </c>
    </row>
    <row r="4030" spans="10:12" ht="15.75" hidden="1" customHeight="1" x14ac:dyDescent="0.2">
      <c r="J4030" t="s">
        <v>327</v>
      </c>
      <c r="K4030" t="s">
        <v>328</v>
      </c>
      <c r="L4030">
        <v>4</v>
      </c>
    </row>
    <row r="4031" spans="10:12" ht="15.75" hidden="1" customHeight="1" x14ac:dyDescent="0.2">
      <c r="J4031" t="s">
        <v>329</v>
      </c>
      <c r="K4031" t="s">
        <v>330</v>
      </c>
      <c r="L4031">
        <v>27</v>
      </c>
    </row>
    <row r="4032" spans="10:12" ht="15.75" hidden="1" customHeight="1" x14ac:dyDescent="0.2">
      <c r="J4032" t="s">
        <v>331</v>
      </c>
      <c r="K4032" t="s">
        <v>332</v>
      </c>
      <c r="L4032">
        <v>0</v>
      </c>
    </row>
    <row r="4033" spans="10:12" ht="15.75" hidden="1" customHeight="1" x14ac:dyDescent="0.2">
      <c r="J4033" t="s">
        <v>333</v>
      </c>
      <c r="K4033" t="s">
        <v>334</v>
      </c>
      <c r="L4033">
        <v>10</v>
      </c>
    </row>
    <row r="4034" spans="10:12" ht="15.75" hidden="1" customHeight="1" x14ac:dyDescent="0.2">
      <c r="J4034" t="s">
        <v>335</v>
      </c>
      <c r="K4034" t="s">
        <v>336</v>
      </c>
      <c r="L4034">
        <v>23</v>
      </c>
    </row>
    <row r="4035" spans="10:12" ht="15.75" hidden="1" customHeight="1" x14ac:dyDescent="0.2">
      <c r="J4035" t="s">
        <v>337</v>
      </c>
      <c r="K4035" t="s">
        <v>338</v>
      </c>
      <c r="L4035">
        <v>0</v>
      </c>
    </row>
    <row r="4036" spans="10:12" ht="15.75" hidden="1" customHeight="1" x14ac:dyDescent="0.2">
      <c r="J4036" t="s">
        <v>339</v>
      </c>
      <c r="K4036" t="s">
        <v>340</v>
      </c>
      <c r="L4036">
        <v>0</v>
      </c>
    </row>
    <row r="4037" spans="10:12" ht="15.75" hidden="1" customHeight="1" x14ac:dyDescent="0.2">
      <c r="J4037" t="s">
        <v>341</v>
      </c>
      <c r="K4037" t="s">
        <v>342</v>
      </c>
      <c r="L4037">
        <v>11</v>
      </c>
    </row>
    <row r="4038" spans="10:12" ht="15.75" hidden="1" customHeight="1" x14ac:dyDescent="0.2">
      <c r="J4038" t="s">
        <v>343</v>
      </c>
      <c r="K4038" t="s">
        <v>344</v>
      </c>
      <c r="L4038">
        <v>0.1429</v>
      </c>
    </row>
    <row r="4039" spans="10:12" ht="15.75" hidden="1" customHeight="1" x14ac:dyDescent="0.2">
      <c r="J4039" t="s">
        <v>345</v>
      </c>
      <c r="K4039" t="s">
        <v>346</v>
      </c>
      <c r="L4039">
        <v>0</v>
      </c>
    </row>
    <row r="4040" spans="10:12" ht="15.75" hidden="1" customHeight="1" x14ac:dyDescent="0.2">
      <c r="J4040" t="s">
        <v>347</v>
      </c>
      <c r="K4040" t="s">
        <v>348</v>
      </c>
      <c r="L4040">
        <v>10</v>
      </c>
    </row>
    <row r="4041" spans="10:12" ht="15.75" hidden="1" customHeight="1" x14ac:dyDescent="0.2">
      <c r="J4041" t="s">
        <v>300</v>
      </c>
      <c r="K4041" t="s">
        <v>301</v>
      </c>
      <c r="L4041">
        <v>0</v>
      </c>
    </row>
    <row r="4042" spans="10:12" ht="15.75" hidden="1" customHeight="1" x14ac:dyDescent="0.2">
      <c r="J4042" t="s">
        <v>288</v>
      </c>
      <c r="K4042" t="s">
        <v>302</v>
      </c>
      <c r="L4042">
        <v>0</v>
      </c>
    </row>
    <row r="4043" spans="10:12" ht="15.75" hidden="1" customHeight="1" x14ac:dyDescent="0.2">
      <c r="J4043" t="s">
        <v>303</v>
      </c>
      <c r="K4043" t="s">
        <v>304</v>
      </c>
      <c r="L4043">
        <v>6</v>
      </c>
    </row>
    <row r="4044" spans="10:12" ht="15.75" hidden="1" customHeight="1" x14ac:dyDescent="0.2">
      <c r="J4044" t="s">
        <v>305</v>
      </c>
      <c r="K4044" t="s">
        <v>306</v>
      </c>
      <c r="L4044" t="s">
        <v>366</v>
      </c>
    </row>
    <row r="4045" spans="10:12" ht="15.75" hidden="1" customHeight="1" x14ac:dyDescent="0.2">
      <c r="J4045" t="s">
        <v>307</v>
      </c>
      <c r="K4045" t="s">
        <v>308</v>
      </c>
      <c r="L4045" t="s">
        <v>366</v>
      </c>
    </row>
    <row r="4046" spans="10:12" ht="15.75" hidden="1" customHeight="1" x14ac:dyDescent="0.2">
      <c r="J4046" t="s">
        <v>243</v>
      </c>
      <c r="K4046" t="s">
        <v>309</v>
      </c>
      <c r="L4046" t="s">
        <v>366</v>
      </c>
    </row>
    <row r="4047" spans="10:12" ht="15.75" hidden="1" customHeight="1" x14ac:dyDescent="0.2">
      <c r="J4047" t="s">
        <v>245</v>
      </c>
      <c r="K4047" t="s">
        <v>310</v>
      </c>
      <c r="L4047" t="s">
        <v>366</v>
      </c>
    </row>
    <row r="4048" spans="10:12" ht="15.75" hidden="1" customHeight="1" x14ac:dyDescent="0.2">
      <c r="J4048" t="s">
        <v>247</v>
      </c>
      <c r="K4048" t="s">
        <v>311</v>
      </c>
      <c r="L4048" t="s">
        <v>366</v>
      </c>
    </row>
    <row r="4049" spans="10:12" ht="15.75" hidden="1" customHeight="1" x14ac:dyDescent="0.2">
      <c r="J4049" t="s">
        <v>249</v>
      </c>
      <c r="K4049" t="s">
        <v>312</v>
      </c>
      <c r="L4049" t="s">
        <v>366</v>
      </c>
    </row>
    <row r="4050" spans="10:12" ht="15.75" hidden="1" customHeight="1" x14ac:dyDescent="0.2">
      <c r="J4050" t="s">
        <v>251</v>
      </c>
      <c r="K4050" t="s">
        <v>313</v>
      </c>
      <c r="L4050" t="s">
        <v>366</v>
      </c>
    </row>
    <row r="4051" spans="10:12" ht="15.75" hidden="1" customHeight="1" x14ac:dyDescent="0.2">
      <c r="J4051" t="s">
        <v>253</v>
      </c>
      <c r="K4051" t="s">
        <v>314</v>
      </c>
      <c r="L4051" t="s">
        <v>366</v>
      </c>
    </row>
    <row r="4052" spans="10:12" ht="15.75" hidden="1" customHeight="1" x14ac:dyDescent="0.2">
      <c r="J4052" t="s">
        <v>315</v>
      </c>
      <c r="K4052" t="s">
        <v>316</v>
      </c>
      <c r="L4052" t="s">
        <v>366</v>
      </c>
    </row>
    <row r="4053" spans="10:12" ht="15.75" hidden="1" customHeight="1" x14ac:dyDescent="0.2">
      <c r="J4053" t="s">
        <v>317</v>
      </c>
      <c r="K4053" t="s">
        <v>318</v>
      </c>
      <c r="L4053">
        <v>0</v>
      </c>
    </row>
    <row r="4054" spans="10:12" ht="15.75" hidden="1" customHeight="1" x14ac:dyDescent="0.2">
      <c r="J4054" t="s">
        <v>257</v>
      </c>
      <c r="K4054" t="s">
        <v>319</v>
      </c>
      <c r="L4054">
        <v>0</v>
      </c>
    </row>
    <row r="4055" spans="10:12" ht="15.75" hidden="1" customHeight="1" x14ac:dyDescent="0.2">
      <c r="J4055" t="s">
        <v>320</v>
      </c>
      <c r="K4055" t="s">
        <v>321</v>
      </c>
      <c r="L4055" t="s">
        <v>366</v>
      </c>
    </row>
    <row r="4056" spans="10:12" ht="15.75" hidden="1" customHeight="1" x14ac:dyDescent="0.2">
      <c r="J4056" t="s">
        <v>263</v>
      </c>
      <c r="K4056" t="s">
        <v>322</v>
      </c>
      <c r="L4056" t="s">
        <v>366</v>
      </c>
    </row>
    <row r="4057" spans="10:12" ht="15.75" hidden="1" customHeight="1" x14ac:dyDescent="0.2">
      <c r="J4057" t="s">
        <v>323</v>
      </c>
      <c r="K4057" t="s">
        <v>324</v>
      </c>
      <c r="L4057" t="s">
        <v>366</v>
      </c>
    </row>
    <row r="4058" spans="10:12" ht="15.75" hidden="1" customHeight="1" x14ac:dyDescent="0.2">
      <c r="J4058" t="s">
        <v>325</v>
      </c>
      <c r="K4058" t="s">
        <v>326</v>
      </c>
      <c r="L4058" t="s">
        <v>366</v>
      </c>
    </row>
    <row r="4059" spans="10:12" ht="15.75" hidden="1" customHeight="1" x14ac:dyDescent="0.2">
      <c r="J4059" t="s">
        <v>327</v>
      </c>
      <c r="K4059" t="s">
        <v>328</v>
      </c>
      <c r="L4059" t="s">
        <v>366</v>
      </c>
    </row>
    <row r="4060" spans="10:12" ht="15.75" hidden="1" customHeight="1" x14ac:dyDescent="0.2">
      <c r="J4060" t="s">
        <v>329</v>
      </c>
      <c r="K4060" t="s">
        <v>330</v>
      </c>
      <c r="L4060" t="s">
        <v>366</v>
      </c>
    </row>
    <row r="4061" spans="10:12" ht="15.75" hidden="1" customHeight="1" x14ac:dyDescent="0.2">
      <c r="J4061" t="s">
        <v>331</v>
      </c>
      <c r="K4061" t="s">
        <v>332</v>
      </c>
      <c r="L4061" t="s">
        <v>366</v>
      </c>
    </row>
    <row r="4062" spans="10:12" ht="15.75" hidden="1" customHeight="1" x14ac:dyDescent="0.2">
      <c r="J4062" t="s">
        <v>333</v>
      </c>
      <c r="K4062" t="s">
        <v>334</v>
      </c>
      <c r="L4062" t="s">
        <v>366</v>
      </c>
    </row>
    <row r="4063" spans="10:12" ht="15.75" hidden="1" customHeight="1" x14ac:dyDescent="0.2">
      <c r="J4063" t="s">
        <v>335</v>
      </c>
      <c r="K4063" t="s">
        <v>336</v>
      </c>
      <c r="L4063" t="s">
        <v>366</v>
      </c>
    </row>
    <row r="4064" spans="10:12" ht="15.75" hidden="1" customHeight="1" x14ac:dyDescent="0.2">
      <c r="J4064" t="s">
        <v>337</v>
      </c>
      <c r="K4064" t="s">
        <v>338</v>
      </c>
      <c r="L4064" t="s">
        <v>366</v>
      </c>
    </row>
    <row r="4065" spans="1:12" ht="15.75" hidden="1" customHeight="1" x14ac:dyDescent="0.2">
      <c r="J4065" t="s">
        <v>339</v>
      </c>
      <c r="K4065" t="s">
        <v>340</v>
      </c>
      <c r="L4065" t="s">
        <v>366</v>
      </c>
    </row>
    <row r="4066" spans="1:12" ht="15.75" hidden="1" customHeight="1" x14ac:dyDescent="0.2">
      <c r="J4066" t="s">
        <v>341</v>
      </c>
      <c r="K4066" t="s">
        <v>342</v>
      </c>
      <c r="L4066" t="s">
        <v>366</v>
      </c>
    </row>
    <row r="4067" spans="1:12" ht="15.75" hidden="1" customHeight="1" x14ac:dyDescent="0.2">
      <c r="J4067" t="s">
        <v>343</v>
      </c>
      <c r="K4067" t="s">
        <v>344</v>
      </c>
      <c r="L4067" t="s">
        <v>366</v>
      </c>
    </row>
    <row r="4068" spans="1:12" ht="15.75" hidden="1" customHeight="1" x14ac:dyDescent="0.2">
      <c r="J4068" t="s">
        <v>345</v>
      </c>
      <c r="K4068" t="s">
        <v>346</v>
      </c>
      <c r="L4068" t="s">
        <v>366</v>
      </c>
    </row>
    <row r="4069" spans="1:12" ht="15.75" hidden="1" customHeight="1" x14ac:dyDescent="0.2">
      <c r="J4069" t="s">
        <v>347</v>
      </c>
      <c r="K4069" t="s">
        <v>348</v>
      </c>
      <c r="L4069" t="s">
        <v>366</v>
      </c>
    </row>
    <row r="4070" spans="1:12" ht="15.75" hidden="1" customHeight="1" x14ac:dyDescent="0.2">
      <c r="A4070">
        <v>0</v>
      </c>
    </row>
    <row r="4071" spans="1:12" ht="15.75" hidden="1" customHeight="1" x14ac:dyDescent="0.2">
      <c r="A4071">
        <v>0</v>
      </c>
    </row>
    <row r="4072" spans="1:12" ht="15.75" hidden="1" customHeight="1" x14ac:dyDescent="0.2">
      <c r="A4072">
        <v>0</v>
      </c>
    </row>
    <row r="4073" spans="1:12" ht="15.75" hidden="1" customHeight="1" x14ac:dyDescent="0.2">
      <c r="A4073">
        <v>0</v>
      </c>
    </row>
    <row r="4074" spans="1:12" ht="15.75" hidden="1" customHeight="1" x14ac:dyDescent="0.2">
      <c r="A4074">
        <v>0</v>
      </c>
    </row>
    <row r="4075" spans="1:12" ht="15.75" hidden="1" customHeight="1" x14ac:dyDescent="0.2">
      <c r="A4075">
        <v>0</v>
      </c>
    </row>
    <row r="4076" spans="1:12" ht="15.75" hidden="1" customHeight="1" x14ac:dyDescent="0.2">
      <c r="A4076" t="s">
        <v>364</v>
      </c>
    </row>
    <row r="4077" spans="1:12" ht="15.75" hidden="1" customHeight="1" x14ac:dyDescent="0.2">
      <c r="A4077" t="s">
        <v>364</v>
      </c>
    </row>
    <row r="4078" spans="1:12" ht="15.75" hidden="1" customHeight="1" x14ac:dyDescent="0.2">
      <c r="A4078">
        <v>0</v>
      </c>
    </row>
    <row r="4079" spans="1:12" ht="15.75" hidden="1" customHeight="1" x14ac:dyDescent="0.2">
      <c r="A4079">
        <v>0</v>
      </c>
    </row>
    <row r="4080" spans="1:12" ht="15.75" hidden="1" customHeight="1" x14ac:dyDescent="0.2">
      <c r="A4080" t="s">
        <v>364</v>
      </c>
    </row>
    <row r="4081" spans="1:1" ht="15.75" hidden="1" customHeight="1" x14ac:dyDescent="0.2">
      <c r="A4081">
        <v>4</v>
      </c>
    </row>
    <row r="4082" spans="1:1" ht="15.75" hidden="1" customHeight="1" x14ac:dyDescent="0.2">
      <c r="A4082">
        <v>0</v>
      </c>
    </row>
    <row r="4083" spans="1:1" ht="15.75" hidden="1" customHeight="1" x14ac:dyDescent="0.2">
      <c r="A4083">
        <v>0</v>
      </c>
    </row>
    <row r="4084" spans="1:1" ht="15.75" hidden="1" customHeight="1" x14ac:dyDescent="0.2">
      <c r="A4084" t="s">
        <v>367</v>
      </c>
    </row>
    <row r="4085" spans="1:1" ht="15.75" hidden="1" customHeight="1" x14ac:dyDescent="0.2">
      <c r="A4085">
        <v>-1</v>
      </c>
    </row>
    <row r="4086" spans="1:1" ht="15.75" hidden="1" customHeight="1" x14ac:dyDescent="0.2">
      <c r="A4086">
        <v>1</v>
      </c>
    </row>
    <row r="4087" spans="1:1" ht="15.75" hidden="1" customHeight="1" x14ac:dyDescent="0.2">
      <c r="A4087">
        <v>0</v>
      </c>
    </row>
    <row r="4088" spans="1:1" ht="15.75" hidden="1" customHeight="1" x14ac:dyDescent="0.2">
      <c r="A4088">
        <v>0</v>
      </c>
    </row>
    <row r="4089" spans="1:1" ht="15.75" hidden="1" customHeight="1" x14ac:dyDescent="0.2">
      <c r="A4089">
        <v>4</v>
      </c>
    </row>
    <row r="4090" spans="1:1" ht="15.75" hidden="1" customHeight="1" x14ac:dyDescent="0.2">
      <c r="A4090">
        <v>0</v>
      </c>
    </row>
    <row r="4091" spans="1:1" ht="15.75" hidden="1" customHeight="1" x14ac:dyDescent="0.2">
      <c r="A4091">
        <v>0</v>
      </c>
    </row>
    <row r="4092" spans="1:1" ht="15.75" hidden="1" customHeight="1" x14ac:dyDescent="0.2">
      <c r="A4092">
        <v>0</v>
      </c>
    </row>
    <row r="4093" spans="1:1" ht="15.75" hidden="1" customHeight="1" x14ac:dyDescent="0.2">
      <c r="A4093">
        <v>0</v>
      </c>
    </row>
    <row r="4094" spans="1:1" ht="15.75" hidden="1" customHeight="1" x14ac:dyDescent="0.2">
      <c r="A4094">
        <v>0</v>
      </c>
    </row>
    <row r="4095" spans="1:1" ht="15.75" hidden="1" customHeight="1" x14ac:dyDescent="0.2">
      <c r="A4095">
        <v>0</v>
      </c>
    </row>
    <row r="4096" spans="1:1" ht="15.75" hidden="1" customHeight="1" x14ac:dyDescent="0.2">
      <c r="A4096" t="s">
        <v>364</v>
      </c>
    </row>
    <row r="4097" spans="1:1" ht="15.75" hidden="1" customHeight="1" x14ac:dyDescent="0.2">
      <c r="A4097" t="s">
        <v>364</v>
      </c>
    </row>
    <row r="4098" spans="1:1" ht="15.75" hidden="1" customHeight="1" x14ac:dyDescent="0.2">
      <c r="A4098">
        <v>0</v>
      </c>
    </row>
    <row r="4099" spans="1:1" ht="15.75" hidden="1" customHeight="1" x14ac:dyDescent="0.2">
      <c r="A4099">
        <v>0</v>
      </c>
    </row>
    <row r="4100" spans="1:1" ht="15.75" hidden="1" customHeight="1" x14ac:dyDescent="0.2">
      <c r="A4100" t="s">
        <v>364</v>
      </c>
    </row>
    <row r="4101" spans="1:1" ht="15.75" hidden="1" customHeight="1" x14ac:dyDescent="0.2">
      <c r="A4101">
        <v>1</v>
      </c>
    </row>
    <row r="4102" spans="1:1" ht="15.75" hidden="1" customHeight="1" x14ac:dyDescent="0.2">
      <c r="A4102">
        <v>0</v>
      </c>
    </row>
    <row r="4103" spans="1:1" ht="15.75" hidden="1" customHeight="1" x14ac:dyDescent="0.2">
      <c r="A4103">
        <v>0</v>
      </c>
    </row>
    <row r="4104" spans="1:1" ht="15.75" hidden="1" customHeight="1" x14ac:dyDescent="0.2">
      <c r="A4104" t="s">
        <v>367</v>
      </c>
    </row>
    <row r="4105" spans="1:1" ht="15.75" hidden="1" customHeight="1" x14ac:dyDescent="0.2">
      <c r="A4105">
        <v>-1</v>
      </c>
    </row>
    <row r="4106" spans="1:1" ht="15.75" hidden="1" customHeight="1" x14ac:dyDescent="0.2">
      <c r="A4106">
        <v>1</v>
      </c>
    </row>
    <row r="4107" spans="1:1" ht="15.75" hidden="1" customHeight="1" x14ac:dyDescent="0.2">
      <c r="A4107">
        <v>0</v>
      </c>
    </row>
    <row r="4108" spans="1:1" ht="15.75" hidden="1" customHeight="1" x14ac:dyDescent="0.2">
      <c r="A4108">
        <v>0</v>
      </c>
    </row>
    <row r="4109" spans="1:1" ht="15.75" hidden="1" customHeight="1" x14ac:dyDescent="0.2">
      <c r="A4109">
        <v>0</v>
      </c>
    </row>
    <row r="4110" spans="1:1" ht="15.75" hidden="1" customHeight="1" x14ac:dyDescent="0.2">
      <c r="A4110">
        <v>0</v>
      </c>
    </row>
    <row r="4111" spans="1:1" ht="15.75" hidden="1" customHeight="1" x14ac:dyDescent="0.2">
      <c r="A4111">
        <v>0</v>
      </c>
    </row>
    <row r="4112" spans="1:1" ht="15.75" hidden="1" customHeight="1" x14ac:dyDescent="0.2">
      <c r="A4112">
        <v>0</v>
      </c>
    </row>
    <row r="4113" spans="1:1" ht="15.75" hidden="1" customHeight="1" x14ac:dyDescent="0.2">
      <c r="A4113">
        <v>0</v>
      </c>
    </row>
    <row r="4114" spans="1:1" ht="15.75" hidden="1" customHeight="1" x14ac:dyDescent="0.2">
      <c r="A4114">
        <v>0</v>
      </c>
    </row>
    <row r="4115" spans="1:1" ht="15.75" hidden="1" customHeight="1" x14ac:dyDescent="0.2">
      <c r="A4115">
        <v>0</v>
      </c>
    </row>
    <row r="4116" spans="1:1" ht="15.75" hidden="1" customHeight="1" x14ac:dyDescent="0.2">
      <c r="A4116" t="s">
        <v>364</v>
      </c>
    </row>
    <row r="4117" spans="1:1" ht="15.75" hidden="1" customHeight="1" x14ac:dyDescent="0.2">
      <c r="A4117" t="s">
        <v>364</v>
      </c>
    </row>
    <row r="4118" spans="1:1" ht="15.75" hidden="1" customHeight="1" x14ac:dyDescent="0.2">
      <c r="A4118">
        <v>0</v>
      </c>
    </row>
    <row r="4119" spans="1:1" ht="15.75" hidden="1" customHeight="1" x14ac:dyDescent="0.2">
      <c r="A4119">
        <v>0</v>
      </c>
    </row>
    <row r="4120" spans="1:1" ht="15.75" hidden="1" customHeight="1" x14ac:dyDescent="0.2">
      <c r="A4120" t="s">
        <v>364</v>
      </c>
    </row>
    <row r="4121" spans="1:1" ht="15.75" hidden="1" customHeight="1" x14ac:dyDescent="0.2">
      <c r="A4121">
        <v>1</v>
      </c>
    </row>
    <row r="4122" spans="1:1" ht="15.75" hidden="1" customHeight="1" x14ac:dyDescent="0.2">
      <c r="A4122">
        <v>0</v>
      </c>
    </row>
    <row r="4123" spans="1:1" ht="15.75" hidden="1" customHeight="1" x14ac:dyDescent="0.2">
      <c r="A4123">
        <v>0</v>
      </c>
    </row>
    <row r="4124" spans="1:1" ht="15.75" hidden="1" customHeight="1" x14ac:dyDescent="0.2">
      <c r="A4124" t="s">
        <v>367</v>
      </c>
    </row>
    <row r="4125" spans="1:1" ht="15.75" hidden="1" customHeight="1" x14ac:dyDescent="0.2">
      <c r="A4125">
        <v>-1</v>
      </c>
    </row>
    <row r="4126" spans="1:1" ht="15.75" hidden="1" customHeight="1" x14ac:dyDescent="0.2">
      <c r="A4126">
        <v>1</v>
      </c>
    </row>
    <row r="4127" spans="1:1" ht="15.75" hidden="1" customHeight="1" x14ac:dyDescent="0.2">
      <c r="A4127">
        <v>0</v>
      </c>
    </row>
    <row r="4128" spans="1:1" ht="15.75" hidden="1" customHeight="1" x14ac:dyDescent="0.2">
      <c r="A4128">
        <v>0</v>
      </c>
    </row>
    <row r="4129" spans="1:1" ht="15.75" hidden="1" customHeight="1" x14ac:dyDescent="0.2">
      <c r="A4129">
        <v>0</v>
      </c>
    </row>
    <row r="4130" spans="1:1" ht="15.75" hidden="1" customHeight="1" x14ac:dyDescent="0.2">
      <c r="A4130">
        <v>0</v>
      </c>
    </row>
    <row r="4131" spans="1:1" ht="15.75" hidden="1" customHeight="1" x14ac:dyDescent="0.2">
      <c r="A4131">
        <v>0</v>
      </c>
    </row>
    <row r="4132" spans="1:1" ht="15.75" hidden="1" customHeight="1" x14ac:dyDescent="0.2">
      <c r="A4132">
        <v>0</v>
      </c>
    </row>
    <row r="4133" spans="1:1" ht="15.75" hidden="1" customHeight="1" x14ac:dyDescent="0.2">
      <c r="A4133">
        <v>0</v>
      </c>
    </row>
    <row r="4134" spans="1:1" ht="15.75" hidden="1" customHeight="1" x14ac:dyDescent="0.2">
      <c r="A4134">
        <v>0</v>
      </c>
    </row>
    <row r="4135" spans="1:1" ht="15.75" hidden="1" customHeight="1" x14ac:dyDescent="0.2">
      <c r="A4135">
        <v>0</v>
      </c>
    </row>
    <row r="4136" spans="1:1" ht="15.75" hidden="1" customHeight="1" x14ac:dyDescent="0.2">
      <c r="A4136" t="s">
        <v>364</v>
      </c>
    </row>
    <row r="4137" spans="1:1" ht="15.75" hidden="1" customHeight="1" x14ac:dyDescent="0.2">
      <c r="A4137" t="s">
        <v>364</v>
      </c>
    </row>
    <row r="4138" spans="1:1" ht="15.75" hidden="1" customHeight="1" x14ac:dyDescent="0.2">
      <c r="A4138">
        <v>0</v>
      </c>
    </row>
    <row r="4139" spans="1:1" ht="15.75" hidden="1" customHeight="1" x14ac:dyDescent="0.2">
      <c r="A4139">
        <v>0</v>
      </c>
    </row>
    <row r="4140" spans="1:1" ht="15.75" hidden="1" customHeight="1" x14ac:dyDescent="0.2">
      <c r="A4140" t="s">
        <v>364</v>
      </c>
    </row>
    <row r="4141" spans="1:1" ht="15.75" hidden="1" customHeight="1" x14ac:dyDescent="0.2">
      <c r="A4141">
        <v>1</v>
      </c>
    </row>
    <row r="4142" spans="1:1" ht="15.75" hidden="1" customHeight="1" x14ac:dyDescent="0.2">
      <c r="A4142">
        <v>0</v>
      </c>
    </row>
    <row r="4143" spans="1:1" ht="15.75" hidden="1" customHeight="1" x14ac:dyDescent="0.2">
      <c r="A4143">
        <v>0</v>
      </c>
    </row>
    <row r="4144" spans="1:1" ht="15.75" hidden="1" customHeight="1" x14ac:dyDescent="0.2">
      <c r="A4144" t="s">
        <v>367</v>
      </c>
    </row>
    <row r="4145" spans="1:1" ht="15.75" hidden="1" customHeight="1" x14ac:dyDescent="0.2">
      <c r="A4145">
        <v>-1</v>
      </c>
    </row>
    <row r="4146" spans="1:1" ht="15.75" hidden="1" customHeight="1" x14ac:dyDescent="0.2">
      <c r="A4146">
        <v>1</v>
      </c>
    </row>
    <row r="4147" spans="1:1" ht="15.75" hidden="1" customHeight="1" x14ac:dyDescent="0.2">
      <c r="A4147">
        <v>0</v>
      </c>
    </row>
    <row r="4148" spans="1:1" ht="15.75" hidden="1" customHeight="1" x14ac:dyDescent="0.2">
      <c r="A4148">
        <v>0</v>
      </c>
    </row>
    <row r="4149" spans="1:1" ht="15.75" hidden="1" customHeight="1" x14ac:dyDescent="0.2">
      <c r="A4149">
        <v>0</v>
      </c>
    </row>
    <row r="4150" spans="1:1" ht="15.75" hidden="1" customHeight="1" x14ac:dyDescent="0.2">
      <c r="A4150">
        <v>0</v>
      </c>
    </row>
    <row r="4151" spans="1:1" ht="15.75" hidden="1" customHeight="1" x14ac:dyDescent="0.2">
      <c r="A4151">
        <v>0</v>
      </c>
    </row>
    <row r="4152" spans="1:1" ht="15.75" hidden="1" customHeight="1" x14ac:dyDescent="0.2">
      <c r="A4152">
        <v>0</v>
      </c>
    </row>
    <row r="4153" spans="1:1" ht="15.75" hidden="1" customHeight="1" x14ac:dyDescent="0.2">
      <c r="A4153">
        <v>0</v>
      </c>
    </row>
    <row r="4154" spans="1:1" ht="15.75" hidden="1" customHeight="1" x14ac:dyDescent="0.2">
      <c r="A4154">
        <v>0</v>
      </c>
    </row>
    <row r="4155" spans="1:1" ht="15.75" hidden="1" customHeight="1" x14ac:dyDescent="0.2">
      <c r="A4155">
        <v>0</v>
      </c>
    </row>
    <row r="4156" spans="1:1" ht="15.75" hidden="1" customHeight="1" x14ac:dyDescent="0.2">
      <c r="A4156" t="s">
        <v>364</v>
      </c>
    </row>
    <row r="4157" spans="1:1" ht="15.75" hidden="1" customHeight="1" x14ac:dyDescent="0.2">
      <c r="A4157" t="s">
        <v>364</v>
      </c>
    </row>
    <row r="4158" spans="1:1" ht="15.75" hidden="1" customHeight="1" x14ac:dyDescent="0.2">
      <c r="A4158">
        <v>0</v>
      </c>
    </row>
    <row r="4159" spans="1:1" ht="15.75" hidden="1" customHeight="1" x14ac:dyDescent="0.2">
      <c r="A4159">
        <v>0</v>
      </c>
    </row>
    <row r="4160" spans="1:1" ht="15.75" hidden="1" customHeight="1" x14ac:dyDescent="0.2">
      <c r="A4160" t="s">
        <v>364</v>
      </c>
    </row>
    <row r="4161" spans="1:4" ht="15.75" hidden="1" customHeight="1" x14ac:dyDescent="0.2">
      <c r="A4161">
        <v>1</v>
      </c>
    </row>
    <row r="4162" spans="1:4" ht="15.75" hidden="1" customHeight="1" x14ac:dyDescent="0.2">
      <c r="A4162">
        <v>0</v>
      </c>
    </row>
    <row r="4163" spans="1:4" ht="15.75" hidden="1" customHeight="1" x14ac:dyDescent="0.2">
      <c r="A4163">
        <v>0</v>
      </c>
    </row>
    <row r="4164" spans="1:4" ht="15.75" hidden="1" customHeight="1" x14ac:dyDescent="0.2">
      <c r="A4164" t="s">
        <v>367</v>
      </c>
    </row>
    <row r="4165" spans="1:4" ht="15.75" hidden="1" customHeight="1" x14ac:dyDescent="0.2">
      <c r="A4165">
        <v>-1</v>
      </c>
    </row>
    <row r="4166" spans="1:4" ht="15.75" hidden="1" customHeight="1" x14ac:dyDescent="0.2">
      <c r="A4166">
        <v>1</v>
      </c>
    </row>
    <row r="4167" spans="1:4" ht="15.75" hidden="1" customHeight="1" x14ac:dyDescent="0.2">
      <c r="A4167">
        <v>0</v>
      </c>
    </row>
    <row r="4168" spans="1:4" ht="15.75" hidden="1" customHeight="1" x14ac:dyDescent="0.2">
      <c r="A4168">
        <v>0</v>
      </c>
    </row>
    <row r="4169" spans="1:4" ht="15.75" hidden="1" customHeight="1" x14ac:dyDescent="0.2">
      <c r="A4169">
        <v>0</v>
      </c>
    </row>
    <row r="4170" spans="1:4" ht="15.75" hidden="1" customHeight="1" x14ac:dyDescent="0.2">
      <c r="B4170" t="s">
        <v>300</v>
      </c>
      <c r="C4170" t="s">
        <v>301</v>
      </c>
      <c r="D4170">
        <v>0</v>
      </c>
    </row>
    <row r="4171" spans="1:4" ht="15.75" hidden="1" customHeight="1" x14ac:dyDescent="0.2">
      <c r="B4171" t="s">
        <v>288</v>
      </c>
      <c r="C4171" t="s">
        <v>302</v>
      </c>
      <c r="D4171">
        <v>0</v>
      </c>
    </row>
    <row r="4172" spans="1:4" ht="15.75" hidden="1" customHeight="1" x14ac:dyDescent="0.2">
      <c r="B4172" t="s">
        <v>303</v>
      </c>
      <c r="C4172" t="s">
        <v>304</v>
      </c>
      <c r="D4172">
        <v>4</v>
      </c>
    </row>
    <row r="4173" spans="1:4" ht="15.75" hidden="1" customHeight="1" x14ac:dyDescent="0.2">
      <c r="B4173" t="s">
        <v>305</v>
      </c>
      <c r="C4173" t="s">
        <v>306</v>
      </c>
      <c r="D4173">
        <v>1</v>
      </c>
    </row>
    <row r="4174" spans="1:4" ht="15.75" hidden="1" customHeight="1" x14ac:dyDescent="0.2">
      <c r="B4174" t="s">
        <v>307</v>
      </c>
      <c r="C4174" t="s">
        <v>308</v>
      </c>
      <c r="D4174">
        <v>2</v>
      </c>
    </row>
    <row r="4175" spans="1:4" ht="15.75" hidden="1" customHeight="1" x14ac:dyDescent="0.2">
      <c r="B4175" t="s">
        <v>243</v>
      </c>
      <c r="C4175" t="s">
        <v>309</v>
      </c>
      <c r="D4175">
        <v>0</v>
      </c>
    </row>
    <row r="4176" spans="1:4" ht="15.75" hidden="1" customHeight="1" x14ac:dyDescent="0.2">
      <c r="B4176" t="s">
        <v>245</v>
      </c>
      <c r="C4176" t="s">
        <v>310</v>
      </c>
      <c r="D4176">
        <v>0</v>
      </c>
    </row>
    <row r="4177" spans="2:4" ht="15.75" hidden="1" customHeight="1" x14ac:dyDescent="0.2">
      <c r="B4177" t="s">
        <v>247</v>
      </c>
      <c r="C4177" t="s">
        <v>311</v>
      </c>
      <c r="D4177">
        <v>0</v>
      </c>
    </row>
    <row r="4178" spans="2:4" ht="15.75" hidden="1" customHeight="1" x14ac:dyDescent="0.2">
      <c r="B4178" t="s">
        <v>249</v>
      </c>
      <c r="C4178" t="s">
        <v>312</v>
      </c>
      <c r="D4178">
        <v>4</v>
      </c>
    </row>
    <row r="4179" spans="2:4" ht="15.75" hidden="1" customHeight="1" x14ac:dyDescent="0.2">
      <c r="B4179" t="s">
        <v>251</v>
      </c>
      <c r="C4179" t="s">
        <v>313</v>
      </c>
      <c r="D4179">
        <v>2</v>
      </c>
    </row>
    <row r="4180" spans="2:4" ht="15.75" hidden="1" customHeight="1" x14ac:dyDescent="0.2">
      <c r="B4180" t="s">
        <v>253</v>
      </c>
      <c r="C4180" t="s">
        <v>314</v>
      </c>
      <c r="D4180">
        <v>4</v>
      </c>
    </row>
    <row r="4181" spans="2:4" ht="15.75" hidden="1" customHeight="1" x14ac:dyDescent="0.2">
      <c r="B4181" t="s">
        <v>315</v>
      </c>
      <c r="C4181" t="s">
        <v>316</v>
      </c>
      <c r="D4181">
        <v>0</v>
      </c>
    </row>
    <row r="4182" spans="2:4" ht="15.75" hidden="1" customHeight="1" x14ac:dyDescent="0.2">
      <c r="B4182" t="s">
        <v>317</v>
      </c>
      <c r="C4182" t="s">
        <v>318</v>
      </c>
      <c r="D4182">
        <v>8</v>
      </c>
    </row>
    <row r="4183" spans="2:4" ht="15.75" hidden="1" customHeight="1" x14ac:dyDescent="0.2">
      <c r="B4183" t="s">
        <v>257</v>
      </c>
      <c r="C4183" t="s">
        <v>319</v>
      </c>
      <c r="D4183">
        <v>75.867900000000006</v>
      </c>
    </row>
    <row r="4184" spans="2:4" ht="15.75" hidden="1" customHeight="1" x14ac:dyDescent="0.2">
      <c r="B4184" t="s">
        <v>320</v>
      </c>
      <c r="C4184" t="s">
        <v>321</v>
      </c>
      <c r="D4184">
        <v>0</v>
      </c>
    </row>
    <row r="4185" spans="2:4" ht="15.75" hidden="1" customHeight="1" x14ac:dyDescent="0.2">
      <c r="B4185" t="s">
        <v>263</v>
      </c>
      <c r="C4185" t="s">
        <v>322</v>
      </c>
      <c r="D4185">
        <v>1</v>
      </c>
    </row>
    <row r="4186" spans="2:4" ht="15.75" hidden="1" customHeight="1" x14ac:dyDescent="0.2">
      <c r="B4186" t="s">
        <v>323</v>
      </c>
      <c r="C4186" t="s">
        <v>324</v>
      </c>
      <c r="D4186">
        <v>4</v>
      </c>
    </row>
    <row r="4187" spans="2:4" ht="15.75" hidden="1" customHeight="1" x14ac:dyDescent="0.2">
      <c r="B4187" t="s">
        <v>325</v>
      </c>
      <c r="C4187" t="s">
        <v>326</v>
      </c>
      <c r="D4187">
        <v>4</v>
      </c>
    </row>
    <row r="4188" spans="2:4" ht="15.75" hidden="1" customHeight="1" x14ac:dyDescent="0.2">
      <c r="B4188" t="s">
        <v>327</v>
      </c>
      <c r="C4188" t="s">
        <v>328</v>
      </c>
      <c r="D4188">
        <v>4</v>
      </c>
    </row>
    <row r="4189" spans="2:4" ht="15.75" hidden="1" customHeight="1" x14ac:dyDescent="0.2">
      <c r="B4189" t="s">
        <v>329</v>
      </c>
      <c r="C4189" t="s">
        <v>330</v>
      </c>
      <c r="D4189">
        <v>26</v>
      </c>
    </row>
    <row r="4190" spans="2:4" ht="15.75" hidden="1" customHeight="1" x14ac:dyDescent="0.2">
      <c r="B4190" t="s">
        <v>331</v>
      </c>
      <c r="C4190" t="s">
        <v>332</v>
      </c>
      <c r="D4190" t="s">
        <v>366</v>
      </c>
    </row>
    <row r="4191" spans="2:4" ht="15.75" hidden="1" customHeight="1" x14ac:dyDescent="0.2">
      <c r="B4191" t="s">
        <v>333</v>
      </c>
      <c r="C4191" t="s">
        <v>334</v>
      </c>
      <c r="D4191">
        <v>5</v>
      </c>
    </row>
    <row r="4192" spans="2:4" ht="15.75" hidden="1" customHeight="1" x14ac:dyDescent="0.2">
      <c r="B4192" t="s">
        <v>335</v>
      </c>
      <c r="C4192" t="s">
        <v>336</v>
      </c>
      <c r="D4192">
        <v>22</v>
      </c>
    </row>
    <row r="4193" spans="2:12" ht="15.75" hidden="1" customHeight="1" x14ac:dyDescent="0.2">
      <c r="B4193" t="s">
        <v>337</v>
      </c>
      <c r="C4193" t="s">
        <v>338</v>
      </c>
      <c r="D4193">
        <v>0</v>
      </c>
    </row>
    <row r="4194" spans="2:12" ht="15.75" hidden="1" customHeight="1" x14ac:dyDescent="0.2">
      <c r="B4194" t="s">
        <v>339</v>
      </c>
      <c r="C4194" t="s">
        <v>340</v>
      </c>
      <c r="D4194">
        <v>0</v>
      </c>
    </row>
    <row r="4195" spans="2:12" ht="15.75" hidden="1" customHeight="1" x14ac:dyDescent="0.2">
      <c r="B4195" t="s">
        <v>341</v>
      </c>
      <c r="C4195" t="s">
        <v>342</v>
      </c>
      <c r="D4195">
        <v>5</v>
      </c>
    </row>
    <row r="4196" spans="2:12" ht="15.75" hidden="1" customHeight="1" x14ac:dyDescent="0.2">
      <c r="B4196" t="s">
        <v>343</v>
      </c>
      <c r="C4196" t="s">
        <v>344</v>
      </c>
      <c r="D4196">
        <v>0</v>
      </c>
    </row>
    <row r="4197" spans="2:12" ht="15.75" hidden="1" customHeight="1" x14ac:dyDescent="0.2">
      <c r="B4197" t="s">
        <v>345</v>
      </c>
      <c r="C4197" t="s">
        <v>346</v>
      </c>
      <c r="D4197">
        <v>0</v>
      </c>
    </row>
    <row r="4198" spans="2:12" ht="15.75" hidden="1" customHeight="1" x14ac:dyDescent="0.2">
      <c r="B4198" t="s">
        <v>347</v>
      </c>
      <c r="C4198" t="s">
        <v>348</v>
      </c>
      <c r="D4198">
        <v>5</v>
      </c>
    </row>
    <row r="4199" spans="2:12" ht="15.75" hidden="1" customHeight="1" x14ac:dyDescent="0.2">
      <c r="J4199" t="s">
        <v>300</v>
      </c>
      <c r="K4199" t="s">
        <v>301</v>
      </c>
      <c r="L4199">
        <v>0</v>
      </c>
    </row>
    <row r="4200" spans="2:12" ht="15.75" hidden="1" customHeight="1" x14ac:dyDescent="0.2">
      <c r="J4200" t="s">
        <v>288</v>
      </c>
      <c r="K4200" t="s">
        <v>302</v>
      </c>
      <c r="L4200">
        <v>0</v>
      </c>
    </row>
    <row r="4201" spans="2:12" ht="15.75" hidden="1" customHeight="1" x14ac:dyDescent="0.2">
      <c r="J4201" t="s">
        <v>303</v>
      </c>
      <c r="K4201" t="s">
        <v>304</v>
      </c>
      <c r="L4201">
        <v>9</v>
      </c>
    </row>
    <row r="4202" spans="2:12" ht="15.75" hidden="1" customHeight="1" x14ac:dyDescent="0.2">
      <c r="J4202" t="s">
        <v>305</v>
      </c>
      <c r="K4202" t="s">
        <v>306</v>
      </c>
      <c r="L4202" t="s">
        <v>366</v>
      </c>
    </row>
    <row r="4203" spans="2:12" ht="15.75" hidden="1" customHeight="1" x14ac:dyDescent="0.2">
      <c r="J4203" t="s">
        <v>307</v>
      </c>
      <c r="K4203" t="s">
        <v>308</v>
      </c>
      <c r="L4203" t="s">
        <v>366</v>
      </c>
    </row>
    <row r="4204" spans="2:12" ht="15.75" hidden="1" customHeight="1" x14ac:dyDescent="0.2">
      <c r="J4204" t="s">
        <v>243</v>
      </c>
      <c r="K4204" t="s">
        <v>309</v>
      </c>
      <c r="L4204" t="s">
        <v>366</v>
      </c>
    </row>
    <row r="4205" spans="2:12" ht="15.75" hidden="1" customHeight="1" x14ac:dyDescent="0.2">
      <c r="J4205" t="s">
        <v>245</v>
      </c>
      <c r="K4205" t="s">
        <v>310</v>
      </c>
      <c r="L4205" t="s">
        <v>366</v>
      </c>
    </row>
    <row r="4206" spans="2:12" ht="15.75" hidden="1" customHeight="1" x14ac:dyDescent="0.2">
      <c r="J4206" t="s">
        <v>247</v>
      </c>
      <c r="K4206" t="s">
        <v>311</v>
      </c>
      <c r="L4206" t="s">
        <v>366</v>
      </c>
    </row>
    <row r="4207" spans="2:12" ht="15.75" hidden="1" customHeight="1" x14ac:dyDescent="0.2">
      <c r="J4207" t="s">
        <v>249</v>
      </c>
      <c r="K4207" t="s">
        <v>312</v>
      </c>
      <c r="L4207" t="s">
        <v>366</v>
      </c>
    </row>
    <row r="4208" spans="2:12" ht="15.75" hidden="1" customHeight="1" x14ac:dyDescent="0.2">
      <c r="J4208" t="s">
        <v>251</v>
      </c>
      <c r="K4208" t="s">
        <v>313</v>
      </c>
      <c r="L4208" t="s">
        <v>366</v>
      </c>
    </row>
    <row r="4209" spans="10:12" ht="15.75" hidden="1" customHeight="1" x14ac:dyDescent="0.2">
      <c r="J4209" t="s">
        <v>253</v>
      </c>
      <c r="K4209" t="s">
        <v>314</v>
      </c>
      <c r="L4209" t="s">
        <v>366</v>
      </c>
    </row>
    <row r="4210" spans="10:12" ht="15.75" hidden="1" customHeight="1" x14ac:dyDescent="0.2">
      <c r="J4210" t="s">
        <v>315</v>
      </c>
      <c r="K4210" t="s">
        <v>316</v>
      </c>
      <c r="L4210" t="s">
        <v>366</v>
      </c>
    </row>
    <row r="4211" spans="10:12" ht="15.75" hidden="1" customHeight="1" x14ac:dyDescent="0.2">
      <c r="J4211" t="s">
        <v>317</v>
      </c>
      <c r="K4211" t="s">
        <v>318</v>
      </c>
      <c r="L4211">
        <v>0</v>
      </c>
    </row>
    <row r="4212" spans="10:12" ht="15.75" hidden="1" customHeight="1" x14ac:dyDescent="0.2">
      <c r="J4212" t="s">
        <v>257</v>
      </c>
      <c r="K4212" t="s">
        <v>319</v>
      </c>
      <c r="L4212">
        <v>0</v>
      </c>
    </row>
    <row r="4213" spans="10:12" ht="15.75" hidden="1" customHeight="1" x14ac:dyDescent="0.2">
      <c r="J4213" t="s">
        <v>320</v>
      </c>
      <c r="K4213" t="s">
        <v>321</v>
      </c>
      <c r="L4213" t="s">
        <v>366</v>
      </c>
    </row>
    <row r="4214" spans="10:12" ht="15.75" hidden="1" customHeight="1" x14ac:dyDescent="0.2">
      <c r="J4214" t="s">
        <v>263</v>
      </c>
      <c r="K4214" t="s">
        <v>322</v>
      </c>
      <c r="L4214">
        <v>1</v>
      </c>
    </row>
    <row r="4215" spans="10:12" ht="15.75" hidden="1" customHeight="1" x14ac:dyDescent="0.2">
      <c r="J4215" t="s">
        <v>323</v>
      </c>
      <c r="K4215" t="s">
        <v>324</v>
      </c>
      <c r="L4215" t="s">
        <v>366</v>
      </c>
    </row>
    <row r="4216" spans="10:12" ht="15.75" hidden="1" customHeight="1" x14ac:dyDescent="0.2">
      <c r="J4216" t="s">
        <v>325</v>
      </c>
      <c r="K4216" t="s">
        <v>326</v>
      </c>
      <c r="L4216" t="s">
        <v>366</v>
      </c>
    </row>
    <row r="4217" spans="10:12" ht="15.75" hidden="1" customHeight="1" x14ac:dyDescent="0.2">
      <c r="J4217" t="s">
        <v>327</v>
      </c>
      <c r="K4217" t="s">
        <v>328</v>
      </c>
      <c r="L4217" t="s">
        <v>366</v>
      </c>
    </row>
    <row r="4218" spans="10:12" ht="15.75" hidden="1" customHeight="1" x14ac:dyDescent="0.2">
      <c r="J4218" t="s">
        <v>329</v>
      </c>
      <c r="K4218" t="s">
        <v>330</v>
      </c>
      <c r="L4218" t="s">
        <v>366</v>
      </c>
    </row>
    <row r="4219" spans="10:12" ht="15.75" hidden="1" customHeight="1" x14ac:dyDescent="0.2">
      <c r="J4219" t="s">
        <v>331</v>
      </c>
      <c r="K4219" t="s">
        <v>332</v>
      </c>
      <c r="L4219" t="s">
        <v>366</v>
      </c>
    </row>
    <row r="4220" spans="10:12" ht="15.75" hidden="1" customHeight="1" x14ac:dyDescent="0.2">
      <c r="J4220" t="s">
        <v>333</v>
      </c>
      <c r="K4220" t="s">
        <v>334</v>
      </c>
      <c r="L4220" t="s">
        <v>366</v>
      </c>
    </row>
    <row r="4221" spans="10:12" ht="15.75" hidden="1" customHeight="1" x14ac:dyDescent="0.2">
      <c r="J4221" t="s">
        <v>335</v>
      </c>
      <c r="K4221" t="s">
        <v>336</v>
      </c>
      <c r="L4221" t="s">
        <v>366</v>
      </c>
    </row>
    <row r="4222" spans="10:12" ht="15.75" hidden="1" customHeight="1" x14ac:dyDescent="0.2">
      <c r="J4222" t="s">
        <v>337</v>
      </c>
      <c r="K4222" t="s">
        <v>338</v>
      </c>
      <c r="L4222" t="s">
        <v>366</v>
      </c>
    </row>
    <row r="4223" spans="10:12" ht="15.75" hidden="1" customHeight="1" x14ac:dyDescent="0.2">
      <c r="J4223" t="s">
        <v>339</v>
      </c>
      <c r="K4223" t="s">
        <v>340</v>
      </c>
      <c r="L4223" t="s">
        <v>366</v>
      </c>
    </row>
    <row r="4224" spans="10:12" ht="15.75" hidden="1" customHeight="1" x14ac:dyDescent="0.2">
      <c r="J4224" t="s">
        <v>341</v>
      </c>
      <c r="K4224" t="s">
        <v>342</v>
      </c>
      <c r="L4224" t="s">
        <v>366</v>
      </c>
    </row>
    <row r="4225" spans="10:12" ht="15.75" hidden="1" customHeight="1" x14ac:dyDescent="0.2">
      <c r="J4225" t="s">
        <v>343</v>
      </c>
      <c r="K4225" t="s">
        <v>344</v>
      </c>
      <c r="L4225" t="s">
        <v>366</v>
      </c>
    </row>
    <row r="4226" spans="10:12" ht="15.75" hidden="1" customHeight="1" x14ac:dyDescent="0.2">
      <c r="J4226" t="s">
        <v>345</v>
      </c>
      <c r="K4226" t="s">
        <v>346</v>
      </c>
      <c r="L4226" t="s">
        <v>366</v>
      </c>
    </row>
    <row r="4227" spans="10:12" ht="15.75" hidden="1" customHeight="1" x14ac:dyDescent="0.2">
      <c r="J4227" t="s">
        <v>347</v>
      </c>
      <c r="K4227" t="s">
        <v>348</v>
      </c>
      <c r="L4227" t="s">
        <v>366</v>
      </c>
    </row>
    <row r="4228" spans="10:12" ht="15.75" hidden="1" customHeight="1" x14ac:dyDescent="0.2">
      <c r="J4228" t="s">
        <v>300</v>
      </c>
      <c r="K4228" t="s">
        <v>301</v>
      </c>
      <c r="L4228">
        <v>0</v>
      </c>
    </row>
    <row r="4229" spans="10:12" ht="15.75" hidden="1" customHeight="1" x14ac:dyDescent="0.2">
      <c r="J4229" t="s">
        <v>288</v>
      </c>
      <c r="K4229" t="s">
        <v>302</v>
      </c>
      <c r="L4229">
        <v>1</v>
      </c>
    </row>
    <row r="4230" spans="10:12" ht="15.75" hidden="1" customHeight="1" x14ac:dyDescent="0.2">
      <c r="J4230" t="s">
        <v>303</v>
      </c>
      <c r="K4230" t="s">
        <v>304</v>
      </c>
      <c r="L4230">
        <v>11</v>
      </c>
    </row>
    <row r="4231" spans="10:12" ht="15.75" hidden="1" customHeight="1" x14ac:dyDescent="0.2">
      <c r="J4231" t="s">
        <v>305</v>
      </c>
      <c r="K4231" t="s">
        <v>306</v>
      </c>
      <c r="L4231" t="s">
        <v>366</v>
      </c>
    </row>
    <row r="4232" spans="10:12" ht="15.75" hidden="1" customHeight="1" x14ac:dyDescent="0.2">
      <c r="J4232" t="s">
        <v>307</v>
      </c>
      <c r="K4232" t="s">
        <v>308</v>
      </c>
      <c r="L4232" t="s">
        <v>366</v>
      </c>
    </row>
    <row r="4233" spans="10:12" ht="15.75" hidden="1" customHeight="1" x14ac:dyDescent="0.2">
      <c r="J4233" t="s">
        <v>243</v>
      </c>
      <c r="K4233" t="s">
        <v>309</v>
      </c>
      <c r="L4233" t="s">
        <v>366</v>
      </c>
    </row>
    <row r="4234" spans="10:12" ht="15.75" hidden="1" customHeight="1" x14ac:dyDescent="0.2">
      <c r="J4234" t="s">
        <v>245</v>
      </c>
      <c r="K4234" t="s">
        <v>310</v>
      </c>
      <c r="L4234" t="s">
        <v>366</v>
      </c>
    </row>
    <row r="4235" spans="10:12" ht="15.75" hidden="1" customHeight="1" x14ac:dyDescent="0.2">
      <c r="J4235" t="s">
        <v>247</v>
      </c>
      <c r="K4235" t="s">
        <v>311</v>
      </c>
      <c r="L4235" t="s">
        <v>366</v>
      </c>
    </row>
    <row r="4236" spans="10:12" ht="15.75" hidden="1" customHeight="1" x14ac:dyDescent="0.2">
      <c r="J4236" t="s">
        <v>249</v>
      </c>
      <c r="K4236" t="s">
        <v>312</v>
      </c>
      <c r="L4236" t="s">
        <v>366</v>
      </c>
    </row>
    <row r="4237" spans="10:12" ht="15.75" hidden="1" customHeight="1" x14ac:dyDescent="0.2">
      <c r="J4237" t="s">
        <v>251</v>
      </c>
      <c r="K4237" t="s">
        <v>313</v>
      </c>
      <c r="L4237" t="s">
        <v>366</v>
      </c>
    </row>
    <row r="4238" spans="10:12" ht="15.75" hidden="1" customHeight="1" x14ac:dyDescent="0.2">
      <c r="J4238" t="s">
        <v>253</v>
      </c>
      <c r="K4238" t="s">
        <v>314</v>
      </c>
      <c r="L4238" t="s">
        <v>366</v>
      </c>
    </row>
    <row r="4239" spans="10:12" ht="15.75" hidden="1" customHeight="1" x14ac:dyDescent="0.2">
      <c r="J4239" t="s">
        <v>315</v>
      </c>
      <c r="K4239" t="s">
        <v>316</v>
      </c>
      <c r="L4239" t="s">
        <v>366</v>
      </c>
    </row>
    <row r="4240" spans="10:12" ht="15.75" hidden="1" customHeight="1" x14ac:dyDescent="0.2">
      <c r="J4240" t="s">
        <v>317</v>
      </c>
      <c r="K4240" t="s">
        <v>318</v>
      </c>
      <c r="L4240">
        <v>10</v>
      </c>
    </row>
    <row r="4241" spans="10:12" ht="15.75" hidden="1" customHeight="1" x14ac:dyDescent="0.2">
      <c r="J4241" t="s">
        <v>257</v>
      </c>
      <c r="K4241" t="s">
        <v>319</v>
      </c>
      <c r="L4241" t="s">
        <v>367</v>
      </c>
    </row>
    <row r="4242" spans="10:12" ht="15.75" hidden="1" customHeight="1" x14ac:dyDescent="0.2">
      <c r="J4242" t="s">
        <v>320</v>
      </c>
      <c r="K4242" t="s">
        <v>321</v>
      </c>
      <c r="L4242" t="s">
        <v>366</v>
      </c>
    </row>
    <row r="4243" spans="10:12" ht="15.75" hidden="1" customHeight="1" x14ac:dyDescent="0.2">
      <c r="J4243" t="s">
        <v>263</v>
      </c>
      <c r="K4243" t="s">
        <v>322</v>
      </c>
      <c r="L4243" t="s">
        <v>366</v>
      </c>
    </row>
    <row r="4244" spans="10:12" ht="15.75" hidden="1" customHeight="1" x14ac:dyDescent="0.2">
      <c r="J4244" t="s">
        <v>323</v>
      </c>
      <c r="K4244" t="s">
        <v>324</v>
      </c>
      <c r="L4244" t="s">
        <v>366</v>
      </c>
    </row>
    <row r="4245" spans="10:12" ht="15.75" hidden="1" customHeight="1" x14ac:dyDescent="0.2">
      <c r="J4245" t="s">
        <v>325</v>
      </c>
      <c r="K4245" t="s">
        <v>326</v>
      </c>
      <c r="L4245" t="s">
        <v>366</v>
      </c>
    </row>
    <row r="4246" spans="10:12" ht="15.75" hidden="1" customHeight="1" x14ac:dyDescent="0.2">
      <c r="J4246" t="s">
        <v>327</v>
      </c>
      <c r="K4246" t="s">
        <v>328</v>
      </c>
      <c r="L4246" t="s">
        <v>366</v>
      </c>
    </row>
    <row r="4247" spans="10:12" ht="15.75" hidden="1" customHeight="1" x14ac:dyDescent="0.2">
      <c r="J4247" t="s">
        <v>329</v>
      </c>
      <c r="K4247" t="s">
        <v>330</v>
      </c>
      <c r="L4247" t="s">
        <v>366</v>
      </c>
    </row>
    <row r="4248" spans="10:12" ht="15.75" hidden="1" customHeight="1" x14ac:dyDescent="0.2">
      <c r="J4248" t="s">
        <v>331</v>
      </c>
      <c r="K4248" t="s">
        <v>332</v>
      </c>
      <c r="L4248" t="s">
        <v>366</v>
      </c>
    </row>
    <row r="4249" spans="10:12" ht="15.75" hidden="1" customHeight="1" x14ac:dyDescent="0.2">
      <c r="J4249" t="s">
        <v>333</v>
      </c>
      <c r="K4249" t="s">
        <v>334</v>
      </c>
      <c r="L4249" t="s">
        <v>366</v>
      </c>
    </row>
    <row r="4250" spans="10:12" ht="15.75" hidden="1" customHeight="1" x14ac:dyDescent="0.2">
      <c r="J4250" t="s">
        <v>335</v>
      </c>
      <c r="K4250" t="s">
        <v>336</v>
      </c>
      <c r="L4250" t="s">
        <v>366</v>
      </c>
    </row>
    <row r="4251" spans="10:12" ht="15.75" hidden="1" customHeight="1" x14ac:dyDescent="0.2">
      <c r="J4251" t="s">
        <v>337</v>
      </c>
      <c r="K4251" t="s">
        <v>338</v>
      </c>
      <c r="L4251" t="s">
        <v>366</v>
      </c>
    </row>
    <row r="4252" spans="10:12" ht="15.75" hidden="1" customHeight="1" x14ac:dyDescent="0.2">
      <c r="J4252" t="s">
        <v>339</v>
      </c>
      <c r="K4252" t="s">
        <v>340</v>
      </c>
      <c r="L4252" t="s">
        <v>366</v>
      </c>
    </row>
    <row r="4253" spans="10:12" ht="15.75" hidden="1" customHeight="1" x14ac:dyDescent="0.2">
      <c r="J4253" t="s">
        <v>341</v>
      </c>
      <c r="K4253" t="s">
        <v>342</v>
      </c>
      <c r="L4253" t="s">
        <v>366</v>
      </c>
    </row>
    <row r="4254" spans="10:12" ht="15.75" hidden="1" customHeight="1" x14ac:dyDescent="0.2">
      <c r="J4254" t="s">
        <v>343</v>
      </c>
      <c r="K4254" t="s">
        <v>344</v>
      </c>
      <c r="L4254" t="s">
        <v>366</v>
      </c>
    </row>
    <row r="4255" spans="10:12" ht="15.75" hidden="1" customHeight="1" x14ac:dyDescent="0.2">
      <c r="J4255" t="s">
        <v>345</v>
      </c>
      <c r="K4255" t="s">
        <v>346</v>
      </c>
      <c r="L4255" t="s">
        <v>366</v>
      </c>
    </row>
    <row r="4256" spans="10:12" ht="15.75" hidden="1" customHeight="1" x14ac:dyDescent="0.2">
      <c r="J4256" t="s">
        <v>347</v>
      </c>
      <c r="K4256" t="s">
        <v>348</v>
      </c>
      <c r="L4256" t="s">
        <v>366</v>
      </c>
    </row>
    <row r="4257" spans="10:12" ht="15.75" hidden="1" customHeight="1" x14ac:dyDescent="0.2">
      <c r="J4257" t="s">
        <v>300</v>
      </c>
      <c r="K4257" t="s">
        <v>301</v>
      </c>
      <c r="L4257">
        <v>0</v>
      </c>
    </row>
    <row r="4258" spans="10:12" ht="15.75" hidden="1" customHeight="1" x14ac:dyDescent="0.2">
      <c r="J4258" t="s">
        <v>288</v>
      </c>
      <c r="K4258" t="s">
        <v>302</v>
      </c>
      <c r="L4258">
        <v>0</v>
      </c>
    </row>
    <row r="4259" spans="10:12" ht="15.75" hidden="1" customHeight="1" x14ac:dyDescent="0.2">
      <c r="J4259" t="s">
        <v>303</v>
      </c>
      <c r="K4259" t="s">
        <v>304</v>
      </c>
      <c r="L4259">
        <v>2</v>
      </c>
    </row>
    <row r="4260" spans="10:12" ht="15.75" hidden="1" customHeight="1" x14ac:dyDescent="0.2">
      <c r="J4260" t="s">
        <v>305</v>
      </c>
      <c r="K4260" t="s">
        <v>306</v>
      </c>
      <c r="L4260" t="s">
        <v>366</v>
      </c>
    </row>
    <row r="4261" spans="10:12" ht="15.75" hidden="1" customHeight="1" x14ac:dyDescent="0.2">
      <c r="J4261" t="s">
        <v>307</v>
      </c>
      <c r="K4261" t="s">
        <v>308</v>
      </c>
      <c r="L4261" t="s">
        <v>366</v>
      </c>
    </row>
    <row r="4262" spans="10:12" ht="15.75" hidden="1" customHeight="1" x14ac:dyDescent="0.2">
      <c r="J4262" t="s">
        <v>243</v>
      </c>
      <c r="K4262" t="s">
        <v>309</v>
      </c>
      <c r="L4262" t="s">
        <v>366</v>
      </c>
    </row>
    <row r="4263" spans="10:12" ht="15.75" hidden="1" customHeight="1" x14ac:dyDescent="0.2">
      <c r="J4263" t="s">
        <v>245</v>
      </c>
      <c r="K4263" t="s">
        <v>310</v>
      </c>
      <c r="L4263" t="s">
        <v>366</v>
      </c>
    </row>
    <row r="4264" spans="10:12" ht="15.75" hidden="1" customHeight="1" x14ac:dyDescent="0.2">
      <c r="J4264" t="s">
        <v>247</v>
      </c>
      <c r="K4264" t="s">
        <v>311</v>
      </c>
      <c r="L4264" t="s">
        <v>366</v>
      </c>
    </row>
    <row r="4265" spans="10:12" ht="15.75" hidden="1" customHeight="1" x14ac:dyDescent="0.2">
      <c r="J4265" t="s">
        <v>249</v>
      </c>
      <c r="K4265" t="s">
        <v>312</v>
      </c>
      <c r="L4265" t="s">
        <v>366</v>
      </c>
    </row>
    <row r="4266" spans="10:12" ht="15.75" hidden="1" customHeight="1" x14ac:dyDescent="0.2">
      <c r="J4266" t="s">
        <v>251</v>
      </c>
      <c r="K4266" t="s">
        <v>313</v>
      </c>
      <c r="L4266" t="s">
        <v>366</v>
      </c>
    </row>
    <row r="4267" spans="10:12" ht="15.75" hidden="1" customHeight="1" x14ac:dyDescent="0.2">
      <c r="J4267" t="s">
        <v>253</v>
      </c>
      <c r="K4267" t="s">
        <v>314</v>
      </c>
      <c r="L4267" t="s">
        <v>366</v>
      </c>
    </row>
    <row r="4268" spans="10:12" ht="15.75" hidden="1" customHeight="1" x14ac:dyDescent="0.2">
      <c r="J4268" t="s">
        <v>315</v>
      </c>
      <c r="K4268" t="s">
        <v>316</v>
      </c>
      <c r="L4268" t="s">
        <v>366</v>
      </c>
    </row>
    <row r="4269" spans="10:12" ht="15.75" hidden="1" customHeight="1" x14ac:dyDescent="0.2">
      <c r="J4269" t="s">
        <v>317</v>
      </c>
      <c r="K4269" t="s">
        <v>318</v>
      </c>
      <c r="L4269">
        <v>0</v>
      </c>
    </row>
    <row r="4270" spans="10:12" ht="15.75" hidden="1" customHeight="1" x14ac:dyDescent="0.2">
      <c r="J4270" t="s">
        <v>257</v>
      </c>
      <c r="K4270" t="s">
        <v>319</v>
      </c>
      <c r="L4270">
        <v>0</v>
      </c>
    </row>
    <row r="4271" spans="10:12" ht="15.75" hidden="1" customHeight="1" x14ac:dyDescent="0.2">
      <c r="J4271" t="s">
        <v>320</v>
      </c>
      <c r="K4271" t="s">
        <v>321</v>
      </c>
      <c r="L4271" t="s">
        <v>366</v>
      </c>
    </row>
    <row r="4272" spans="10:12" ht="15.75" hidden="1" customHeight="1" x14ac:dyDescent="0.2">
      <c r="J4272" t="s">
        <v>263</v>
      </c>
      <c r="K4272" t="s">
        <v>322</v>
      </c>
      <c r="L4272" t="s">
        <v>366</v>
      </c>
    </row>
    <row r="4273" spans="10:12" ht="15.75" hidden="1" customHeight="1" x14ac:dyDescent="0.2">
      <c r="J4273" t="s">
        <v>323</v>
      </c>
      <c r="K4273" t="s">
        <v>324</v>
      </c>
      <c r="L4273" t="s">
        <v>366</v>
      </c>
    </row>
    <row r="4274" spans="10:12" ht="15.75" hidden="1" customHeight="1" x14ac:dyDescent="0.2">
      <c r="J4274" t="s">
        <v>325</v>
      </c>
      <c r="K4274" t="s">
        <v>326</v>
      </c>
      <c r="L4274" t="s">
        <v>366</v>
      </c>
    </row>
    <row r="4275" spans="10:12" ht="15.75" hidden="1" customHeight="1" x14ac:dyDescent="0.2">
      <c r="J4275" t="s">
        <v>327</v>
      </c>
      <c r="K4275" t="s">
        <v>328</v>
      </c>
      <c r="L4275" t="s">
        <v>366</v>
      </c>
    </row>
    <row r="4276" spans="10:12" ht="15.75" hidden="1" customHeight="1" x14ac:dyDescent="0.2">
      <c r="J4276" t="s">
        <v>329</v>
      </c>
      <c r="K4276" t="s">
        <v>330</v>
      </c>
      <c r="L4276" t="s">
        <v>366</v>
      </c>
    </row>
    <row r="4277" spans="10:12" ht="15.75" hidden="1" customHeight="1" x14ac:dyDescent="0.2">
      <c r="J4277" t="s">
        <v>331</v>
      </c>
      <c r="K4277" t="s">
        <v>332</v>
      </c>
      <c r="L4277" t="s">
        <v>366</v>
      </c>
    </row>
    <row r="4278" spans="10:12" ht="15.75" hidden="1" customHeight="1" x14ac:dyDescent="0.2">
      <c r="J4278" t="s">
        <v>333</v>
      </c>
      <c r="K4278" t="s">
        <v>334</v>
      </c>
      <c r="L4278" t="s">
        <v>366</v>
      </c>
    </row>
    <row r="4279" spans="10:12" ht="15.75" hidden="1" customHeight="1" x14ac:dyDescent="0.2">
      <c r="J4279" t="s">
        <v>335</v>
      </c>
      <c r="K4279" t="s">
        <v>336</v>
      </c>
      <c r="L4279" t="s">
        <v>366</v>
      </c>
    </row>
    <row r="4280" spans="10:12" ht="15.75" hidden="1" customHeight="1" x14ac:dyDescent="0.2">
      <c r="J4280" t="s">
        <v>337</v>
      </c>
      <c r="K4280" t="s">
        <v>338</v>
      </c>
      <c r="L4280" t="s">
        <v>366</v>
      </c>
    </row>
    <row r="4281" spans="10:12" ht="15.75" hidden="1" customHeight="1" x14ac:dyDescent="0.2">
      <c r="J4281" t="s">
        <v>339</v>
      </c>
      <c r="K4281" t="s">
        <v>340</v>
      </c>
      <c r="L4281" t="s">
        <v>366</v>
      </c>
    </row>
    <row r="4282" spans="10:12" ht="15.75" hidden="1" customHeight="1" x14ac:dyDescent="0.2">
      <c r="J4282" t="s">
        <v>341</v>
      </c>
      <c r="K4282" t="s">
        <v>342</v>
      </c>
      <c r="L4282" t="s">
        <v>366</v>
      </c>
    </row>
    <row r="4283" spans="10:12" ht="15.75" hidden="1" customHeight="1" x14ac:dyDescent="0.2">
      <c r="J4283" t="s">
        <v>343</v>
      </c>
      <c r="K4283" t="s">
        <v>344</v>
      </c>
      <c r="L4283" t="s">
        <v>366</v>
      </c>
    </row>
    <row r="4284" spans="10:12" ht="15.75" hidden="1" customHeight="1" x14ac:dyDescent="0.2">
      <c r="J4284" t="s">
        <v>345</v>
      </c>
      <c r="K4284" t="s">
        <v>346</v>
      </c>
      <c r="L4284" t="s">
        <v>366</v>
      </c>
    </row>
    <row r="4285" spans="10:12" ht="15.75" hidden="1" customHeight="1" x14ac:dyDescent="0.2">
      <c r="J4285" t="s">
        <v>347</v>
      </c>
      <c r="K4285" t="s">
        <v>348</v>
      </c>
      <c r="L4285" t="s">
        <v>366</v>
      </c>
    </row>
    <row r="4286" spans="10:12" ht="15.75" hidden="1" customHeight="1" x14ac:dyDescent="0.2">
      <c r="J4286" t="s">
        <v>300</v>
      </c>
      <c r="K4286" t="s">
        <v>301</v>
      </c>
      <c r="L4286">
        <v>0</v>
      </c>
    </row>
    <row r="4287" spans="10:12" ht="15.75" hidden="1" customHeight="1" x14ac:dyDescent="0.2">
      <c r="J4287" t="s">
        <v>288</v>
      </c>
      <c r="K4287" t="s">
        <v>302</v>
      </c>
      <c r="L4287">
        <v>0</v>
      </c>
    </row>
    <row r="4288" spans="10:12" ht="15.75" hidden="1" customHeight="1" x14ac:dyDescent="0.2">
      <c r="J4288" t="s">
        <v>303</v>
      </c>
      <c r="K4288" t="s">
        <v>304</v>
      </c>
      <c r="L4288">
        <v>6</v>
      </c>
    </row>
    <row r="4289" spans="10:12" ht="15.75" hidden="1" customHeight="1" x14ac:dyDescent="0.2">
      <c r="J4289" t="s">
        <v>305</v>
      </c>
      <c r="K4289" t="s">
        <v>306</v>
      </c>
      <c r="L4289" t="s">
        <v>366</v>
      </c>
    </row>
    <row r="4290" spans="10:12" ht="15.75" hidden="1" customHeight="1" x14ac:dyDescent="0.2">
      <c r="J4290" t="s">
        <v>307</v>
      </c>
      <c r="K4290" t="s">
        <v>308</v>
      </c>
      <c r="L4290" t="s">
        <v>366</v>
      </c>
    </row>
    <row r="4291" spans="10:12" ht="15.75" hidden="1" customHeight="1" x14ac:dyDescent="0.2">
      <c r="J4291" t="s">
        <v>243</v>
      </c>
      <c r="K4291" t="s">
        <v>309</v>
      </c>
      <c r="L4291" t="s">
        <v>366</v>
      </c>
    </row>
    <row r="4292" spans="10:12" ht="15.75" hidden="1" customHeight="1" x14ac:dyDescent="0.2">
      <c r="J4292" t="s">
        <v>245</v>
      </c>
      <c r="K4292" t="s">
        <v>310</v>
      </c>
      <c r="L4292" t="s">
        <v>366</v>
      </c>
    </row>
    <row r="4293" spans="10:12" ht="15.75" hidden="1" customHeight="1" x14ac:dyDescent="0.2">
      <c r="J4293" t="s">
        <v>247</v>
      </c>
      <c r="K4293" t="s">
        <v>311</v>
      </c>
      <c r="L4293" t="s">
        <v>366</v>
      </c>
    </row>
    <row r="4294" spans="10:12" ht="15.75" hidden="1" customHeight="1" x14ac:dyDescent="0.2">
      <c r="J4294" t="s">
        <v>249</v>
      </c>
      <c r="K4294" t="s">
        <v>312</v>
      </c>
      <c r="L4294" t="s">
        <v>366</v>
      </c>
    </row>
    <row r="4295" spans="10:12" ht="15.75" hidden="1" customHeight="1" x14ac:dyDescent="0.2">
      <c r="J4295" t="s">
        <v>251</v>
      </c>
      <c r="K4295" t="s">
        <v>313</v>
      </c>
      <c r="L4295" t="s">
        <v>366</v>
      </c>
    </row>
    <row r="4296" spans="10:12" ht="15.75" hidden="1" customHeight="1" x14ac:dyDescent="0.2">
      <c r="J4296" t="s">
        <v>253</v>
      </c>
      <c r="K4296" t="s">
        <v>314</v>
      </c>
      <c r="L4296" t="s">
        <v>366</v>
      </c>
    </row>
    <row r="4297" spans="10:12" ht="15.75" hidden="1" customHeight="1" x14ac:dyDescent="0.2">
      <c r="J4297" t="s">
        <v>315</v>
      </c>
      <c r="K4297" t="s">
        <v>316</v>
      </c>
      <c r="L4297" t="s">
        <v>366</v>
      </c>
    </row>
    <row r="4298" spans="10:12" ht="15.75" hidden="1" customHeight="1" x14ac:dyDescent="0.2">
      <c r="J4298" t="s">
        <v>317</v>
      </c>
      <c r="K4298" t="s">
        <v>318</v>
      </c>
      <c r="L4298">
        <v>0</v>
      </c>
    </row>
    <row r="4299" spans="10:12" ht="15.75" hidden="1" customHeight="1" x14ac:dyDescent="0.2">
      <c r="J4299" t="s">
        <v>257</v>
      </c>
      <c r="K4299" t="s">
        <v>319</v>
      </c>
      <c r="L4299">
        <v>0</v>
      </c>
    </row>
    <row r="4300" spans="10:12" ht="15.75" hidden="1" customHeight="1" x14ac:dyDescent="0.2">
      <c r="J4300" t="s">
        <v>320</v>
      </c>
      <c r="K4300" t="s">
        <v>321</v>
      </c>
      <c r="L4300" t="s">
        <v>366</v>
      </c>
    </row>
    <row r="4301" spans="10:12" ht="15.75" hidden="1" customHeight="1" x14ac:dyDescent="0.2">
      <c r="J4301" t="s">
        <v>263</v>
      </c>
      <c r="K4301" t="s">
        <v>322</v>
      </c>
      <c r="L4301" t="s">
        <v>366</v>
      </c>
    </row>
    <row r="4302" spans="10:12" ht="15.75" hidden="1" customHeight="1" x14ac:dyDescent="0.2">
      <c r="J4302" t="s">
        <v>323</v>
      </c>
      <c r="K4302" t="s">
        <v>324</v>
      </c>
      <c r="L4302" t="s">
        <v>366</v>
      </c>
    </row>
    <row r="4303" spans="10:12" ht="15.75" hidden="1" customHeight="1" x14ac:dyDescent="0.2">
      <c r="J4303" t="s">
        <v>325</v>
      </c>
      <c r="K4303" t="s">
        <v>326</v>
      </c>
      <c r="L4303" t="s">
        <v>366</v>
      </c>
    </row>
    <row r="4304" spans="10:12" ht="15.75" hidden="1" customHeight="1" x14ac:dyDescent="0.2">
      <c r="J4304" t="s">
        <v>327</v>
      </c>
      <c r="K4304" t="s">
        <v>328</v>
      </c>
      <c r="L4304" t="s">
        <v>366</v>
      </c>
    </row>
    <row r="4305" spans="10:12" ht="15.75" hidden="1" customHeight="1" x14ac:dyDescent="0.2">
      <c r="J4305" t="s">
        <v>329</v>
      </c>
      <c r="K4305" t="s">
        <v>330</v>
      </c>
      <c r="L4305" t="s">
        <v>366</v>
      </c>
    </row>
    <row r="4306" spans="10:12" ht="15.75" hidden="1" customHeight="1" x14ac:dyDescent="0.2">
      <c r="J4306" t="s">
        <v>331</v>
      </c>
      <c r="K4306" t="s">
        <v>332</v>
      </c>
      <c r="L4306" t="s">
        <v>366</v>
      </c>
    </row>
    <row r="4307" spans="10:12" ht="15.75" hidden="1" customHeight="1" x14ac:dyDescent="0.2">
      <c r="J4307" t="s">
        <v>333</v>
      </c>
      <c r="K4307" t="s">
        <v>334</v>
      </c>
      <c r="L4307" t="s">
        <v>366</v>
      </c>
    </row>
    <row r="4308" spans="10:12" ht="15.75" hidden="1" customHeight="1" x14ac:dyDescent="0.2">
      <c r="J4308" t="s">
        <v>335</v>
      </c>
      <c r="K4308" t="s">
        <v>336</v>
      </c>
      <c r="L4308" t="s">
        <v>366</v>
      </c>
    </row>
    <row r="4309" spans="10:12" ht="15.75" hidden="1" customHeight="1" x14ac:dyDescent="0.2">
      <c r="J4309" t="s">
        <v>337</v>
      </c>
      <c r="K4309" t="s">
        <v>338</v>
      </c>
      <c r="L4309" t="s">
        <v>366</v>
      </c>
    </row>
    <row r="4310" spans="10:12" ht="15.75" hidden="1" customHeight="1" x14ac:dyDescent="0.2">
      <c r="J4310" t="s">
        <v>339</v>
      </c>
      <c r="K4310" t="s">
        <v>340</v>
      </c>
      <c r="L4310" t="s">
        <v>366</v>
      </c>
    </row>
    <row r="4311" spans="10:12" ht="15.75" hidden="1" customHeight="1" x14ac:dyDescent="0.2">
      <c r="J4311" t="s">
        <v>341</v>
      </c>
      <c r="K4311" t="s">
        <v>342</v>
      </c>
      <c r="L4311" t="s">
        <v>366</v>
      </c>
    </row>
    <row r="4312" spans="10:12" ht="15.75" hidden="1" customHeight="1" x14ac:dyDescent="0.2">
      <c r="J4312" t="s">
        <v>343</v>
      </c>
      <c r="K4312" t="s">
        <v>344</v>
      </c>
      <c r="L4312" t="s">
        <v>366</v>
      </c>
    </row>
    <row r="4313" spans="10:12" ht="15.75" hidden="1" customHeight="1" x14ac:dyDescent="0.2">
      <c r="J4313" t="s">
        <v>345</v>
      </c>
      <c r="K4313" t="s">
        <v>346</v>
      </c>
      <c r="L4313" t="s">
        <v>366</v>
      </c>
    </row>
    <row r="4314" spans="10:12" ht="15.75" hidden="1" customHeight="1" x14ac:dyDescent="0.2">
      <c r="J4314" t="s">
        <v>347</v>
      </c>
      <c r="K4314" t="s">
        <v>348</v>
      </c>
      <c r="L4314" t="s">
        <v>366</v>
      </c>
    </row>
    <row r="4315" spans="10:12" ht="15.75" hidden="1" customHeight="1" x14ac:dyDescent="0.2">
      <c r="J4315" t="s">
        <v>300</v>
      </c>
      <c r="K4315" t="s">
        <v>301</v>
      </c>
      <c r="L4315">
        <v>0</v>
      </c>
    </row>
    <row r="4316" spans="10:12" ht="15.75" hidden="1" customHeight="1" x14ac:dyDescent="0.2">
      <c r="J4316" t="s">
        <v>288</v>
      </c>
      <c r="K4316" t="s">
        <v>302</v>
      </c>
      <c r="L4316">
        <v>0</v>
      </c>
    </row>
    <row r="4317" spans="10:12" ht="15.75" hidden="1" customHeight="1" x14ac:dyDescent="0.2">
      <c r="J4317" t="s">
        <v>303</v>
      </c>
      <c r="K4317" t="s">
        <v>304</v>
      </c>
      <c r="L4317">
        <v>3</v>
      </c>
    </row>
    <row r="4318" spans="10:12" ht="15.75" hidden="1" customHeight="1" x14ac:dyDescent="0.2">
      <c r="J4318" t="s">
        <v>305</v>
      </c>
      <c r="K4318" t="s">
        <v>306</v>
      </c>
      <c r="L4318">
        <v>0</v>
      </c>
    </row>
    <row r="4319" spans="10:12" ht="15.75" hidden="1" customHeight="1" x14ac:dyDescent="0.2">
      <c r="J4319" t="s">
        <v>307</v>
      </c>
      <c r="K4319" t="s">
        <v>308</v>
      </c>
      <c r="L4319">
        <v>1</v>
      </c>
    </row>
    <row r="4320" spans="10:12" ht="15.75" hidden="1" customHeight="1" x14ac:dyDescent="0.2">
      <c r="J4320" t="s">
        <v>243</v>
      </c>
      <c r="K4320" t="s">
        <v>309</v>
      </c>
      <c r="L4320">
        <v>0</v>
      </c>
    </row>
    <row r="4321" spans="10:12" ht="15.75" hidden="1" customHeight="1" x14ac:dyDescent="0.2">
      <c r="J4321" t="s">
        <v>245</v>
      </c>
      <c r="K4321" t="s">
        <v>310</v>
      </c>
      <c r="L4321">
        <v>0</v>
      </c>
    </row>
    <row r="4322" spans="10:12" ht="15.75" hidden="1" customHeight="1" x14ac:dyDescent="0.2">
      <c r="J4322" t="s">
        <v>247</v>
      </c>
      <c r="K4322" t="s">
        <v>311</v>
      </c>
      <c r="L4322">
        <v>0</v>
      </c>
    </row>
    <row r="4323" spans="10:12" ht="15.75" hidden="1" customHeight="1" x14ac:dyDescent="0.2">
      <c r="J4323" t="s">
        <v>249</v>
      </c>
      <c r="K4323" t="s">
        <v>312</v>
      </c>
      <c r="L4323">
        <v>6</v>
      </c>
    </row>
    <row r="4324" spans="10:12" ht="15.75" hidden="1" customHeight="1" x14ac:dyDescent="0.2">
      <c r="J4324" t="s">
        <v>251</v>
      </c>
      <c r="K4324" t="s">
        <v>313</v>
      </c>
      <c r="L4324">
        <v>5</v>
      </c>
    </row>
    <row r="4325" spans="10:12" ht="15.75" hidden="1" customHeight="1" x14ac:dyDescent="0.2">
      <c r="J4325" t="s">
        <v>253</v>
      </c>
      <c r="K4325" t="s">
        <v>314</v>
      </c>
      <c r="L4325">
        <v>13.9316</v>
      </c>
    </row>
    <row r="4326" spans="10:12" ht="15.75" hidden="1" customHeight="1" x14ac:dyDescent="0.2">
      <c r="J4326" t="s">
        <v>315</v>
      </c>
      <c r="K4326" t="s">
        <v>316</v>
      </c>
      <c r="L4326">
        <v>0</v>
      </c>
    </row>
    <row r="4327" spans="10:12" ht="15.75" hidden="1" customHeight="1" x14ac:dyDescent="0.2">
      <c r="J4327" t="s">
        <v>317</v>
      </c>
      <c r="K4327" t="s">
        <v>318</v>
      </c>
      <c r="L4327">
        <v>10</v>
      </c>
    </row>
    <row r="4328" spans="10:12" ht="15.75" hidden="1" customHeight="1" x14ac:dyDescent="0.2">
      <c r="J4328" t="s">
        <v>257</v>
      </c>
      <c r="K4328" t="s">
        <v>319</v>
      </c>
      <c r="L4328">
        <v>70.386200000000002</v>
      </c>
    </row>
    <row r="4329" spans="10:12" ht="15.75" hidden="1" customHeight="1" x14ac:dyDescent="0.2">
      <c r="J4329" t="s">
        <v>320</v>
      </c>
      <c r="K4329" t="s">
        <v>321</v>
      </c>
      <c r="L4329">
        <v>1</v>
      </c>
    </row>
    <row r="4330" spans="10:12" ht="15.75" hidden="1" customHeight="1" x14ac:dyDescent="0.2">
      <c r="J4330" t="s">
        <v>263</v>
      </c>
      <c r="K4330" t="s">
        <v>322</v>
      </c>
      <c r="L4330">
        <v>3</v>
      </c>
    </row>
    <row r="4331" spans="10:12" ht="15.75" hidden="1" customHeight="1" x14ac:dyDescent="0.2">
      <c r="J4331" t="s">
        <v>323</v>
      </c>
      <c r="K4331" t="s">
        <v>324</v>
      </c>
      <c r="L4331">
        <v>0</v>
      </c>
    </row>
    <row r="4332" spans="10:12" ht="15.75" hidden="1" customHeight="1" x14ac:dyDescent="0.2">
      <c r="J4332" t="s">
        <v>325</v>
      </c>
      <c r="K4332" t="s">
        <v>326</v>
      </c>
      <c r="L4332">
        <v>1</v>
      </c>
    </row>
    <row r="4333" spans="10:12" ht="15.75" hidden="1" customHeight="1" x14ac:dyDescent="0.2">
      <c r="J4333" t="s">
        <v>327</v>
      </c>
      <c r="K4333" t="s">
        <v>328</v>
      </c>
      <c r="L4333">
        <v>0</v>
      </c>
    </row>
    <row r="4334" spans="10:12" ht="15.75" hidden="1" customHeight="1" x14ac:dyDescent="0.2">
      <c r="J4334" t="s">
        <v>329</v>
      </c>
      <c r="K4334" t="s">
        <v>330</v>
      </c>
      <c r="L4334">
        <v>13</v>
      </c>
    </row>
    <row r="4335" spans="10:12" ht="15.75" hidden="1" customHeight="1" x14ac:dyDescent="0.2">
      <c r="J4335" t="s">
        <v>331</v>
      </c>
      <c r="K4335" t="s">
        <v>332</v>
      </c>
      <c r="L4335">
        <v>0</v>
      </c>
    </row>
    <row r="4336" spans="10:12" ht="15.75" hidden="1" customHeight="1" x14ac:dyDescent="0.2">
      <c r="J4336" t="s">
        <v>333</v>
      </c>
      <c r="K4336" t="s">
        <v>334</v>
      </c>
      <c r="L4336">
        <v>1</v>
      </c>
    </row>
    <row r="4337" spans="10:12" ht="15.75" hidden="1" customHeight="1" x14ac:dyDescent="0.2">
      <c r="J4337" t="s">
        <v>335</v>
      </c>
      <c r="K4337" t="s">
        <v>336</v>
      </c>
      <c r="L4337">
        <v>14</v>
      </c>
    </row>
    <row r="4338" spans="10:12" ht="15.75" hidden="1" customHeight="1" x14ac:dyDescent="0.2">
      <c r="J4338" t="s">
        <v>337</v>
      </c>
      <c r="K4338" t="s">
        <v>338</v>
      </c>
      <c r="L4338">
        <v>0</v>
      </c>
    </row>
    <row r="4339" spans="10:12" ht="15.75" hidden="1" customHeight="1" x14ac:dyDescent="0.2">
      <c r="J4339" t="s">
        <v>339</v>
      </c>
      <c r="K4339" t="s">
        <v>340</v>
      </c>
      <c r="L4339">
        <v>0</v>
      </c>
    </row>
    <row r="4340" spans="10:12" ht="15.75" hidden="1" customHeight="1" x14ac:dyDescent="0.2">
      <c r="J4340" t="s">
        <v>341</v>
      </c>
      <c r="K4340" t="s">
        <v>342</v>
      </c>
      <c r="L4340">
        <v>2</v>
      </c>
    </row>
    <row r="4341" spans="10:12" ht="15.75" hidden="1" customHeight="1" x14ac:dyDescent="0.2">
      <c r="J4341" t="s">
        <v>343</v>
      </c>
      <c r="K4341" t="s">
        <v>344</v>
      </c>
      <c r="L4341">
        <v>0</v>
      </c>
    </row>
    <row r="4342" spans="10:12" ht="15.75" hidden="1" customHeight="1" x14ac:dyDescent="0.2">
      <c r="J4342" t="s">
        <v>345</v>
      </c>
      <c r="K4342" t="s">
        <v>346</v>
      </c>
      <c r="L4342">
        <v>0</v>
      </c>
    </row>
    <row r="4343" spans="10:12" ht="15.75" hidden="1" customHeight="1" x14ac:dyDescent="0.2">
      <c r="J4343" t="s">
        <v>347</v>
      </c>
      <c r="K4343" t="s">
        <v>348</v>
      </c>
      <c r="L4343">
        <v>1</v>
      </c>
    </row>
    <row r="4344" spans="10:12" ht="15.75" hidden="1" customHeight="1" x14ac:dyDescent="0.2">
      <c r="J4344" t="s">
        <v>300</v>
      </c>
      <c r="K4344" t="s">
        <v>301</v>
      </c>
      <c r="L4344">
        <v>5</v>
      </c>
    </row>
    <row r="4345" spans="10:12" ht="15.75" hidden="1" customHeight="1" x14ac:dyDescent="0.2">
      <c r="J4345" t="s">
        <v>288</v>
      </c>
      <c r="K4345" t="s">
        <v>302</v>
      </c>
      <c r="L4345">
        <v>40</v>
      </c>
    </row>
    <row r="4346" spans="10:12" ht="15.75" hidden="1" customHeight="1" x14ac:dyDescent="0.2">
      <c r="J4346" t="s">
        <v>303</v>
      </c>
      <c r="K4346" t="s">
        <v>304</v>
      </c>
      <c r="L4346">
        <v>24</v>
      </c>
    </row>
    <row r="4347" spans="10:12" ht="15.75" hidden="1" customHeight="1" x14ac:dyDescent="0.2">
      <c r="J4347" t="s">
        <v>305</v>
      </c>
      <c r="K4347" t="s">
        <v>306</v>
      </c>
      <c r="L4347">
        <v>1</v>
      </c>
    </row>
    <row r="4348" spans="10:12" ht="15.75" hidden="1" customHeight="1" x14ac:dyDescent="0.2">
      <c r="J4348" t="s">
        <v>307</v>
      </c>
      <c r="K4348" t="s">
        <v>308</v>
      </c>
      <c r="L4348">
        <v>1</v>
      </c>
    </row>
    <row r="4349" spans="10:12" ht="15.75" hidden="1" customHeight="1" x14ac:dyDescent="0.2">
      <c r="J4349" t="s">
        <v>243</v>
      </c>
      <c r="K4349" t="s">
        <v>309</v>
      </c>
      <c r="L4349">
        <v>75.940299999999993</v>
      </c>
    </row>
    <row r="4350" spans="10:12" ht="15.75" hidden="1" customHeight="1" x14ac:dyDescent="0.2">
      <c r="J4350" t="s">
        <v>245</v>
      </c>
      <c r="K4350" t="s">
        <v>310</v>
      </c>
      <c r="L4350">
        <v>216257.0001</v>
      </c>
    </row>
    <row r="4351" spans="10:12" ht="15.75" hidden="1" customHeight="1" x14ac:dyDescent="0.2">
      <c r="J4351" t="s">
        <v>247</v>
      </c>
      <c r="K4351" t="s">
        <v>311</v>
      </c>
      <c r="L4351">
        <v>1.2010000000000001</v>
      </c>
    </row>
    <row r="4352" spans="10:12" ht="15.75" hidden="1" customHeight="1" x14ac:dyDescent="0.2">
      <c r="J4352" t="s">
        <v>249</v>
      </c>
      <c r="K4352" t="s">
        <v>312</v>
      </c>
      <c r="L4352">
        <v>416</v>
      </c>
    </row>
    <row r="4353" spans="10:12" ht="15.75" hidden="1" customHeight="1" x14ac:dyDescent="0.2">
      <c r="J4353" t="s">
        <v>251</v>
      </c>
      <c r="K4353" t="s">
        <v>313</v>
      </c>
      <c r="L4353">
        <v>115</v>
      </c>
    </row>
    <row r="4354" spans="10:12" ht="15.75" hidden="1" customHeight="1" x14ac:dyDescent="0.2">
      <c r="J4354" t="s">
        <v>253</v>
      </c>
      <c r="K4354" t="s">
        <v>314</v>
      </c>
      <c r="L4354">
        <v>2847.7239</v>
      </c>
    </row>
    <row r="4355" spans="10:12" ht="15.75" hidden="1" customHeight="1" x14ac:dyDescent="0.2">
      <c r="J4355" t="s">
        <v>315</v>
      </c>
      <c r="K4355" t="s">
        <v>316</v>
      </c>
      <c r="L4355">
        <v>2</v>
      </c>
    </row>
    <row r="4356" spans="10:12" ht="15.75" hidden="1" customHeight="1" x14ac:dyDescent="0.2">
      <c r="J4356" t="s">
        <v>317</v>
      </c>
      <c r="K4356" t="s">
        <v>318</v>
      </c>
      <c r="L4356">
        <v>158</v>
      </c>
    </row>
    <row r="4357" spans="10:12" ht="15.75" hidden="1" customHeight="1" x14ac:dyDescent="0.2">
      <c r="J4357" t="s">
        <v>257</v>
      </c>
      <c r="K4357" t="s">
        <v>319</v>
      </c>
      <c r="L4357">
        <v>27.344999999999999</v>
      </c>
    </row>
    <row r="4358" spans="10:12" ht="15.75" hidden="1" customHeight="1" x14ac:dyDescent="0.2">
      <c r="J4358" t="s">
        <v>320</v>
      </c>
      <c r="K4358" t="s">
        <v>321</v>
      </c>
      <c r="L4358">
        <v>90</v>
      </c>
    </row>
    <row r="4359" spans="10:12" ht="15.75" hidden="1" customHeight="1" x14ac:dyDescent="0.2">
      <c r="J4359" t="s">
        <v>263</v>
      </c>
      <c r="K4359" t="s">
        <v>322</v>
      </c>
      <c r="L4359">
        <v>100</v>
      </c>
    </row>
    <row r="4360" spans="10:12" ht="15.75" hidden="1" customHeight="1" x14ac:dyDescent="0.2">
      <c r="J4360" t="s">
        <v>323</v>
      </c>
      <c r="K4360" t="s">
        <v>324</v>
      </c>
      <c r="L4360">
        <v>3</v>
      </c>
    </row>
    <row r="4361" spans="10:12" ht="15.75" hidden="1" customHeight="1" x14ac:dyDescent="0.2">
      <c r="J4361" t="s">
        <v>325</v>
      </c>
      <c r="K4361" t="s">
        <v>326</v>
      </c>
      <c r="L4361">
        <v>4</v>
      </c>
    </row>
    <row r="4362" spans="10:12" ht="15.75" hidden="1" customHeight="1" x14ac:dyDescent="0.2">
      <c r="J4362" t="s">
        <v>327</v>
      </c>
      <c r="K4362" t="s">
        <v>328</v>
      </c>
      <c r="L4362">
        <v>3</v>
      </c>
    </row>
    <row r="4363" spans="10:12" ht="15.75" hidden="1" customHeight="1" x14ac:dyDescent="0.2">
      <c r="J4363" t="s">
        <v>329</v>
      </c>
      <c r="K4363" t="s">
        <v>330</v>
      </c>
      <c r="L4363">
        <v>27</v>
      </c>
    </row>
    <row r="4364" spans="10:12" ht="15.75" hidden="1" customHeight="1" x14ac:dyDescent="0.2">
      <c r="J4364" t="s">
        <v>331</v>
      </c>
      <c r="K4364" t="s">
        <v>332</v>
      </c>
      <c r="L4364">
        <v>0</v>
      </c>
    </row>
    <row r="4365" spans="10:12" ht="15.75" hidden="1" customHeight="1" x14ac:dyDescent="0.2">
      <c r="J4365" t="s">
        <v>333</v>
      </c>
      <c r="K4365" t="s">
        <v>334</v>
      </c>
      <c r="L4365">
        <v>6</v>
      </c>
    </row>
    <row r="4366" spans="10:12" ht="15.75" hidden="1" customHeight="1" x14ac:dyDescent="0.2">
      <c r="J4366" t="s">
        <v>335</v>
      </c>
      <c r="K4366" t="s">
        <v>336</v>
      </c>
      <c r="L4366">
        <v>25</v>
      </c>
    </row>
    <row r="4367" spans="10:12" ht="15.75" hidden="1" customHeight="1" x14ac:dyDescent="0.2">
      <c r="J4367" t="s">
        <v>337</v>
      </c>
      <c r="K4367" t="s">
        <v>338</v>
      </c>
      <c r="L4367">
        <v>1</v>
      </c>
    </row>
    <row r="4368" spans="10:12" ht="15.75" hidden="1" customHeight="1" x14ac:dyDescent="0.2">
      <c r="J4368" t="s">
        <v>339</v>
      </c>
      <c r="K4368" t="s">
        <v>340</v>
      </c>
      <c r="L4368">
        <v>0</v>
      </c>
    </row>
    <row r="4369" spans="1:12" ht="15.75" hidden="1" customHeight="1" x14ac:dyDescent="0.2">
      <c r="J4369" t="s">
        <v>341</v>
      </c>
      <c r="K4369" t="s">
        <v>342</v>
      </c>
      <c r="L4369">
        <v>34</v>
      </c>
    </row>
    <row r="4370" spans="1:12" ht="15.75" hidden="1" customHeight="1" x14ac:dyDescent="0.2">
      <c r="J4370" t="s">
        <v>343</v>
      </c>
      <c r="K4370" t="s">
        <v>344</v>
      </c>
      <c r="L4370">
        <v>0.33329999999999999</v>
      </c>
    </row>
    <row r="4371" spans="1:12" ht="15.75" hidden="1" customHeight="1" x14ac:dyDescent="0.2">
      <c r="J4371" t="s">
        <v>345</v>
      </c>
      <c r="K4371" t="s">
        <v>346</v>
      </c>
      <c r="L4371">
        <v>0.2</v>
      </c>
    </row>
    <row r="4372" spans="1:12" ht="15.75" hidden="1" customHeight="1" x14ac:dyDescent="0.2">
      <c r="J4372" t="s">
        <v>347</v>
      </c>
      <c r="K4372" t="s">
        <v>348</v>
      </c>
      <c r="L4372">
        <v>43</v>
      </c>
    </row>
    <row r="4373" spans="1:12" ht="15.75" hidden="1" customHeight="1" x14ac:dyDescent="0.2">
      <c r="A4373">
        <v>0</v>
      </c>
    </row>
    <row r="4374" spans="1:12" ht="15.75" hidden="1" customHeight="1" x14ac:dyDescent="0.2">
      <c r="A4374">
        <v>0</v>
      </c>
    </row>
    <row r="4375" spans="1:12" ht="15.75" hidden="1" customHeight="1" x14ac:dyDescent="0.2">
      <c r="A4375">
        <v>0</v>
      </c>
    </row>
    <row r="4376" spans="1:12" ht="15.75" hidden="1" customHeight="1" x14ac:dyDescent="0.2">
      <c r="A4376">
        <v>0</v>
      </c>
    </row>
    <row r="4377" spans="1:12" ht="15.75" hidden="1" customHeight="1" x14ac:dyDescent="0.2">
      <c r="A4377">
        <v>0</v>
      </c>
    </row>
    <row r="4378" spans="1:12" ht="15.75" hidden="1" customHeight="1" x14ac:dyDescent="0.2">
      <c r="A4378">
        <v>1</v>
      </c>
    </row>
    <row r="4379" spans="1:12" ht="15.75" hidden="1" customHeight="1" x14ac:dyDescent="0.2">
      <c r="A4379">
        <v>30</v>
      </c>
    </row>
    <row r="4380" spans="1:12" ht="15.75" hidden="1" customHeight="1" x14ac:dyDescent="0.2">
      <c r="A4380">
        <v>3.2000000000000002E-3</v>
      </c>
    </row>
    <row r="4381" spans="1:12" ht="15.75" hidden="1" customHeight="1" x14ac:dyDescent="0.2">
      <c r="A4381">
        <v>10</v>
      </c>
    </row>
    <row r="4382" spans="1:12" ht="15.75" hidden="1" customHeight="1" x14ac:dyDescent="0.2">
      <c r="A4382">
        <v>8</v>
      </c>
    </row>
    <row r="4383" spans="1:12" ht="15.75" hidden="1" customHeight="1" x14ac:dyDescent="0.2">
      <c r="A4383">
        <v>30</v>
      </c>
    </row>
    <row r="4384" spans="1:12" ht="15.75" hidden="1" customHeight="1" x14ac:dyDescent="0.2">
      <c r="A4384">
        <v>5</v>
      </c>
    </row>
    <row r="4385" spans="1:4" ht="15.75" hidden="1" customHeight="1" x14ac:dyDescent="0.2">
      <c r="A4385">
        <v>1</v>
      </c>
    </row>
    <row r="4386" spans="1:4" ht="15.75" hidden="1" customHeight="1" x14ac:dyDescent="0.2">
      <c r="A4386">
        <v>0</v>
      </c>
    </row>
    <row r="4387" spans="1:4" ht="15.75" hidden="1" customHeight="1" x14ac:dyDescent="0.2">
      <c r="A4387">
        <v>74.409899999999993</v>
      </c>
    </row>
    <row r="4388" spans="1:4" ht="15.75" hidden="1" customHeight="1" x14ac:dyDescent="0.2">
      <c r="A4388">
        <v>0</v>
      </c>
    </row>
    <row r="4389" spans="1:4" ht="15.75" hidden="1" customHeight="1" x14ac:dyDescent="0.2">
      <c r="A4389">
        <v>1</v>
      </c>
    </row>
    <row r="4390" spans="1:4" ht="15.75" hidden="1" customHeight="1" x14ac:dyDescent="0.2">
      <c r="A4390">
        <v>6</v>
      </c>
    </row>
    <row r="4391" spans="1:4" ht="15.75" hidden="1" customHeight="1" x14ac:dyDescent="0.2">
      <c r="A4391">
        <v>0</v>
      </c>
    </row>
    <row r="4392" spans="1:4" ht="15.75" hidden="1" customHeight="1" x14ac:dyDescent="0.2">
      <c r="A4392">
        <v>3</v>
      </c>
    </row>
    <row r="4393" spans="1:4" ht="15.75" hidden="1" customHeight="1" x14ac:dyDescent="0.2">
      <c r="B4393" t="s">
        <v>300</v>
      </c>
      <c r="C4393" t="s">
        <v>301</v>
      </c>
      <c r="D4393">
        <v>0</v>
      </c>
    </row>
    <row r="4394" spans="1:4" ht="15.75" hidden="1" customHeight="1" x14ac:dyDescent="0.2">
      <c r="B4394" t="s">
        <v>288</v>
      </c>
      <c r="C4394" t="s">
        <v>302</v>
      </c>
      <c r="D4394">
        <v>0</v>
      </c>
    </row>
    <row r="4395" spans="1:4" ht="15.75" hidden="1" customHeight="1" x14ac:dyDescent="0.2">
      <c r="B4395" t="s">
        <v>303</v>
      </c>
      <c r="C4395" t="s">
        <v>304</v>
      </c>
      <c r="D4395">
        <v>8</v>
      </c>
    </row>
    <row r="4396" spans="1:4" ht="15.75" hidden="1" customHeight="1" x14ac:dyDescent="0.2">
      <c r="B4396" t="s">
        <v>305</v>
      </c>
      <c r="C4396" t="s">
        <v>306</v>
      </c>
      <c r="D4396">
        <v>2</v>
      </c>
    </row>
    <row r="4397" spans="1:4" ht="15.75" hidden="1" customHeight="1" x14ac:dyDescent="0.2">
      <c r="B4397" t="s">
        <v>307</v>
      </c>
      <c r="C4397" t="s">
        <v>308</v>
      </c>
      <c r="D4397">
        <v>1</v>
      </c>
    </row>
    <row r="4398" spans="1:4" ht="15.75" hidden="1" customHeight="1" x14ac:dyDescent="0.2">
      <c r="B4398" t="s">
        <v>243</v>
      </c>
      <c r="C4398" t="s">
        <v>309</v>
      </c>
      <c r="D4398">
        <v>2.5</v>
      </c>
    </row>
    <row r="4399" spans="1:4" ht="15.75" hidden="1" customHeight="1" x14ac:dyDescent="0.2">
      <c r="B4399" t="s">
        <v>245</v>
      </c>
      <c r="C4399" t="s">
        <v>310</v>
      </c>
      <c r="D4399">
        <v>121.0801</v>
      </c>
    </row>
    <row r="4400" spans="1:4" ht="15.75" hidden="1" customHeight="1" x14ac:dyDescent="0.2">
      <c r="B4400" t="s">
        <v>247</v>
      </c>
      <c r="C4400" t="s">
        <v>311</v>
      </c>
      <c r="D4400">
        <v>8.2000000000000007E-3</v>
      </c>
    </row>
    <row r="4401" spans="2:4" ht="15.75" hidden="1" customHeight="1" x14ac:dyDescent="0.2">
      <c r="B4401" t="s">
        <v>249</v>
      </c>
      <c r="C4401" t="s">
        <v>312</v>
      </c>
      <c r="D4401">
        <v>14</v>
      </c>
    </row>
    <row r="4402" spans="2:4" ht="15.75" hidden="1" customHeight="1" x14ac:dyDescent="0.2">
      <c r="B4402" t="s">
        <v>251</v>
      </c>
      <c r="C4402" t="s">
        <v>313</v>
      </c>
      <c r="D4402">
        <v>11</v>
      </c>
    </row>
    <row r="4403" spans="2:4" ht="15.75" hidden="1" customHeight="1" x14ac:dyDescent="0.2">
      <c r="B4403" t="s">
        <v>253</v>
      </c>
      <c r="C4403" t="s">
        <v>314</v>
      </c>
      <c r="D4403">
        <v>48.432000000000002</v>
      </c>
    </row>
    <row r="4404" spans="2:4" ht="15.75" hidden="1" customHeight="1" x14ac:dyDescent="0.2">
      <c r="B4404" t="s">
        <v>315</v>
      </c>
      <c r="C4404" t="s">
        <v>316</v>
      </c>
      <c r="D4404">
        <v>0</v>
      </c>
    </row>
    <row r="4405" spans="2:4" ht="15.75" hidden="1" customHeight="1" x14ac:dyDescent="0.2">
      <c r="B4405" t="s">
        <v>317</v>
      </c>
      <c r="C4405" t="s">
        <v>318</v>
      </c>
      <c r="D4405">
        <v>5</v>
      </c>
    </row>
    <row r="4406" spans="2:4" ht="15.75" hidden="1" customHeight="1" x14ac:dyDescent="0.2">
      <c r="B4406" t="s">
        <v>257</v>
      </c>
      <c r="C4406" t="s">
        <v>319</v>
      </c>
      <c r="D4406">
        <v>72.980599999999995</v>
      </c>
    </row>
    <row r="4407" spans="2:4" ht="15.75" hidden="1" customHeight="1" x14ac:dyDescent="0.2">
      <c r="B4407" t="s">
        <v>320</v>
      </c>
      <c r="C4407" t="s">
        <v>321</v>
      </c>
      <c r="D4407">
        <v>0</v>
      </c>
    </row>
    <row r="4408" spans="2:4" ht="15.75" hidden="1" customHeight="1" x14ac:dyDescent="0.2">
      <c r="B4408" t="s">
        <v>263</v>
      </c>
      <c r="C4408" t="s">
        <v>322</v>
      </c>
      <c r="D4408">
        <v>8</v>
      </c>
    </row>
    <row r="4409" spans="2:4" ht="15.75" hidden="1" customHeight="1" x14ac:dyDescent="0.2">
      <c r="B4409" t="s">
        <v>323</v>
      </c>
      <c r="C4409" t="s">
        <v>324</v>
      </c>
      <c r="D4409">
        <v>0</v>
      </c>
    </row>
    <row r="4410" spans="2:4" ht="15.75" hidden="1" customHeight="1" x14ac:dyDescent="0.2">
      <c r="B4410" t="s">
        <v>325</v>
      </c>
      <c r="C4410" t="s">
        <v>326</v>
      </c>
      <c r="D4410">
        <v>0</v>
      </c>
    </row>
    <row r="4411" spans="2:4" ht="15.75" hidden="1" customHeight="1" x14ac:dyDescent="0.2">
      <c r="B4411" t="s">
        <v>327</v>
      </c>
      <c r="C4411" t="s">
        <v>328</v>
      </c>
      <c r="D4411">
        <v>3</v>
      </c>
    </row>
    <row r="4412" spans="2:4" ht="15.75" hidden="1" customHeight="1" x14ac:dyDescent="0.2">
      <c r="B4412" t="s">
        <v>329</v>
      </c>
      <c r="C4412" t="s">
        <v>330</v>
      </c>
      <c r="D4412">
        <v>17</v>
      </c>
    </row>
    <row r="4413" spans="2:4" ht="15.75" hidden="1" customHeight="1" x14ac:dyDescent="0.2">
      <c r="B4413" t="s">
        <v>331</v>
      </c>
      <c r="C4413" t="s">
        <v>332</v>
      </c>
      <c r="D4413">
        <v>0</v>
      </c>
    </row>
    <row r="4414" spans="2:4" ht="15.75" hidden="1" customHeight="1" x14ac:dyDescent="0.2">
      <c r="B4414" t="s">
        <v>333</v>
      </c>
      <c r="C4414" t="s">
        <v>334</v>
      </c>
      <c r="D4414">
        <v>1</v>
      </c>
    </row>
    <row r="4415" spans="2:4" ht="15.75" hidden="1" customHeight="1" x14ac:dyDescent="0.2">
      <c r="B4415" t="s">
        <v>335</v>
      </c>
      <c r="C4415" t="s">
        <v>336</v>
      </c>
      <c r="D4415">
        <v>14</v>
      </c>
    </row>
    <row r="4416" spans="2:4" ht="15.75" hidden="1" customHeight="1" x14ac:dyDescent="0.2">
      <c r="B4416" t="s">
        <v>337</v>
      </c>
      <c r="C4416" t="s">
        <v>338</v>
      </c>
      <c r="D4416">
        <v>0</v>
      </c>
    </row>
    <row r="4417" spans="2:12" ht="15.75" hidden="1" customHeight="1" x14ac:dyDescent="0.2">
      <c r="B4417" t="s">
        <v>339</v>
      </c>
      <c r="C4417" t="s">
        <v>340</v>
      </c>
      <c r="D4417">
        <v>0</v>
      </c>
    </row>
    <row r="4418" spans="2:12" ht="15.75" hidden="1" customHeight="1" x14ac:dyDescent="0.2">
      <c r="B4418" t="s">
        <v>341</v>
      </c>
      <c r="C4418" t="s">
        <v>342</v>
      </c>
      <c r="D4418">
        <v>1</v>
      </c>
    </row>
    <row r="4419" spans="2:12" ht="15.75" hidden="1" customHeight="1" x14ac:dyDescent="0.2">
      <c r="B4419" t="s">
        <v>343</v>
      </c>
      <c r="C4419" t="s">
        <v>344</v>
      </c>
      <c r="D4419">
        <v>0</v>
      </c>
    </row>
    <row r="4420" spans="2:12" ht="15.75" hidden="1" customHeight="1" x14ac:dyDescent="0.2">
      <c r="B4420" t="s">
        <v>345</v>
      </c>
      <c r="C4420" t="s">
        <v>346</v>
      </c>
      <c r="D4420">
        <v>0</v>
      </c>
    </row>
    <row r="4421" spans="2:12" ht="15.75" hidden="1" customHeight="1" x14ac:dyDescent="0.2">
      <c r="B4421" t="s">
        <v>347</v>
      </c>
      <c r="C4421" t="s">
        <v>348</v>
      </c>
      <c r="D4421">
        <v>1</v>
      </c>
    </row>
    <row r="4422" spans="2:12" ht="15.75" hidden="1" customHeight="1" x14ac:dyDescent="0.2">
      <c r="J4422" t="s">
        <v>300</v>
      </c>
      <c r="K4422" t="s">
        <v>301</v>
      </c>
      <c r="L4422">
        <v>7</v>
      </c>
    </row>
    <row r="4423" spans="2:12" ht="15.75" hidden="1" customHeight="1" x14ac:dyDescent="0.2">
      <c r="J4423" t="s">
        <v>288</v>
      </c>
      <c r="K4423" t="s">
        <v>302</v>
      </c>
      <c r="L4423">
        <v>11</v>
      </c>
    </row>
    <row r="4424" spans="2:12" ht="15.75" hidden="1" customHeight="1" x14ac:dyDescent="0.2">
      <c r="J4424" t="s">
        <v>303</v>
      </c>
      <c r="K4424" t="s">
        <v>304</v>
      </c>
      <c r="L4424">
        <v>18</v>
      </c>
    </row>
    <row r="4425" spans="2:12" ht="15.75" hidden="1" customHeight="1" x14ac:dyDescent="0.2">
      <c r="J4425" t="s">
        <v>305</v>
      </c>
      <c r="K4425" t="s">
        <v>306</v>
      </c>
      <c r="L4425">
        <v>0</v>
      </c>
    </row>
    <row r="4426" spans="2:12" ht="15.75" hidden="1" customHeight="1" x14ac:dyDescent="0.2">
      <c r="J4426" t="s">
        <v>307</v>
      </c>
      <c r="K4426" t="s">
        <v>308</v>
      </c>
      <c r="L4426">
        <v>1</v>
      </c>
    </row>
    <row r="4427" spans="2:12" ht="15.75" hidden="1" customHeight="1" x14ac:dyDescent="0.2">
      <c r="J4427" t="s">
        <v>243</v>
      </c>
      <c r="K4427" t="s">
        <v>309</v>
      </c>
      <c r="L4427">
        <v>91.6</v>
      </c>
    </row>
    <row r="4428" spans="2:12" ht="15.75" hidden="1" customHeight="1" x14ac:dyDescent="0.2">
      <c r="J4428" t="s">
        <v>245</v>
      </c>
      <c r="K4428" t="s">
        <v>310</v>
      </c>
      <c r="L4428">
        <v>227526.30739999999</v>
      </c>
    </row>
    <row r="4429" spans="2:12" ht="15.75" hidden="1" customHeight="1" x14ac:dyDescent="0.2">
      <c r="J4429" t="s">
        <v>247</v>
      </c>
      <c r="K4429" t="s">
        <v>311</v>
      </c>
      <c r="L4429">
        <v>1.2423</v>
      </c>
    </row>
    <row r="4430" spans="2:12" ht="15.75" hidden="1" customHeight="1" x14ac:dyDescent="0.2">
      <c r="J4430" t="s">
        <v>249</v>
      </c>
      <c r="K4430" t="s">
        <v>312</v>
      </c>
      <c r="L4430">
        <v>356</v>
      </c>
    </row>
    <row r="4431" spans="2:12" ht="15.75" hidden="1" customHeight="1" x14ac:dyDescent="0.2">
      <c r="J4431" t="s">
        <v>251</v>
      </c>
      <c r="K4431" t="s">
        <v>313</v>
      </c>
      <c r="L4431">
        <v>126</v>
      </c>
    </row>
    <row r="4432" spans="2:12" ht="15.75" hidden="1" customHeight="1" x14ac:dyDescent="0.2">
      <c r="J4432" t="s">
        <v>253</v>
      </c>
      <c r="K4432" t="s">
        <v>314</v>
      </c>
      <c r="L4432">
        <v>2483.9117000000001</v>
      </c>
    </row>
    <row r="4433" spans="10:12" ht="15.75" hidden="1" customHeight="1" x14ac:dyDescent="0.2">
      <c r="J4433" t="s">
        <v>315</v>
      </c>
      <c r="K4433" t="s">
        <v>316</v>
      </c>
      <c r="L4433">
        <v>0</v>
      </c>
    </row>
    <row r="4434" spans="10:12" ht="15.75" hidden="1" customHeight="1" x14ac:dyDescent="0.2">
      <c r="J4434" t="s">
        <v>317</v>
      </c>
      <c r="K4434" t="s">
        <v>318</v>
      </c>
      <c r="L4434">
        <v>118</v>
      </c>
    </row>
    <row r="4435" spans="10:12" ht="15.75" hidden="1" customHeight="1" x14ac:dyDescent="0.2">
      <c r="J4435" t="s">
        <v>257</v>
      </c>
      <c r="K4435" t="s">
        <v>319</v>
      </c>
      <c r="L4435">
        <v>30.6874</v>
      </c>
    </row>
    <row r="4436" spans="10:12" ht="15.75" hidden="1" customHeight="1" x14ac:dyDescent="0.2">
      <c r="J4436" t="s">
        <v>320</v>
      </c>
      <c r="K4436" t="s">
        <v>321</v>
      </c>
      <c r="L4436">
        <v>66</v>
      </c>
    </row>
    <row r="4437" spans="10:12" ht="15.75" hidden="1" customHeight="1" x14ac:dyDescent="0.2">
      <c r="J4437" t="s">
        <v>263</v>
      </c>
      <c r="K4437" t="s">
        <v>322</v>
      </c>
      <c r="L4437">
        <v>97</v>
      </c>
    </row>
    <row r="4438" spans="10:12" ht="15.75" hidden="1" customHeight="1" x14ac:dyDescent="0.2">
      <c r="J4438" t="s">
        <v>323</v>
      </c>
      <c r="K4438" t="s">
        <v>324</v>
      </c>
      <c r="L4438">
        <v>0</v>
      </c>
    </row>
    <row r="4439" spans="10:12" ht="15.75" hidden="1" customHeight="1" x14ac:dyDescent="0.2">
      <c r="J4439" t="s">
        <v>325</v>
      </c>
      <c r="K4439" t="s">
        <v>326</v>
      </c>
      <c r="L4439">
        <v>3</v>
      </c>
    </row>
    <row r="4440" spans="10:12" ht="15.75" hidden="1" customHeight="1" x14ac:dyDescent="0.2">
      <c r="J4440" t="s">
        <v>327</v>
      </c>
      <c r="K4440" t="s">
        <v>328</v>
      </c>
      <c r="L4440">
        <v>0</v>
      </c>
    </row>
    <row r="4441" spans="10:12" ht="15.75" hidden="1" customHeight="1" x14ac:dyDescent="0.2">
      <c r="J4441" t="s">
        <v>329</v>
      </c>
      <c r="K4441" t="s">
        <v>330</v>
      </c>
      <c r="L4441">
        <v>13</v>
      </c>
    </row>
    <row r="4442" spans="10:12" ht="15.75" hidden="1" customHeight="1" x14ac:dyDescent="0.2">
      <c r="J4442" t="s">
        <v>331</v>
      </c>
      <c r="K4442" t="s">
        <v>332</v>
      </c>
      <c r="L4442">
        <v>0</v>
      </c>
    </row>
    <row r="4443" spans="10:12" ht="15.75" hidden="1" customHeight="1" x14ac:dyDescent="0.2">
      <c r="J4443" t="s">
        <v>333</v>
      </c>
      <c r="K4443" t="s">
        <v>334</v>
      </c>
      <c r="L4443">
        <v>3</v>
      </c>
    </row>
    <row r="4444" spans="10:12" ht="15.75" hidden="1" customHeight="1" x14ac:dyDescent="0.2">
      <c r="J4444" t="s">
        <v>335</v>
      </c>
      <c r="K4444" t="s">
        <v>336</v>
      </c>
      <c r="L4444">
        <v>16</v>
      </c>
    </row>
    <row r="4445" spans="10:12" ht="15.75" hidden="1" customHeight="1" x14ac:dyDescent="0.2">
      <c r="J4445" t="s">
        <v>337</v>
      </c>
      <c r="K4445" t="s">
        <v>338</v>
      </c>
      <c r="L4445">
        <v>0</v>
      </c>
    </row>
    <row r="4446" spans="10:12" ht="15.75" hidden="1" customHeight="1" x14ac:dyDescent="0.2">
      <c r="J4446" t="s">
        <v>339</v>
      </c>
      <c r="K4446" t="s">
        <v>340</v>
      </c>
      <c r="L4446">
        <v>0</v>
      </c>
    </row>
    <row r="4447" spans="10:12" ht="15.75" hidden="1" customHeight="1" x14ac:dyDescent="0.2">
      <c r="J4447" t="s">
        <v>341</v>
      </c>
      <c r="K4447" t="s">
        <v>342</v>
      </c>
      <c r="L4447">
        <v>39</v>
      </c>
    </row>
    <row r="4448" spans="10:12" ht="15.75" hidden="1" customHeight="1" x14ac:dyDescent="0.2">
      <c r="J4448" t="s">
        <v>343</v>
      </c>
      <c r="K4448" t="s">
        <v>344</v>
      </c>
      <c r="L4448">
        <v>0</v>
      </c>
    </row>
    <row r="4449" spans="10:12" ht="15.75" hidden="1" customHeight="1" x14ac:dyDescent="0.2">
      <c r="J4449" t="s">
        <v>345</v>
      </c>
      <c r="K4449" t="s">
        <v>346</v>
      </c>
      <c r="L4449">
        <v>1</v>
      </c>
    </row>
    <row r="4450" spans="10:12" ht="15.75" hidden="1" customHeight="1" x14ac:dyDescent="0.2">
      <c r="J4450" t="s">
        <v>347</v>
      </c>
      <c r="K4450" t="s">
        <v>348</v>
      </c>
      <c r="L4450">
        <v>13</v>
      </c>
    </row>
    <row r="4451" spans="10:12" ht="15.75" hidden="1" customHeight="1" x14ac:dyDescent="0.2">
      <c r="J4451" t="s">
        <v>300</v>
      </c>
      <c r="K4451" t="s">
        <v>301</v>
      </c>
      <c r="L4451">
        <v>0</v>
      </c>
    </row>
    <row r="4452" spans="10:12" ht="15.75" hidden="1" customHeight="1" x14ac:dyDescent="0.2">
      <c r="J4452" t="s">
        <v>288</v>
      </c>
      <c r="K4452" t="s">
        <v>302</v>
      </c>
      <c r="L4452">
        <v>7</v>
      </c>
    </row>
    <row r="4453" spans="10:12" ht="15.75" hidden="1" customHeight="1" x14ac:dyDescent="0.2">
      <c r="J4453" t="s">
        <v>303</v>
      </c>
      <c r="K4453" t="s">
        <v>304</v>
      </c>
      <c r="L4453">
        <v>10</v>
      </c>
    </row>
    <row r="4454" spans="10:12" ht="15.75" hidden="1" customHeight="1" x14ac:dyDescent="0.2">
      <c r="J4454" t="s">
        <v>305</v>
      </c>
      <c r="K4454" t="s">
        <v>306</v>
      </c>
      <c r="L4454">
        <v>0</v>
      </c>
    </row>
    <row r="4455" spans="10:12" ht="15.75" hidden="1" customHeight="1" x14ac:dyDescent="0.2">
      <c r="J4455" t="s">
        <v>307</v>
      </c>
      <c r="K4455" t="s">
        <v>308</v>
      </c>
      <c r="L4455">
        <v>1</v>
      </c>
    </row>
    <row r="4456" spans="10:12" ht="15.75" hidden="1" customHeight="1" x14ac:dyDescent="0.2">
      <c r="J4456" t="s">
        <v>243</v>
      </c>
      <c r="K4456" t="s">
        <v>309</v>
      </c>
      <c r="L4456">
        <v>63.24</v>
      </c>
    </row>
    <row r="4457" spans="10:12" ht="15.75" hidden="1" customHeight="1" x14ac:dyDescent="0.2">
      <c r="J4457" t="s">
        <v>245</v>
      </c>
      <c r="K4457" t="s">
        <v>310</v>
      </c>
      <c r="L4457">
        <v>85936.237999999998</v>
      </c>
    </row>
    <row r="4458" spans="10:12" ht="15.75" hidden="1" customHeight="1" x14ac:dyDescent="0.2">
      <c r="J4458" t="s">
        <v>247</v>
      </c>
      <c r="K4458" t="s">
        <v>311</v>
      </c>
      <c r="L4458">
        <v>0.64910000000000001</v>
      </c>
    </row>
    <row r="4459" spans="10:12" ht="15.75" hidden="1" customHeight="1" x14ac:dyDescent="0.2">
      <c r="J4459" t="s">
        <v>249</v>
      </c>
      <c r="K4459" t="s">
        <v>312</v>
      </c>
      <c r="L4459">
        <v>231</v>
      </c>
    </row>
    <row r="4460" spans="10:12" ht="15.75" hidden="1" customHeight="1" x14ac:dyDescent="0.2">
      <c r="J4460" t="s">
        <v>251</v>
      </c>
      <c r="K4460" t="s">
        <v>313</v>
      </c>
      <c r="L4460">
        <v>59</v>
      </c>
    </row>
    <row r="4461" spans="10:12" ht="15.75" hidden="1" customHeight="1" x14ac:dyDescent="0.2">
      <c r="J4461" t="s">
        <v>253</v>
      </c>
      <c r="K4461" t="s">
        <v>314</v>
      </c>
      <c r="L4461">
        <v>1358.8905</v>
      </c>
    </row>
    <row r="4462" spans="10:12" ht="15.75" hidden="1" customHeight="1" x14ac:dyDescent="0.2">
      <c r="J4462" t="s">
        <v>315</v>
      </c>
      <c r="K4462" t="s">
        <v>316</v>
      </c>
      <c r="L4462">
        <v>3</v>
      </c>
    </row>
    <row r="4463" spans="10:12" ht="15.75" hidden="1" customHeight="1" x14ac:dyDescent="0.2">
      <c r="J4463" t="s">
        <v>317</v>
      </c>
      <c r="K4463" t="s">
        <v>318</v>
      </c>
      <c r="L4463">
        <v>189</v>
      </c>
    </row>
    <row r="4464" spans="10:12" ht="15.75" hidden="1" customHeight="1" x14ac:dyDescent="0.2">
      <c r="J4464" t="s">
        <v>257</v>
      </c>
      <c r="K4464" t="s">
        <v>319</v>
      </c>
      <c r="L4464">
        <v>27.9665</v>
      </c>
    </row>
    <row r="4465" spans="10:12" ht="15.75" hidden="1" customHeight="1" x14ac:dyDescent="0.2">
      <c r="J4465" t="s">
        <v>320</v>
      </c>
      <c r="K4465" t="s">
        <v>321</v>
      </c>
      <c r="L4465">
        <v>14</v>
      </c>
    </row>
    <row r="4466" spans="10:12" ht="15.75" hidden="1" customHeight="1" x14ac:dyDescent="0.2">
      <c r="J4466" t="s">
        <v>263</v>
      </c>
      <c r="K4466" t="s">
        <v>322</v>
      </c>
      <c r="L4466">
        <v>60</v>
      </c>
    </row>
    <row r="4467" spans="10:12" ht="15.75" hidden="1" customHeight="1" x14ac:dyDescent="0.2">
      <c r="J4467" t="s">
        <v>323</v>
      </c>
      <c r="K4467" t="s">
        <v>324</v>
      </c>
      <c r="L4467">
        <v>4</v>
      </c>
    </row>
    <row r="4468" spans="10:12" ht="15.75" hidden="1" customHeight="1" x14ac:dyDescent="0.2">
      <c r="J4468" t="s">
        <v>325</v>
      </c>
      <c r="K4468" t="s">
        <v>326</v>
      </c>
      <c r="L4468">
        <v>12</v>
      </c>
    </row>
    <row r="4469" spans="10:12" ht="15.75" hidden="1" customHeight="1" x14ac:dyDescent="0.2">
      <c r="J4469" t="s">
        <v>327</v>
      </c>
      <c r="K4469" t="s">
        <v>328</v>
      </c>
      <c r="L4469">
        <v>4</v>
      </c>
    </row>
    <row r="4470" spans="10:12" ht="15.75" hidden="1" customHeight="1" x14ac:dyDescent="0.2">
      <c r="J4470" t="s">
        <v>329</v>
      </c>
      <c r="K4470" t="s">
        <v>330</v>
      </c>
      <c r="L4470">
        <v>45</v>
      </c>
    </row>
    <row r="4471" spans="10:12" ht="15.75" hidden="1" customHeight="1" x14ac:dyDescent="0.2">
      <c r="J4471" t="s">
        <v>331</v>
      </c>
      <c r="K4471" t="s">
        <v>332</v>
      </c>
      <c r="L4471">
        <v>0</v>
      </c>
    </row>
    <row r="4472" spans="10:12" ht="15.75" hidden="1" customHeight="1" x14ac:dyDescent="0.2">
      <c r="J4472" t="s">
        <v>333</v>
      </c>
      <c r="K4472" t="s">
        <v>334</v>
      </c>
      <c r="L4472">
        <v>17</v>
      </c>
    </row>
    <row r="4473" spans="10:12" ht="15.75" hidden="1" customHeight="1" x14ac:dyDescent="0.2">
      <c r="J4473" t="s">
        <v>335</v>
      </c>
      <c r="K4473" t="s">
        <v>336</v>
      </c>
      <c r="L4473">
        <v>42</v>
      </c>
    </row>
    <row r="4474" spans="10:12" ht="15.75" hidden="1" customHeight="1" x14ac:dyDescent="0.2">
      <c r="J4474" t="s">
        <v>337</v>
      </c>
      <c r="K4474" t="s">
        <v>338</v>
      </c>
      <c r="L4474">
        <v>3</v>
      </c>
    </row>
    <row r="4475" spans="10:12" ht="15.75" hidden="1" customHeight="1" x14ac:dyDescent="0.2">
      <c r="J4475" t="s">
        <v>339</v>
      </c>
      <c r="K4475" t="s">
        <v>340</v>
      </c>
      <c r="L4475">
        <v>0</v>
      </c>
    </row>
    <row r="4476" spans="10:12" ht="15.75" hidden="1" customHeight="1" x14ac:dyDescent="0.2">
      <c r="J4476" t="s">
        <v>341</v>
      </c>
      <c r="K4476" t="s">
        <v>342</v>
      </c>
      <c r="L4476">
        <v>25</v>
      </c>
    </row>
    <row r="4477" spans="10:12" ht="15.75" hidden="1" customHeight="1" x14ac:dyDescent="0.2">
      <c r="J4477" t="s">
        <v>343</v>
      </c>
      <c r="K4477" t="s">
        <v>344</v>
      </c>
      <c r="L4477">
        <v>0.2364</v>
      </c>
    </row>
    <row r="4478" spans="10:12" ht="15.75" hidden="1" customHeight="1" x14ac:dyDescent="0.2">
      <c r="J4478" t="s">
        <v>345</v>
      </c>
      <c r="K4478" t="s">
        <v>346</v>
      </c>
      <c r="L4478">
        <v>0.5333</v>
      </c>
    </row>
    <row r="4479" spans="10:12" ht="15.75" hidden="1" customHeight="1" x14ac:dyDescent="0.2">
      <c r="J4479" t="s">
        <v>347</v>
      </c>
      <c r="K4479" t="s">
        <v>348</v>
      </c>
      <c r="L4479">
        <v>26</v>
      </c>
    </row>
    <row r="4480" spans="10:12" ht="15.75" hidden="1" customHeight="1" x14ac:dyDescent="0.2">
      <c r="J4480" t="s">
        <v>300</v>
      </c>
      <c r="K4480" t="s">
        <v>301</v>
      </c>
      <c r="L4480">
        <v>1</v>
      </c>
    </row>
    <row r="4481" spans="10:12" ht="15.75" hidden="1" customHeight="1" x14ac:dyDescent="0.2">
      <c r="J4481" t="s">
        <v>288</v>
      </c>
      <c r="K4481" t="s">
        <v>302</v>
      </c>
      <c r="L4481">
        <v>10</v>
      </c>
    </row>
    <row r="4482" spans="10:12" ht="15.75" hidden="1" customHeight="1" x14ac:dyDescent="0.2">
      <c r="J4482" t="s">
        <v>303</v>
      </c>
      <c r="K4482" t="s">
        <v>304</v>
      </c>
      <c r="L4482">
        <v>21</v>
      </c>
    </row>
    <row r="4483" spans="10:12" ht="15.75" hidden="1" customHeight="1" x14ac:dyDescent="0.2">
      <c r="J4483" t="s">
        <v>305</v>
      </c>
      <c r="K4483" t="s">
        <v>306</v>
      </c>
      <c r="L4483">
        <v>2</v>
      </c>
    </row>
    <row r="4484" spans="10:12" ht="15.75" hidden="1" customHeight="1" x14ac:dyDescent="0.2">
      <c r="J4484" t="s">
        <v>307</v>
      </c>
      <c r="K4484" t="s">
        <v>308</v>
      </c>
      <c r="L4484">
        <v>1</v>
      </c>
    </row>
    <row r="4485" spans="10:12" ht="15.75" hidden="1" customHeight="1" x14ac:dyDescent="0.2">
      <c r="J4485" t="s">
        <v>243</v>
      </c>
      <c r="K4485" t="s">
        <v>309</v>
      </c>
      <c r="L4485">
        <v>38.6023</v>
      </c>
    </row>
    <row r="4486" spans="10:12" ht="15.75" hidden="1" customHeight="1" x14ac:dyDescent="0.2">
      <c r="J4486" t="s">
        <v>245</v>
      </c>
      <c r="K4486" t="s">
        <v>310</v>
      </c>
      <c r="L4486">
        <v>45016.919399999999</v>
      </c>
    </row>
    <row r="4487" spans="10:12" ht="15.75" hidden="1" customHeight="1" x14ac:dyDescent="0.2">
      <c r="J4487" t="s">
        <v>247</v>
      </c>
      <c r="K4487" t="s">
        <v>311</v>
      </c>
      <c r="L4487">
        <v>0.42180000000000001</v>
      </c>
    </row>
    <row r="4488" spans="10:12" ht="15.75" hidden="1" customHeight="1" x14ac:dyDescent="0.2">
      <c r="J4488" t="s">
        <v>249</v>
      </c>
      <c r="K4488" t="s">
        <v>312</v>
      </c>
      <c r="L4488">
        <v>181</v>
      </c>
    </row>
    <row r="4489" spans="10:12" ht="15.75" hidden="1" customHeight="1" x14ac:dyDescent="0.2">
      <c r="J4489" t="s">
        <v>251</v>
      </c>
      <c r="K4489" t="s">
        <v>313</v>
      </c>
      <c r="L4489">
        <v>87</v>
      </c>
    </row>
    <row r="4490" spans="10:12" ht="15.75" hidden="1" customHeight="1" x14ac:dyDescent="0.2">
      <c r="J4490" t="s">
        <v>253</v>
      </c>
      <c r="K4490" t="s">
        <v>314</v>
      </c>
      <c r="L4490">
        <v>1166.1728000000001</v>
      </c>
    </row>
    <row r="4491" spans="10:12" ht="15.75" hidden="1" customHeight="1" x14ac:dyDescent="0.2">
      <c r="J4491" t="s">
        <v>315</v>
      </c>
      <c r="K4491" t="s">
        <v>316</v>
      </c>
      <c r="L4491">
        <v>0</v>
      </c>
    </row>
    <row r="4492" spans="10:12" ht="15.75" hidden="1" customHeight="1" x14ac:dyDescent="0.2">
      <c r="J4492" t="s">
        <v>317</v>
      </c>
      <c r="K4492" t="s">
        <v>318</v>
      </c>
      <c r="L4492">
        <v>93</v>
      </c>
    </row>
    <row r="4493" spans="10:12" ht="15.75" hidden="1" customHeight="1" x14ac:dyDescent="0.2">
      <c r="J4493" t="s">
        <v>257</v>
      </c>
      <c r="K4493" t="s">
        <v>319</v>
      </c>
      <c r="L4493">
        <v>35.241500000000002</v>
      </c>
    </row>
    <row r="4494" spans="10:12" ht="15.75" hidden="1" customHeight="1" x14ac:dyDescent="0.2">
      <c r="J4494" t="s">
        <v>320</v>
      </c>
      <c r="K4494" t="s">
        <v>321</v>
      </c>
      <c r="L4494">
        <v>59</v>
      </c>
    </row>
    <row r="4495" spans="10:12" ht="15.75" hidden="1" customHeight="1" x14ac:dyDescent="0.2">
      <c r="J4495" t="s">
        <v>263</v>
      </c>
      <c r="K4495" t="s">
        <v>322</v>
      </c>
      <c r="L4495">
        <v>53</v>
      </c>
    </row>
    <row r="4496" spans="10:12" ht="15.75" hidden="1" customHeight="1" x14ac:dyDescent="0.2">
      <c r="J4496" t="s">
        <v>323</v>
      </c>
      <c r="K4496" t="s">
        <v>324</v>
      </c>
      <c r="L4496">
        <v>0</v>
      </c>
    </row>
    <row r="4497" spans="10:12" ht="15.75" hidden="1" customHeight="1" x14ac:dyDescent="0.2">
      <c r="J4497" t="s">
        <v>325</v>
      </c>
      <c r="K4497" t="s">
        <v>326</v>
      </c>
      <c r="L4497">
        <v>4</v>
      </c>
    </row>
    <row r="4498" spans="10:12" ht="15.75" hidden="1" customHeight="1" x14ac:dyDescent="0.2">
      <c r="J4498" t="s">
        <v>327</v>
      </c>
      <c r="K4498" t="s">
        <v>328</v>
      </c>
      <c r="L4498">
        <v>3</v>
      </c>
    </row>
    <row r="4499" spans="10:12" ht="15.75" hidden="1" customHeight="1" x14ac:dyDescent="0.2">
      <c r="J4499" t="s">
        <v>329</v>
      </c>
      <c r="K4499" t="s">
        <v>330</v>
      </c>
      <c r="L4499">
        <v>13</v>
      </c>
    </row>
    <row r="4500" spans="10:12" ht="15.75" hidden="1" customHeight="1" x14ac:dyDescent="0.2">
      <c r="J4500" t="s">
        <v>331</v>
      </c>
      <c r="K4500" t="s">
        <v>332</v>
      </c>
      <c r="L4500">
        <v>0</v>
      </c>
    </row>
    <row r="4501" spans="10:12" ht="15.75" hidden="1" customHeight="1" x14ac:dyDescent="0.2">
      <c r="J4501" t="s">
        <v>333</v>
      </c>
      <c r="K4501" t="s">
        <v>334</v>
      </c>
      <c r="L4501">
        <v>4</v>
      </c>
    </row>
    <row r="4502" spans="10:12" ht="15.75" hidden="1" customHeight="1" x14ac:dyDescent="0.2">
      <c r="J4502" t="s">
        <v>335</v>
      </c>
      <c r="K4502" t="s">
        <v>336</v>
      </c>
      <c r="L4502">
        <v>17</v>
      </c>
    </row>
    <row r="4503" spans="10:12" ht="15.75" hidden="1" customHeight="1" x14ac:dyDescent="0.2">
      <c r="J4503" t="s">
        <v>337</v>
      </c>
      <c r="K4503" t="s">
        <v>338</v>
      </c>
      <c r="L4503">
        <v>0</v>
      </c>
    </row>
    <row r="4504" spans="10:12" ht="15.75" hidden="1" customHeight="1" x14ac:dyDescent="0.2">
      <c r="J4504" t="s">
        <v>339</v>
      </c>
      <c r="K4504" t="s">
        <v>340</v>
      </c>
      <c r="L4504">
        <v>0</v>
      </c>
    </row>
    <row r="4505" spans="10:12" ht="15.75" hidden="1" customHeight="1" x14ac:dyDescent="0.2">
      <c r="J4505" t="s">
        <v>341</v>
      </c>
      <c r="K4505" t="s">
        <v>342</v>
      </c>
      <c r="L4505">
        <v>33</v>
      </c>
    </row>
    <row r="4506" spans="10:12" ht="15.75" hidden="1" customHeight="1" x14ac:dyDescent="0.2">
      <c r="J4506" t="s">
        <v>343</v>
      </c>
      <c r="K4506" t="s">
        <v>344</v>
      </c>
      <c r="L4506">
        <v>0</v>
      </c>
    </row>
    <row r="4507" spans="10:12" ht="15.75" hidden="1" customHeight="1" x14ac:dyDescent="0.2">
      <c r="J4507" t="s">
        <v>345</v>
      </c>
      <c r="K4507" t="s">
        <v>346</v>
      </c>
      <c r="L4507">
        <v>1</v>
      </c>
    </row>
    <row r="4508" spans="10:12" ht="15.75" hidden="1" customHeight="1" x14ac:dyDescent="0.2">
      <c r="J4508" t="s">
        <v>347</v>
      </c>
      <c r="K4508" t="s">
        <v>348</v>
      </c>
      <c r="L4508">
        <v>13</v>
      </c>
    </row>
    <row r="4509" spans="10:12" ht="15.75" hidden="1" customHeight="1" x14ac:dyDescent="0.2">
      <c r="J4509" t="s">
        <v>300</v>
      </c>
      <c r="K4509" t="s">
        <v>301</v>
      </c>
      <c r="L4509">
        <v>1</v>
      </c>
    </row>
    <row r="4510" spans="10:12" ht="15.75" hidden="1" customHeight="1" x14ac:dyDescent="0.2">
      <c r="J4510" t="s">
        <v>288</v>
      </c>
      <c r="K4510" t="s">
        <v>302</v>
      </c>
      <c r="L4510">
        <v>25</v>
      </c>
    </row>
    <row r="4511" spans="10:12" ht="15.75" hidden="1" customHeight="1" x14ac:dyDescent="0.2">
      <c r="J4511" t="s">
        <v>303</v>
      </c>
      <c r="K4511" t="s">
        <v>304</v>
      </c>
      <c r="L4511">
        <v>17</v>
      </c>
    </row>
    <row r="4512" spans="10:12" ht="15.75" hidden="1" customHeight="1" x14ac:dyDescent="0.2">
      <c r="J4512" t="s">
        <v>305</v>
      </c>
      <c r="K4512" t="s">
        <v>306</v>
      </c>
      <c r="L4512">
        <v>5</v>
      </c>
    </row>
    <row r="4513" spans="10:12" ht="15.75" hidden="1" customHeight="1" x14ac:dyDescent="0.2">
      <c r="J4513" t="s">
        <v>307</v>
      </c>
      <c r="K4513" t="s">
        <v>308</v>
      </c>
      <c r="L4513">
        <v>1</v>
      </c>
    </row>
    <row r="4514" spans="10:12" ht="15.75" hidden="1" customHeight="1" x14ac:dyDescent="0.2">
      <c r="J4514" t="s">
        <v>243</v>
      </c>
      <c r="K4514" t="s">
        <v>309</v>
      </c>
      <c r="L4514">
        <v>80.337199999999996</v>
      </c>
    </row>
    <row r="4515" spans="10:12" ht="15.75" hidden="1" customHeight="1" x14ac:dyDescent="0.2">
      <c r="J4515" t="s">
        <v>245</v>
      </c>
      <c r="K4515" t="s">
        <v>310</v>
      </c>
      <c r="L4515">
        <v>203399.57079999999</v>
      </c>
    </row>
    <row r="4516" spans="10:12" ht="15.75" hidden="1" customHeight="1" x14ac:dyDescent="0.2">
      <c r="J4516" t="s">
        <v>247</v>
      </c>
      <c r="K4516" t="s">
        <v>311</v>
      </c>
      <c r="L4516">
        <v>1.1529</v>
      </c>
    </row>
    <row r="4517" spans="10:12" ht="15.75" hidden="1" customHeight="1" x14ac:dyDescent="0.2">
      <c r="J4517" t="s">
        <v>249</v>
      </c>
      <c r="K4517" t="s">
        <v>312</v>
      </c>
      <c r="L4517">
        <v>390</v>
      </c>
    </row>
    <row r="4518" spans="10:12" ht="15.75" hidden="1" customHeight="1" x14ac:dyDescent="0.2">
      <c r="J4518" t="s">
        <v>251</v>
      </c>
      <c r="K4518" t="s">
        <v>313</v>
      </c>
      <c r="L4518">
        <v>90</v>
      </c>
    </row>
    <row r="4519" spans="10:12" ht="15.75" hidden="1" customHeight="1" x14ac:dyDescent="0.2">
      <c r="J4519" t="s">
        <v>253</v>
      </c>
      <c r="K4519" t="s">
        <v>314</v>
      </c>
      <c r="L4519">
        <v>2531.8227000000002</v>
      </c>
    </row>
    <row r="4520" spans="10:12" ht="15.75" hidden="1" customHeight="1" x14ac:dyDescent="0.2">
      <c r="J4520" t="s">
        <v>315</v>
      </c>
      <c r="K4520" t="s">
        <v>316</v>
      </c>
      <c r="L4520">
        <v>5</v>
      </c>
    </row>
    <row r="4521" spans="10:12" ht="15.75" hidden="1" customHeight="1" x14ac:dyDescent="0.2">
      <c r="J4521" t="s">
        <v>317</v>
      </c>
      <c r="K4521" t="s">
        <v>318</v>
      </c>
      <c r="L4521">
        <v>336</v>
      </c>
    </row>
    <row r="4522" spans="10:12" ht="15.75" hidden="1" customHeight="1" x14ac:dyDescent="0.2">
      <c r="J4522" t="s">
        <v>257</v>
      </c>
      <c r="K4522" t="s">
        <v>319</v>
      </c>
      <c r="L4522">
        <v>20.539899999999999</v>
      </c>
    </row>
    <row r="4523" spans="10:12" ht="15.75" hidden="1" customHeight="1" x14ac:dyDescent="0.2">
      <c r="J4523" t="s">
        <v>320</v>
      </c>
      <c r="K4523" t="s">
        <v>321</v>
      </c>
      <c r="L4523">
        <v>72</v>
      </c>
    </row>
    <row r="4524" spans="10:12" ht="15.75" hidden="1" customHeight="1" x14ac:dyDescent="0.2">
      <c r="J4524" t="s">
        <v>263</v>
      </c>
      <c r="K4524" t="s">
        <v>322</v>
      </c>
      <c r="L4524">
        <v>135</v>
      </c>
    </row>
    <row r="4525" spans="10:12" ht="15.75" hidden="1" customHeight="1" x14ac:dyDescent="0.2">
      <c r="J4525" t="s">
        <v>323</v>
      </c>
      <c r="K4525" t="s">
        <v>324</v>
      </c>
      <c r="L4525">
        <v>5</v>
      </c>
    </row>
    <row r="4526" spans="10:12" ht="15.75" hidden="1" customHeight="1" x14ac:dyDescent="0.2">
      <c r="J4526" t="s">
        <v>325</v>
      </c>
      <c r="K4526" t="s">
        <v>326</v>
      </c>
      <c r="L4526">
        <v>17</v>
      </c>
    </row>
    <row r="4527" spans="10:12" ht="15.75" hidden="1" customHeight="1" x14ac:dyDescent="0.2">
      <c r="J4527" t="s">
        <v>327</v>
      </c>
      <c r="K4527" t="s">
        <v>328</v>
      </c>
      <c r="L4527">
        <v>10</v>
      </c>
    </row>
    <row r="4528" spans="10:12" ht="15.75" hidden="1" customHeight="1" x14ac:dyDescent="0.2">
      <c r="J4528" t="s">
        <v>329</v>
      </c>
      <c r="K4528" t="s">
        <v>330</v>
      </c>
      <c r="L4528">
        <v>52</v>
      </c>
    </row>
    <row r="4529" spans="10:12" ht="15.75" hidden="1" customHeight="1" x14ac:dyDescent="0.2">
      <c r="J4529" t="s">
        <v>331</v>
      </c>
      <c r="K4529" t="s">
        <v>332</v>
      </c>
      <c r="L4529">
        <v>5</v>
      </c>
    </row>
    <row r="4530" spans="10:12" ht="15.75" hidden="1" customHeight="1" x14ac:dyDescent="0.2">
      <c r="J4530" t="s">
        <v>333</v>
      </c>
      <c r="K4530" t="s">
        <v>334</v>
      </c>
      <c r="L4530">
        <v>19</v>
      </c>
    </row>
    <row r="4531" spans="10:12" ht="15.75" hidden="1" customHeight="1" x14ac:dyDescent="0.2">
      <c r="J4531" t="s">
        <v>335</v>
      </c>
      <c r="K4531" t="s">
        <v>336</v>
      </c>
      <c r="L4531">
        <v>48</v>
      </c>
    </row>
    <row r="4532" spans="10:12" ht="15.75" hidden="1" customHeight="1" x14ac:dyDescent="0.2">
      <c r="J4532" t="s">
        <v>337</v>
      </c>
      <c r="K4532" t="s">
        <v>338</v>
      </c>
      <c r="L4532">
        <v>1</v>
      </c>
    </row>
    <row r="4533" spans="10:12" ht="15.75" hidden="1" customHeight="1" x14ac:dyDescent="0.2">
      <c r="J4533" t="s">
        <v>339</v>
      </c>
      <c r="K4533" t="s">
        <v>340</v>
      </c>
      <c r="L4533">
        <v>0</v>
      </c>
    </row>
    <row r="4534" spans="10:12" ht="15.75" hidden="1" customHeight="1" x14ac:dyDescent="0.2">
      <c r="J4534" t="s">
        <v>341</v>
      </c>
      <c r="K4534" t="s">
        <v>342</v>
      </c>
      <c r="L4534">
        <v>41</v>
      </c>
    </row>
    <row r="4535" spans="10:12" ht="15.75" hidden="1" customHeight="1" x14ac:dyDescent="0.2">
      <c r="J4535" t="s">
        <v>343</v>
      </c>
      <c r="K4535" t="s">
        <v>344</v>
      </c>
      <c r="L4535">
        <v>0</v>
      </c>
    </row>
    <row r="4536" spans="10:12" ht="15.75" hidden="1" customHeight="1" x14ac:dyDescent="0.2">
      <c r="J4536" t="s">
        <v>345</v>
      </c>
      <c r="K4536" t="s">
        <v>346</v>
      </c>
      <c r="L4536">
        <v>0.66669999999999996</v>
      </c>
    </row>
    <row r="4537" spans="10:12" ht="15.75" hidden="1" customHeight="1" x14ac:dyDescent="0.2">
      <c r="J4537" t="s">
        <v>347</v>
      </c>
      <c r="K4537" t="s">
        <v>348</v>
      </c>
      <c r="L4537">
        <v>48</v>
      </c>
    </row>
    <row r="4538" spans="10:12" ht="15.75" hidden="1" customHeight="1" x14ac:dyDescent="0.2">
      <c r="J4538" t="s">
        <v>300</v>
      </c>
      <c r="K4538" t="s">
        <v>301</v>
      </c>
      <c r="L4538">
        <v>5</v>
      </c>
    </row>
    <row r="4539" spans="10:12" ht="15.75" hidden="1" customHeight="1" x14ac:dyDescent="0.2">
      <c r="J4539" t="s">
        <v>288</v>
      </c>
      <c r="K4539" t="s">
        <v>302</v>
      </c>
      <c r="L4539">
        <v>33</v>
      </c>
    </row>
    <row r="4540" spans="10:12" ht="15.75" hidden="1" customHeight="1" x14ac:dyDescent="0.2">
      <c r="J4540" t="s">
        <v>303</v>
      </c>
      <c r="K4540" t="s">
        <v>304</v>
      </c>
      <c r="L4540">
        <v>24</v>
      </c>
    </row>
    <row r="4541" spans="10:12" ht="15.75" hidden="1" customHeight="1" x14ac:dyDescent="0.2">
      <c r="J4541" t="s">
        <v>305</v>
      </c>
      <c r="K4541" t="s">
        <v>306</v>
      </c>
      <c r="L4541">
        <v>2</v>
      </c>
    </row>
    <row r="4542" spans="10:12" ht="15.75" hidden="1" customHeight="1" x14ac:dyDescent="0.2">
      <c r="J4542" t="s">
        <v>307</v>
      </c>
      <c r="K4542" t="s">
        <v>308</v>
      </c>
      <c r="L4542">
        <v>1</v>
      </c>
    </row>
    <row r="4543" spans="10:12" ht="15.75" hidden="1" customHeight="1" x14ac:dyDescent="0.2">
      <c r="J4543" t="s">
        <v>243</v>
      </c>
      <c r="K4543" t="s">
        <v>309</v>
      </c>
      <c r="L4543">
        <v>128.38380000000001</v>
      </c>
    </row>
    <row r="4544" spans="10:12" ht="15.75" hidden="1" customHeight="1" x14ac:dyDescent="0.2">
      <c r="J4544" t="s">
        <v>245</v>
      </c>
      <c r="K4544" t="s">
        <v>310</v>
      </c>
      <c r="L4544">
        <v>585418.27339999995</v>
      </c>
    </row>
    <row r="4545" spans="10:12" ht="15.75" hidden="1" customHeight="1" x14ac:dyDescent="0.2">
      <c r="J4545" t="s">
        <v>247</v>
      </c>
      <c r="K4545" t="s">
        <v>311</v>
      </c>
      <c r="L4545">
        <v>2.3327</v>
      </c>
    </row>
    <row r="4546" spans="10:12" ht="15.75" hidden="1" customHeight="1" x14ac:dyDescent="0.2">
      <c r="J4546" t="s">
        <v>249</v>
      </c>
      <c r="K4546" t="s">
        <v>312</v>
      </c>
      <c r="L4546">
        <v>608</v>
      </c>
    </row>
    <row r="4547" spans="10:12" ht="15.75" hidden="1" customHeight="1" x14ac:dyDescent="0.2">
      <c r="J4547" t="s">
        <v>251</v>
      </c>
      <c r="K4547" t="s">
        <v>313</v>
      </c>
      <c r="L4547">
        <v>181</v>
      </c>
    </row>
    <row r="4548" spans="10:12" ht="15.75" hidden="1" customHeight="1" x14ac:dyDescent="0.2">
      <c r="J4548" t="s">
        <v>253</v>
      </c>
      <c r="K4548" t="s">
        <v>314</v>
      </c>
      <c r="L4548">
        <v>4559.9062999999996</v>
      </c>
    </row>
    <row r="4549" spans="10:12" ht="15.75" hidden="1" customHeight="1" x14ac:dyDescent="0.2">
      <c r="J4549" t="s">
        <v>315</v>
      </c>
      <c r="K4549" t="s">
        <v>316</v>
      </c>
      <c r="L4549">
        <v>0</v>
      </c>
    </row>
    <row r="4550" spans="10:12" ht="15.75" hidden="1" customHeight="1" x14ac:dyDescent="0.2">
      <c r="J4550" t="s">
        <v>317</v>
      </c>
      <c r="K4550" t="s">
        <v>318</v>
      </c>
      <c r="L4550">
        <v>239</v>
      </c>
    </row>
    <row r="4551" spans="10:12" ht="15.75" hidden="1" customHeight="1" x14ac:dyDescent="0.2">
      <c r="J4551" t="s">
        <v>257</v>
      </c>
      <c r="K4551" t="s">
        <v>319</v>
      </c>
      <c r="L4551">
        <v>21.980399999999999</v>
      </c>
    </row>
    <row r="4552" spans="10:12" ht="15.75" hidden="1" customHeight="1" x14ac:dyDescent="0.2">
      <c r="J4552" t="s">
        <v>320</v>
      </c>
      <c r="K4552" t="s">
        <v>321</v>
      </c>
      <c r="L4552">
        <v>124</v>
      </c>
    </row>
    <row r="4553" spans="10:12" ht="15.75" hidden="1" customHeight="1" x14ac:dyDescent="0.2">
      <c r="J4553" t="s">
        <v>263</v>
      </c>
      <c r="K4553" t="s">
        <v>322</v>
      </c>
      <c r="L4553">
        <v>197</v>
      </c>
    </row>
    <row r="4554" spans="10:12" ht="15.75" hidden="1" customHeight="1" x14ac:dyDescent="0.2">
      <c r="J4554" t="s">
        <v>323</v>
      </c>
      <c r="K4554" t="s">
        <v>324</v>
      </c>
      <c r="L4554">
        <v>0</v>
      </c>
    </row>
    <row r="4555" spans="10:12" ht="15.75" hidden="1" customHeight="1" x14ac:dyDescent="0.2">
      <c r="J4555" t="s">
        <v>325</v>
      </c>
      <c r="K4555" t="s">
        <v>326</v>
      </c>
      <c r="L4555">
        <v>7</v>
      </c>
    </row>
    <row r="4556" spans="10:12" ht="15.75" hidden="1" customHeight="1" x14ac:dyDescent="0.2">
      <c r="J4556" t="s">
        <v>327</v>
      </c>
      <c r="K4556" t="s">
        <v>328</v>
      </c>
      <c r="L4556">
        <v>15</v>
      </c>
    </row>
    <row r="4557" spans="10:12" ht="15.75" hidden="1" customHeight="1" x14ac:dyDescent="0.2">
      <c r="J4557" t="s">
        <v>329</v>
      </c>
      <c r="K4557" t="s">
        <v>330</v>
      </c>
      <c r="L4557">
        <v>13</v>
      </c>
    </row>
    <row r="4558" spans="10:12" ht="15.75" hidden="1" customHeight="1" x14ac:dyDescent="0.2">
      <c r="J4558" t="s">
        <v>331</v>
      </c>
      <c r="K4558" t="s">
        <v>332</v>
      </c>
      <c r="L4558">
        <v>0</v>
      </c>
    </row>
    <row r="4559" spans="10:12" ht="15.75" hidden="1" customHeight="1" x14ac:dyDescent="0.2">
      <c r="J4559" t="s">
        <v>333</v>
      </c>
      <c r="K4559" t="s">
        <v>334</v>
      </c>
      <c r="L4559">
        <v>7</v>
      </c>
    </row>
    <row r="4560" spans="10:12" ht="15.75" hidden="1" customHeight="1" x14ac:dyDescent="0.2">
      <c r="J4560" t="s">
        <v>335</v>
      </c>
      <c r="K4560" t="s">
        <v>336</v>
      </c>
      <c r="L4560">
        <v>20</v>
      </c>
    </row>
    <row r="4561" spans="10:15" ht="15.75" hidden="1" customHeight="1" x14ac:dyDescent="0.2">
      <c r="J4561" t="s">
        <v>337</v>
      </c>
      <c r="K4561" t="s">
        <v>338</v>
      </c>
      <c r="L4561">
        <v>0</v>
      </c>
    </row>
    <row r="4562" spans="10:15" ht="15.75" hidden="1" customHeight="1" x14ac:dyDescent="0.2">
      <c r="J4562" t="s">
        <v>339</v>
      </c>
      <c r="K4562" t="s">
        <v>340</v>
      </c>
      <c r="L4562">
        <v>0</v>
      </c>
    </row>
    <row r="4563" spans="10:15" ht="15.75" hidden="1" customHeight="1" x14ac:dyDescent="0.2">
      <c r="J4563" t="s">
        <v>341</v>
      </c>
      <c r="K4563" t="s">
        <v>342</v>
      </c>
      <c r="L4563">
        <v>61</v>
      </c>
    </row>
    <row r="4564" spans="10:15" ht="15.75" hidden="1" customHeight="1" x14ac:dyDescent="0.2">
      <c r="J4564" t="s">
        <v>343</v>
      </c>
      <c r="K4564" t="s">
        <v>344</v>
      </c>
      <c r="L4564">
        <v>0</v>
      </c>
    </row>
    <row r="4565" spans="10:15" ht="15.75" hidden="1" customHeight="1" x14ac:dyDescent="0.2">
      <c r="J4565" t="s">
        <v>345</v>
      </c>
      <c r="K4565" t="s">
        <v>346</v>
      </c>
      <c r="L4565">
        <v>1</v>
      </c>
    </row>
    <row r="4566" spans="10:15" ht="15.75" hidden="1" customHeight="1" x14ac:dyDescent="0.2">
      <c r="J4566" t="s">
        <v>347</v>
      </c>
      <c r="K4566" t="s">
        <v>348</v>
      </c>
      <c r="L4566">
        <v>47</v>
      </c>
    </row>
    <row r="4567" spans="10:15" ht="15.75" hidden="1" customHeight="1" x14ac:dyDescent="0.2">
      <c r="M4567" t="s">
        <v>506</v>
      </c>
      <c r="N4567" t="s">
        <v>507</v>
      </c>
      <c r="O4567">
        <v>0.2727</v>
      </c>
    </row>
    <row r="4568" spans="10:15" ht="15.75" hidden="1" customHeight="1" x14ac:dyDescent="0.2">
      <c r="M4568" t="s">
        <v>508</v>
      </c>
      <c r="N4568" t="s">
        <v>509</v>
      </c>
      <c r="O4568">
        <v>0</v>
      </c>
    </row>
    <row r="4569" spans="10:15" ht="15.75" hidden="1" customHeight="1" x14ac:dyDescent="0.2">
      <c r="M4569" t="s">
        <v>510</v>
      </c>
      <c r="N4569" t="s">
        <v>511</v>
      </c>
      <c r="O4569">
        <v>16</v>
      </c>
    </row>
    <row r="4570" spans="10:15" ht="15.75" hidden="1" customHeight="1" x14ac:dyDescent="0.2">
      <c r="M4570" t="s">
        <v>243</v>
      </c>
      <c r="N4570" t="s">
        <v>512</v>
      </c>
      <c r="O4570">
        <v>1025.5610999999999</v>
      </c>
    </row>
    <row r="4571" spans="10:15" ht="15.75" hidden="1" customHeight="1" x14ac:dyDescent="0.2">
      <c r="M4571" t="s">
        <v>245</v>
      </c>
      <c r="N4571" t="s">
        <v>513</v>
      </c>
      <c r="O4571">
        <v>4434629.8962000003</v>
      </c>
    </row>
    <row r="4572" spans="10:15" ht="15.75" hidden="1" customHeight="1" x14ac:dyDescent="0.2">
      <c r="M4572" t="s">
        <v>247</v>
      </c>
      <c r="N4572" t="s">
        <v>514</v>
      </c>
      <c r="O4572">
        <v>16.096699999999998</v>
      </c>
    </row>
    <row r="4573" spans="10:15" ht="15.75" hidden="1" customHeight="1" x14ac:dyDescent="0.2">
      <c r="M4573" t="s">
        <v>249</v>
      </c>
      <c r="N4573" t="s">
        <v>515</v>
      </c>
      <c r="O4573">
        <v>4574</v>
      </c>
    </row>
    <row r="4574" spans="10:15" ht="15.75" hidden="1" customHeight="1" x14ac:dyDescent="0.2">
      <c r="M4574" t="s">
        <v>251</v>
      </c>
      <c r="N4574" t="s">
        <v>516</v>
      </c>
      <c r="O4574">
        <v>1231</v>
      </c>
    </row>
    <row r="4575" spans="10:15" ht="15.75" hidden="1" customHeight="1" x14ac:dyDescent="0.2">
      <c r="M4575" t="s">
        <v>253</v>
      </c>
      <c r="N4575" t="s">
        <v>517</v>
      </c>
      <c r="O4575">
        <v>31433.648799999999</v>
      </c>
    </row>
    <row r="4576" spans="10:15" ht="15.75" hidden="1" customHeight="1" x14ac:dyDescent="0.2">
      <c r="M4576" t="s">
        <v>518</v>
      </c>
      <c r="N4576" t="s">
        <v>519</v>
      </c>
      <c r="O4576">
        <v>1</v>
      </c>
    </row>
    <row r="4577" spans="13:15" ht="15.75" hidden="1" customHeight="1" x14ac:dyDescent="0.2">
      <c r="M4577" t="s">
        <v>255</v>
      </c>
      <c r="N4577" t="s">
        <v>256</v>
      </c>
      <c r="O4577">
        <v>2297</v>
      </c>
    </row>
    <row r="4578" spans="13:15" ht="15.75" hidden="1" customHeight="1" x14ac:dyDescent="0.2">
      <c r="M4578" t="s">
        <v>257</v>
      </c>
      <c r="N4578" t="s">
        <v>520</v>
      </c>
      <c r="O4578">
        <v>0</v>
      </c>
    </row>
    <row r="4579" spans="13:15" ht="15.75" hidden="1" customHeight="1" x14ac:dyDescent="0.2">
      <c r="M4579" t="s">
        <v>263</v>
      </c>
      <c r="N4579" t="s">
        <v>264</v>
      </c>
      <c r="O4579">
        <v>1378</v>
      </c>
    </row>
    <row r="4580" spans="13:15" ht="15.75" hidden="1" customHeight="1" x14ac:dyDescent="0.2">
      <c r="M4580" t="s">
        <v>521</v>
      </c>
      <c r="N4580" t="s">
        <v>522</v>
      </c>
      <c r="O4580">
        <v>0.2727</v>
      </c>
    </row>
    <row r="4581" spans="13:15" ht="15.75" hidden="1" customHeight="1" x14ac:dyDescent="0.2">
      <c r="M4581" t="s">
        <v>265</v>
      </c>
      <c r="N4581" t="s">
        <v>266</v>
      </c>
      <c r="O4581">
        <v>1</v>
      </c>
    </row>
    <row r="4582" spans="13:15" ht="15.75" hidden="1" customHeight="1" x14ac:dyDescent="0.2">
      <c r="M4582" t="s">
        <v>267</v>
      </c>
      <c r="N4582" t="s">
        <v>268</v>
      </c>
      <c r="O4582">
        <v>15</v>
      </c>
    </row>
    <row r="4583" spans="13:15" ht="15.75" hidden="1" customHeight="1" x14ac:dyDescent="0.2">
      <c r="M4583" t="s">
        <v>269</v>
      </c>
      <c r="N4583" t="s">
        <v>270</v>
      </c>
      <c r="O4583">
        <v>5</v>
      </c>
    </row>
    <row r="4584" spans="13:15" ht="15.75" hidden="1" customHeight="1" x14ac:dyDescent="0.2">
      <c r="M4584" t="s">
        <v>271</v>
      </c>
      <c r="N4584" t="s">
        <v>272</v>
      </c>
      <c r="O4584">
        <v>0</v>
      </c>
    </row>
    <row r="4585" spans="13:15" ht="15.75" hidden="1" customHeight="1" x14ac:dyDescent="0.2">
      <c r="M4585" t="s">
        <v>273</v>
      </c>
      <c r="N4585" t="s">
        <v>274</v>
      </c>
      <c r="O4585">
        <v>0</v>
      </c>
    </row>
    <row r="4586" spans="13:15" ht="15.75" hidden="1" customHeight="1" x14ac:dyDescent="0.2">
      <c r="M4586" t="s">
        <v>275</v>
      </c>
      <c r="N4586" t="s">
        <v>276</v>
      </c>
      <c r="O4586">
        <v>0</v>
      </c>
    </row>
    <row r="4587" spans="13:15" ht="15.75" hidden="1" customHeight="1" x14ac:dyDescent="0.2">
      <c r="M4587" t="s">
        <v>277</v>
      </c>
      <c r="N4587" t="s">
        <v>278</v>
      </c>
      <c r="O4587">
        <v>0</v>
      </c>
    </row>
    <row r="4588" spans="13:15" ht="15.75" hidden="1" customHeight="1" x14ac:dyDescent="0.2">
      <c r="M4588" t="s">
        <v>279</v>
      </c>
      <c r="N4588" t="s">
        <v>280</v>
      </c>
      <c r="O4588"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>
      <selection activeCell="AA54" sqref="AA54"/>
    </sheetView>
  </sheetViews>
  <sheetFormatPr baseColWidth="10" defaultColWidth="10.5" defaultRowHeight="16" x14ac:dyDescent="0.2"/>
  <sheetData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80"/>
  <sheetViews>
    <sheetView topLeftCell="A342" zoomScaleNormal="100" workbookViewId="0"/>
  </sheetViews>
  <sheetFormatPr baseColWidth="10" defaultColWidth="8.5" defaultRowHeight="16" x14ac:dyDescent="0.2"/>
  <cols>
    <col min="1" max="1" width="50" customWidth="1"/>
    <col min="2" max="42" width="12" customWidth="1"/>
    <col min="43" max="43" width="14" customWidth="1"/>
  </cols>
  <sheetData>
    <row r="1" spans="1:43" ht="15" customHeight="1" x14ac:dyDescent="0.2">
      <c r="A1" s="6" t="s">
        <v>544</v>
      </c>
      <c r="W1" s="6" t="s">
        <v>545</v>
      </c>
    </row>
    <row r="2" spans="1:43" ht="15" customHeight="1" x14ac:dyDescent="0.2">
      <c r="A2" s="7" t="s">
        <v>546</v>
      </c>
      <c r="B2" s="8">
        <f t="shared" ref="B2:U2" si="0">MIN(B5:B190)</f>
        <v>0</v>
      </c>
      <c r="C2" s="8">
        <f t="shared" si="0"/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8">
        <f t="shared" si="0"/>
        <v>0</v>
      </c>
      <c r="H2" s="8">
        <f t="shared" si="0"/>
        <v>0</v>
      </c>
      <c r="I2" s="8">
        <f t="shared" si="0"/>
        <v>0</v>
      </c>
      <c r="J2" s="8">
        <f t="shared" si="0"/>
        <v>0</v>
      </c>
      <c r="K2" s="8">
        <f t="shared" si="0"/>
        <v>0</v>
      </c>
      <c r="L2" s="8">
        <f t="shared" si="0"/>
        <v>0</v>
      </c>
      <c r="M2" s="8">
        <f t="shared" si="0"/>
        <v>0</v>
      </c>
      <c r="N2" s="8">
        <f t="shared" si="0"/>
        <v>0</v>
      </c>
      <c r="O2" s="8">
        <f t="shared" si="0"/>
        <v>0</v>
      </c>
      <c r="P2" s="8">
        <f t="shared" si="0"/>
        <v>0</v>
      </c>
      <c r="Q2" s="8">
        <f t="shared" si="0"/>
        <v>0</v>
      </c>
      <c r="R2" s="8">
        <f t="shared" si="0"/>
        <v>-1</v>
      </c>
      <c r="S2" s="8">
        <f t="shared" si="0"/>
        <v>0</v>
      </c>
      <c r="T2" s="8">
        <f t="shared" si="0"/>
        <v>0</v>
      </c>
      <c r="U2" s="8">
        <f t="shared" si="0"/>
        <v>0</v>
      </c>
    </row>
    <row r="3" spans="1:43" ht="15" customHeight="1" x14ac:dyDescent="0.2">
      <c r="A3" s="7" t="s">
        <v>547</v>
      </c>
      <c r="B3" s="8">
        <f t="shared" ref="B3:U3" si="1">MAX(B5:B190)</f>
        <v>38</v>
      </c>
      <c r="C3" s="8">
        <f t="shared" si="1"/>
        <v>40</v>
      </c>
      <c r="D3" s="8">
        <f t="shared" si="1"/>
        <v>1</v>
      </c>
      <c r="E3" s="8">
        <f t="shared" si="1"/>
        <v>29</v>
      </c>
      <c r="F3" s="8">
        <f t="shared" si="1"/>
        <v>4</v>
      </c>
      <c r="G3" s="8">
        <f t="shared" si="1"/>
        <v>5</v>
      </c>
      <c r="H3" s="8">
        <f t="shared" si="1"/>
        <v>100.1</v>
      </c>
      <c r="I3" s="8">
        <f t="shared" si="1"/>
        <v>190025.48860000001</v>
      </c>
      <c r="J3" s="8">
        <f t="shared" si="1"/>
        <v>1.1017999999999999</v>
      </c>
      <c r="K3" s="8">
        <f t="shared" si="1"/>
        <v>370</v>
      </c>
      <c r="L3" s="8">
        <f t="shared" si="1"/>
        <v>98</v>
      </c>
      <c r="M3" s="8">
        <f t="shared" si="1"/>
        <v>2447.4425999999999</v>
      </c>
      <c r="N3" s="8">
        <f t="shared" si="1"/>
        <v>1</v>
      </c>
      <c r="O3" s="8">
        <f t="shared" si="1"/>
        <v>3</v>
      </c>
      <c r="P3" s="8">
        <f t="shared" si="1"/>
        <v>132</v>
      </c>
      <c r="Q3" s="8">
        <f t="shared" si="1"/>
        <v>95.784400000000005</v>
      </c>
      <c r="R3" s="8">
        <f t="shared" si="1"/>
        <v>5</v>
      </c>
      <c r="S3" s="8">
        <f t="shared" si="1"/>
        <v>31</v>
      </c>
      <c r="T3" s="8">
        <f t="shared" si="1"/>
        <v>12</v>
      </c>
      <c r="U3" s="8">
        <f t="shared" si="1"/>
        <v>4</v>
      </c>
    </row>
    <row r="4" spans="1:43" ht="15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W4" s="9" t="s">
        <v>523</v>
      </c>
      <c r="X4" s="9" t="s">
        <v>524</v>
      </c>
      <c r="Y4" s="9" t="s">
        <v>525</v>
      </c>
      <c r="Z4" s="9" t="s">
        <v>526</v>
      </c>
      <c r="AA4" s="9" t="s">
        <v>527</v>
      </c>
      <c r="AB4" s="9" t="s">
        <v>528</v>
      </c>
      <c r="AC4" s="9" t="s">
        <v>529</v>
      </c>
      <c r="AD4" s="9" t="s">
        <v>530</v>
      </c>
      <c r="AE4" s="9" t="s">
        <v>531</v>
      </c>
      <c r="AF4" s="9" t="s">
        <v>532</v>
      </c>
      <c r="AG4" s="9" t="s">
        <v>533</v>
      </c>
      <c r="AH4" s="9" t="s">
        <v>534</v>
      </c>
      <c r="AI4" s="9" t="s">
        <v>535</v>
      </c>
      <c r="AJ4" s="9" t="s">
        <v>536</v>
      </c>
      <c r="AK4" s="9" t="s">
        <v>537</v>
      </c>
      <c r="AL4" s="9" t="s">
        <v>538</v>
      </c>
      <c r="AM4" s="9" t="s">
        <v>539</v>
      </c>
      <c r="AN4" s="9" t="s">
        <v>540</v>
      </c>
      <c r="AO4" s="9" t="s">
        <v>541</v>
      </c>
      <c r="AP4" s="9" t="s">
        <v>542</v>
      </c>
      <c r="AQ4" s="10" t="s">
        <v>543</v>
      </c>
    </row>
    <row r="5" spans="1:43" ht="15" customHeight="1" x14ac:dyDescent="0.2">
      <c r="A5" s="3" t="str">
        <f>MethodData!A2</f>
        <v>Barge: Barge(Compass, IPosition)</v>
      </c>
      <c r="B5" s="4">
        <f>MethodData!B2</f>
        <v>1</v>
      </c>
      <c r="C5" s="4">
        <f>MethodData!C2</f>
        <v>0</v>
      </c>
      <c r="D5" s="4">
        <f>MethodData!D2</f>
        <v>0.6</v>
      </c>
      <c r="E5" s="4">
        <f>MethodData!E2</f>
        <v>5</v>
      </c>
      <c r="F5" s="4">
        <f>MethodData!F2</f>
        <v>0</v>
      </c>
      <c r="G5" s="4">
        <f>MethodData!G2</f>
        <v>0</v>
      </c>
      <c r="H5" s="4">
        <f>MethodData!H2</f>
        <v>6</v>
      </c>
      <c r="I5" s="4">
        <f>MethodData!I2</f>
        <v>301.13690000000003</v>
      </c>
      <c r="J5" s="4">
        <f>MethodData!J2</f>
        <v>1.4999999999999999E-2</v>
      </c>
      <c r="K5" s="4">
        <f>MethodData!K2</f>
        <v>14</v>
      </c>
      <c r="L5" s="4">
        <f>MethodData!L2</f>
        <v>12</v>
      </c>
      <c r="M5" s="4">
        <f>MethodData!M2</f>
        <v>50.189500000000002</v>
      </c>
      <c r="N5" s="4">
        <f>MethodData!N2</f>
        <v>0</v>
      </c>
      <c r="O5" s="4">
        <f>MethodData!O2</f>
        <v>0</v>
      </c>
      <c r="P5" s="4">
        <f>MethodData!P2</f>
        <v>11</v>
      </c>
      <c r="Q5" s="4">
        <f>MethodData!Q2</f>
        <v>65.386899999999997</v>
      </c>
      <c r="R5" s="4">
        <f>MethodData!R2</f>
        <v>0</v>
      </c>
      <c r="S5" s="4">
        <f>MethodData!S2</f>
        <v>2</v>
      </c>
      <c r="T5" s="4">
        <f>MethodData!T2</f>
        <v>0</v>
      </c>
      <c r="U5" s="4">
        <f>MethodData!U2</f>
        <v>2</v>
      </c>
      <c r="W5" s="11">
        <f t="shared" ref="W5:W36" si="2">IF(B$3-B$2=0,0,(B5-B$2)/(B$3-B$2))</f>
        <v>2.6315789473684209E-2</v>
      </c>
      <c r="X5" s="11">
        <f t="shared" ref="X5:X36" si="3">IF(C$3-C$2=0,0,(C5-C$2)/(C$3-C$2))</f>
        <v>0</v>
      </c>
      <c r="Y5" s="11">
        <f t="shared" ref="Y5:Y36" si="4">IF(D$3-D$2=0,0,(D5-D$2)/(D$3-D$2))</f>
        <v>0.6</v>
      </c>
      <c r="Z5" s="11">
        <f t="shared" ref="Z5:Z36" si="5">IF(E$3-E$2=0,0,(E5-E$2)/(E$3-E$2))</f>
        <v>0.17241379310344829</v>
      </c>
      <c r="AA5" s="11">
        <f t="shared" ref="AA5:AA36" si="6">IF(F$3-F$2=0,0,(F5-F$2)/(F$3-F$2))</f>
        <v>0</v>
      </c>
      <c r="AB5" s="11">
        <f t="shared" ref="AB5:AB36" si="7">IF(G$3-G$2=0,0,(G5-G$2)/(G$3-G$2))</f>
        <v>0</v>
      </c>
      <c r="AC5" s="11">
        <f t="shared" ref="AC5:AC36" si="8">IF(H$3-H$2=0,0,(H5-H$2)/(H$3-H$2))</f>
        <v>5.9940059940059943E-2</v>
      </c>
      <c r="AD5" s="11">
        <f t="shared" ref="AD5:AD36" si="9">IF(I$3-I$2=0,0,(I5-I$2)/(I$3-I$2))</f>
        <v>1.5847184618158641E-3</v>
      </c>
      <c r="AE5" s="11">
        <f t="shared" ref="AE5:AE36" si="10">IF(J$3-J$2=0,0,(J5-J$2)/(J$3-J$2))</f>
        <v>1.3614086041023781E-2</v>
      </c>
      <c r="AF5" s="11">
        <f t="shared" ref="AF5:AF36" si="11">IF(K$3-K$2=0,0,(K5-K$2)/(K$3-K$2))</f>
        <v>3.783783783783784E-2</v>
      </c>
      <c r="AG5" s="11">
        <f t="shared" ref="AG5:AG36" si="12">IF(L$3-L$2=0,0,(L5-L$2)/(L$3-L$2))</f>
        <v>0.12244897959183673</v>
      </c>
      <c r="AH5" s="11">
        <f t="shared" ref="AH5:AH36" si="13">IF(M$3-M$2=0,0,(M5-M$2)/(M$3-M$2))</f>
        <v>2.0506916076397461E-2</v>
      </c>
      <c r="AI5" s="11">
        <f t="shared" ref="AI5:AI36" si="14">IF(N$3-N$2=0,0,(N5-N$2)/(N$3-N$2))</f>
        <v>0</v>
      </c>
      <c r="AJ5" s="11">
        <f t="shared" ref="AJ5:AJ36" si="15">IF(O$3-O$2=0,0,(O5-O$2)/(O$3-O$2))</f>
        <v>0</v>
      </c>
      <c r="AK5" s="11">
        <f t="shared" ref="AK5:AK36" si="16">IF(P$3-P$2=0,0,(P5-P$2)/(P$3-P$2))</f>
        <v>8.3333333333333329E-2</v>
      </c>
      <c r="AL5" s="11">
        <f t="shared" ref="AL5:AL36" si="17">IF(Q$3-Q$2=0,0,(Q5-Q$2)/(Q$3-Q$2))</f>
        <v>0.68264665227323018</v>
      </c>
      <c r="AM5" s="11">
        <f t="shared" ref="AM5:AM36" si="18">IF(R$3-R$2=0,0,(R5-R$2)/(R$3-R$2))</f>
        <v>0.16666666666666666</v>
      </c>
      <c r="AN5" s="11">
        <f t="shared" ref="AN5:AN36" si="19">IF(S$3-S$2=0,0,(S5-S$2)/(S$3-S$2))</f>
        <v>6.4516129032258063E-2</v>
      </c>
      <c r="AO5" s="11">
        <f t="shared" ref="AO5:AO36" si="20">IF(T$3-T$2=0,0,(T5-T$2)/(T$3-T$2))</f>
        <v>0</v>
      </c>
      <c r="AP5" s="11">
        <f t="shared" ref="AP5:AP36" si="21">IF(U$3-U$2=0,0,(U5-U$2)/(U$3-U$2))</f>
        <v>0.5</v>
      </c>
      <c r="AQ5" s="11">
        <f t="shared" ref="AQ5:AQ36" si="22">SUM(W5:AP5)</f>
        <v>2.5518249618315925</v>
      </c>
    </row>
    <row r="6" spans="1:43" ht="15" customHeight="1" x14ac:dyDescent="0.2">
      <c r="A6" s="3" t="str">
        <f>MethodData!A3</f>
        <v>BoardWindow: close()</v>
      </c>
      <c r="B6" s="4">
        <f>MethodData!B3</f>
        <v>2</v>
      </c>
      <c r="C6" s="4">
        <f>MethodData!C3</f>
        <v>1</v>
      </c>
      <c r="D6" s="4">
        <f>MethodData!D3</f>
        <v>1</v>
      </c>
      <c r="E6" s="4">
        <f>MethodData!E3</f>
        <v>1</v>
      </c>
      <c r="F6" s="4">
        <f>MethodData!F3</f>
        <v>1</v>
      </c>
      <c r="G6" s="4">
        <f>MethodData!G3</f>
        <v>0</v>
      </c>
      <c r="H6" s="4">
        <f>MethodData!H3</f>
        <v>7.5</v>
      </c>
      <c r="I6" s="4">
        <f>MethodData!I3</f>
        <v>247.5</v>
      </c>
      <c r="J6" s="4">
        <f>MethodData!J3</f>
        <v>1.3100000000000001E-2</v>
      </c>
      <c r="K6" s="4">
        <f>MethodData!K3</f>
        <v>11</v>
      </c>
      <c r="L6" s="4">
        <f>MethodData!L3</f>
        <v>8</v>
      </c>
      <c r="M6" s="4">
        <f>MethodData!M3</f>
        <v>33</v>
      </c>
      <c r="N6" s="4">
        <f>MethodData!N3</f>
        <v>1</v>
      </c>
      <c r="O6" s="4">
        <f>MethodData!O3</f>
        <v>0</v>
      </c>
      <c r="P6" s="4">
        <f>MethodData!P3</f>
        <v>6</v>
      </c>
      <c r="Q6" s="4">
        <f>MethodData!Q3</f>
        <v>72.299599999999998</v>
      </c>
      <c r="R6" s="4">
        <f>MethodData!R3</f>
        <v>1</v>
      </c>
      <c r="S6" s="4">
        <f>MethodData!S3</f>
        <v>1</v>
      </c>
      <c r="T6" s="4">
        <f>MethodData!T3</f>
        <v>0</v>
      </c>
      <c r="U6" s="4">
        <f>MethodData!U3</f>
        <v>0</v>
      </c>
      <c r="W6" s="11">
        <f t="shared" si="2"/>
        <v>5.2631578947368418E-2</v>
      </c>
      <c r="X6" s="11">
        <f t="shared" si="3"/>
        <v>2.5000000000000001E-2</v>
      </c>
      <c r="Y6" s="11">
        <f t="shared" si="4"/>
        <v>1</v>
      </c>
      <c r="Z6" s="11">
        <f t="shared" si="5"/>
        <v>3.4482758620689655E-2</v>
      </c>
      <c r="AA6" s="11">
        <f t="shared" si="6"/>
        <v>0.25</v>
      </c>
      <c r="AB6" s="11">
        <f t="shared" si="7"/>
        <v>0</v>
      </c>
      <c r="AC6" s="11">
        <f t="shared" si="8"/>
        <v>7.4925074925074928E-2</v>
      </c>
      <c r="AD6" s="11">
        <f t="shared" si="9"/>
        <v>1.3024568536749443E-3</v>
      </c>
      <c r="AE6" s="11">
        <f t="shared" si="10"/>
        <v>1.1889635142494102E-2</v>
      </c>
      <c r="AF6" s="11">
        <f t="shared" si="11"/>
        <v>2.9729729729729731E-2</v>
      </c>
      <c r="AG6" s="11">
        <f t="shared" si="12"/>
        <v>8.1632653061224483E-2</v>
      </c>
      <c r="AH6" s="11">
        <f t="shared" si="13"/>
        <v>1.348346228834948E-2</v>
      </c>
      <c r="AI6" s="11">
        <f t="shared" si="14"/>
        <v>1</v>
      </c>
      <c r="AJ6" s="11">
        <f t="shared" si="15"/>
        <v>0</v>
      </c>
      <c r="AK6" s="11">
        <f t="shared" si="16"/>
        <v>4.5454545454545456E-2</v>
      </c>
      <c r="AL6" s="11">
        <f t="shared" si="17"/>
        <v>0.75481602432128814</v>
      </c>
      <c r="AM6" s="11">
        <f t="shared" si="18"/>
        <v>0.33333333333333331</v>
      </c>
      <c r="AN6" s="11">
        <f t="shared" si="19"/>
        <v>3.2258064516129031E-2</v>
      </c>
      <c r="AO6" s="11">
        <f t="shared" si="20"/>
        <v>0</v>
      </c>
      <c r="AP6" s="11">
        <f t="shared" si="21"/>
        <v>0</v>
      </c>
      <c r="AQ6" s="11">
        <f t="shared" si="22"/>
        <v>3.7409393171939023</v>
      </c>
    </row>
    <row r="7" spans="1:43" ht="15" customHeight="1" x14ac:dyDescent="0.2">
      <c r="A7" s="3" t="str">
        <f>MethodData!A4</f>
        <v>BoardWindow: createBoardPanel(char[][], List&lt;IPosition&gt;)</v>
      </c>
      <c r="B7" s="4">
        <f>MethodData!B4</f>
        <v>10</v>
      </c>
      <c r="C7" s="4">
        <f>MethodData!C4</f>
        <v>10</v>
      </c>
      <c r="D7" s="4">
        <f>MethodData!D4</f>
        <v>0.5</v>
      </c>
      <c r="E7" s="4">
        <f>MethodData!E4</f>
        <v>10</v>
      </c>
      <c r="F7" s="4">
        <f>MethodData!F4</f>
        <v>2</v>
      </c>
      <c r="G7" s="4">
        <f>MethodData!G4</f>
        <v>4</v>
      </c>
      <c r="H7" s="4">
        <f>MethodData!H4</f>
        <v>27.5</v>
      </c>
      <c r="I7" s="4">
        <f>MethodData!I4</f>
        <v>18919.4997</v>
      </c>
      <c r="J7" s="4">
        <f>MethodData!J4</f>
        <v>0.23669999999999999</v>
      </c>
      <c r="K7" s="4">
        <f>MethodData!K4</f>
        <v>119</v>
      </c>
      <c r="L7" s="4">
        <f>MethodData!L4</f>
        <v>55</v>
      </c>
      <c r="M7" s="4">
        <f>MethodData!M4</f>
        <v>687.98180000000002</v>
      </c>
      <c r="N7" s="4">
        <f>MethodData!N4</f>
        <v>0</v>
      </c>
      <c r="O7" s="4">
        <f>MethodData!O4</f>
        <v>3</v>
      </c>
      <c r="P7" s="4">
        <f>MethodData!P4</f>
        <v>43</v>
      </c>
      <c r="Q7" s="4">
        <f>MethodData!Q4</f>
        <v>44.1935</v>
      </c>
      <c r="R7" s="4">
        <f>MethodData!R4</f>
        <v>5</v>
      </c>
      <c r="S7" s="4">
        <f>MethodData!S4</f>
        <v>19</v>
      </c>
      <c r="T7" s="4">
        <f>MethodData!T4</f>
        <v>3</v>
      </c>
      <c r="U7" s="4">
        <f>MethodData!U4</f>
        <v>2</v>
      </c>
      <c r="W7" s="11">
        <f t="shared" si="2"/>
        <v>0.26315789473684209</v>
      </c>
      <c r="X7" s="11">
        <f t="shared" si="3"/>
        <v>0.25</v>
      </c>
      <c r="Y7" s="11">
        <f t="shared" si="4"/>
        <v>0.5</v>
      </c>
      <c r="Z7" s="11">
        <f t="shared" si="5"/>
        <v>0.34482758620689657</v>
      </c>
      <c r="AA7" s="11">
        <f t="shared" si="6"/>
        <v>0.5</v>
      </c>
      <c r="AB7" s="11">
        <f t="shared" si="7"/>
        <v>0.8</v>
      </c>
      <c r="AC7" s="11">
        <f t="shared" si="8"/>
        <v>0.27472527472527475</v>
      </c>
      <c r="AD7" s="11">
        <f t="shared" si="9"/>
        <v>9.9562957787337578E-2</v>
      </c>
      <c r="AE7" s="11">
        <f t="shared" si="10"/>
        <v>0.21483027772735525</v>
      </c>
      <c r="AF7" s="11">
        <f t="shared" si="11"/>
        <v>0.32162162162162161</v>
      </c>
      <c r="AG7" s="11">
        <f t="shared" si="12"/>
        <v>0.56122448979591832</v>
      </c>
      <c r="AH7" s="11">
        <f t="shared" si="13"/>
        <v>0.28110232289002407</v>
      </c>
      <c r="AI7" s="11">
        <f t="shared" si="14"/>
        <v>0</v>
      </c>
      <c r="AJ7" s="11">
        <f t="shared" si="15"/>
        <v>1</v>
      </c>
      <c r="AK7" s="11">
        <f t="shared" si="16"/>
        <v>0.32575757575757575</v>
      </c>
      <c r="AL7" s="11">
        <f t="shared" si="17"/>
        <v>0.46138515248829659</v>
      </c>
      <c r="AM7" s="11">
        <f t="shared" si="18"/>
        <v>1</v>
      </c>
      <c r="AN7" s="11">
        <f t="shared" si="19"/>
        <v>0.61290322580645162</v>
      </c>
      <c r="AO7" s="11">
        <f t="shared" si="20"/>
        <v>0.25</v>
      </c>
      <c r="AP7" s="11">
        <f t="shared" si="21"/>
        <v>0.5</v>
      </c>
      <c r="AQ7" s="11">
        <f t="shared" si="22"/>
        <v>8.5610983795435942</v>
      </c>
    </row>
    <row r="8" spans="1:43" ht="15" customHeight="1" x14ac:dyDescent="0.2">
      <c r="A8" s="3" t="str">
        <f>MethodData!A5</f>
        <v>BoardWindow: show(char[][], char[][], List&lt;IPosition&gt;, List&lt;IPosition&gt;)</v>
      </c>
      <c r="B8" s="4">
        <f>MethodData!B5</f>
        <v>2</v>
      </c>
      <c r="C8" s="4">
        <f>MethodData!C5</f>
        <v>1</v>
      </c>
      <c r="D8" s="4">
        <f>MethodData!D5</f>
        <v>0.45450000000000002</v>
      </c>
      <c r="E8" s="4">
        <f>MethodData!E5</f>
        <v>10</v>
      </c>
      <c r="F8" s="4">
        <f>MethodData!F5</f>
        <v>1</v>
      </c>
      <c r="G8" s="4">
        <f>MethodData!G5</f>
        <v>4</v>
      </c>
      <c r="H8" s="4">
        <f>MethodData!H5</f>
        <v>16.714300000000001</v>
      </c>
      <c r="I8" s="4">
        <f>MethodData!I5</f>
        <v>8124.3706000000002</v>
      </c>
      <c r="J8" s="4">
        <f>MethodData!J5</f>
        <v>0.13469999999999999</v>
      </c>
      <c r="K8" s="4">
        <f>MethodData!K5</f>
        <v>88</v>
      </c>
      <c r="L8" s="4">
        <f>MethodData!L5</f>
        <v>46</v>
      </c>
      <c r="M8" s="4">
        <f>MethodData!M5</f>
        <v>486.07350000000002</v>
      </c>
      <c r="N8" s="4">
        <f>MethodData!N5</f>
        <v>0.28570000000000001</v>
      </c>
      <c r="O8" s="4">
        <f>MethodData!O5</f>
        <v>0</v>
      </c>
      <c r="P8" s="4">
        <f>MethodData!P5</f>
        <v>30</v>
      </c>
      <c r="Q8" s="4">
        <f>MethodData!Q5</f>
        <v>48.872999999999998</v>
      </c>
      <c r="R8" s="4">
        <f>MethodData!R5</f>
        <v>1</v>
      </c>
      <c r="S8" s="4">
        <f>MethodData!S5</f>
        <v>17</v>
      </c>
      <c r="T8" s="4">
        <f>MethodData!T5</f>
        <v>0</v>
      </c>
      <c r="U8" s="4">
        <f>MethodData!U5</f>
        <v>4</v>
      </c>
      <c r="W8" s="11">
        <f t="shared" si="2"/>
        <v>5.2631578947368418E-2</v>
      </c>
      <c r="X8" s="11">
        <f t="shared" si="3"/>
        <v>2.5000000000000001E-2</v>
      </c>
      <c r="Y8" s="11">
        <f t="shared" si="4"/>
        <v>0.45450000000000002</v>
      </c>
      <c r="Z8" s="11">
        <f t="shared" si="5"/>
        <v>0.34482758620689657</v>
      </c>
      <c r="AA8" s="11">
        <f t="shared" si="6"/>
        <v>0.25</v>
      </c>
      <c r="AB8" s="11">
        <f t="shared" si="7"/>
        <v>0.8</v>
      </c>
      <c r="AC8" s="11">
        <f t="shared" si="8"/>
        <v>0.16697602397602401</v>
      </c>
      <c r="AD8" s="11">
        <f t="shared" si="9"/>
        <v>4.2754109776829169E-2</v>
      </c>
      <c r="AE8" s="11">
        <f t="shared" si="10"/>
        <v>0.12225449264839354</v>
      </c>
      <c r="AF8" s="11">
        <f t="shared" si="11"/>
        <v>0.23783783783783785</v>
      </c>
      <c r="AG8" s="11">
        <f t="shared" si="12"/>
        <v>0.46938775510204084</v>
      </c>
      <c r="AH8" s="11">
        <f t="shared" si="13"/>
        <v>0.19860465777624367</v>
      </c>
      <c r="AI8" s="11">
        <f t="shared" si="14"/>
        <v>0.28570000000000001</v>
      </c>
      <c r="AJ8" s="11">
        <f t="shared" si="15"/>
        <v>0</v>
      </c>
      <c r="AK8" s="11">
        <f t="shared" si="16"/>
        <v>0.22727272727272727</v>
      </c>
      <c r="AL8" s="11">
        <f t="shared" si="17"/>
        <v>0.5102396632437014</v>
      </c>
      <c r="AM8" s="11">
        <f t="shared" si="18"/>
        <v>0.33333333333333331</v>
      </c>
      <c r="AN8" s="11">
        <f t="shared" si="19"/>
        <v>0.54838709677419351</v>
      </c>
      <c r="AO8" s="11">
        <f t="shared" si="20"/>
        <v>0</v>
      </c>
      <c r="AP8" s="11">
        <f t="shared" si="21"/>
        <v>1</v>
      </c>
      <c r="AQ8" s="11">
        <f t="shared" si="22"/>
        <v>6.0697068628955879</v>
      </c>
    </row>
    <row r="9" spans="1:43" ht="15" customHeight="1" x14ac:dyDescent="0.2">
      <c r="A9" s="3" t="str">
        <f>MethodData!A6</f>
        <v>Caravel: Caravel(Compass, IPosition)</v>
      </c>
      <c r="B9" s="4">
        <f>MethodData!B6</f>
        <v>9</v>
      </c>
      <c r="C9" s="4">
        <f>MethodData!C6</f>
        <v>5</v>
      </c>
      <c r="D9" s="4">
        <f>MethodData!D6</f>
        <v>0.5</v>
      </c>
      <c r="E9" s="4">
        <f>MethodData!E6</f>
        <v>6</v>
      </c>
      <c r="F9" s="4">
        <f>MethodData!F6</f>
        <v>0</v>
      </c>
      <c r="G9" s="4">
        <f>MethodData!G6</f>
        <v>1</v>
      </c>
      <c r="H9" s="4">
        <f>MethodData!H6</f>
        <v>27</v>
      </c>
      <c r="I9" s="4">
        <f>MethodData!I6</f>
        <v>12198.390299999999</v>
      </c>
      <c r="J9" s="4">
        <f>MethodData!J6</f>
        <v>0.17660000000000001</v>
      </c>
      <c r="K9" s="4">
        <f>MethodData!K6</f>
        <v>93</v>
      </c>
      <c r="L9" s="4">
        <f>MethodData!L6</f>
        <v>29</v>
      </c>
      <c r="M9" s="4">
        <f>MethodData!M6</f>
        <v>451.79219999999998</v>
      </c>
      <c r="N9" s="4">
        <f>MethodData!N6</f>
        <v>0</v>
      </c>
      <c r="O9" s="4">
        <f>MethodData!O6</f>
        <v>1</v>
      </c>
      <c r="P9" s="4">
        <f>MethodData!P6</f>
        <v>27</v>
      </c>
      <c r="Q9" s="4">
        <f>MethodData!Q6</f>
        <v>49.8962</v>
      </c>
      <c r="R9" s="4">
        <f>MethodData!R6</f>
        <v>1</v>
      </c>
      <c r="S9" s="4">
        <f>MethodData!S6</f>
        <v>10</v>
      </c>
      <c r="T9" s="4">
        <f>MethodData!T6</f>
        <v>4</v>
      </c>
      <c r="U9" s="4">
        <f>MethodData!U6</f>
        <v>2</v>
      </c>
      <c r="W9" s="11">
        <f t="shared" si="2"/>
        <v>0.23684210526315788</v>
      </c>
      <c r="X9" s="11">
        <f t="shared" si="3"/>
        <v>0.125</v>
      </c>
      <c r="Y9" s="11">
        <f t="shared" si="4"/>
        <v>0.5</v>
      </c>
      <c r="Z9" s="11">
        <f t="shared" si="5"/>
        <v>0.20689655172413793</v>
      </c>
      <c r="AA9" s="11">
        <f t="shared" si="6"/>
        <v>0</v>
      </c>
      <c r="AB9" s="11">
        <f t="shared" si="7"/>
        <v>0.2</v>
      </c>
      <c r="AC9" s="11">
        <f t="shared" si="8"/>
        <v>0.26973026973026976</v>
      </c>
      <c r="AD9" s="11">
        <f t="shared" si="9"/>
        <v>6.4193442626411953E-2</v>
      </c>
      <c r="AE9" s="11">
        <f t="shared" si="10"/>
        <v>0.16028317298965331</v>
      </c>
      <c r="AF9" s="11">
        <f t="shared" si="11"/>
        <v>0.25135135135135134</v>
      </c>
      <c r="AG9" s="11">
        <f t="shared" si="12"/>
        <v>0.29591836734693877</v>
      </c>
      <c r="AH9" s="11">
        <f t="shared" si="13"/>
        <v>0.18459766942031655</v>
      </c>
      <c r="AI9" s="11">
        <f t="shared" si="14"/>
        <v>0</v>
      </c>
      <c r="AJ9" s="11">
        <f t="shared" si="15"/>
        <v>0.33333333333333331</v>
      </c>
      <c r="AK9" s="11">
        <f t="shared" si="16"/>
        <v>0.20454545454545456</v>
      </c>
      <c r="AL9" s="11">
        <f t="shared" si="17"/>
        <v>0.52092198729646999</v>
      </c>
      <c r="AM9" s="11">
        <f t="shared" si="18"/>
        <v>0.33333333333333331</v>
      </c>
      <c r="AN9" s="11">
        <f t="shared" si="19"/>
        <v>0.32258064516129031</v>
      </c>
      <c r="AO9" s="11">
        <f t="shared" si="20"/>
        <v>0.33333333333333331</v>
      </c>
      <c r="AP9" s="11">
        <f t="shared" si="21"/>
        <v>0.5</v>
      </c>
      <c r="AQ9" s="11">
        <f t="shared" si="22"/>
        <v>5.0428610174554525</v>
      </c>
    </row>
    <row r="10" spans="1:43" ht="15" customHeight="1" x14ac:dyDescent="0.2">
      <c r="A10" s="3" t="str">
        <f>MethodData!A7</f>
        <v>Carrack: Carrack(Compass, IPosition)</v>
      </c>
      <c r="B10" s="4">
        <f>MethodData!B7</f>
        <v>9</v>
      </c>
      <c r="C10" s="4">
        <f>MethodData!C7</f>
        <v>5</v>
      </c>
      <c r="D10" s="4">
        <f>MethodData!D7</f>
        <v>0.5</v>
      </c>
      <c r="E10" s="4">
        <f>MethodData!E7</f>
        <v>6</v>
      </c>
      <c r="F10" s="4">
        <f>MethodData!F7</f>
        <v>0</v>
      </c>
      <c r="G10" s="4">
        <f>MethodData!G7</f>
        <v>1</v>
      </c>
      <c r="H10" s="4">
        <f>MethodData!H7</f>
        <v>27</v>
      </c>
      <c r="I10" s="4">
        <f>MethodData!I7</f>
        <v>12198.390299999999</v>
      </c>
      <c r="J10" s="4">
        <f>MethodData!J7</f>
        <v>0.17660000000000001</v>
      </c>
      <c r="K10" s="4">
        <f>MethodData!K7</f>
        <v>93</v>
      </c>
      <c r="L10" s="4">
        <f>MethodData!L7</f>
        <v>29</v>
      </c>
      <c r="M10" s="4">
        <f>MethodData!M7</f>
        <v>451.79219999999998</v>
      </c>
      <c r="N10" s="4">
        <f>MethodData!N7</f>
        <v>0</v>
      </c>
      <c r="O10" s="4">
        <f>MethodData!O7</f>
        <v>1</v>
      </c>
      <c r="P10" s="4">
        <f>MethodData!P7</f>
        <v>27</v>
      </c>
      <c r="Q10" s="4">
        <f>MethodData!Q7</f>
        <v>49.8962</v>
      </c>
      <c r="R10" s="4">
        <f>MethodData!R7</f>
        <v>1</v>
      </c>
      <c r="S10" s="4">
        <f>MethodData!S7</f>
        <v>10</v>
      </c>
      <c r="T10" s="4">
        <f>MethodData!T7</f>
        <v>4</v>
      </c>
      <c r="U10" s="4">
        <f>MethodData!U7</f>
        <v>2</v>
      </c>
      <c r="W10" s="11">
        <f t="shared" si="2"/>
        <v>0.23684210526315788</v>
      </c>
      <c r="X10" s="11">
        <f t="shared" si="3"/>
        <v>0.125</v>
      </c>
      <c r="Y10" s="11">
        <f t="shared" si="4"/>
        <v>0.5</v>
      </c>
      <c r="Z10" s="11">
        <f t="shared" si="5"/>
        <v>0.20689655172413793</v>
      </c>
      <c r="AA10" s="11">
        <f t="shared" si="6"/>
        <v>0</v>
      </c>
      <c r="AB10" s="11">
        <f t="shared" si="7"/>
        <v>0.2</v>
      </c>
      <c r="AC10" s="11">
        <f t="shared" si="8"/>
        <v>0.26973026973026976</v>
      </c>
      <c r="AD10" s="11">
        <f t="shared" si="9"/>
        <v>6.4193442626411953E-2</v>
      </c>
      <c r="AE10" s="11">
        <f t="shared" si="10"/>
        <v>0.16028317298965331</v>
      </c>
      <c r="AF10" s="11">
        <f t="shared" si="11"/>
        <v>0.25135135135135134</v>
      </c>
      <c r="AG10" s="11">
        <f t="shared" si="12"/>
        <v>0.29591836734693877</v>
      </c>
      <c r="AH10" s="11">
        <f t="shared" si="13"/>
        <v>0.18459766942031655</v>
      </c>
      <c r="AI10" s="11">
        <f t="shared" si="14"/>
        <v>0</v>
      </c>
      <c r="AJ10" s="11">
        <f t="shared" si="15"/>
        <v>0.33333333333333331</v>
      </c>
      <c r="AK10" s="11">
        <f t="shared" si="16"/>
        <v>0.20454545454545456</v>
      </c>
      <c r="AL10" s="11">
        <f t="shared" si="17"/>
        <v>0.52092198729646999</v>
      </c>
      <c r="AM10" s="11">
        <f t="shared" si="18"/>
        <v>0.33333333333333331</v>
      </c>
      <c r="AN10" s="11">
        <f t="shared" si="19"/>
        <v>0.32258064516129031</v>
      </c>
      <c r="AO10" s="11">
        <f t="shared" si="20"/>
        <v>0.33333333333333331</v>
      </c>
      <c r="AP10" s="11">
        <f t="shared" si="21"/>
        <v>0.5</v>
      </c>
      <c r="AQ10" s="11">
        <f t="shared" si="22"/>
        <v>5.0428610174554525</v>
      </c>
    </row>
    <row r="11" spans="1:43" ht="15" customHeight="1" x14ac:dyDescent="0.2">
      <c r="A11" s="3" t="str">
        <f>MethodData!A8</f>
        <v>Compass: Compass(char)</v>
      </c>
      <c r="B11" s="4">
        <f>MethodData!B8</f>
        <v>1</v>
      </c>
      <c r="C11" s="4">
        <f>MethodData!C8</f>
        <v>0</v>
      </c>
      <c r="D11" s="4">
        <f>MethodData!D8</f>
        <v>0</v>
      </c>
      <c r="E11" s="4">
        <f>MethodData!E8</f>
        <v>0</v>
      </c>
      <c r="F11" s="4">
        <f>MethodData!F8</f>
        <v>0</v>
      </c>
      <c r="G11" s="4">
        <f>MethodData!G8</f>
        <v>0</v>
      </c>
      <c r="H11" s="4">
        <f>MethodData!H8</f>
        <v>1</v>
      </c>
      <c r="I11" s="4">
        <f>MethodData!I8</f>
        <v>8</v>
      </c>
      <c r="J11" s="4">
        <f>MethodData!J8</f>
        <v>1.2999999999999999E-3</v>
      </c>
      <c r="K11" s="4">
        <f>MethodData!K8</f>
        <v>4</v>
      </c>
      <c r="L11" s="4">
        <f>MethodData!L8</f>
        <v>4</v>
      </c>
      <c r="M11" s="4">
        <f>MethodData!M8</f>
        <v>8</v>
      </c>
      <c r="N11" s="4">
        <f>MethodData!N8</f>
        <v>1</v>
      </c>
      <c r="O11" s="4">
        <f>MethodData!O8</f>
        <v>0</v>
      </c>
      <c r="P11" s="4">
        <f>MethodData!P8</f>
        <v>9</v>
      </c>
      <c r="Q11" s="4">
        <f>MethodData!Q8</f>
        <v>72.860699999999994</v>
      </c>
      <c r="R11" s="4">
        <f>MethodData!R8</f>
        <v>0</v>
      </c>
      <c r="S11" s="4">
        <f>MethodData!S8</f>
        <v>2</v>
      </c>
      <c r="T11" s="4">
        <f>MethodData!T8</f>
        <v>0</v>
      </c>
      <c r="U11" s="4">
        <f>MethodData!U8</f>
        <v>1</v>
      </c>
      <c r="W11" s="11">
        <f t="shared" si="2"/>
        <v>2.6315789473684209E-2</v>
      </c>
      <c r="X11" s="11">
        <f t="shared" si="3"/>
        <v>0</v>
      </c>
      <c r="Y11" s="11">
        <f t="shared" si="4"/>
        <v>0</v>
      </c>
      <c r="Z11" s="11">
        <f t="shared" si="5"/>
        <v>0</v>
      </c>
      <c r="AA11" s="11">
        <f t="shared" si="6"/>
        <v>0</v>
      </c>
      <c r="AB11" s="11">
        <f t="shared" si="7"/>
        <v>0</v>
      </c>
      <c r="AC11" s="11">
        <f t="shared" si="8"/>
        <v>9.99000999000999E-3</v>
      </c>
      <c r="AD11" s="11">
        <f t="shared" si="9"/>
        <v>4.2099615472321428E-5</v>
      </c>
      <c r="AE11" s="11">
        <f t="shared" si="10"/>
        <v>1.1798874568887275E-3</v>
      </c>
      <c r="AF11" s="11">
        <f t="shared" si="11"/>
        <v>1.0810810810810811E-2</v>
      </c>
      <c r="AG11" s="11">
        <f t="shared" si="12"/>
        <v>4.0816326530612242E-2</v>
      </c>
      <c r="AH11" s="11">
        <f t="shared" si="13"/>
        <v>3.2687181305089651E-3</v>
      </c>
      <c r="AI11" s="11">
        <f t="shared" si="14"/>
        <v>1</v>
      </c>
      <c r="AJ11" s="11">
        <f t="shared" si="15"/>
        <v>0</v>
      </c>
      <c r="AK11" s="11">
        <f t="shared" si="16"/>
        <v>6.8181818181818177E-2</v>
      </c>
      <c r="AL11" s="11">
        <f t="shared" si="17"/>
        <v>0.76067397196203135</v>
      </c>
      <c r="AM11" s="11">
        <f t="shared" si="18"/>
        <v>0.16666666666666666</v>
      </c>
      <c r="AN11" s="11">
        <f t="shared" si="19"/>
        <v>6.4516129032258063E-2</v>
      </c>
      <c r="AO11" s="11">
        <f t="shared" si="20"/>
        <v>0</v>
      </c>
      <c r="AP11" s="11">
        <f t="shared" si="21"/>
        <v>0.25</v>
      </c>
      <c r="AQ11" s="11">
        <f t="shared" si="22"/>
        <v>2.4024622278507612</v>
      </c>
    </row>
    <row r="12" spans="1:43" ht="15" customHeight="1" x14ac:dyDescent="0.2">
      <c r="A12" s="3" t="str">
        <f>MethodData!A9</f>
        <v>Compass: charToCompass(char)</v>
      </c>
      <c r="B12" s="4">
        <f>MethodData!B9</f>
        <v>6</v>
      </c>
      <c r="C12" s="4">
        <f>MethodData!C9</f>
        <v>1</v>
      </c>
      <c r="D12" s="4">
        <f>MethodData!D9</f>
        <v>0</v>
      </c>
      <c r="E12" s="4">
        <f>MethodData!E9</f>
        <v>0</v>
      </c>
      <c r="F12" s="4">
        <f>MethodData!F9</f>
        <v>0</v>
      </c>
      <c r="G12" s="4">
        <f>MethodData!G9</f>
        <v>0</v>
      </c>
      <c r="H12" s="4">
        <f>MethodData!H9</f>
        <v>5.0909000000000004</v>
      </c>
      <c r="I12" s="4">
        <f>MethodData!I9</f>
        <v>615.63260000000002</v>
      </c>
      <c r="J12" s="4">
        <f>MethodData!J9</f>
        <v>2.41E-2</v>
      </c>
      <c r="K12" s="4">
        <f>MethodData!K9</f>
        <v>29</v>
      </c>
      <c r="L12" s="4">
        <f>MethodData!L9</f>
        <v>18</v>
      </c>
      <c r="M12" s="4">
        <f>MethodData!M9</f>
        <v>120.9278</v>
      </c>
      <c r="N12" s="4">
        <f>MethodData!N9</f>
        <v>1</v>
      </c>
      <c r="O12" s="4">
        <f>MethodData!O9</f>
        <v>0</v>
      </c>
      <c r="P12" s="4">
        <f>MethodData!P9</f>
        <v>28</v>
      </c>
      <c r="Q12" s="4">
        <f>MethodData!Q9</f>
        <v>53.632300000000001</v>
      </c>
      <c r="R12" s="4">
        <f>MethodData!R9</f>
        <v>1</v>
      </c>
      <c r="S12" s="4">
        <f>MethodData!S9</f>
        <v>6</v>
      </c>
      <c r="T12" s="4">
        <f>MethodData!T9</f>
        <v>0</v>
      </c>
      <c r="U12" s="4">
        <f>MethodData!U9</f>
        <v>1</v>
      </c>
      <c r="W12" s="11">
        <f t="shared" si="2"/>
        <v>0.15789473684210525</v>
      </c>
      <c r="X12" s="11">
        <f t="shared" si="3"/>
        <v>2.5000000000000001E-2</v>
      </c>
      <c r="Y12" s="11">
        <f t="shared" si="4"/>
        <v>0</v>
      </c>
      <c r="Z12" s="11">
        <f t="shared" si="5"/>
        <v>0</v>
      </c>
      <c r="AA12" s="11">
        <f t="shared" si="6"/>
        <v>0</v>
      </c>
      <c r="AB12" s="11">
        <f t="shared" si="7"/>
        <v>0</v>
      </c>
      <c r="AC12" s="11">
        <f t="shared" si="8"/>
        <v>5.0858141858141866E-2</v>
      </c>
      <c r="AD12" s="11">
        <f t="shared" si="9"/>
        <v>3.2397369665281839E-3</v>
      </c>
      <c r="AE12" s="11">
        <f t="shared" si="10"/>
        <v>2.1873298239244873E-2</v>
      </c>
      <c r="AF12" s="11">
        <f t="shared" si="11"/>
        <v>7.8378378378378383E-2</v>
      </c>
      <c r="AG12" s="11">
        <f t="shared" si="12"/>
        <v>0.18367346938775511</v>
      </c>
      <c r="AH12" s="11">
        <f t="shared" si="13"/>
        <v>4.9409861542820253E-2</v>
      </c>
      <c r="AI12" s="11">
        <f t="shared" si="14"/>
        <v>1</v>
      </c>
      <c r="AJ12" s="11">
        <f t="shared" si="15"/>
        <v>0</v>
      </c>
      <c r="AK12" s="11">
        <f t="shared" si="16"/>
        <v>0.21212121212121213</v>
      </c>
      <c r="AL12" s="11">
        <f t="shared" si="17"/>
        <v>0.55992729505013339</v>
      </c>
      <c r="AM12" s="11">
        <f t="shared" si="18"/>
        <v>0.33333333333333331</v>
      </c>
      <c r="AN12" s="11">
        <f t="shared" si="19"/>
        <v>0.19354838709677419</v>
      </c>
      <c r="AO12" s="11">
        <f t="shared" si="20"/>
        <v>0</v>
      </c>
      <c r="AP12" s="11">
        <f t="shared" si="21"/>
        <v>0.25</v>
      </c>
      <c r="AQ12" s="11">
        <f t="shared" si="22"/>
        <v>3.1192578508164268</v>
      </c>
    </row>
    <row r="13" spans="1:43" ht="15" customHeight="1" x14ac:dyDescent="0.2">
      <c r="A13" s="3" t="str">
        <f>MethodData!A10</f>
        <v>Compass: getDirection()</v>
      </c>
      <c r="B13" s="4">
        <f>MethodData!B10</f>
        <v>1</v>
      </c>
      <c r="C13" s="4">
        <f>MethodData!C10</f>
        <v>0</v>
      </c>
      <c r="D13" s="4">
        <f>MethodData!D10</f>
        <v>0</v>
      </c>
      <c r="E13" s="4">
        <f>MethodData!E10</f>
        <v>0</v>
      </c>
      <c r="F13" s="4">
        <f>MethodData!F10</f>
        <v>0</v>
      </c>
      <c r="G13" s="4">
        <f>MethodData!G10</f>
        <v>0</v>
      </c>
      <c r="H13" s="4">
        <f>MethodData!H10</f>
        <v>1.5</v>
      </c>
      <c r="I13" s="4">
        <f>MethodData!I10</f>
        <v>12</v>
      </c>
      <c r="J13" s="4">
        <f>MethodData!J10</f>
        <v>1.6999999999999999E-3</v>
      </c>
      <c r="K13" s="4">
        <f>MethodData!K10</f>
        <v>4</v>
      </c>
      <c r="L13" s="4">
        <f>MethodData!L10</f>
        <v>4</v>
      </c>
      <c r="M13" s="4">
        <f>MethodData!M10</f>
        <v>8</v>
      </c>
      <c r="N13" s="4">
        <f>MethodData!N10</f>
        <v>1</v>
      </c>
      <c r="O13" s="4">
        <f>MethodData!O10</f>
        <v>0</v>
      </c>
      <c r="P13" s="4">
        <f>MethodData!P10</f>
        <v>9</v>
      </c>
      <c r="Q13" s="4">
        <f>MethodData!Q10</f>
        <v>72.860699999999994</v>
      </c>
      <c r="R13" s="4">
        <f>MethodData!R10</f>
        <v>0</v>
      </c>
      <c r="S13" s="4">
        <f>MethodData!S10</f>
        <v>1</v>
      </c>
      <c r="T13" s="4">
        <f>MethodData!T10</f>
        <v>0</v>
      </c>
      <c r="U13" s="4">
        <f>MethodData!U10</f>
        <v>0</v>
      </c>
      <c r="W13" s="11">
        <f t="shared" si="2"/>
        <v>2.6315789473684209E-2</v>
      </c>
      <c r="X13" s="11">
        <f t="shared" si="3"/>
        <v>0</v>
      </c>
      <c r="Y13" s="11">
        <f t="shared" si="4"/>
        <v>0</v>
      </c>
      <c r="Z13" s="11">
        <f t="shared" si="5"/>
        <v>0</v>
      </c>
      <c r="AA13" s="11">
        <f t="shared" si="6"/>
        <v>0</v>
      </c>
      <c r="AB13" s="11">
        <f t="shared" si="7"/>
        <v>0</v>
      </c>
      <c r="AC13" s="11">
        <f t="shared" si="8"/>
        <v>1.4985014985014986E-2</v>
      </c>
      <c r="AD13" s="11">
        <f t="shared" si="9"/>
        <v>6.3149423208482149E-5</v>
      </c>
      <c r="AE13" s="11">
        <f t="shared" si="10"/>
        <v>1.5429297513160284E-3</v>
      </c>
      <c r="AF13" s="11">
        <f t="shared" si="11"/>
        <v>1.0810810810810811E-2</v>
      </c>
      <c r="AG13" s="11">
        <f t="shared" si="12"/>
        <v>4.0816326530612242E-2</v>
      </c>
      <c r="AH13" s="11">
        <f t="shared" si="13"/>
        <v>3.2687181305089651E-3</v>
      </c>
      <c r="AI13" s="11">
        <f t="shared" si="14"/>
        <v>1</v>
      </c>
      <c r="AJ13" s="11">
        <f t="shared" si="15"/>
        <v>0</v>
      </c>
      <c r="AK13" s="11">
        <f t="shared" si="16"/>
        <v>6.8181818181818177E-2</v>
      </c>
      <c r="AL13" s="11">
        <f t="shared" si="17"/>
        <v>0.76067397196203135</v>
      </c>
      <c r="AM13" s="11">
        <f t="shared" si="18"/>
        <v>0.16666666666666666</v>
      </c>
      <c r="AN13" s="11">
        <f t="shared" si="19"/>
        <v>3.2258064516129031E-2</v>
      </c>
      <c r="AO13" s="11">
        <f t="shared" si="20"/>
        <v>0</v>
      </c>
      <c r="AP13" s="11">
        <f t="shared" si="21"/>
        <v>0</v>
      </c>
      <c r="AQ13" s="11">
        <f t="shared" si="22"/>
        <v>2.1255832604318008</v>
      </c>
    </row>
    <row r="14" spans="1:43" ht="15" customHeight="1" x14ac:dyDescent="0.2">
      <c r="A14" s="3" t="str">
        <f>MethodData!A11</f>
        <v>Compass: randomBearing()</v>
      </c>
      <c r="B14" s="4">
        <f>MethodData!B11</f>
        <v>1</v>
      </c>
      <c r="C14" s="4">
        <f>MethodData!C11</f>
        <v>0</v>
      </c>
      <c r="D14" s="4">
        <f>MethodData!D11</f>
        <v>0.5</v>
      </c>
      <c r="E14" s="4">
        <f>MethodData!E11</f>
        <v>1</v>
      </c>
      <c r="F14" s="4">
        <f>MethodData!F11</f>
        <v>0</v>
      </c>
      <c r="G14" s="4">
        <f>MethodData!G11</f>
        <v>1</v>
      </c>
      <c r="H14" s="4">
        <f>MethodData!H11</f>
        <v>4.6666999999999996</v>
      </c>
      <c r="I14" s="4">
        <f>MethodData!I11</f>
        <v>186.02799999999999</v>
      </c>
      <c r="J14" s="4">
        <f>MethodData!J11</f>
        <v>1.09E-2</v>
      </c>
      <c r="K14" s="4">
        <f>MethodData!K11</f>
        <v>12</v>
      </c>
      <c r="L14" s="4">
        <f>MethodData!L11</f>
        <v>10</v>
      </c>
      <c r="M14" s="4">
        <f>MethodData!M11</f>
        <v>39.863100000000003</v>
      </c>
      <c r="N14" s="4">
        <f>MethodData!N11</f>
        <v>0</v>
      </c>
      <c r="O14" s="4">
        <f>MethodData!O11</f>
        <v>0</v>
      </c>
      <c r="P14" s="4">
        <f>MethodData!P11</f>
        <v>10</v>
      </c>
      <c r="Q14" s="4">
        <f>MethodData!Q11</f>
        <v>67.045400000000001</v>
      </c>
      <c r="R14" s="4">
        <f>MethodData!R11</f>
        <v>0</v>
      </c>
      <c r="S14" s="4">
        <f>MethodData!S11</f>
        <v>3</v>
      </c>
      <c r="T14" s="4">
        <f>MethodData!T11</f>
        <v>0</v>
      </c>
      <c r="U14" s="4">
        <f>MethodData!U11</f>
        <v>0</v>
      </c>
      <c r="W14" s="11">
        <f t="shared" si="2"/>
        <v>2.6315789473684209E-2</v>
      </c>
      <c r="X14" s="11">
        <f t="shared" si="3"/>
        <v>0</v>
      </c>
      <c r="Y14" s="11">
        <f t="shared" si="4"/>
        <v>0.5</v>
      </c>
      <c r="Z14" s="11">
        <f t="shared" si="5"/>
        <v>3.4482758620689655E-2</v>
      </c>
      <c r="AA14" s="11">
        <f t="shared" si="6"/>
        <v>0</v>
      </c>
      <c r="AB14" s="11">
        <f t="shared" si="7"/>
        <v>0.2</v>
      </c>
      <c r="AC14" s="11">
        <f t="shared" si="8"/>
        <v>4.6620379620379619E-2</v>
      </c>
      <c r="AD14" s="11">
        <f t="shared" si="9"/>
        <v>9.7896340838562633E-4</v>
      </c>
      <c r="AE14" s="11">
        <f t="shared" si="10"/>
        <v>9.8929025231439469E-3</v>
      </c>
      <c r="AF14" s="11">
        <f t="shared" si="11"/>
        <v>3.2432432432432434E-2</v>
      </c>
      <c r="AG14" s="11">
        <f t="shared" si="12"/>
        <v>0.10204081632653061</v>
      </c>
      <c r="AH14" s="11">
        <f t="shared" si="13"/>
        <v>1.6287654713536492E-2</v>
      </c>
      <c r="AI14" s="11">
        <f t="shared" si="14"/>
        <v>0</v>
      </c>
      <c r="AJ14" s="11">
        <f t="shared" si="15"/>
        <v>0</v>
      </c>
      <c r="AK14" s="11">
        <f t="shared" si="16"/>
        <v>7.575757575757576E-2</v>
      </c>
      <c r="AL14" s="11">
        <f t="shared" si="17"/>
        <v>0.69996158038260925</v>
      </c>
      <c r="AM14" s="11">
        <f t="shared" si="18"/>
        <v>0.16666666666666666</v>
      </c>
      <c r="AN14" s="11">
        <f t="shared" si="19"/>
        <v>9.6774193548387094E-2</v>
      </c>
      <c r="AO14" s="11">
        <f t="shared" si="20"/>
        <v>0</v>
      </c>
      <c r="AP14" s="11">
        <f t="shared" si="21"/>
        <v>0</v>
      </c>
      <c r="AQ14" s="11">
        <f t="shared" si="22"/>
        <v>2.0082117134740214</v>
      </c>
    </row>
    <row r="15" spans="1:43" ht="15" customHeight="1" x14ac:dyDescent="0.2">
      <c r="A15" s="3" t="str">
        <f>MethodData!A12</f>
        <v>Compass: toString()</v>
      </c>
      <c r="B15" s="4">
        <f>MethodData!B12</f>
        <v>1</v>
      </c>
      <c r="C15" s="4">
        <f>MethodData!C12</f>
        <v>0</v>
      </c>
      <c r="D15" s="4">
        <f>MethodData!D12</f>
        <v>0</v>
      </c>
      <c r="E15" s="4">
        <f>MethodData!E12</f>
        <v>0</v>
      </c>
      <c r="F15" s="4">
        <f>MethodData!F12</f>
        <v>0</v>
      </c>
      <c r="G15" s="4">
        <f>MethodData!G12</f>
        <v>0</v>
      </c>
      <c r="H15" s="4">
        <f>MethodData!H12</f>
        <v>1.5</v>
      </c>
      <c r="I15" s="4">
        <f>MethodData!I12</f>
        <v>17.4145</v>
      </c>
      <c r="J15" s="4">
        <f>MethodData!J12</f>
        <v>2.2000000000000001E-3</v>
      </c>
      <c r="K15" s="4">
        <f>MethodData!K12</f>
        <v>5</v>
      </c>
      <c r="L15" s="4">
        <f>MethodData!L12</f>
        <v>5</v>
      </c>
      <c r="M15" s="4">
        <f>MethodData!M12</f>
        <v>11.6096</v>
      </c>
      <c r="N15" s="4">
        <f>MethodData!N12</f>
        <v>1</v>
      </c>
      <c r="O15" s="4">
        <f>MethodData!O12</f>
        <v>0</v>
      </c>
      <c r="P15" s="4">
        <f>MethodData!P12</f>
        <v>10</v>
      </c>
      <c r="Q15" s="4">
        <f>MethodData!Q12</f>
        <v>70.894199999999998</v>
      </c>
      <c r="R15" s="4">
        <f>MethodData!R12</f>
        <v>0</v>
      </c>
      <c r="S15" s="4">
        <f>MethodData!S12</f>
        <v>1</v>
      </c>
      <c r="T15" s="4">
        <f>MethodData!T12</f>
        <v>0</v>
      </c>
      <c r="U15" s="4">
        <f>MethodData!U12</f>
        <v>0</v>
      </c>
      <c r="W15" s="11">
        <f t="shared" si="2"/>
        <v>2.6315789473684209E-2</v>
      </c>
      <c r="X15" s="11">
        <f t="shared" si="3"/>
        <v>0</v>
      </c>
      <c r="Y15" s="11">
        <f t="shared" si="4"/>
        <v>0</v>
      </c>
      <c r="Z15" s="11">
        <f t="shared" si="5"/>
        <v>0</v>
      </c>
      <c r="AA15" s="11">
        <f t="shared" si="6"/>
        <v>0</v>
      </c>
      <c r="AB15" s="11">
        <f t="shared" si="7"/>
        <v>0</v>
      </c>
      <c r="AC15" s="11">
        <f t="shared" si="8"/>
        <v>1.4985014985014986E-2</v>
      </c>
      <c r="AD15" s="11">
        <f t="shared" si="9"/>
        <v>9.1642969205342693E-5</v>
      </c>
      <c r="AE15" s="11">
        <f t="shared" si="10"/>
        <v>1.9967326193501547E-3</v>
      </c>
      <c r="AF15" s="11">
        <f t="shared" si="11"/>
        <v>1.3513513513513514E-2</v>
      </c>
      <c r="AG15" s="11">
        <f t="shared" si="12"/>
        <v>5.1020408163265307E-2</v>
      </c>
      <c r="AH15" s="11">
        <f t="shared" si="13"/>
        <v>4.7435637509946104E-3</v>
      </c>
      <c r="AI15" s="11">
        <f t="shared" si="14"/>
        <v>1</v>
      </c>
      <c r="AJ15" s="11">
        <f t="shared" si="15"/>
        <v>0</v>
      </c>
      <c r="AK15" s="11">
        <f t="shared" si="16"/>
        <v>7.575757575757576E-2</v>
      </c>
      <c r="AL15" s="11">
        <f t="shared" si="17"/>
        <v>0.7401434889188635</v>
      </c>
      <c r="AM15" s="11">
        <f t="shared" si="18"/>
        <v>0.16666666666666666</v>
      </c>
      <c r="AN15" s="11">
        <f t="shared" si="19"/>
        <v>3.2258064516129031E-2</v>
      </c>
      <c r="AO15" s="11">
        <f t="shared" si="20"/>
        <v>0</v>
      </c>
      <c r="AP15" s="11">
        <f t="shared" si="21"/>
        <v>0</v>
      </c>
      <c r="AQ15" s="11">
        <f t="shared" si="22"/>
        <v>2.127492461334263</v>
      </c>
    </row>
    <row r="16" spans="1:43" ht="15" customHeight="1" x14ac:dyDescent="0.2">
      <c r="A16" s="3" t="str">
        <f>MethodData!A13</f>
        <v>Compass: valueOf(String)</v>
      </c>
      <c r="B16" s="4">
        <f>MethodData!B13</f>
        <v>1</v>
      </c>
      <c r="C16" s="4">
        <f>MethodData!C13</f>
        <v>0</v>
      </c>
      <c r="D16" s="4">
        <f>MethodData!D13</f>
        <v>0</v>
      </c>
      <c r="E16" s="4">
        <f>MethodData!E13</f>
        <v>0</v>
      </c>
      <c r="F16" s="4">
        <f>MethodData!F13</f>
        <v>0</v>
      </c>
      <c r="G16" s="4">
        <f>MethodData!G13</f>
        <v>0</v>
      </c>
      <c r="H16" s="4">
        <f>MethodData!H13</f>
        <v>0</v>
      </c>
      <c r="I16" s="4">
        <f>MethodData!I13</f>
        <v>0</v>
      </c>
      <c r="J16" s="4">
        <f>MethodData!J13</f>
        <v>0</v>
      </c>
      <c r="K16" s="4">
        <f>MethodData!K13</f>
        <v>0</v>
      </c>
      <c r="L16" s="4">
        <f>MethodData!L13</f>
        <v>0</v>
      </c>
      <c r="M16" s="4">
        <f>MethodData!M13</f>
        <v>0</v>
      </c>
      <c r="N16" s="4">
        <f>MethodData!N13</f>
        <v>0</v>
      </c>
      <c r="O16" s="4">
        <f>MethodData!O13</f>
        <v>0</v>
      </c>
      <c r="P16" s="4">
        <f>MethodData!P13</f>
        <v>0</v>
      </c>
      <c r="Q16" s="4">
        <f>MethodData!Q13</f>
        <v>0</v>
      </c>
      <c r="R16" s="4">
        <f>MethodData!R13</f>
        <v>-1</v>
      </c>
      <c r="S16" s="4">
        <f>MethodData!S13</f>
        <v>0</v>
      </c>
      <c r="T16" s="4">
        <f>MethodData!T13</f>
        <v>0</v>
      </c>
      <c r="U16" s="4">
        <f>MethodData!U13</f>
        <v>1</v>
      </c>
      <c r="W16" s="11">
        <f t="shared" si="2"/>
        <v>2.6315789473684209E-2</v>
      </c>
      <c r="X16" s="11">
        <f t="shared" si="3"/>
        <v>0</v>
      </c>
      <c r="Y16" s="11">
        <f t="shared" si="4"/>
        <v>0</v>
      </c>
      <c r="Z16" s="11">
        <f t="shared" si="5"/>
        <v>0</v>
      </c>
      <c r="AA16" s="11">
        <f t="shared" si="6"/>
        <v>0</v>
      </c>
      <c r="AB16" s="11">
        <f t="shared" si="7"/>
        <v>0</v>
      </c>
      <c r="AC16" s="11">
        <f t="shared" si="8"/>
        <v>0</v>
      </c>
      <c r="AD16" s="11">
        <f t="shared" si="9"/>
        <v>0</v>
      </c>
      <c r="AE16" s="11">
        <f t="shared" si="10"/>
        <v>0</v>
      </c>
      <c r="AF16" s="11">
        <f t="shared" si="11"/>
        <v>0</v>
      </c>
      <c r="AG16" s="11">
        <f t="shared" si="12"/>
        <v>0</v>
      </c>
      <c r="AH16" s="11">
        <f t="shared" si="13"/>
        <v>0</v>
      </c>
      <c r="AI16" s="11">
        <f t="shared" si="14"/>
        <v>0</v>
      </c>
      <c r="AJ16" s="11">
        <f t="shared" si="15"/>
        <v>0</v>
      </c>
      <c r="AK16" s="11">
        <f t="shared" si="16"/>
        <v>0</v>
      </c>
      <c r="AL16" s="11">
        <f t="shared" si="17"/>
        <v>0</v>
      </c>
      <c r="AM16" s="11">
        <f t="shared" si="18"/>
        <v>0</v>
      </c>
      <c r="AN16" s="11">
        <f t="shared" si="19"/>
        <v>0</v>
      </c>
      <c r="AO16" s="11">
        <f t="shared" si="20"/>
        <v>0</v>
      </c>
      <c r="AP16" s="11">
        <f t="shared" si="21"/>
        <v>0.25</v>
      </c>
      <c r="AQ16" s="11">
        <f t="shared" si="22"/>
        <v>0.27631578947368418</v>
      </c>
    </row>
    <row r="17" spans="1:43" ht="15" customHeight="1" x14ac:dyDescent="0.2">
      <c r="A17" s="3" t="str">
        <f>MethodData!A14</f>
        <v>Compass: values()</v>
      </c>
      <c r="B17" s="4">
        <f>MethodData!B14</f>
        <v>1</v>
      </c>
      <c r="C17" s="4">
        <f>MethodData!C14</f>
        <v>0</v>
      </c>
      <c r="D17" s="4">
        <f>MethodData!D14</f>
        <v>0</v>
      </c>
      <c r="E17" s="4">
        <f>MethodData!E14</f>
        <v>0</v>
      </c>
      <c r="F17" s="4">
        <f>MethodData!F14</f>
        <v>0</v>
      </c>
      <c r="G17" s="4">
        <f>MethodData!G14</f>
        <v>0</v>
      </c>
      <c r="H17" s="4">
        <f>MethodData!H14</f>
        <v>0</v>
      </c>
      <c r="I17" s="4">
        <f>MethodData!I14</f>
        <v>0</v>
      </c>
      <c r="J17" s="4">
        <f>MethodData!J14</f>
        <v>0</v>
      </c>
      <c r="K17" s="4">
        <f>MethodData!K14</f>
        <v>0</v>
      </c>
      <c r="L17" s="4">
        <f>MethodData!L14</f>
        <v>0</v>
      </c>
      <c r="M17" s="4">
        <f>MethodData!M14</f>
        <v>0</v>
      </c>
      <c r="N17" s="4">
        <f>MethodData!N14</f>
        <v>0</v>
      </c>
      <c r="O17" s="4">
        <f>MethodData!O14</f>
        <v>0</v>
      </c>
      <c r="P17" s="4">
        <f>MethodData!P14</f>
        <v>0</v>
      </c>
      <c r="Q17" s="4">
        <f>MethodData!Q14</f>
        <v>0</v>
      </c>
      <c r="R17" s="4">
        <f>MethodData!R14</f>
        <v>-1</v>
      </c>
      <c r="S17" s="4">
        <f>MethodData!S14</f>
        <v>0</v>
      </c>
      <c r="T17" s="4">
        <f>MethodData!T14</f>
        <v>0</v>
      </c>
      <c r="U17" s="4">
        <f>MethodData!U14</f>
        <v>0</v>
      </c>
      <c r="W17" s="11">
        <f t="shared" si="2"/>
        <v>2.6315789473684209E-2</v>
      </c>
      <c r="X17" s="11">
        <f t="shared" si="3"/>
        <v>0</v>
      </c>
      <c r="Y17" s="11">
        <f t="shared" si="4"/>
        <v>0</v>
      </c>
      <c r="Z17" s="11">
        <f t="shared" si="5"/>
        <v>0</v>
      </c>
      <c r="AA17" s="11">
        <f t="shared" si="6"/>
        <v>0</v>
      </c>
      <c r="AB17" s="11">
        <f t="shared" si="7"/>
        <v>0</v>
      </c>
      <c r="AC17" s="11">
        <f t="shared" si="8"/>
        <v>0</v>
      </c>
      <c r="AD17" s="11">
        <f t="shared" si="9"/>
        <v>0</v>
      </c>
      <c r="AE17" s="11">
        <f t="shared" si="10"/>
        <v>0</v>
      </c>
      <c r="AF17" s="11">
        <f t="shared" si="11"/>
        <v>0</v>
      </c>
      <c r="AG17" s="11">
        <f t="shared" si="12"/>
        <v>0</v>
      </c>
      <c r="AH17" s="11">
        <f t="shared" si="13"/>
        <v>0</v>
      </c>
      <c r="AI17" s="11">
        <f t="shared" si="14"/>
        <v>0</v>
      </c>
      <c r="AJ17" s="11">
        <f t="shared" si="15"/>
        <v>0</v>
      </c>
      <c r="AK17" s="11">
        <f t="shared" si="16"/>
        <v>0</v>
      </c>
      <c r="AL17" s="11">
        <f t="shared" si="17"/>
        <v>0</v>
      </c>
      <c r="AM17" s="11">
        <f t="shared" si="18"/>
        <v>0</v>
      </c>
      <c r="AN17" s="11">
        <f t="shared" si="19"/>
        <v>0</v>
      </c>
      <c r="AO17" s="11">
        <f t="shared" si="20"/>
        <v>0</v>
      </c>
      <c r="AP17" s="11">
        <f t="shared" si="21"/>
        <v>0</v>
      </c>
      <c r="AQ17" s="11">
        <f t="shared" si="22"/>
        <v>2.6315789473684209E-2</v>
      </c>
    </row>
    <row r="18" spans="1:43" ht="15" customHeight="1" x14ac:dyDescent="0.2">
      <c r="A18" s="3" t="str">
        <f>MethodData!A15</f>
        <v>Fleet: Fleet()</v>
      </c>
      <c r="B18" s="4">
        <f>MethodData!B15</f>
        <v>1</v>
      </c>
      <c r="C18" s="4">
        <f>MethodData!C15</f>
        <v>0</v>
      </c>
      <c r="D18" s="4">
        <f>MethodData!D15</f>
        <v>0</v>
      </c>
      <c r="E18" s="4">
        <f>MethodData!E15</f>
        <v>0</v>
      </c>
      <c r="F18" s="4">
        <f>MethodData!F15</f>
        <v>0</v>
      </c>
      <c r="G18" s="4">
        <f>MethodData!G15</f>
        <v>0</v>
      </c>
      <c r="H18" s="4">
        <f>MethodData!H15</f>
        <v>1</v>
      </c>
      <c r="I18" s="4">
        <f>MethodData!I15</f>
        <v>4.7549000000000001</v>
      </c>
      <c r="J18" s="4">
        <f>MethodData!J15</f>
        <v>8.9999999999999998E-4</v>
      </c>
      <c r="K18" s="4">
        <f>MethodData!K15</f>
        <v>3</v>
      </c>
      <c r="L18" s="4">
        <f>MethodData!L15</f>
        <v>3</v>
      </c>
      <c r="M18" s="4">
        <f>MethodData!M15</f>
        <v>4.7549000000000001</v>
      </c>
      <c r="N18" s="4">
        <f>MethodData!N15</f>
        <v>1</v>
      </c>
      <c r="O18" s="4">
        <f>MethodData!O15</f>
        <v>0</v>
      </c>
      <c r="P18" s="4">
        <f>MethodData!P15</f>
        <v>7</v>
      </c>
      <c r="Q18" s="4">
        <f>MethodData!Q15</f>
        <v>77.349400000000003</v>
      </c>
      <c r="R18" s="4">
        <f>MethodData!R15</f>
        <v>0</v>
      </c>
      <c r="S18" s="4">
        <f>MethodData!S15</f>
        <v>1</v>
      </c>
      <c r="T18" s="4">
        <f>MethodData!T15</f>
        <v>0</v>
      </c>
      <c r="U18" s="4">
        <f>MethodData!U15</f>
        <v>0</v>
      </c>
      <c r="W18" s="11">
        <f t="shared" si="2"/>
        <v>2.6315789473684209E-2</v>
      </c>
      <c r="X18" s="11">
        <f t="shared" si="3"/>
        <v>0</v>
      </c>
      <c r="Y18" s="11">
        <f t="shared" si="4"/>
        <v>0</v>
      </c>
      <c r="Z18" s="11">
        <f t="shared" si="5"/>
        <v>0</v>
      </c>
      <c r="AA18" s="11">
        <f t="shared" si="6"/>
        <v>0</v>
      </c>
      <c r="AB18" s="11">
        <f t="shared" si="7"/>
        <v>0</v>
      </c>
      <c r="AC18" s="11">
        <f t="shared" si="8"/>
        <v>9.99000999000999E-3</v>
      </c>
      <c r="AD18" s="11">
        <f t="shared" si="9"/>
        <v>2.5022432701167647E-5</v>
      </c>
      <c r="AE18" s="11">
        <f t="shared" si="10"/>
        <v>8.1684516246142676E-4</v>
      </c>
      <c r="AF18" s="11">
        <f t="shared" si="11"/>
        <v>8.1081081081081086E-3</v>
      </c>
      <c r="AG18" s="11">
        <f t="shared" si="12"/>
        <v>3.0612244897959183E-2</v>
      </c>
      <c r="AH18" s="11">
        <f t="shared" si="13"/>
        <v>1.9428034798446346E-3</v>
      </c>
      <c r="AI18" s="11">
        <f t="shared" si="14"/>
        <v>1</v>
      </c>
      <c r="AJ18" s="11">
        <f t="shared" si="15"/>
        <v>0</v>
      </c>
      <c r="AK18" s="11">
        <f t="shared" si="16"/>
        <v>5.3030303030303032E-2</v>
      </c>
      <c r="AL18" s="11">
        <f t="shared" si="17"/>
        <v>0.80753650907663455</v>
      </c>
      <c r="AM18" s="11">
        <f t="shared" si="18"/>
        <v>0.16666666666666666</v>
      </c>
      <c r="AN18" s="11">
        <f t="shared" si="19"/>
        <v>3.2258064516129031E-2</v>
      </c>
      <c r="AO18" s="11">
        <f t="shared" si="20"/>
        <v>0</v>
      </c>
      <c r="AP18" s="11">
        <f t="shared" si="21"/>
        <v>0</v>
      </c>
      <c r="AQ18" s="11">
        <f t="shared" si="22"/>
        <v>2.1373023668345019</v>
      </c>
    </row>
    <row r="19" spans="1:43" ht="15" customHeight="1" x14ac:dyDescent="0.2">
      <c r="A19" s="3" t="str">
        <f>MethodData!A16</f>
        <v>Fleet: addShip(IShip)</v>
      </c>
      <c r="B19" s="4">
        <f>MethodData!B16</f>
        <v>4</v>
      </c>
      <c r="C19" s="4">
        <f>MethodData!C16</f>
        <v>3</v>
      </c>
      <c r="D19" s="4">
        <f>MethodData!D16</f>
        <v>0.25</v>
      </c>
      <c r="E19" s="4">
        <f>MethodData!E16</f>
        <v>2</v>
      </c>
      <c r="F19" s="4">
        <f>MethodData!F16</f>
        <v>1</v>
      </c>
      <c r="G19" s="4">
        <f>MethodData!G16</f>
        <v>0</v>
      </c>
      <c r="H19" s="4">
        <f>MethodData!H16</f>
        <v>10.2857</v>
      </c>
      <c r="I19" s="4">
        <f>MethodData!I16</f>
        <v>1092.3242</v>
      </c>
      <c r="J19" s="4">
        <f>MethodData!J16</f>
        <v>3.5400000000000001E-2</v>
      </c>
      <c r="K19" s="4">
        <f>MethodData!K16</f>
        <v>25</v>
      </c>
      <c r="L19" s="4">
        <f>MethodData!L16</f>
        <v>19</v>
      </c>
      <c r="M19" s="4">
        <f>MethodData!M16</f>
        <v>106.1982</v>
      </c>
      <c r="N19" s="4">
        <f>MethodData!N16</f>
        <v>0.5</v>
      </c>
      <c r="O19" s="4">
        <f>MethodData!O16</f>
        <v>0</v>
      </c>
      <c r="P19" s="4">
        <f>MethodData!P16</f>
        <v>23</v>
      </c>
      <c r="Q19" s="4">
        <f>MethodData!Q16</f>
        <v>55.927599999999998</v>
      </c>
      <c r="R19" s="4">
        <f>MethodData!R16</f>
        <v>1</v>
      </c>
      <c r="S19" s="4">
        <f>MethodData!S16</f>
        <v>4</v>
      </c>
      <c r="T19" s="4">
        <f>MethodData!T16</f>
        <v>0</v>
      </c>
      <c r="U19" s="4">
        <f>MethodData!U16</f>
        <v>1</v>
      </c>
      <c r="W19" s="11">
        <f t="shared" si="2"/>
        <v>0.10526315789473684</v>
      </c>
      <c r="X19" s="11">
        <f t="shared" si="3"/>
        <v>7.4999999999999997E-2</v>
      </c>
      <c r="Y19" s="11">
        <f t="shared" si="4"/>
        <v>0.25</v>
      </c>
      <c r="Z19" s="11">
        <f t="shared" si="5"/>
        <v>6.8965517241379309E-2</v>
      </c>
      <c r="AA19" s="11">
        <f t="shared" si="6"/>
        <v>0.25</v>
      </c>
      <c r="AB19" s="11">
        <f t="shared" si="7"/>
        <v>0</v>
      </c>
      <c r="AC19" s="11">
        <f t="shared" si="8"/>
        <v>0.10275424575424576</v>
      </c>
      <c r="AD19" s="11">
        <f t="shared" si="9"/>
        <v>5.7483035988888913E-3</v>
      </c>
      <c r="AE19" s="11">
        <f t="shared" si="10"/>
        <v>3.2129243056816123E-2</v>
      </c>
      <c r="AF19" s="11">
        <f t="shared" si="11"/>
        <v>6.7567567567567571E-2</v>
      </c>
      <c r="AG19" s="11">
        <f t="shared" si="12"/>
        <v>0.19387755102040816</v>
      </c>
      <c r="AH19" s="11">
        <f t="shared" si="13"/>
        <v>4.3391497720927145E-2</v>
      </c>
      <c r="AI19" s="11">
        <f t="shared" si="14"/>
        <v>0.5</v>
      </c>
      <c r="AJ19" s="11">
        <f t="shared" si="15"/>
        <v>0</v>
      </c>
      <c r="AK19" s="11">
        <f t="shared" si="16"/>
        <v>0.17424242424242425</v>
      </c>
      <c r="AL19" s="11">
        <f t="shared" si="17"/>
        <v>0.58389048738625493</v>
      </c>
      <c r="AM19" s="11">
        <f t="shared" si="18"/>
        <v>0.33333333333333331</v>
      </c>
      <c r="AN19" s="11">
        <f t="shared" si="19"/>
        <v>0.12903225806451613</v>
      </c>
      <c r="AO19" s="11">
        <f t="shared" si="20"/>
        <v>0</v>
      </c>
      <c r="AP19" s="11">
        <f t="shared" si="21"/>
        <v>0.25</v>
      </c>
      <c r="AQ19" s="11">
        <f t="shared" si="22"/>
        <v>3.1651955868814983</v>
      </c>
    </row>
    <row r="20" spans="1:43" ht="15" customHeight="1" x14ac:dyDescent="0.2">
      <c r="A20" s="3" t="str">
        <f>MethodData!A17</f>
        <v>Fleet: colisionRisk(IShip)</v>
      </c>
      <c r="B20" s="4">
        <f>MethodData!B17</f>
        <v>3</v>
      </c>
      <c r="C20" s="4">
        <f>MethodData!C17</f>
        <v>2</v>
      </c>
      <c r="D20" s="4">
        <f>MethodData!D17</f>
        <v>0.66669999999999996</v>
      </c>
      <c r="E20" s="4">
        <f>MethodData!E17</f>
        <v>3</v>
      </c>
      <c r="F20" s="4">
        <f>MethodData!F17</f>
        <v>1</v>
      </c>
      <c r="G20" s="4">
        <f>MethodData!G17</f>
        <v>0</v>
      </c>
      <c r="H20" s="4">
        <f>MethodData!H17</f>
        <v>10.2143</v>
      </c>
      <c r="I20" s="4">
        <f>MethodData!I17</f>
        <v>1103.6351999999999</v>
      </c>
      <c r="J20" s="4">
        <f>MethodData!J17</f>
        <v>3.56E-2</v>
      </c>
      <c r="K20" s="4">
        <f>MethodData!K17</f>
        <v>25</v>
      </c>
      <c r="L20" s="4">
        <f>MethodData!L17</f>
        <v>20</v>
      </c>
      <c r="M20" s="4">
        <f>MethodData!M17</f>
        <v>108.04819999999999</v>
      </c>
      <c r="N20" s="4">
        <f>MethodData!N17</f>
        <v>1</v>
      </c>
      <c r="O20" s="4">
        <f>MethodData!O17</f>
        <v>1</v>
      </c>
      <c r="P20" s="4">
        <f>MethodData!P17</f>
        <v>16</v>
      </c>
      <c r="Q20" s="4">
        <f>MethodData!Q17</f>
        <v>59.347499999999997</v>
      </c>
      <c r="R20" s="4">
        <f>MethodData!R17</f>
        <v>1</v>
      </c>
      <c r="S20" s="4">
        <f>MethodData!S17</f>
        <v>3</v>
      </c>
      <c r="T20" s="4">
        <f>MethodData!T17</f>
        <v>1</v>
      </c>
      <c r="U20" s="4">
        <f>MethodData!U17</f>
        <v>1</v>
      </c>
      <c r="W20" s="11">
        <f t="shared" si="2"/>
        <v>7.8947368421052627E-2</v>
      </c>
      <c r="X20" s="11">
        <f t="shared" si="3"/>
        <v>0.05</v>
      </c>
      <c r="Y20" s="11">
        <f t="shared" si="4"/>
        <v>0.66669999999999996</v>
      </c>
      <c r="Z20" s="11">
        <f t="shared" si="5"/>
        <v>0.10344827586206896</v>
      </c>
      <c r="AA20" s="11">
        <f t="shared" si="6"/>
        <v>0.25</v>
      </c>
      <c r="AB20" s="11">
        <f t="shared" si="7"/>
        <v>0</v>
      </c>
      <c r="AC20" s="11">
        <f t="shared" si="8"/>
        <v>0.10204095904095904</v>
      </c>
      <c r="AD20" s="11">
        <f t="shared" si="9"/>
        <v>5.8078271927148196E-3</v>
      </c>
      <c r="AE20" s="11">
        <f t="shared" si="10"/>
        <v>3.2310764204029771E-2</v>
      </c>
      <c r="AF20" s="11">
        <f t="shared" si="11"/>
        <v>6.7567567567567571E-2</v>
      </c>
      <c r="AG20" s="11">
        <f t="shared" si="12"/>
        <v>0.20408163265306123</v>
      </c>
      <c r="AH20" s="11">
        <f t="shared" si="13"/>
        <v>4.4147388788607342E-2</v>
      </c>
      <c r="AI20" s="11">
        <f t="shared" si="14"/>
        <v>1</v>
      </c>
      <c r="AJ20" s="11">
        <f t="shared" si="15"/>
        <v>0.33333333333333331</v>
      </c>
      <c r="AK20" s="11">
        <f t="shared" si="16"/>
        <v>0.12121212121212122</v>
      </c>
      <c r="AL20" s="11">
        <f t="shared" si="17"/>
        <v>0.61959463127607406</v>
      </c>
      <c r="AM20" s="11">
        <f t="shared" si="18"/>
        <v>0.33333333333333331</v>
      </c>
      <c r="AN20" s="11">
        <f t="shared" si="19"/>
        <v>9.6774193548387094E-2</v>
      </c>
      <c r="AO20" s="11">
        <f t="shared" si="20"/>
        <v>8.3333333333333329E-2</v>
      </c>
      <c r="AP20" s="11">
        <f t="shared" si="21"/>
        <v>0.25</v>
      </c>
      <c r="AQ20" s="11">
        <f t="shared" si="22"/>
        <v>4.4426327297666424</v>
      </c>
    </row>
    <row r="21" spans="1:43" ht="15" customHeight="1" x14ac:dyDescent="0.2">
      <c r="A21" s="3" t="str">
        <f>MethodData!A18</f>
        <v>Fleet: createRandom()</v>
      </c>
      <c r="B21" s="4">
        <f>MethodData!B18</f>
        <v>4</v>
      </c>
      <c r="C21" s="4">
        <f>MethodData!C18</f>
        <v>3</v>
      </c>
      <c r="D21" s="4">
        <f>MethodData!D18</f>
        <v>0.75</v>
      </c>
      <c r="E21" s="4">
        <f>MethodData!E18</f>
        <v>3</v>
      </c>
      <c r="F21" s="4">
        <f>MethodData!F18</f>
        <v>1</v>
      </c>
      <c r="G21" s="4">
        <f>MethodData!G18</f>
        <v>1</v>
      </c>
      <c r="H21" s="4">
        <f>MethodData!H18</f>
        <v>14.375</v>
      </c>
      <c r="I21" s="4">
        <f>MethodData!I18</f>
        <v>2597.3573000000001</v>
      </c>
      <c r="J21" s="4">
        <f>MethodData!J18</f>
        <v>6.3E-2</v>
      </c>
      <c r="K21" s="4">
        <f>MethodData!K18</f>
        <v>38</v>
      </c>
      <c r="L21" s="4">
        <f>MethodData!L18</f>
        <v>27</v>
      </c>
      <c r="M21" s="4">
        <f>MethodData!M18</f>
        <v>180.6857</v>
      </c>
      <c r="N21" s="4">
        <f>MethodData!N18</f>
        <v>0</v>
      </c>
      <c r="O21" s="4">
        <f>MethodData!O18</f>
        <v>1</v>
      </c>
      <c r="P21" s="4">
        <f>MethodData!P18</f>
        <v>27</v>
      </c>
      <c r="Q21" s="4">
        <f>MethodData!Q18</f>
        <v>52.798400000000001</v>
      </c>
      <c r="R21" s="4">
        <f>MethodData!R18</f>
        <v>2</v>
      </c>
      <c r="S21" s="4">
        <f>MethodData!S18</f>
        <v>5</v>
      </c>
      <c r="T21" s="4">
        <f>MethodData!T18</f>
        <v>1</v>
      </c>
      <c r="U21" s="4">
        <f>MethodData!U18</f>
        <v>0</v>
      </c>
      <c r="W21" s="11">
        <f t="shared" si="2"/>
        <v>0.10526315789473684</v>
      </c>
      <c r="X21" s="11">
        <f t="shared" si="3"/>
        <v>7.4999999999999997E-2</v>
      </c>
      <c r="Y21" s="11">
        <f t="shared" si="4"/>
        <v>0.75</v>
      </c>
      <c r="Z21" s="11">
        <f t="shared" si="5"/>
        <v>0.10344827586206896</v>
      </c>
      <c r="AA21" s="11">
        <f t="shared" si="6"/>
        <v>0.25</v>
      </c>
      <c r="AB21" s="11">
        <f t="shared" si="7"/>
        <v>0.2</v>
      </c>
      <c r="AC21" s="11">
        <f t="shared" si="8"/>
        <v>0.1436063936063936</v>
      </c>
      <c r="AD21" s="11">
        <f t="shared" si="9"/>
        <v>1.3668467946778378E-2</v>
      </c>
      <c r="AE21" s="11">
        <f t="shared" si="10"/>
        <v>5.7179161372299878E-2</v>
      </c>
      <c r="AF21" s="11">
        <f t="shared" si="11"/>
        <v>0.10270270270270271</v>
      </c>
      <c r="AG21" s="11">
        <f t="shared" si="12"/>
        <v>0.27551020408163263</v>
      </c>
      <c r="AH21" s="11">
        <f t="shared" si="13"/>
        <v>7.3826327939212955E-2</v>
      </c>
      <c r="AI21" s="11">
        <f t="shared" si="14"/>
        <v>0</v>
      </c>
      <c r="AJ21" s="11">
        <f t="shared" si="15"/>
        <v>0.33333333333333331</v>
      </c>
      <c r="AK21" s="11">
        <f t="shared" si="16"/>
        <v>0.20454545454545456</v>
      </c>
      <c r="AL21" s="11">
        <f t="shared" si="17"/>
        <v>0.55122128446803442</v>
      </c>
      <c r="AM21" s="11">
        <f t="shared" si="18"/>
        <v>0.5</v>
      </c>
      <c r="AN21" s="11">
        <f t="shared" si="19"/>
        <v>0.16129032258064516</v>
      </c>
      <c r="AO21" s="11">
        <f t="shared" si="20"/>
        <v>8.3333333333333329E-2</v>
      </c>
      <c r="AP21" s="11">
        <f t="shared" si="21"/>
        <v>0</v>
      </c>
      <c r="AQ21" s="11">
        <f t="shared" si="22"/>
        <v>3.9839284196666274</v>
      </c>
    </row>
    <row r="22" spans="1:43" ht="15" customHeight="1" x14ac:dyDescent="0.2">
      <c r="A22" s="3" t="str">
        <f>MethodData!A19</f>
        <v>Fleet: getFloatingShips()</v>
      </c>
      <c r="B22" s="4">
        <f>MethodData!B19</f>
        <v>3</v>
      </c>
      <c r="C22" s="4">
        <f>MethodData!C19</f>
        <v>2</v>
      </c>
      <c r="D22" s="4">
        <f>MethodData!D19</f>
        <v>1</v>
      </c>
      <c r="E22" s="4">
        <f>MethodData!E19</f>
        <v>2</v>
      </c>
      <c r="F22" s="4">
        <f>MethodData!F19</f>
        <v>1</v>
      </c>
      <c r="G22" s="4">
        <f>MethodData!G19</f>
        <v>0</v>
      </c>
      <c r="H22" s="4">
        <f>MethodData!H19</f>
        <v>5.8333000000000004</v>
      </c>
      <c r="I22" s="4">
        <f>MethodData!I19</f>
        <v>232.535</v>
      </c>
      <c r="J22" s="4">
        <f>MethodData!J19</f>
        <v>1.26E-2</v>
      </c>
      <c r="K22" s="4">
        <f>MethodData!K19</f>
        <v>12</v>
      </c>
      <c r="L22" s="4">
        <f>MethodData!L19</f>
        <v>10</v>
      </c>
      <c r="M22" s="4">
        <f>MethodData!M19</f>
        <v>39.863100000000003</v>
      </c>
      <c r="N22" s="4">
        <f>MethodData!N19</f>
        <v>1</v>
      </c>
      <c r="O22" s="4">
        <f>MethodData!O19</f>
        <v>1</v>
      </c>
      <c r="P22" s="4">
        <f>MethodData!P19</f>
        <v>19</v>
      </c>
      <c r="Q22" s="4">
        <f>MethodData!Q19</f>
        <v>60.816899999999997</v>
      </c>
      <c r="R22" s="4">
        <f>MethodData!R19</f>
        <v>0</v>
      </c>
      <c r="S22" s="4">
        <f>MethodData!S19</f>
        <v>3</v>
      </c>
      <c r="T22" s="4">
        <f>MethodData!T19</f>
        <v>1</v>
      </c>
      <c r="U22" s="4">
        <f>MethodData!U19</f>
        <v>0</v>
      </c>
      <c r="W22" s="11">
        <f t="shared" si="2"/>
        <v>7.8947368421052627E-2</v>
      </c>
      <c r="X22" s="11">
        <f t="shared" si="3"/>
        <v>0.05</v>
      </c>
      <c r="Y22" s="11">
        <f t="shared" si="4"/>
        <v>1</v>
      </c>
      <c r="Z22" s="11">
        <f t="shared" si="5"/>
        <v>6.8965517241379309E-2</v>
      </c>
      <c r="AA22" s="11">
        <f t="shared" si="6"/>
        <v>0.25</v>
      </c>
      <c r="AB22" s="11">
        <f t="shared" si="7"/>
        <v>0</v>
      </c>
      <c r="AC22" s="11">
        <f t="shared" si="8"/>
        <v>5.8274725274725284E-2</v>
      </c>
      <c r="AD22" s="11">
        <f t="shared" si="9"/>
        <v>1.223704260482033E-3</v>
      </c>
      <c r="AE22" s="11">
        <f t="shared" si="10"/>
        <v>1.1435832274459976E-2</v>
      </c>
      <c r="AF22" s="11">
        <f t="shared" si="11"/>
        <v>3.2432432432432434E-2</v>
      </c>
      <c r="AG22" s="11">
        <f t="shared" si="12"/>
        <v>0.10204081632653061</v>
      </c>
      <c r="AH22" s="11">
        <f t="shared" si="13"/>
        <v>1.6287654713536492E-2</v>
      </c>
      <c r="AI22" s="11">
        <f t="shared" si="14"/>
        <v>1</v>
      </c>
      <c r="AJ22" s="11">
        <f t="shared" si="15"/>
        <v>0.33333333333333331</v>
      </c>
      <c r="AK22" s="11">
        <f t="shared" si="16"/>
        <v>0.14393939393939395</v>
      </c>
      <c r="AL22" s="11">
        <f t="shared" si="17"/>
        <v>0.63493533393746782</v>
      </c>
      <c r="AM22" s="11">
        <f t="shared" si="18"/>
        <v>0.16666666666666666</v>
      </c>
      <c r="AN22" s="11">
        <f t="shared" si="19"/>
        <v>9.6774193548387094E-2</v>
      </c>
      <c r="AO22" s="11">
        <f t="shared" si="20"/>
        <v>8.3333333333333329E-2</v>
      </c>
      <c r="AP22" s="11">
        <f t="shared" si="21"/>
        <v>0</v>
      </c>
      <c r="AQ22" s="11">
        <f t="shared" si="22"/>
        <v>4.128590305703181</v>
      </c>
    </row>
    <row r="23" spans="1:43" ht="15" customHeight="1" x14ac:dyDescent="0.2">
      <c r="A23" s="3" t="str">
        <f>MethodData!A20</f>
        <v>Fleet: getShips()</v>
      </c>
      <c r="B23" s="4">
        <f>MethodData!B20</f>
        <v>1</v>
      </c>
      <c r="C23" s="4">
        <f>MethodData!C20</f>
        <v>0</v>
      </c>
      <c r="D23" s="4">
        <f>MethodData!D20</f>
        <v>0</v>
      </c>
      <c r="E23" s="4">
        <f>MethodData!E20</f>
        <v>0</v>
      </c>
      <c r="F23" s="4">
        <f>MethodData!F20</f>
        <v>0</v>
      </c>
      <c r="G23" s="4">
        <f>MethodData!G20</f>
        <v>0</v>
      </c>
      <c r="H23" s="4">
        <f>MethodData!H20</f>
        <v>1</v>
      </c>
      <c r="I23" s="4">
        <f>MethodData!I20</f>
        <v>4.7549000000000001</v>
      </c>
      <c r="J23" s="4">
        <f>MethodData!J20</f>
        <v>8.9999999999999998E-4</v>
      </c>
      <c r="K23" s="4">
        <f>MethodData!K20</f>
        <v>3</v>
      </c>
      <c r="L23" s="4">
        <f>MethodData!L20</f>
        <v>3</v>
      </c>
      <c r="M23" s="4">
        <f>MethodData!M20</f>
        <v>4.7549000000000001</v>
      </c>
      <c r="N23" s="4">
        <f>MethodData!N20</f>
        <v>1</v>
      </c>
      <c r="O23" s="4">
        <f>MethodData!O20</f>
        <v>0</v>
      </c>
      <c r="P23" s="4">
        <f>MethodData!P20</f>
        <v>10</v>
      </c>
      <c r="Q23" s="4">
        <f>MethodData!Q20</f>
        <v>73.970399999999998</v>
      </c>
      <c r="R23" s="4">
        <f>MethodData!R20</f>
        <v>0</v>
      </c>
      <c r="S23" s="4">
        <f>MethodData!S20</f>
        <v>1</v>
      </c>
      <c r="T23" s="4">
        <f>MethodData!T20</f>
        <v>0</v>
      </c>
      <c r="U23" s="4">
        <f>MethodData!U20</f>
        <v>0</v>
      </c>
      <c r="W23" s="11">
        <f t="shared" si="2"/>
        <v>2.6315789473684209E-2</v>
      </c>
      <c r="X23" s="11">
        <f t="shared" si="3"/>
        <v>0</v>
      </c>
      <c r="Y23" s="11">
        <f t="shared" si="4"/>
        <v>0</v>
      </c>
      <c r="Z23" s="11">
        <f t="shared" si="5"/>
        <v>0</v>
      </c>
      <c r="AA23" s="11">
        <f t="shared" si="6"/>
        <v>0</v>
      </c>
      <c r="AB23" s="11">
        <f t="shared" si="7"/>
        <v>0</v>
      </c>
      <c r="AC23" s="11">
        <f t="shared" si="8"/>
        <v>9.99000999000999E-3</v>
      </c>
      <c r="AD23" s="11">
        <f t="shared" si="9"/>
        <v>2.5022432701167647E-5</v>
      </c>
      <c r="AE23" s="11">
        <f t="shared" si="10"/>
        <v>8.1684516246142676E-4</v>
      </c>
      <c r="AF23" s="11">
        <f t="shared" si="11"/>
        <v>8.1081081081081086E-3</v>
      </c>
      <c r="AG23" s="11">
        <f t="shared" si="12"/>
        <v>3.0612244897959183E-2</v>
      </c>
      <c r="AH23" s="11">
        <f t="shared" si="13"/>
        <v>1.9428034798446346E-3</v>
      </c>
      <c r="AI23" s="11">
        <f t="shared" si="14"/>
        <v>1</v>
      </c>
      <c r="AJ23" s="11">
        <f t="shared" si="15"/>
        <v>0</v>
      </c>
      <c r="AK23" s="11">
        <f t="shared" si="16"/>
        <v>7.575757575757576E-2</v>
      </c>
      <c r="AL23" s="11">
        <f t="shared" si="17"/>
        <v>0.77225936582575028</v>
      </c>
      <c r="AM23" s="11">
        <f t="shared" si="18"/>
        <v>0.16666666666666666</v>
      </c>
      <c r="AN23" s="11">
        <f t="shared" si="19"/>
        <v>3.2258064516129031E-2</v>
      </c>
      <c r="AO23" s="11">
        <f t="shared" si="20"/>
        <v>0</v>
      </c>
      <c r="AP23" s="11">
        <f t="shared" si="21"/>
        <v>0</v>
      </c>
      <c r="AQ23" s="11">
        <f t="shared" si="22"/>
        <v>2.1247524963108901</v>
      </c>
    </row>
    <row r="24" spans="1:43" ht="15" customHeight="1" x14ac:dyDescent="0.2">
      <c r="A24" s="3" t="str">
        <f>MethodData!A21</f>
        <v>Fleet: getShipsLike(String)</v>
      </c>
      <c r="B24" s="4">
        <f>MethodData!B21</f>
        <v>3</v>
      </c>
      <c r="C24" s="4">
        <f>MethodData!C21</f>
        <v>2</v>
      </c>
      <c r="D24" s="4">
        <f>MethodData!D21</f>
        <v>1</v>
      </c>
      <c r="E24" s="4">
        <f>MethodData!E21</f>
        <v>3</v>
      </c>
      <c r="F24" s="4">
        <f>MethodData!F21</f>
        <v>1</v>
      </c>
      <c r="G24" s="4">
        <f>MethodData!G21</f>
        <v>0</v>
      </c>
      <c r="H24" s="4">
        <f>MethodData!H21</f>
        <v>8</v>
      </c>
      <c r="I24" s="4">
        <f>MethodData!I21</f>
        <v>562.59220000000005</v>
      </c>
      <c r="J24" s="4">
        <f>MethodData!J21</f>
        <v>2.2700000000000001E-2</v>
      </c>
      <c r="K24" s="4">
        <f>MethodData!K21</f>
        <v>18</v>
      </c>
      <c r="L24" s="4">
        <f>MethodData!L21</f>
        <v>15</v>
      </c>
      <c r="M24" s="4">
        <f>MethodData!M21</f>
        <v>70.323999999999998</v>
      </c>
      <c r="N24" s="4">
        <f>MethodData!N21</f>
        <v>1</v>
      </c>
      <c r="O24" s="4">
        <f>MethodData!O21</f>
        <v>1</v>
      </c>
      <c r="P24" s="4">
        <f>MethodData!P21</f>
        <v>21</v>
      </c>
      <c r="Q24" s="4">
        <f>MethodData!Q21</f>
        <v>58.09</v>
      </c>
      <c r="R24" s="4">
        <f>MethodData!R21</f>
        <v>0</v>
      </c>
      <c r="S24" s="4">
        <f>MethodData!S21</f>
        <v>4</v>
      </c>
      <c r="T24" s="4">
        <f>MethodData!T21</f>
        <v>1</v>
      </c>
      <c r="U24" s="4">
        <f>MethodData!U21</f>
        <v>1</v>
      </c>
      <c r="W24" s="11">
        <f t="shared" si="2"/>
        <v>7.8947368421052627E-2</v>
      </c>
      <c r="X24" s="11">
        <f t="shared" si="3"/>
        <v>0.05</v>
      </c>
      <c r="Y24" s="11">
        <f t="shared" si="4"/>
        <v>1</v>
      </c>
      <c r="Z24" s="11">
        <f t="shared" si="5"/>
        <v>0.10344827586206896</v>
      </c>
      <c r="AA24" s="11">
        <f t="shared" si="6"/>
        <v>0.25</v>
      </c>
      <c r="AB24" s="11">
        <f t="shared" si="7"/>
        <v>0</v>
      </c>
      <c r="AC24" s="11">
        <f t="shared" si="8"/>
        <v>7.992007992007992E-2</v>
      </c>
      <c r="AD24" s="11">
        <f t="shared" si="9"/>
        <v>2.9606144109659191E-3</v>
      </c>
      <c r="AE24" s="11">
        <f t="shared" si="10"/>
        <v>2.0602650208749324E-2</v>
      </c>
      <c r="AF24" s="11">
        <f t="shared" si="11"/>
        <v>4.8648648648648651E-2</v>
      </c>
      <c r="AG24" s="11">
        <f t="shared" si="12"/>
        <v>0.15306122448979592</v>
      </c>
      <c r="AH24" s="11">
        <f t="shared" si="13"/>
        <v>2.8733666726239056E-2</v>
      </c>
      <c r="AI24" s="11">
        <f t="shared" si="14"/>
        <v>1</v>
      </c>
      <c r="AJ24" s="11">
        <f t="shared" si="15"/>
        <v>0.33333333333333331</v>
      </c>
      <c r="AK24" s="11">
        <f t="shared" si="16"/>
        <v>0.15909090909090909</v>
      </c>
      <c r="AL24" s="11">
        <f t="shared" si="17"/>
        <v>0.60646618864867352</v>
      </c>
      <c r="AM24" s="11">
        <f t="shared" si="18"/>
        <v>0.16666666666666666</v>
      </c>
      <c r="AN24" s="11">
        <f t="shared" si="19"/>
        <v>0.12903225806451613</v>
      </c>
      <c r="AO24" s="11">
        <f t="shared" si="20"/>
        <v>8.3333333333333329E-2</v>
      </c>
      <c r="AP24" s="11">
        <f t="shared" si="21"/>
        <v>0.25</v>
      </c>
      <c r="AQ24" s="11">
        <f t="shared" si="22"/>
        <v>4.5442452178250328</v>
      </c>
    </row>
    <row r="25" spans="1:43" ht="15" customHeight="1" x14ac:dyDescent="0.2">
      <c r="A25" s="3" t="str">
        <f>MethodData!A22</f>
        <v>Fleet: getSunkShips()</v>
      </c>
      <c r="B25" s="4">
        <f>MethodData!B22</f>
        <v>3</v>
      </c>
      <c r="C25" s="4">
        <f>MethodData!C22</f>
        <v>2</v>
      </c>
      <c r="D25" s="4">
        <f>MethodData!D22</f>
        <v>1</v>
      </c>
      <c r="E25" s="4">
        <f>MethodData!E22</f>
        <v>2</v>
      </c>
      <c r="F25" s="4">
        <f>MethodData!F22</f>
        <v>1</v>
      </c>
      <c r="G25" s="4">
        <f>MethodData!G22</f>
        <v>0</v>
      </c>
      <c r="H25" s="4">
        <f>MethodData!H22</f>
        <v>6.6666999999999996</v>
      </c>
      <c r="I25" s="4">
        <f>MethodData!I22</f>
        <v>299.81740000000002</v>
      </c>
      <c r="J25" s="4">
        <f>MethodData!J22</f>
        <v>1.49E-2</v>
      </c>
      <c r="K25" s="4">
        <f>MethodData!K22</f>
        <v>13</v>
      </c>
      <c r="L25" s="4">
        <f>MethodData!L22</f>
        <v>11</v>
      </c>
      <c r="M25" s="4">
        <f>MethodData!M22</f>
        <v>44.9726</v>
      </c>
      <c r="N25" s="4">
        <f>MethodData!N22</f>
        <v>1</v>
      </c>
      <c r="O25" s="4">
        <f>MethodData!O22</f>
        <v>1</v>
      </c>
      <c r="P25" s="4">
        <f>MethodData!P22</f>
        <v>19</v>
      </c>
      <c r="Q25" s="4">
        <f>MethodData!Q22</f>
        <v>60.450099999999999</v>
      </c>
      <c r="R25" s="4">
        <f>MethodData!R22</f>
        <v>0</v>
      </c>
      <c r="S25" s="4">
        <f>MethodData!S22</f>
        <v>3</v>
      </c>
      <c r="T25" s="4">
        <f>MethodData!T22</f>
        <v>1</v>
      </c>
      <c r="U25" s="4">
        <f>MethodData!U22</f>
        <v>0</v>
      </c>
      <c r="W25" s="11">
        <f t="shared" si="2"/>
        <v>7.8947368421052627E-2</v>
      </c>
      <c r="X25" s="11">
        <f t="shared" si="3"/>
        <v>0.05</v>
      </c>
      <c r="Y25" s="11">
        <f t="shared" si="4"/>
        <v>1</v>
      </c>
      <c r="Z25" s="11">
        <f t="shared" si="5"/>
        <v>6.8965517241379309E-2</v>
      </c>
      <c r="AA25" s="11">
        <f t="shared" si="6"/>
        <v>0.25</v>
      </c>
      <c r="AB25" s="11">
        <f t="shared" si="7"/>
        <v>0</v>
      </c>
      <c r="AC25" s="11">
        <f t="shared" si="8"/>
        <v>6.6600399600399596E-2</v>
      </c>
      <c r="AD25" s="11">
        <f t="shared" si="9"/>
        <v>1.5777746564888981E-3</v>
      </c>
      <c r="AE25" s="11">
        <f t="shared" si="10"/>
        <v>1.3523325467416955E-2</v>
      </c>
      <c r="AF25" s="11">
        <f t="shared" si="11"/>
        <v>3.5135135135135137E-2</v>
      </c>
      <c r="AG25" s="11">
        <f t="shared" si="12"/>
        <v>0.11224489795918367</v>
      </c>
      <c r="AH25" s="11">
        <f t="shared" si="13"/>
        <v>1.8375344124515934E-2</v>
      </c>
      <c r="AI25" s="11">
        <f t="shared" si="14"/>
        <v>1</v>
      </c>
      <c r="AJ25" s="11">
        <f t="shared" si="15"/>
        <v>0.33333333333333331</v>
      </c>
      <c r="AK25" s="11">
        <f t="shared" si="16"/>
        <v>0.14393939393939395</v>
      </c>
      <c r="AL25" s="11">
        <f t="shared" si="17"/>
        <v>0.6311059003345012</v>
      </c>
      <c r="AM25" s="11">
        <f t="shared" si="18"/>
        <v>0.16666666666666666</v>
      </c>
      <c r="AN25" s="11">
        <f t="shared" si="19"/>
        <v>9.6774193548387094E-2</v>
      </c>
      <c r="AO25" s="11">
        <f t="shared" si="20"/>
        <v>8.3333333333333329E-2</v>
      </c>
      <c r="AP25" s="11">
        <f t="shared" si="21"/>
        <v>0</v>
      </c>
      <c r="AQ25" s="11">
        <f t="shared" si="22"/>
        <v>4.1505225837611883</v>
      </c>
    </row>
    <row r="26" spans="1:43" ht="15" customHeight="1" x14ac:dyDescent="0.2">
      <c r="A26" s="3" t="str">
        <f>MethodData!A23</f>
        <v>Fleet: isInsideBoard(IShip)</v>
      </c>
      <c r="B26" s="4">
        <f>MethodData!B23</f>
        <v>4</v>
      </c>
      <c r="C26" s="4">
        <f>MethodData!C23</f>
        <v>0</v>
      </c>
      <c r="D26" s="4">
        <f>MethodData!D23</f>
        <v>0.25</v>
      </c>
      <c r="E26" s="4">
        <f>MethodData!E23</f>
        <v>4</v>
      </c>
      <c r="F26" s="4">
        <f>MethodData!F23</f>
        <v>0</v>
      </c>
      <c r="G26" s="4">
        <f>MethodData!G23</f>
        <v>1</v>
      </c>
      <c r="H26" s="4">
        <f>MethodData!H23</f>
        <v>14.4</v>
      </c>
      <c r="I26" s="4">
        <f>MethodData!I23</f>
        <v>1589.2056</v>
      </c>
      <c r="J26" s="4">
        <f>MethodData!J23</f>
        <v>4.5400000000000003E-2</v>
      </c>
      <c r="K26" s="4">
        <f>MethodData!K23</f>
        <v>27</v>
      </c>
      <c r="L26" s="4">
        <f>MethodData!L23</f>
        <v>17</v>
      </c>
      <c r="M26" s="4">
        <f>MethodData!M23</f>
        <v>110.36150000000001</v>
      </c>
      <c r="N26" s="4">
        <f>MethodData!N23</f>
        <v>0</v>
      </c>
      <c r="O26" s="4">
        <f>MethodData!O23</f>
        <v>0</v>
      </c>
      <c r="P26" s="4">
        <f>MethodData!P23</f>
        <v>12</v>
      </c>
      <c r="Q26" s="4">
        <f>MethodData!Q23</f>
        <v>61.978499999999997</v>
      </c>
      <c r="R26" s="4">
        <f>MethodData!R23</f>
        <v>0</v>
      </c>
      <c r="S26" s="4">
        <f>MethodData!S23</f>
        <v>2</v>
      </c>
      <c r="T26" s="4">
        <f>MethodData!T23</f>
        <v>0</v>
      </c>
      <c r="U26" s="4">
        <f>MethodData!U23</f>
        <v>1</v>
      </c>
      <c r="W26" s="11">
        <f t="shared" si="2"/>
        <v>0.10526315789473684</v>
      </c>
      <c r="X26" s="11">
        <f t="shared" si="3"/>
        <v>0</v>
      </c>
      <c r="Y26" s="11">
        <f t="shared" si="4"/>
        <v>0.25</v>
      </c>
      <c r="Z26" s="11">
        <f t="shared" si="5"/>
        <v>0.13793103448275862</v>
      </c>
      <c r="AA26" s="11">
        <f t="shared" si="6"/>
        <v>0</v>
      </c>
      <c r="AB26" s="11">
        <f t="shared" si="7"/>
        <v>0.2</v>
      </c>
      <c r="AC26" s="11">
        <f t="shared" si="8"/>
        <v>0.14385614385614387</v>
      </c>
      <c r="AD26" s="11">
        <f t="shared" si="9"/>
        <v>8.3631180833074834E-3</v>
      </c>
      <c r="AE26" s="11">
        <f t="shared" si="10"/>
        <v>4.1205300417498647E-2</v>
      </c>
      <c r="AF26" s="11">
        <f t="shared" si="11"/>
        <v>7.2972972972972977E-2</v>
      </c>
      <c r="AG26" s="11">
        <f t="shared" si="12"/>
        <v>0.17346938775510204</v>
      </c>
      <c r="AH26" s="11">
        <f t="shared" si="13"/>
        <v>4.5092579495020643E-2</v>
      </c>
      <c r="AI26" s="11">
        <f t="shared" si="14"/>
        <v>0</v>
      </c>
      <c r="AJ26" s="11">
        <f t="shared" si="15"/>
        <v>0</v>
      </c>
      <c r="AK26" s="11">
        <f t="shared" si="16"/>
        <v>9.0909090909090912E-2</v>
      </c>
      <c r="AL26" s="11">
        <f t="shared" si="17"/>
        <v>0.64706256968775699</v>
      </c>
      <c r="AM26" s="11">
        <f t="shared" si="18"/>
        <v>0.16666666666666666</v>
      </c>
      <c r="AN26" s="11">
        <f t="shared" si="19"/>
        <v>6.4516129032258063E-2</v>
      </c>
      <c r="AO26" s="11">
        <f t="shared" si="20"/>
        <v>0</v>
      </c>
      <c r="AP26" s="11">
        <f t="shared" si="21"/>
        <v>0.25</v>
      </c>
      <c r="AQ26" s="11">
        <f t="shared" si="22"/>
        <v>2.3973081512533136</v>
      </c>
    </row>
    <row r="27" spans="1:43" ht="15" customHeight="1" x14ac:dyDescent="0.2">
      <c r="A27" s="3" t="str">
        <f>MethodData!A24</f>
        <v>Fleet: printAllShips()</v>
      </c>
      <c r="B27" s="4">
        <f>MethodData!B24</f>
        <v>1</v>
      </c>
      <c r="C27" s="4">
        <f>MethodData!C24</f>
        <v>0</v>
      </c>
      <c r="D27" s="4">
        <f>MethodData!D24</f>
        <v>0</v>
      </c>
      <c r="E27" s="4">
        <f>MethodData!E24</f>
        <v>0</v>
      </c>
      <c r="F27" s="4">
        <f>MethodData!F24</f>
        <v>0</v>
      </c>
      <c r="G27" s="4">
        <f>MethodData!G24</f>
        <v>0</v>
      </c>
      <c r="H27" s="4">
        <f>MethodData!H24</f>
        <v>1</v>
      </c>
      <c r="I27" s="4">
        <f>MethodData!I24</f>
        <v>4.7549000000000001</v>
      </c>
      <c r="J27" s="4">
        <f>MethodData!J24</f>
        <v>8.9999999999999998E-4</v>
      </c>
      <c r="K27" s="4">
        <f>MethodData!K24</f>
        <v>3</v>
      </c>
      <c r="L27" s="4">
        <f>MethodData!L24</f>
        <v>3</v>
      </c>
      <c r="M27" s="4">
        <f>MethodData!M24</f>
        <v>4.7549000000000001</v>
      </c>
      <c r="N27" s="4">
        <f>MethodData!N24</f>
        <v>1</v>
      </c>
      <c r="O27" s="4">
        <f>MethodData!O24</f>
        <v>0</v>
      </c>
      <c r="P27" s="4">
        <f>MethodData!P24</f>
        <v>7</v>
      </c>
      <c r="Q27" s="4">
        <f>MethodData!Q24</f>
        <v>77.349400000000003</v>
      </c>
      <c r="R27" s="4">
        <f>MethodData!R24</f>
        <v>0</v>
      </c>
      <c r="S27" s="4">
        <f>MethodData!S24</f>
        <v>1</v>
      </c>
      <c r="T27" s="4">
        <f>MethodData!T24</f>
        <v>0</v>
      </c>
      <c r="U27" s="4">
        <f>MethodData!U24</f>
        <v>0</v>
      </c>
      <c r="W27" s="11">
        <f t="shared" si="2"/>
        <v>2.6315789473684209E-2</v>
      </c>
      <c r="X27" s="11">
        <f t="shared" si="3"/>
        <v>0</v>
      </c>
      <c r="Y27" s="11">
        <f t="shared" si="4"/>
        <v>0</v>
      </c>
      <c r="Z27" s="11">
        <f t="shared" si="5"/>
        <v>0</v>
      </c>
      <c r="AA27" s="11">
        <f t="shared" si="6"/>
        <v>0</v>
      </c>
      <c r="AB27" s="11">
        <f t="shared" si="7"/>
        <v>0</v>
      </c>
      <c r="AC27" s="11">
        <f t="shared" si="8"/>
        <v>9.99000999000999E-3</v>
      </c>
      <c r="AD27" s="11">
        <f t="shared" si="9"/>
        <v>2.5022432701167647E-5</v>
      </c>
      <c r="AE27" s="11">
        <f t="shared" si="10"/>
        <v>8.1684516246142676E-4</v>
      </c>
      <c r="AF27" s="11">
        <f t="shared" si="11"/>
        <v>8.1081081081081086E-3</v>
      </c>
      <c r="AG27" s="11">
        <f t="shared" si="12"/>
        <v>3.0612244897959183E-2</v>
      </c>
      <c r="AH27" s="11">
        <f t="shared" si="13"/>
        <v>1.9428034798446346E-3</v>
      </c>
      <c r="AI27" s="11">
        <f t="shared" si="14"/>
        <v>1</v>
      </c>
      <c r="AJ27" s="11">
        <f t="shared" si="15"/>
        <v>0</v>
      </c>
      <c r="AK27" s="11">
        <f t="shared" si="16"/>
        <v>5.3030303030303032E-2</v>
      </c>
      <c r="AL27" s="11">
        <f t="shared" si="17"/>
        <v>0.80753650907663455</v>
      </c>
      <c r="AM27" s="11">
        <f t="shared" si="18"/>
        <v>0.16666666666666666</v>
      </c>
      <c r="AN27" s="11">
        <f t="shared" si="19"/>
        <v>3.2258064516129031E-2</v>
      </c>
      <c r="AO27" s="11">
        <f t="shared" si="20"/>
        <v>0</v>
      </c>
      <c r="AP27" s="11">
        <f t="shared" si="21"/>
        <v>0</v>
      </c>
      <c r="AQ27" s="11">
        <f t="shared" si="22"/>
        <v>2.1373023668345019</v>
      </c>
    </row>
    <row r="28" spans="1:43" ht="15" customHeight="1" x14ac:dyDescent="0.2">
      <c r="A28" s="3" t="str">
        <f>MethodData!A25</f>
        <v>Fleet: printFloatingShips()</v>
      </c>
      <c r="B28" s="4">
        <f>MethodData!B25</f>
        <v>1</v>
      </c>
      <c r="C28" s="4">
        <f>MethodData!C25</f>
        <v>0</v>
      </c>
      <c r="D28" s="4">
        <f>MethodData!D25</f>
        <v>0</v>
      </c>
      <c r="E28" s="4">
        <f>MethodData!E25</f>
        <v>0</v>
      </c>
      <c r="F28" s="4">
        <f>MethodData!F25</f>
        <v>0</v>
      </c>
      <c r="G28" s="4">
        <f>MethodData!G25</f>
        <v>0</v>
      </c>
      <c r="H28" s="4">
        <f>MethodData!H25</f>
        <v>0</v>
      </c>
      <c r="I28" s="4">
        <f>MethodData!I25</f>
        <v>0</v>
      </c>
      <c r="J28" s="4">
        <f>MethodData!J25</f>
        <v>0</v>
      </c>
      <c r="K28" s="4">
        <f>MethodData!K25</f>
        <v>4</v>
      </c>
      <c r="L28" s="4">
        <f>MethodData!L25</f>
        <v>4</v>
      </c>
      <c r="M28" s="4">
        <f>MethodData!M25</f>
        <v>8</v>
      </c>
      <c r="N28" s="4">
        <f>MethodData!N25</f>
        <v>0</v>
      </c>
      <c r="O28" s="4">
        <f>MethodData!O25</f>
        <v>0</v>
      </c>
      <c r="P28" s="4">
        <f>MethodData!P25</f>
        <v>7</v>
      </c>
      <c r="Q28" s="4">
        <f>MethodData!Q25</f>
        <v>75.241600000000005</v>
      </c>
      <c r="R28" s="4">
        <f>MethodData!R25</f>
        <v>0</v>
      </c>
      <c r="S28" s="4">
        <f>MethodData!S25</f>
        <v>0</v>
      </c>
      <c r="T28" s="4">
        <f>MethodData!T25</f>
        <v>0</v>
      </c>
      <c r="U28" s="4">
        <f>MethodData!U25</f>
        <v>0</v>
      </c>
      <c r="W28" s="11">
        <f t="shared" si="2"/>
        <v>2.6315789473684209E-2</v>
      </c>
      <c r="X28" s="11">
        <f t="shared" si="3"/>
        <v>0</v>
      </c>
      <c r="Y28" s="11">
        <f t="shared" si="4"/>
        <v>0</v>
      </c>
      <c r="Z28" s="11">
        <f t="shared" si="5"/>
        <v>0</v>
      </c>
      <c r="AA28" s="11">
        <f t="shared" si="6"/>
        <v>0</v>
      </c>
      <c r="AB28" s="11">
        <f t="shared" si="7"/>
        <v>0</v>
      </c>
      <c r="AC28" s="11">
        <f t="shared" si="8"/>
        <v>0</v>
      </c>
      <c r="AD28" s="11">
        <f t="shared" si="9"/>
        <v>0</v>
      </c>
      <c r="AE28" s="11">
        <f t="shared" si="10"/>
        <v>0</v>
      </c>
      <c r="AF28" s="11">
        <f t="shared" si="11"/>
        <v>1.0810810810810811E-2</v>
      </c>
      <c r="AG28" s="11">
        <f t="shared" si="12"/>
        <v>4.0816326530612242E-2</v>
      </c>
      <c r="AH28" s="11">
        <f t="shared" si="13"/>
        <v>3.2687181305089651E-3</v>
      </c>
      <c r="AI28" s="11">
        <f t="shared" si="14"/>
        <v>0</v>
      </c>
      <c r="AJ28" s="11">
        <f t="shared" si="15"/>
        <v>0</v>
      </c>
      <c r="AK28" s="11">
        <f t="shared" si="16"/>
        <v>5.3030303030303032E-2</v>
      </c>
      <c r="AL28" s="11">
        <f t="shared" si="17"/>
        <v>0.78553083800702417</v>
      </c>
      <c r="AM28" s="11">
        <f t="shared" si="18"/>
        <v>0.16666666666666666</v>
      </c>
      <c r="AN28" s="11">
        <f t="shared" si="19"/>
        <v>0</v>
      </c>
      <c r="AO28" s="11">
        <f t="shared" si="20"/>
        <v>0</v>
      </c>
      <c r="AP28" s="11">
        <f t="shared" si="21"/>
        <v>0</v>
      </c>
      <c r="AQ28" s="11">
        <f t="shared" si="22"/>
        <v>1.0864394526496102</v>
      </c>
    </row>
    <row r="29" spans="1:43" ht="15" customHeight="1" x14ac:dyDescent="0.2">
      <c r="A29" s="3" t="str">
        <f>MethodData!A26</f>
        <v>Fleet: printShips(List&lt;IShip&gt;)</v>
      </c>
      <c r="B29" s="4">
        <f>MethodData!B26</f>
        <v>2</v>
      </c>
      <c r="C29" s="4">
        <f>MethodData!C26</f>
        <v>1</v>
      </c>
      <c r="D29" s="4">
        <f>MethodData!D26</f>
        <v>1</v>
      </c>
      <c r="E29" s="4">
        <f>MethodData!E26</f>
        <v>1</v>
      </c>
      <c r="F29" s="4">
        <f>MethodData!F26</f>
        <v>0</v>
      </c>
      <c r="G29" s="4">
        <f>MethodData!G26</f>
        <v>1</v>
      </c>
      <c r="H29" s="4">
        <f>MethodData!H26</f>
        <v>3.75</v>
      </c>
      <c r="I29" s="4">
        <f>MethodData!I26</f>
        <v>137.02950000000001</v>
      </c>
      <c r="J29" s="4">
        <f>MethodData!J26</f>
        <v>8.8999999999999999E-3</v>
      </c>
      <c r="K29" s="4">
        <f>MethodData!K26</f>
        <v>11</v>
      </c>
      <c r="L29" s="4">
        <f>MethodData!L26</f>
        <v>10</v>
      </c>
      <c r="M29" s="4">
        <f>MethodData!M26</f>
        <v>36.541200000000003</v>
      </c>
      <c r="N29" s="4">
        <f>MethodData!N26</f>
        <v>0</v>
      </c>
      <c r="O29" s="4">
        <f>MethodData!O26</f>
        <v>1</v>
      </c>
      <c r="P29" s="4">
        <f>MethodData!P26</f>
        <v>11</v>
      </c>
      <c r="Q29" s="4">
        <f>MethodData!Q26</f>
        <v>66.292599999999993</v>
      </c>
      <c r="R29" s="4">
        <f>MethodData!R26</f>
        <v>0</v>
      </c>
      <c r="S29" s="4">
        <f>MethodData!S26</f>
        <v>3</v>
      </c>
      <c r="T29" s="4">
        <f>MethodData!T26</f>
        <v>1</v>
      </c>
      <c r="U29" s="4">
        <f>MethodData!U26</f>
        <v>1</v>
      </c>
      <c r="W29" s="11">
        <f t="shared" si="2"/>
        <v>5.2631578947368418E-2</v>
      </c>
      <c r="X29" s="11">
        <f t="shared" si="3"/>
        <v>2.5000000000000001E-2</v>
      </c>
      <c r="Y29" s="11">
        <f t="shared" si="4"/>
        <v>1</v>
      </c>
      <c r="Z29" s="11">
        <f t="shared" si="5"/>
        <v>3.4482758620689655E-2</v>
      </c>
      <c r="AA29" s="11">
        <f t="shared" si="6"/>
        <v>0</v>
      </c>
      <c r="AB29" s="11">
        <f t="shared" si="7"/>
        <v>0.2</v>
      </c>
      <c r="AC29" s="11">
        <f t="shared" si="8"/>
        <v>3.7462537462537464E-2</v>
      </c>
      <c r="AD29" s="11">
        <f t="shared" si="9"/>
        <v>7.2111115729555871E-4</v>
      </c>
      <c r="AE29" s="11">
        <f t="shared" si="10"/>
        <v>8.0776910510074428E-3</v>
      </c>
      <c r="AF29" s="11">
        <f t="shared" si="11"/>
        <v>2.9729729729729731E-2</v>
      </c>
      <c r="AG29" s="11">
        <f t="shared" si="12"/>
        <v>0.10204081632653061</v>
      </c>
      <c r="AH29" s="11">
        <f t="shared" si="13"/>
        <v>1.4930360368819276E-2</v>
      </c>
      <c r="AI29" s="11">
        <f t="shared" si="14"/>
        <v>0</v>
      </c>
      <c r="AJ29" s="11">
        <f t="shared" si="15"/>
        <v>0.33333333333333331</v>
      </c>
      <c r="AK29" s="11">
        <f t="shared" si="16"/>
        <v>8.3333333333333329E-2</v>
      </c>
      <c r="AL29" s="11">
        <f t="shared" si="17"/>
        <v>0.69210226299898514</v>
      </c>
      <c r="AM29" s="11">
        <f t="shared" si="18"/>
        <v>0.16666666666666666</v>
      </c>
      <c r="AN29" s="11">
        <f t="shared" si="19"/>
        <v>9.6774193548387094E-2</v>
      </c>
      <c r="AO29" s="11">
        <f t="shared" si="20"/>
        <v>8.3333333333333329E-2</v>
      </c>
      <c r="AP29" s="11">
        <f t="shared" si="21"/>
        <v>0.25</v>
      </c>
      <c r="AQ29" s="11">
        <f t="shared" si="22"/>
        <v>3.2106197068780169</v>
      </c>
    </row>
    <row r="30" spans="1:43" ht="15" customHeight="1" x14ac:dyDescent="0.2">
      <c r="A30" s="3" t="str">
        <f>MethodData!A27</f>
        <v>Fleet: printShipsByCategory(String)</v>
      </c>
      <c r="B30" s="4">
        <f>MethodData!B27</f>
        <v>1</v>
      </c>
      <c r="C30" s="4">
        <f>MethodData!C27</f>
        <v>0</v>
      </c>
      <c r="D30" s="4">
        <f>MethodData!D27</f>
        <v>0</v>
      </c>
      <c r="E30" s="4">
        <f>MethodData!E27</f>
        <v>0</v>
      </c>
      <c r="F30" s="4">
        <f>MethodData!F27</f>
        <v>0</v>
      </c>
      <c r="G30" s="4">
        <f>MethodData!G27</f>
        <v>0</v>
      </c>
      <c r="H30" s="4">
        <f>MethodData!H27</f>
        <v>4.5</v>
      </c>
      <c r="I30" s="4">
        <f>MethodData!I27</f>
        <v>121.5</v>
      </c>
      <c r="J30" s="4">
        <f>MethodData!J27</f>
        <v>8.2000000000000007E-3</v>
      </c>
      <c r="K30" s="4">
        <f>MethodData!K27</f>
        <v>9</v>
      </c>
      <c r="L30" s="4">
        <f>MethodData!L27</f>
        <v>8</v>
      </c>
      <c r="M30" s="4">
        <f>MethodData!M27</f>
        <v>27</v>
      </c>
      <c r="N30" s="4">
        <f>MethodData!N27</f>
        <v>0</v>
      </c>
      <c r="O30" s="4">
        <f>MethodData!O27</f>
        <v>0</v>
      </c>
      <c r="P30" s="4">
        <f>MethodData!P27</f>
        <v>11</v>
      </c>
      <c r="Q30" s="4">
        <f>MethodData!Q27</f>
        <v>67.375399999999999</v>
      </c>
      <c r="R30" s="4">
        <f>MethodData!R27</f>
        <v>0</v>
      </c>
      <c r="S30" s="4">
        <f>MethodData!S27</f>
        <v>1</v>
      </c>
      <c r="T30" s="4">
        <f>MethodData!T27</f>
        <v>0</v>
      </c>
      <c r="U30" s="4">
        <f>MethodData!U27</f>
        <v>1</v>
      </c>
      <c r="W30" s="11">
        <f t="shared" si="2"/>
        <v>2.6315789473684209E-2</v>
      </c>
      <c r="X30" s="11">
        <f t="shared" si="3"/>
        <v>0</v>
      </c>
      <c r="Y30" s="11">
        <f t="shared" si="4"/>
        <v>0</v>
      </c>
      <c r="Z30" s="11">
        <f t="shared" si="5"/>
        <v>0</v>
      </c>
      <c r="AA30" s="11">
        <f t="shared" si="6"/>
        <v>0</v>
      </c>
      <c r="AB30" s="11">
        <f t="shared" si="7"/>
        <v>0</v>
      </c>
      <c r="AC30" s="11">
        <f t="shared" si="8"/>
        <v>4.4955044955044959E-2</v>
      </c>
      <c r="AD30" s="11">
        <f t="shared" si="9"/>
        <v>6.3938790998588173E-4</v>
      </c>
      <c r="AE30" s="11">
        <f t="shared" si="10"/>
        <v>7.442367035759667E-3</v>
      </c>
      <c r="AF30" s="11">
        <f t="shared" si="11"/>
        <v>2.4324324324324326E-2</v>
      </c>
      <c r="AG30" s="11">
        <f t="shared" si="12"/>
        <v>8.1632653061224483E-2</v>
      </c>
      <c r="AH30" s="11">
        <f t="shared" si="13"/>
        <v>1.1031923690467757E-2</v>
      </c>
      <c r="AI30" s="11">
        <f t="shared" si="14"/>
        <v>0</v>
      </c>
      <c r="AJ30" s="11">
        <f t="shared" si="15"/>
        <v>0</v>
      </c>
      <c r="AK30" s="11">
        <f t="shared" si="16"/>
        <v>8.3333333333333329E-2</v>
      </c>
      <c r="AL30" s="11">
        <f t="shared" si="17"/>
        <v>0.70340681781166869</v>
      </c>
      <c r="AM30" s="11">
        <f t="shared" si="18"/>
        <v>0.16666666666666666</v>
      </c>
      <c r="AN30" s="11">
        <f t="shared" si="19"/>
        <v>3.2258064516129031E-2</v>
      </c>
      <c r="AO30" s="11">
        <f t="shared" si="20"/>
        <v>0</v>
      </c>
      <c r="AP30" s="11">
        <f t="shared" si="21"/>
        <v>0.25</v>
      </c>
      <c r="AQ30" s="11">
        <f t="shared" si="22"/>
        <v>1.432006372778289</v>
      </c>
    </row>
    <row r="31" spans="1:43" ht="15" customHeight="1" x14ac:dyDescent="0.2">
      <c r="A31" s="3" t="str">
        <f>MethodData!A28</f>
        <v>Fleet: printStatus()</v>
      </c>
      <c r="B31" s="4">
        <f>MethodData!B28</f>
        <v>1</v>
      </c>
      <c r="C31" s="4">
        <f>MethodData!C28</f>
        <v>0</v>
      </c>
      <c r="D31" s="4">
        <f>MethodData!D28</f>
        <v>0.5</v>
      </c>
      <c r="E31" s="4">
        <f>MethodData!E28</f>
        <v>2</v>
      </c>
      <c r="F31" s="4">
        <f>MethodData!F28</f>
        <v>0</v>
      </c>
      <c r="G31" s="4">
        <f>MethodData!G28</f>
        <v>1</v>
      </c>
      <c r="H31" s="4">
        <f>MethodData!H28</f>
        <v>3.5</v>
      </c>
      <c r="I31" s="4">
        <f>MethodData!I28</f>
        <v>157.4041</v>
      </c>
      <c r="J31" s="4">
        <f>MethodData!J28</f>
        <v>9.7000000000000003E-3</v>
      </c>
      <c r="K31" s="4">
        <f>MethodData!K28</f>
        <v>13</v>
      </c>
      <c r="L31" s="4">
        <f>MethodData!L28</f>
        <v>11</v>
      </c>
      <c r="M31" s="4">
        <f>MethodData!M28</f>
        <v>44.9726</v>
      </c>
      <c r="N31" s="4">
        <f>MethodData!N28</f>
        <v>0</v>
      </c>
      <c r="O31" s="4">
        <f>MethodData!O28</f>
        <v>0</v>
      </c>
      <c r="P31" s="4">
        <f>MethodData!P28</f>
        <v>14</v>
      </c>
      <c r="Q31" s="4">
        <f>MethodData!Q28</f>
        <v>63.490900000000003</v>
      </c>
      <c r="R31" s="4">
        <f>MethodData!R28</f>
        <v>0</v>
      </c>
      <c r="S31" s="4">
        <f>MethodData!S28</f>
        <v>1</v>
      </c>
      <c r="T31" s="4">
        <f>MethodData!T28</f>
        <v>0</v>
      </c>
      <c r="U31" s="4">
        <f>MethodData!U28</f>
        <v>0</v>
      </c>
      <c r="W31" s="11">
        <f t="shared" si="2"/>
        <v>2.6315789473684209E-2</v>
      </c>
      <c r="X31" s="11">
        <f t="shared" si="3"/>
        <v>0</v>
      </c>
      <c r="Y31" s="11">
        <f t="shared" si="4"/>
        <v>0.5</v>
      </c>
      <c r="Z31" s="11">
        <f t="shared" si="5"/>
        <v>6.8965517241379309E-2</v>
      </c>
      <c r="AA31" s="11">
        <f t="shared" si="6"/>
        <v>0</v>
      </c>
      <c r="AB31" s="11">
        <f t="shared" si="7"/>
        <v>0.2</v>
      </c>
      <c r="AC31" s="11">
        <f t="shared" si="8"/>
        <v>3.4965034965034968E-2</v>
      </c>
      <c r="AD31" s="11">
        <f t="shared" si="9"/>
        <v>8.2833151047085371E-4</v>
      </c>
      <c r="AE31" s="11">
        <f t="shared" si="10"/>
        <v>8.8037756398620451E-3</v>
      </c>
      <c r="AF31" s="11">
        <f t="shared" si="11"/>
        <v>3.5135135135135137E-2</v>
      </c>
      <c r="AG31" s="11">
        <f t="shared" si="12"/>
        <v>0.11224489795918367</v>
      </c>
      <c r="AH31" s="11">
        <f t="shared" si="13"/>
        <v>1.8375344124515934E-2</v>
      </c>
      <c r="AI31" s="11">
        <f t="shared" si="14"/>
        <v>0</v>
      </c>
      <c r="AJ31" s="11">
        <f t="shared" si="15"/>
        <v>0</v>
      </c>
      <c r="AK31" s="11">
        <f t="shared" si="16"/>
        <v>0.10606060606060606</v>
      </c>
      <c r="AL31" s="11">
        <f t="shared" si="17"/>
        <v>0.66285219722627065</v>
      </c>
      <c r="AM31" s="11">
        <f t="shared" si="18"/>
        <v>0.16666666666666666</v>
      </c>
      <c r="AN31" s="11">
        <f t="shared" si="19"/>
        <v>3.2258064516129031E-2</v>
      </c>
      <c r="AO31" s="11">
        <f t="shared" si="20"/>
        <v>0</v>
      </c>
      <c r="AP31" s="11">
        <f t="shared" si="21"/>
        <v>0</v>
      </c>
      <c r="AQ31" s="11">
        <f t="shared" si="22"/>
        <v>1.9734713605189385</v>
      </c>
    </row>
    <row r="32" spans="1:43" ht="15" customHeight="1" x14ac:dyDescent="0.2">
      <c r="A32" s="3" t="str">
        <f>MethodData!A29</f>
        <v>Fleet: shipAt(IPosition)</v>
      </c>
      <c r="B32" s="4">
        <f>MethodData!B29</f>
        <v>3</v>
      </c>
      <c r="C32" s="4">
        <f>MethodData!C29</f>
        <v>2</v>
      </c>
      <c r="D32" s="4">
        <f>MethodData!D29</f>
        <v>1</v>
      </c>
      <c r="E32" s="4">
        <f>MethodData!E29</f>
        <v>1</v>
      </c>
      <c r="F32" s="4">
        <f>MethodData!F29</f>
        <v>1</v>
      </c>
      <c r="G32" s="4">
        <f>MethodData!G29</f>
        <v>0</v>
      </c>
      <c r="H32" s="4">
        <f>MethodData!H29</f>
        <v>6.125</v>
      </c>
      <c r="I32" s="4">
        <f>MethodData!I29</f>
        <v>317.83530000000002</v>
      </c>
      <c r="J32" s="4">
        <f>MethodData!J29</f>
        <v>1.55E-2</v>
      </c>
      <c r="K32" s="4">
        <f>MethodData!K29</f>
        <v>15</v>
      </c>
      <c r="L32" s="4">
        <f>MethodData!L29</f>
        <v>11</v>
      </c>
      <c r="M32" s="4">
        <f>MethodData!M29</f>
        <v>51.891500000000001</v>
      </c>
      <c r="N32" s="4">
        <f>MethodData!N29</f>
        <v>1</v>
      </c>
      <c r="O32" s="4">
        <f>MethodData!O29</f>
        <v>1</v>
      </c>
      <c r="P32" s="4">
        <f>MethodData!P29</f>
        <v>20</v>
      </c>
      <c r="Q32" s="4">
        <f>MethodData!Q29</f>
        <v>59.5152</v>
      </c>
      <c r="R32" s="4">
        <f>MethodData!R29</f>
        <v>0</v>
      </c>
      <c r="S32" s="4">
        <f>MethodData!S29</f>
        <v>3</v>
      </c>
      <c r="T32" s="4">
        <f>MethodData!T29</f>
        <v>1</v>
      </c>
      <c r="U32" s="4">
        <f>MethodData!U29</f>
        <v>1</v>
      </c>
      <c r="W32" s="11">
        <f t="shared" si="2"/>
        <v>7.8947368421052627E-2</v>
      </c>
      <c r="X32" s="11">
        <f t="shared" si="3"/>
        <v>0.05</v>
      </c>
      <c r="Y32" s="11">
        <f t="shared" si="4"/>
        <v>1</v>
      </c>
      <c r="Z32" s="11">
        <f t="shared" si="5"/>
        <v>3.4482758620689655E-2</v>
      </c>
      <c r="AA32" s="11">
        <f t="shared" si="6"/>
        <v>0.25</v>
      </c>
      <c r="AB32" s="11">
        <f t="shared" si="7"/>
        <v>0</v>
      </c>
      <c r="AC32" s="11">
        <f t="shared" si="8"/>
        <v>6.1188811188811192E-2</v>
      </c>
      <c r="AD32" s="11">
        <f t="shared" si="9"/>
        <v>1.6725929891912405E-3</v>
      </c>
      <c r="AE32" s="11">
        <f t="shared" si="10"/>
        <v>1.4067888909057906E-2</v>
      </c>
      <c r="AF32" s="11">
        <f t="shared" si="11"/>
        <v>4.0540540540540543E-2</v>
      </c>
      <c r="AG32" s="11">
        <f t="shared" si="12"/>
        <v>0.11224489795918367</v>
      </c>
      <c r="AH32" s="11">
        <f t="shared" si="13"/>
        <v>2.1202335858663244E-2</v>
      </c>
      <c r="AI32" s="11">
        <f t="shared" si="14"/>
        <v>1</v>
      </c>
      <c r="AJ32" s="11">
        <f t="shared" si="15"/>
        <v>0.33333333333333331</v>
      </c>
      <c r="AK32" s="11">
        <f t="shared" si="16"/>
        <v>0.15151515151515152</v>
      </c>
      <c r="AL32" s="11">
        <f t="shared" si="17"/>
        <v>0.62134543829684163</v>
      </c>
      <c r="AM32" s="11">
        <f t="shared" si="18"/>
        <v>0.16666666666666666</v>
      </c>
      <c r="AN32" s="11">
        <f t="shared" si="19"/>
        <v>9.6774193548387094E-2</v>
      </c>
      <c r="AO32" s="11">
        <f t="shared" si="20"/>
        <v>8.3333333333333329E-2</v>
      </c>
      <c r="AP32" s="11">
        <f t="shared" si="21"/>
        <v>0.25</v>
      </c>
      <c r="AQ32" s="11">
        <f t="shared" si="22"/>
        <v>4.3673153111809038</v>
      </c>
    </row>
    <row r="33" spans="1:43" ht="15" customHeight="1" x14ac:dyDescent="0.2">
      <c r="A33" s="3" t="str">
        <f>MethodData!A30</f>
        <v>Frigate: Frigate(Compass, IPosition)</v>
      </c>
      <c r="B33" s="4">
        <f>MethodData!B30</f>
        <v>9</v>
      </c>
      <c r="C33" s="4">
        <f>MethodData!C30</f>
        <v>5</v>
      </c>
      <c r="D33" s="4">
        <f>MethodData!D30</f>
        <v>0.5</v>
      </c>
      <c r="E33" s="4">
        <f>MethodData!E30</f>
        <v>6</v>
      </c>
      <c r="F33" s="4">
        <f>MethodData!F30</f>
        <v>0</v>
      </c>
      <c r="G33" s="4">
        <f>MethodData!G30</f>
        <v>1</v>
      </c>
      <c r="H33" s="4">
        <f>MethodData!H30</f>
        <v>27</v>
      </c>
      <c r="I33" s="4">
        <f>MethodData!I30</f>
        <v>12198.390299999999</v>
      </c>
      <c r="J33" s="4">
        <f>MethodData!J30</f>
        <v>0.17660000000000001</v>
      </c>
      <c r="K33" s="4">
        <f>MethodData!K30</f>
        <v>93</v>
      </c>
      <c r="L33" s="4">
        <f>MethodData!L30</f>
        <v>29</v>
      </c>
      <c r="M33" s="4">
        <f>MethodData!M30</f>
        <v>451.79219999999998</v>
      </c>
      <c r="N33" s="4">
        <f>MethodData!N30</f>
        <v>0</v>
      </c>
      <c r="O33" s="4">
        <f>MethodData!O30</f>
        <v>1</v>
      </c>
      <c r="P33" s="4">
        <f>MethodData!P30</f>
        <v>27</v>
      </c>
      <c r="Q33" s="4">
        <f>MethodData!Q30</f>
        <v>49.8962</v>
      </c>
      <c r="R33" s="4">
        <f>MethodData!R30</f>
        <v>1</v>
      </c>
      <c r="S33" s="4">
        <f>MethodData!S30</f>
        <v>10</v>
      </c>
      <c r="T33" s="4">
        <f>MethodData!T30</f>
        <v>4</v>
      </c>
      <c r="U33" s="4">
        <f>MethodData!U30</f>
        <v>2</v>
      </c>
      <c r="W33" s="11">
        <f t="shared" si="2"/>
        <v>0.23684210526315788</v>
      </c>
      <c r="X33" s="11">
        <f t="shared" si="3"/>
        <v>0.125</v>
      </c>
      <c r="Y33" s="11">
        <f t="shared" si="4"/>
        <v>0.5</v>
      </c>
      <c r="Z33" s="11">
        <f t="shared" si="5"/>
        <v>0.20689655172413793</v>
      </c>
      <c r="AA33" s="11">
        <f t="shared" si="6"/>
        <v>0</v>
      </c>
      <c r="AB33" s="11">
        <f t="shared" si="7"/>
        <v>0.2</v>
      </c>
      <c r="AC33" s="11">
        <f t="shared" si="8"/>
        <v>0.26973026973026976</v>
      </c>
      <c r="AD33" s="11">
        <f t="shared" si="9"/>
        <v>6.4193442626411953E-2</v>
      </c>
      <c r="AE33" s="11">
        <f t="shared" si="10"/>
        <v>0.16028317298965331</v>
      </c>
      <c r="AF33" s="11">
        <f t="shared" si="11"/>
        <v>0.25135135135135134</v>
      </c>
      <c r="AG33" s="11">
        <f t="shared" si="12"/>
        <v>0.29591836734693877</v>
      </c>
      <c r="AH33" s="11">
        <f t="shared" si="13"/>
        <v>0.18459766942031655</v>
      </c>
      <c r="AI33" s="11">
        <f t="shared" si="14"/>
        <v>0</v>
      </c>
      <c r="AJ33" s="11">
        <f t="shared" si="15"/>
        <v>0.33333333333333331</v>
      </c>
      <c r="AK33" s="11">
        <f t="shared" si="16"/>
        <v>0.20454545454545456</v>
      </c>
      <c r="AL33" s="11">
        <f t="shared" si="17"/>
        <v>0.52092198729646999</v>
      </c>
      <c r="AM33" s="11">
        <f t="shared" si="18"/>
        <v>0.33333333333333331</v>
      </c>
      <c r="AN33" s="11">
        <f t="shared" si="19"/>
        <v>0.32258064516129031</v>
      </c>
      <c r="AO33" s="11">
        <f t="shared" si="20"/>
        <v>0.33333333333333331</v>
      </c>
      <c r="AP33" s="11">
        <f t="shared" si="21"/>
        <v>0.5</v>
      </c>
      <c r="AQ33" s="11">
        <f t="shared" si="22"/>
        <v>5.0428610174554525</v>
      </c>
    </row>
    <row r="34" spans="1:43" ht="15" customHeight="1" x14ac:dyDescent="0.2">
      <c r="A34" s="3" t="str">
        <f>MethodData!A31</f>
        <v>Galleon: Galleon(Compass, IPosition)</v>
      </c>
      <c r="B34" s="4">
        <f>MethodData!B31</f>
        <v>5</v>
      </c>
      <c r="C34" s="4">
        <f>MethodData!C31</f>
        <v>1</v>
      </c>
      <c r="D34" s="4">
        <f>MethodData!D31</f>
        <v>0.2</v>
      </c>
      <c r="E34" s="4">
        <f>MethodData!E31</f>
        <v>1</v>
      </c>
      <c r="F34" s="4">
        <f>MethodData!F31</f>
        <v>0</v>
      </c>
      <c r="G34" s="4">
        <f>MethodData!G31</f>
        <v>1</v>
      </c>
      <c r="H34" s="4">
        <f>MethodData!H31</f>
        <v>8.125</v>
      </c>
      <c r="I34" s="4">
        <f>MethodData!I31</f>
        <v>982.53859999999997</v>
      </c>
      <c r="J34" s="4">
        <f>MethodData!J31</f>
        <v>3.2899999999999999E-2</v>
      </c>
      <c r="K34" s="4">
        <f>MethodData!K31</f>
        <v>29</v>
      </c>
      <c r="L34" s="4">
        <f>MethodData!L31</f>
        <v>18</v>
      </c>
      <c r="M34" s="4">
        <f>MethodData!M31</f>
        <v>120.9278</v>
      </c>
      <c r="N34" s="4">
        <f>MethodData!N31</f>
        <v>0</v>
      </c>
      <c r="O34" s="4">
        <f>MethodData!O31</f>
        <v>0</v>
      </c>
      <c r="P34" s="4">
        <f>MethodData!P31</f>
        <v>23</v>
      </c>
      <c r="Q34" s="4">
        <f>MethodData!Q31</f>
        <v>55.520400000000002</v>
      </c>
      <c r="R34" s="4">
        <f>MethodData!R31</f>
        <v>1</v>
      </c>
      <c r="S34" s="4">
        <f>MethodData!S31</f>
        <v>6</v>
      </c>
      <c r="T34" s="4">
        <f>MethodData!T31</f>
        <v>0</v>
      </c>
      <c r="U34" s="4">
        <f>MethodData!U31</f>
        <v>2</v>
      </c>
      <c r="W34" s="11">
        <f t="shared" si="2"/>
        <v>0.13157894736842105</v>
      </c>
      <c r="X34" s="11">
        <f t="shared" si="3"/>
        <v>2.5000000000000001E-2</v>
      </c>
      <c r="Y34" s="11">
        <f t="shared" si="4"/>
        <v>0.2</v>
      </c>
      <c r="Z34" s="11">
        <f t="shared" si="5"/>
        <v>3.4482758620689655E-2</v>
      </c>
      <c r="AA34" s="11">
        <f t="shared" si="6"/>
        <v>0</v>
      </c>
      <c r="AB34" s="11">
        <f t="shared" si="7"/>
        <v>0.2</v>
      </c>
      <c r="AC34" s="11">
        <f t="shared" si="8"/>
        <v>8.1168831168831168E-2</v>
      </c>
      <c r="AD34" s="11">
        <f t="shared" si="9"/>
        <v>5.1705621558391299E-3</v>
      </c>
      <c r="AE34" s="11">
        <f t="shared" si="10"/>
        <v>2.9860228716645492E-2</v>
      </c>
      <c r="AF34" s="11">
        <f t="shared" si="11"/>
        <v>7.8378378378378383E-2</v>
      </c>
      <c r="AG34" s="11">
        <f t="shared" si="12"/>
        <v>0.18367346938775511</v>
      </c>
      <c r="AH34" s="11">
        <f t="shared" si="13"/>
        <v>4.9409861542820253E-2</v>
      </c>
      <c r="AI34" s="11">
        <f t="shared" si="14"/>
        <v>0</v>
      </c>
      <c r="AJ34" s="11">
        <f t="shared" si="15"/>
        <v>0</v>
      </c>
      <c r="AK34" s="11">
        <f t="shared" si="16"/>
        <v>0.17424242424242425</v>
      </c>
      <c r="AL34" s="11">
        <f t="shared" si="17"/>
        <v>0.57963927320106401</v>
      </c>
      <c r="AM34" s="11">
        <f t="shared" si="18"/>
        <v>0.33333333333333331</v>
      </c>
      <c r="AN34" s="11">
        <f t="shared" si="19"/>
        <v>0.19354838709677419</v>
      </c>
      <c r="AO34" s="11">
        <f t="shared" si="20"/>
        <v>0</v>
      </c>
      <c r="AP34" s="11">
        <f t="shared" si="21"/>
        <v>0.5</v>
      </c>
      <c r="AQ34" s="11">
        <f t="shared" si="22"/>
        <v>2.7994864552129761</v>
      </c>
    </row>
    <row r="35" spans="1:43" ht="15" customHeight="1" x14ac:dyDescent="0.2">
      <c r="A35" s="3" t="str">
        <f>MethodData!A32</f>
        <v>Galleon: fillEast(IPosition)</v>
      </c>
      <c r="B35" s="4">
        <f>MethodData!B32</f>
        <v>2</v>
      </c>
      <c r="C35" s="4">
        <f>MethodData!C32</f>
        <v>1</v>
      </c>
      <c r="D35" s="4">
        <f>MethodData!D32</f>
        <v>0.75</v>
      </c>
      <c r="E35" s="4">
        <f>MethodData!E32</f>
        <v>4</v>
      </c>
      <c r="F35" s="4">
        <f>MethodData!F32</f>
        <v>0</v>
      </c>
      <c r="G35" s="4">
        <f>MethodData!G32</f>
        <v>0</v>
      </c>
      <c r="H35" s="4">
        <f>MethodData!H32</f>
        <v>15.166700000000001</v>
      </c>
      <c r="I35" s="4">
        <f>MethodData!I32</f>
        <v>2512.6491000000001</v>
      </c>
      <c r="J35" s="4">
        <f>MethodData!J32</f>
        <v>6.1600000000000002E-2</v>
      </c>
      <c r="K35" s="4">
        <f>MethodData!K32</f>
        <v>39</v>
      </c>
      <c r="L35" s="4">
        <f>MethodData!L32</f>
        <v>19</v>
      </c>
      <c r="M35" s="4">
        <f>MethodData!M32</f>
        <v>165.66919999999999</v>
      </c>
      <c r="N35" s="4">
        <f>MethodData!N32</f>
        <v>0</v>
      </c>
      <c r="O35" s="4">
        <f>MethodData!O32</f>
        <v>1</v>
      </c>
      <c r="P35" s="4">
        <f>MethodData!P32</f>
        <v>12</v>
      </c>
      <c r="Q35" s="4">
        <f>MethodData!Q32</f>
        <v>60.838700000000003</v>
      </c>
      <c r="R35" s="4">
        <f>MethodData!R32</f>
        <v>1</v>
      </c>
      <c r="S35" s="4">
        <f>MethodData!S32</f>
        <v>2</v>
      </c>
      <c r="T35" s="4">
        <f>MethodData!T32</f>
        <v>1</v>
      </c>
      <c r="U35" s="4">
        <f>MethodData!U32</f>
        <v>1</v>
      </c>
      <c r="W35" s="11">
        <f t="shared" si="2"/>
        <v>5.2631578947368418E-2</v>
      </c>
      <c r="X35" s="11">
        <f t="shared" si="3"/>
        <v>2.5000000000000001E-2</v>
      </c>
      <c r="Y35" s="11">
        <f t="shared" si="4"/>
        <v>0.75</v>
      </c>
      <c r="Z35" s="11">
        <f t="shared" si="5"/>
        <v>0.13793103448275862</v>
      </c>
      <c r="AA35" s="11">
        <f t="shared" si="6"/>
        <v>0</v>
      </c>
      <c r="AB35" s="11">
        <f t="shared" si="7"/>
        <v>0</v>
      </c>
      <c r="AC35" s="11">
        <f t="shared" si="8"/>
        <v>0.15151548451548452</v>
      </c>
      <c r="AD35" s="11">
        <f t="shared" si="9"/>
        <v>1.3222695115859315E-2</v>
      </c>
      <c r="AE35" s="11">
        <f t="shared" si="10"/>
        <v>5.5908513341804328E-2</v>
      </c>
      <c r="AF35" s="11">
        <f t="shared" si="11"/>
        <v>0.10540540540540541</v>
      </c>
      <c r="AG35" s="11">
        <f t="shared" si="12"/>
        <v>0.19387755102040816</v>
      </c>
      <c r="AH35" s="11">
        <f t="shared" si="13"/>
        <v>6.7690739713364478E-2</v>
      </c>
      <c r="AI35" s="11">
        <f t="shared" si="14"/>
        <v>0</v>
      </c>
      <c r="AJ35" s="11">
        <f t="shared" si="15"/>
        <v>0.33333333333333331</v>
      </c>
      <c r="AK35" s="11">
        <f t="shared" si="16"/>
        <v>9.0909090909090912E-2</v>
      </c>
      <c r="AL35" s="11">
        <f t="shared" si="17"/>
        <v>0.63516292841005428</v>
      </c>
      <c r="AM35" s="11">
        <f t="shared" si="18"/>
        <v>0.33333333333333331</v>
      </c>
      <c r="AN35" s="11">
        <f t="shared" si="19"/>
        <v>6.4516129032258063E-2</v>
      </c>
      <c r="AO35" s="11">
        <f t="shared" si="20"/>
        <v>8.3333333333333329E-2</v>
      </c>
      <c r="AP35" s="11">
        <f t="shared" si="21"/>
        <v>0.25</v>
      </c>
      <c r="AQ35" s="11">
        <f t="shared" si="22"/>
        <v>3.3437711508938563</v>
      </c>
    </row>
    <row r="36" spans="1:43" ht="15" customHeight="1" x14ac:dyDescent="0.2">
      <c r="A36" s="3" t="str">
        <f>MethodData!A33</f>
        <v>Galleon: fillNorth(IPosition)</v>
      </c>
      <c r="B36" s="4">
        <f>MethodData!B33</f>
        <v>2</v>
      </c>
      <c r="C36" s="4">
        <f>MethodData!C33</f>
        <v>1</v>
      </c>
      <c r="D36" s="4">
        <f>MethodData!D33</f>
        <v>0.75</v>
      </c>
      <c r="E36" s="4">
        <f>MethodData!E33</f>
        <v>4</v>
      </c>
      <c r="F36" s="4">
        <f>MethodData!F33</f>
        <v>0</v>
      </c>
      <c r="G36" s="4">
        <f>MethodData!G33</f>
        <v>0</v>
      </c>
      <c r="H36" s="4">
        <f>MethodData!H33</f>
        <v>15</v>
      </c>
      <c r="I36" s="4">
        <f>MethodData!I33</f>
        <v>2564.5039000000002</v>
      </c>
      <c r="J36" s="4">
        <f>MethodData!J33</f>
        <v>6.25E-2</v>
      </c>
      <c r="K36" s="4">
        <f>MethodData!K33</f>
        <v>41</v>
      </c>
      <c r="L36" s="4">
        <f>MethodData!L33</f>
        <v>18</v>
      </c>
      <c r="M36" s="4">
        <f>MethodData!M33</f>
        <v>170.96690000000001</v>
      </c>
      <c r="N36" s="4">
        <f>MethodData!N33</f>
        <v>0</v>
      </c>
      <c r="O36" s="4">
        <f>MethodData!O33</f>
        <v>1</v>
      </c>
      <c r="P36" s="4">
        <f>MethodData!P33</f>
        <v>12</v>
      </c>
      <c r="Q36" s="4">
        <f>MethodData!Q33</f>
        <v>60.747900000000001</v>
      </c>
      <c r="R36" s="4">
        <f>MethodData!R33</f>
        <v>1</v>
      </c>
      <c r="S36" s="4">
        <f>MethodData!S33</f>
        <v>2</v>
      </c>
      <c r="T36" s="4">
        <f>MethodData!T33</f>
        <v>1</v>
      </c>
      <c r="U36" s="4">
        <f>MethodData!U33</f>
        <v>1</v>
      </c>
      <c r="W36" s="11">
        <f t="shared" si="2"/>
        <v>5.2631578947368418E-2</v>
      </c>
      <c r="X36" s="11">
        <f t="shared" si="3"/>
        <v>2.5000000000000001E-2</v>
      </c>
      <c r="Y36" s="11">
        <f t="shared" si="4"/>
        <v>0.75</v>
      </c>
      <c r="Z36" s="11">
        <f t="shared" si="5"/>
        <v>0.13793103448275862</v>
      </c>
      <c r="AA36" s="11">
        <f t="shared" si="6"/>
        <v>0</v>
      </c>
      <c r="AB36" s="11">
        <f t="shared" si="7"/>
        <v>0</v>
      </c>
      <c r="AC36" s="11">
        <f t="shared" si="8"/>
        <v>0.14985014985014986</v>
      </c>
      <c r="AD36" s="11">
        <f t="shared" si="9"/>
        <v>1.3495578508408582E-2</v>
      </c>
      <c r="AE36" s="11">
        <f t="shared" si="10"/>
        <v>5.6725358504265751E-2</v>
      </c>
      <c r="AF36" s="11">
        <f t="shared" si="11"/>
        <v>0.11081081081081082</v>
      </c>
      <c r="AG36" s="11">
        <f t="shared" si="12"/>
        <v>0.18367346938775511</v>
      </c>
      <c r="AH36" s="11">
        <f t="shared" si="13"/>
        <v>6.9855325718364142E-2</v>
      </c>
      <c r="AI36" s="11">
        <f t="shared" si="14"/>
        <v>0</v>
      </c>
      <c r="AJ36" s="11">
        <f t="shared" si="15"/>
        <v>0.33333333333333331</v>
      </c>
      <c r="AK36" s="11">
        <f t="shared" si="16"/>
        <v>9.0909090909090912E-2</v>
      </c>
      <c r="AL36" s="11">
        <f t="shared" si="17"/>
        <v>0.63421496611139183</v>
      </c>
      <c r="AM36" s="11">
        <f t="shared" si="18"/>
        <v>0.33333333333333331</v>
      </c>
      <c r="AN36" s="11">
        <f t="shared" si="19"/>
        <v>6.4516129032258063E-2</v>
      </c>
      <c r="AO36" s="11">
        <f t="shared" si="20"/>
        <v>8.3333333333333329E-2</v>
      </c>
      <c r="AP36" s="11">
        <f t="shared" si="21"/>
        <v>0.25</v>
      </c>
      <c r="AQ36" s="11">
        <f t="shared" si="22"/>
        <v>3.3396134922626217</v>
      </c>
    </row>
    <row r="37" spans="1:43" ht="15" customHeight="1" x14ac:dyDescent="0.2">
      <c r="A37" s="3" t="str">
        <f>MethodData!A34</f>
        <v>Galleon: fillSouth(IPosition)</v>
      </c>
      <c r="B37" s="4">
        <f>MethodData!B34</f>
        <v>3</v>
      </c>
      <c r="C37" s="4">
        <f>MethodData!C34</f>
        <v>2</v>
      </c>
      <c r="D37" s="4">
        <f>MethodData!D34</f>
        <v>0.75</v>
      </c>
      <c r="E37" s="4">
        <f>MethodData!E34</f>
        <v>4</v>
      </c>
      <c r="F37" s="4">
        <f>MethodData!F34</f>
        <v>0</v>
      </c>
      <c r="G37" s="4">
        <f>MethodData!G34</f>
        <v>0</v>
      </c>
      <c r="H37" s="4">
        <f>MethodData!H34</f>
        <v>14.857100000000001</v>
      </c>
      <c r="I37" s="4">
        <f>MethodData!I34</f>
        <v>2568.4600999999998</v>
      </c>
      <c r="J37" s="4">
        <f>MethodData!J34</f>
        <v>6.25E-2</v>
      </c>
      <c r="K37" s="4">
        <f>MethodData!K34</f>
        <v>40</v>
      </c>
      <c r="L37" s="4">
        <f>MethodData!L34</f>
        <v>20</v>
      </c>
      <c r="M37" s="4">
        <f>MethodData!M34</f>
        <v>172.87710000000001</v>
      </c>
      <c r="N37" s="4">
        <f>MethodData!N34</f>
        <v>0</v>
      </c>
      <c r="O37" s="4">
        <f>MethodData!O34</f>
        <v>1</v>
      </c>
      <c r="P37" s="4">
        <f>MethodData!P34</f>
        <v>13</v>
      </c>
      <c r="Q37" s="4">
        <f>MethodData!Q34</f>
        <v>59.899500000000003</v>
      </c>
      <c r="R37" s="4">
        <f>MethodData!R34</f>
        <v>1</v>
      </c>
      <c r="S37" s="4">
        <f>MethodData!S34</f>
        <v>3</v>
      </c>
      <c r="T37" s="4">
        <f>MethodData!T34</f>
        <v>2</v>
      </c>
      <c r="U37" s="4">
        <f>MethodData!U34</f>
        <v>1</v>
      </c>
      <c r="W37" s="11">
        <f t="shared" ref="W37:W68" si="23">IF(B$3-B$2=0,0,(B37-B$2)/(B$3-B$2))</f>
        <v>7.8947368421052627E-2</v>
      </c>
      <c r="X37" s="11">
        <f t="shared" ref="X37:X68" si="24">IF(C$3-C$2=0,0,(C37-C$2)/(C$3-C$2))</f>
        <v>0.05</v>
      </c>
      <c r="Y37" s="11">
        <f t="shared" ref="Y37:Y68" si="25">IF(D$3-D$2=0,0,(D37-D$2)/(D$3-D$2))</f>
        <v>0.75</v>
      </c>
      <c r="Z37" s="11">
        <f t="shared" ref="Z37:Z68" si="26">IF(E$3-E$2=0,0,(E37-E$2)/(E$3-E$2))</f>
        <v>0.13793103448275862</v>
      </c>
      <c r="AA37" s="11">
        <f t="shared" ref="AA37:AA68" si="27">IF(F$3-F$2=0,0,(F37-F$2)/(F$3-F$2))</f>
        <v>0</v>
      </c>
      <c r="AB37" s="11">
        <f t="shared" ref="AB37:AB68" si="28">IF(G$3-G$2=0,0,(G37-G$2)/(G$3-G$2))</f>
        <v>0</v>
      </c>
      <c r="AC37" s="11">
        <f t="shared" ref="AC37:AC68" si="29">IF(H$3-H$2=0,0,(H37-H$2)/(H$3-H$2))</f>
        <v>0.14842257742257745</v>
      </c>
      <c r="AD37" s="11">
        <f t="shared" ref="AD37:AD68" si="30">IF(I$3-I$2=0,0,(I37-I$2)/(I$3-I$2))</f>
        <v>1.351639782075003E-2</v>
      </c>
      <c r="AE37" s="11">
        <f t="shared" ref="AE37:AE68" si="31">IF(J$3-J$2=0,0,(J37-J$2)/(J$3-J$2))</f>
        <v>5.6725358504265751E-2</v>
      </c>
      <c r="AF37" s="11">
        <f t="shared" ref="AF37:AF68" si="32">IF(K$3-K$2=0,0,(K37-K$2)/(K$3-K$2))</f>
        <v>0.10810810810810811</v>
      </c>
      <c r="AG37" s="11">
        <f t="shared" ref="AG37:AG68" si="33">IF(L$3-L$2=0,0,(L37-L$2)/(L$3-L$2))</f>
        <v>0.20408163265306123</v>
      </c>
      <c r="AH37" s="11">
        <f t="shared" ref="AH37:AH68" si="34">IF(M$3-M$2=0,0,(M37-M$2)/(M$3-M$2))</f>
        <v>7.0635813889976432E-2</v>
      </c>
      <c r="AI37" s="11">
        <f t="shared" ref="AI37:AI68" si="35">IF(N$3-N$2=0,0,(N37-N$2)/(N$3-N$2))</f>
        <v>0</v>
      </c>
      <c r="AJ37" s="11">
        <f t="shared" ref="AJ37:AJ68" si="36">IF(O$3-O$2=0,0,(O37-O$2)/(O$3-O$2))</f>
        <v>0.33333333333333331</v>
      </c>
      <c r="AK37" s="11">
        <f t="shared" ref="AK37:AK68" si="37">IF(P$3-P$2=0,0,(P37-P$2)/(P$3-P$2))</f>
        <v>9.8484848484848481E-2</v>
      </c>
      <c r="AL37" s="11">
        <f t="shared" ref="AL37:AL68" si="38">IF(Q$3-Q$2=0,0,(Q37-Q$2)/(Q$3-Q$2))</f>
        <v>0.62535757388468272</v>
      </c>
      <c r="AM37" s="11">
        <f t="shared" ref="AM37:AM68" si="39">IF(R$3-R$2=0,0,(R37-R$2)/(R$3-R$2))</f>
        <v>0.33333333333333331</v>
      </c>
      <c r="AN37" s="11">
        <f t="shared" ref="AN37:AN68" si="40">IF(S$3-S$2=0,0,(S37-S$2)/(S$3-S$2))</f>
        <v>9.6774193548387094E-2</v>
      </c>
      <c r="AO37" s="11">
        <f t="shared" ref="AO37:AO68" si="41">IF(T$3-T$2=0,0,(T37-T$2)/(T$3-T$2))</f>
        <v>0.16666666666666666</v>
      </c>
      <c r="AP37" s="11">
        <f t="shared" ref="AP37:AP68" si="42">IF(U$3-U$2=0,0,(U37-U$2)/(U$3-U$2))</f>
        <v>0.25</v>
      </c>
      <c r="AQ37" s="11">
        <f t="shared" ref="AQ37:AQ68" si="43">SUM(W37:AP37)</f>
        <v>3.5223182405538016</v>
      </c>
    </row>
    <row r="38" spans="1:43" ht="15" customHeight="1" x14ac:dyDescent="0.2">
      <c r="A38" s="3" t="str">
        <f>MethodData!A35</f>
        <v>Galleon: fillWest(IPosition)</v>
      </c>
      <c r="B38" s="4">
        <f>MethodData!B35</f>
        <v>2</v>
      </c>
      <c r="C38" s="4">
        <f>MethodData!C35</f>
        <v>1</v>
      </c>
      <c r="D38" s="4">
        <f>MethodData!D35</f>
        <v>0.75</v>
      </c>
      <c r="E38" s="4">
        <f>MethodData!E35</f>
        <v>4</v>
      </c>
      <c r="F38" s="4">
        <f>MethodData!F35</f>
        <v>0</v>
      </c>
      <c r="G38" s="4">
        <f>MethodData!G35</f>
        <v>0</v>
      </c>
      <c r="H38" s="4">
        <f>MethodData!H35</f>
        <v>18.2</v>
      </c>
      <c r="I38" s="4">
        <f>MethodData!I35</f>
        <v>2959.8128000000002</v>
      </c>
      <c r="J38" s="4">
        <f>MethodData!J35</f>
        <v>6.8699999999999997E-2</v>
      </c>
      <c r="K38" s="4">
        <f>MethodData!K35</f>
        <v>39</v>
      </c>
      <c r="L38" s="4">
        <f>MethodData!L35</f>
        <v>18</v>
      </c>
      <c r="M38" s="4">
        <f>MethodData!M35</f>
        <v>162.62710000000001</v>
      </c>
      <c r="N38" s="4">
        <f>MethodData!N35</f>
        <v>0</v>
      </c>
      <c r="O38" s="4">
        <f>MethodData!O35</f>
        <v>1</v>
      </c>
      <c r="P38" s="4">
        <f>MethodData!P35</f>
        <v>12</v>
      </c>
      <c r="Q38" s="4">
        <f>MethodData!Q35</f>
        <v>60.894500000000001</v>
      </c>
      <c r="R38" s="4">
        <f>MethodData!R35</f>
        <v>1</v>
      </c>
      <c r="S38" s="4">
        <f>MethodData!S35</f>
        <v>2</v>
      </c>
      <c r="T38" s="4">
        <f>MethodData!T35</f>
        <v>1</v>
      </c>
      <c r="U38" s="4">
        <f>MethodData!U35</f>
        <v>1</v>
      </c>
      <c r="W38" s="11">
        <f t="shared" si="23"/>
        <v>5.2631578947368418E-2</v>
      </c>
      <c r="X38" s="11">
        <f t="shared" si="24"/>
        <v>2.5000000000000001E-2</v>
      </c>
      <c r="Y38" s="11">
        <f t="shared" si="25"/>
        <v>0.75</v>
      </c>
      <c r="Z38" s="11">
        <f t="shared" si="26"/>
        <v>0.13793103448275862</v>
      </c>
      <c r="AA38" s="11">
        <f t="shared" si="27"/>
        <v>0</v>
      </c>
      <c r="AB38" s="11">
        <f t="shared" si="28"/>
        <v>0</v>
      </c>
      <c r="AC38" s="11">
        <f t="shared" si="29"/>
        <v>0.18181818181818182</v>
      </c>
      <c r="AD38" s="11">
        <f t="shared" si="30"/>
        <v>1.5575872593756878E-2</v>
      </c>
      <c r="AE38" s="11">
        <f t="shared" si="31"/>
        <v>6.2352514067888914E-2</v>
      </c>
      <c r="AF38" s="11">
        <f t="shared" si="32"/>
        <v>0.10540540540540541</v>
      </c>
      <c r="AG38" s="11">
        <f t="shared" si="33"/>
        <v>0.18367346938775511</v>
      </c>
      <c r="AH38" s="11">
        <f t="shared" si="34"/>
        <v>6.6447768785261818E-2</v>
      </c>
      <c r="AI38" s="11">
        <f t="shared" si="35"/>
        <v>0</v>
      </c>
      <c r="AJ38" s="11">
        <f t="shared" si="36"/>
        <v>0.33333333333333331</v>
      </c>
      <c r="AK38" s="11">
        <f t="shared" si="37"/>
        <v>9.0909090909090912E-2</v>
      </c>
      <c r="AL38" s="11">
        <f t="shared" si="38"/>
        <v>0.63574548673896791</v>
      </c>
      <c r="AM38" s="11">
        <f t="shared" si="39"/>
        <v>0.33333333333333331</v>
      </c>
      <c r="AN38" s="11">
        <f t="shared" si="40"/>
        <v>6.4516129032258063E-2</v>
      </c>
      <c r="AO38" s="11">
        <f t="shared" si="41"/>
        <v>8.3333333333333329E-2</v>
      </c>
      <c r="AP38" s="11">
        <f t="shared" si="42"/>
        <v>0.25</v>
      </c>
      <c r="AQ38" s="11">
        <f t="shared" si="43"/>
        <v>3.3720065321686938</v>
      </c>
    </row>
    <row r="39" spans="1:43" ht="15" customHeight="1" x14ac:dyDescent="0.2">
      <c r="A39" s="3" t="str">
        <f>MethodData!A36</f>
        <v>Game: Game(IFleet)</v>
      </c>
      <c r="B39" s="4">
        <f>MethodData!B36</f>
        <v>1</v>
      </c>
      <c r="C39" s="4">
        <f>MethodData!C36</f>
        <v>0</v>
      </c>
      <c r="D39" s="4">
        <f>MethodData!D36</f>
        <v>1</v>
      </c>
      <c r="E39" s="4">
        <f>MethodData!E36</f>
        <v>1</v>
      </c>
      <c r="F39" s="4">
        <f>MethodData!F36</f>
        <v>0</v>
      </c>
      <c r="G39" s="4">
        <f>MethodData!G36</f>
        <v>0</v>
      </c>
      <c r="H39" s="4">
        <f>MethodData!H36</f>
        <v>2.5</v>
      </c>
      <c r="I39" s="4">
        <f>MethodData!I36</f>
        <v>280</v>
      </c>
      <c r="J39" s="4">
        <f>MethodData!J36</f>
        <v>1.43E-2</v>
      </c>
      <c r="K39" s="4">
        <f>MethodData!K36</f>
        <v>28</v>
      </c>
      <c r="L39" s="4">
        <f>MethodData!L36</f>
        <v>16</v>
      </c>
      <c r="M39" s="4">
        <f>MethodData!M36</f>
        <v>112</v>
      </c>
      <c r="N39" s="4">
        <f>MethodData!N36</f>
        <v>1</v>
      </c>
      <c r="O39" s="4">
        <f>MethodData!O36</f>
        <v>0</v>
      </c>
      <c r="P39" s="4">
        <f>MethodData!P36</f>
        <v>14</v>
      </c>
      <c r="Q39" s="4">
        <f>MethodData!Q36</f>
        <v>60.649799999999999</v>
      </c>
      <c r="R39" s="4">
        <f>MethodData!R36</f>
        <v>0</v>
      </c>
      <c r="S39" s="4">
        <f>MethodData!S36</f>
        <v>10</v>
      </c>
      <c r="T39" s="4">
        <f>MethodData!T36</f>
        <v>0</v>
      </c>
      <c r="U39" s="4">
        <f>MethodData!U36</f>
        <v>1</v>
      </c>
      <c r="W39" s="11">
        <f t="shared" si="23"/>
        <v>2.6315789473684209E-2</v>
      </c>
      <c r="X39" s="11">
        <f t="shared" si="24"/>
        <v>0</v>
      </c>
      <c r="Y39" s="11">
        <f t="shared" si="25"/>
        <v>1</v>
      </c>
      <c r="Z39" s="11">
        <f t="shared" si="26"/>
        <v>3.4482758620689655E-2</v>
      </c>
      <c r="AA39" s="11">
        <f t="shared" si="27"/>
        <v>0</v>
      </c>
      <c r="AB39" s="11">
        <f t="shared" si="28"/>
        <v>0</v>
      </c>
      <c r="AC39" s="11">
        <f t="shared" si="29"/>
        <v>2.4975024975024976E-2</v>
      </c>
      <c r="AD39" s="11">
        <f t="shared" si="30"/>
        <v>1.4734865415312499E-3</v>
      </c>
      <c r="AE39" s="11">
        <f t="shared" si="31"/>
        <v>1.2978762025776004E-2</v>
      </c>
      <c r="AF39" s="11">
        <f t="shared" si="32"/>
        <v>7.567567567567568E-2</v>
      </c>
      <c r="AG39" s="11">
        <f t="shared" si="33"/>
        <v>0.16326530612244897</v>
      </c>
      <c r="AH39" s="11">
        <f t="shared" si="34"/>
        <v>4.5762053827125511E-2</v>
      </c>
      <c r="AI39" s="11">
        <f t="shared" si="35"/>
        <v>1</v>
      </c>
      <c r="AJ39" s="11">
        <f t="shared" si="36"/>
        <v>0</v>
      </c>
      <c r="AK39" s="11">
        <f t="shared" si="37"/>
        <v>0.10606060606060606</v>
      </c>
      <c r="AL39" s="11">
        <f t="shared" si="38"/>
        <v>0.63319079098475317</v>
      </c>
      <c r="AM39" s="11">
        <f t="shared" si="39"/>
        <v>0.16666666666666666</v>
      </c>
      <c r="AN39" s="11">
        <f t="shared" si="40"/>
        <v>0.32258064516129031</v>
      </c>
      <c r="AO39" s="11">
        <f t="shared" si="41"/>
        <v>0</v>
      </c>
      <c r="AP39" s="11">
        <f t="shared" si="42"/>
        <v>0.25</v>
      </c>
      <c r="AQ39" s="11">
        <f t="shared" si="43"/>
        <v>3.8634275661352726</v>
      </c>
    </row>
    <row r="40" spans="1:43" ht="15" customHeight="1" x14ac:dyDescent="0.2">
      <c r="A40" s="3" t="str">
        <f>MethodData!A37</f>
        <v>Game: buildMap(IFleet, List&lt;IMove&gt;, boolean, boolean)</v>
      </c>
      <c r="B40" s="4">
        <f>MethodData!B37</f>
        <v>18</v>
      </c>
      <c r="C40" s="4">
        <f>MethodData!C37</f>
        <v>17</v>
      </c>
      <c r="D40" s="4">
        <f>MethodData!D37</f>
        <v>0.5</v>
      </c>
      <c r="E40" s="4">
        <f>MethodData!E37</f>
        <v>8</v>
      </c>
      <c r="F40" s="4">
        <f>MethodData!F37</f>
        <v>3</v>
      </c>
      <c r="G40" s="4">
        <f>MethodData!G37</f>
        <v>0</v>
      </c>
      <c r="H40" s="4">
        <f>MethodData!H37</f>
        <v>40.363599999999998</v>
      </c>
      <c r="I40" s="4">
        <f>MethodData!I37</f>
        <v>30098.391199999998</v>
      </c>
      <c r="J40" s="4">
        <f>MethodData!J37</f>
        <v>0.32250000000000001</v>
      </c>
      <c r="K40" s="4">
        <f>MethodData!K37</f>
        <v>135</v>
      </c>
      <c r="L40" s="4">
        <f>MethodData!L37</f>
        <v>46</v>
      </c>
      <c r="M40" s="4">
        <f>MethodData!M37</f>
        <v>745.68089999999995</v>
      </c>
      <c r="N40" s="4">
        <f>MethodData!N37</f>
        <v>1</v>
      </c>
      <c r="O40" s="4">
        <f>MethodData!O37</f>
        <v>2</v>
      </c>
      <c r="P40" s="4">
        <f>MethodData!P37</f>
        <v>43</v>
      </c>
      <c r="Q40" s="4">
        <f>MethodData!Q37</f>
        <v>43.867899999999999</v>
      </c>
      <c r="R40" s="4">
        <f>MethodData!R37</f>
        <v>4</v>
      </c>
      <c r="S40" s="4">
        <f>MethodData!S37</f>
        <v>22</v>
      </c>
      <c r="T40" s="4">
        <f>MethodData!T37</f>
        <v>9</v>
      </c>
      <c r="U40" s="4">
        <f>MethodData!U37</f>
        <v>4</v>
      </c>
      <c r="W40" s="11">
        <f t="shared" si="23"/>
        <v>0.47368421052631576</v>
      </c>
      <c r="X40" s="11">
        <f t="shared" si="24"/>
        <v>0.42499999999999999</v>
      </c>
      <c r="Y40" s="11">
        <f t="shared" si="25"/>
        <v>0.5</v>
      </c>
      <c r="Z40" s="11">
        <f t="shared" si="26"/>
        <v>0.27586206896551724</v>
      </c>
      <c r="AA40" s="11">
        <f t="shared" si="27"/>
        <v>0.75</v>
      </c>
      <c r="AB40" s="11">
        <f t="shared" si="28"/>
        <v>0</v>
      </c>
      <c r="AC40" s="11">
        <f t="shared" si="29"/>
        <v>0.40323276723276724</v>
      </c>
      <c r="AD40" s="11">
        <f t="shared" si="30"/>
        <v>0.15839133698193789</v>
      </c>
      <c r="AE40" s="11">
        <f t="shared" si="31"/>
        <v>0.29270284988201128</v>
      </c>
      <c r="AF40" s="11">
        <f t="shared" si="32"/>
        <v>0.36486486486486486</v>
      </c>
      <c r="AG40" s="11">
        <f t="shared" si="33"/>
        <v>0.46938775510204084</v>
      </c>
      <c r="AH40" s="11">
        <f t="shared" si="34"/>
        <v>0.3046775846755303</v>
      </c>
      <c r="AI40" s="11">
        <f t="shared" si="35"/>
        <v>1</v>
      </c>
      <c r="AJ40" s="11">
        <f t="shared" si="36"/>
        <v>0.66666666666666663</v>
      </c>
      <c r="AK40" s="11">
        <f t="shared" si="37"/>
        <v>0.32575757575757575</v>
      </c>
      <c r="AL40" s="11">
        <f t="shared" si="38"/>
        <v>0.4579858515582913</v>
      </c>
      <c r="AM40" s="11">
        <f t="shared" si="39"/>
        <v>0.83333333333333337</v>
      </c>
      <c r="AN40" s="11">
        <f t="shared" si="40"/>
        <v>0.70967741935483875</v>
      </c>
      <c r="AO40" s="11">
        <f t="shared" si="41"/>
        <v>0.75</v>
      </c>
      <c r="AP40" s="11">
        <f t="shared" si="42"/>
        <v>1</v>
      </c>
      <c r="AQ40" s="11">
        <f t="shared" si="43"/>
        <v>10.16122428490169</v>
      </c>
    </row>
    <row r="41" spans="1:43" ht="15" customHeight="1" x14ac:dyDescent="0.2">
      <c r="A41" s="3" t="str">
        <f>MethodData!A38</f>
        <v>Game: fireShots(List&lt;IPosition&gt;)</v>
      </c>
      <c r="B41" s="4">
        <f>MethodData!B38</f>
        <v>3</v>
      </c>
      <c r="C41" s="4">
        <f>MethodData!C38</f>
        <v>2</v>
      </c>
      <c r="D41" s="4">
        <f>MethodData!D38</f>
        <v>0.4</v>
      </c>
      <c r="E41" s="4">
        <f>MethodData!E38</f>
        <v>4</v>
      </c>
      <c r="F41" s="4">
        <f>MethodData!F38</f>
        <v>1</v>
      </c>
      <c r="G41" s="4">
        <f>MethodData!G38</f>
        <v>0</v>
      </c>
      <c r="H41" s="4">
        <f>MethodData!H38</f>
        <v>12.833299999999999</v>
      </c>
      <c r="I41" s="4">
        <f>MethodData!I38</f>
        <v>2533.5369999999998</v>
      </c>
      <c r="J41" s="4">
        <f>MethodData!J38</f>
        <v>6.1899999999999997E-2</v>
      </c>
      <c r="K41" s="4">
        <f>MethodData!K38</f>
        <v>42</v>
      </c>
      <c r="L41" s="4">
        <f>MethodData!L38</f>
        <v>26</v>
      </c>
      <c r="M41" s="4">
        <f>MethodData!M38</f>
        <v>197.41849999999999</v>
      </c>
      <c r="N41" s="4">
        <f>MethodData!N38</f>
        <v>1</v>
      </c>
      <c r="O41" s="4">
        <f>MethodData!O38</f>
        <v>1</v>
      </c>
      <c r="P41" s="4">
        <f>MethodData!P38</f>
        <v>30</v>
      </c>
      <c r="Q41" s="4">
        <f>MethodData!Q38</f>
        <v>51.564500000000002</v>
      </c>
      <c r="R41" s="4">
        <f>MethodData!R38</f>
        <v>1</v>
      </c>
      <c r="S41" s="4">
        <f>MethodData!S38</f>
        <v>8</v>
      </c>
      <c r="T41" s="4">
        <f>MethodData!T38</f>
        <v>1</v>
      </c>
      <c r="U41" s="4">
        <f>MethodData!U38</f>
        <v>1</v>
      </c>
      <c r="W41" s="11">
        <f t="shared" si="23"/>
        <v>7.8947368421052627E-2</v>
      </c>
      <c r="X41" s="11">
        <f t="shared" si="24"/>
        <v>0.05</v>
      </c>
      <c r="Y41" s="11">
        <f t="shared" si="25"/>
        <v>0.4</v>
      </c>
      <c r="Z41" s="11">
        <f t="shared" si="26"/>
        <v>0.13793103448275862</v>
      </c>
      <c r="AA41" s="11">
        <f t="shared" si="27"/>
        <v>0.25</v>
      </c>
      <c r="AB41" s="11">
        <f t="shared" si="28"/>
        <v>0</v>
      </c>
      <c r="AC41" s="11">
        <f t="shared" si="29"/>
        <v>0.12820479520479522</v>
      </c>
      <c r="AD41" s="11">
        <f t="shared" si="30"/>
        <v>1.3332616685612352E-2</v>
      </c>
      <c r="AE41" s="11">
        <f t="shared" si="31"/>
        <v>5.61807950626248E-2</v>
      </c>
      <c r="AF41" s="11">
        <f t="shared" si="32"/>
        <v>0.11351351351351352</v>
      </c>
      <c r="AG41" s="11">
        <f t="shared" si="33"/>
        <v>0.26530612244897961</v>
      </c>
      <c r="AH41" s="11">
        <f t="shared" si="34"/>
        <v>8.0663178780985514E-2</v>
      </c>
      <c r="AI41" s="11">
        <f t="shared" si="35"/>
        <v>1</v>
      </c>
      <c r="AJ41" s="11">
        <f t="shared" si="36"/>
        <v>0.33333333333333331</v>
      </c>
      <c r="AK41" s="11">
        <f t="shared" si="37"/>
        <v>0.22727272727272727</v>
      </c>
      <c r="AL41" s="11">
        <f t="shared" si="38"/>
        <v>0.53833922851737859</v>
      </c>
      <c r="AM41" s="11">
        <f t="shared" si="39"/>
        <v>0.33333333333333331</v>
      </c>
      <c r="AN41" s="11">
        <f t="shared" si="40"/>
        <v>0.25806451612903225</v>
      </c>
      <c r="AO41" s="11">
        <f t="shared" si="41"/>
        <v>8.3333333333333329E-2</v>
      </c>
      <c r="AP41" s="11">
        <f t="shared" si="42"/>
        <v>0.25</v>
      </c>
      <c r="AQ41" s="11">
        <f t="shared" si="43"/>
        <v>4.5977558965194598</v>
      </c>
    </row>
    <row r="42" spans="1:43" ht="15" customHeight="1" x14ac:dyDescent="0.2">
      <c r="A42" s="3" t="str">
        <f>MethodData!A39</f>
        <v>Game: fireShotsAtAlien(List&lt;IPosition&gt;)</v>
      </c>
      <c r="B42" s="4">
        <f>MethodData!B39</f>
        <v>3</v>
      </c>
      <c r="C42" s="4">
        <f>MethodData!C39</f>
        <v>2</v>
      </c>
      <c r="D42" s="4">
        <f>MethodData!D39</f>
        <v>0.4</v>
      </c>
      <c r="E42" s="4">
        <f>MethodData!E39</f>
        <v>4</v>
      </c>
      <c r="F42" s="4">
        <f>MethodData!F39</f>
        <v>1</v>
      </c>
      <c r="G42" s="4">
        <f>MethodData!G39</f>
        <v>0</v>
      </c>
      <c r="H42" s="4">
        <f>MethodData!H39</f>
        <v>12.833299999999999</v>
      </c>
      <c r="I42" s="4">
        <f>MethodData!I39</f>
        <v>2533.5369999999998</v>
      </c>
      <c r="J42" s="4">
        <f>MethodData!J39</f>
        <v>6.1899999999999997E-2</v>
      </c>
      <c r="K42" s="4">
        <f>MethodData!K39</f>
        <v>42</v>
      </c>
      <c r="L42" s="4">
        <f>MethodData!L39</f>
        <v>26</v>
      </c>
      <c r="M42" s="4">
        <f>MethodData!M39</f>
        <v>197.41849999999999</v>
      </c>
      <c r="N42" s="4">
        <f>MethodData!N39</f>
        <v>1</v>
      </c>
      <c r="O42" s="4">
        <f>MethodData!O39</f>
        <v>1</v>
      </c>
      <c r="P42" s="4">
        <f>MethodData!P39</f>
        <v>22</v>
      </c>
      <c r="Q42" s="4">
        <f>MethodData!Q39</f>
        <v>54.502800000000001</v>
      </c>
      <c r="R42" s="4">
        <f>MethodData!R39</f>
        <v>1</v>
      </c>
      <c r="S42" s="4">
        <f>MethodData!S39</f>
        <v>8</v>
      </c>
      <c r="T42" s="4">
        <f>MethodData!T39</f>
        <v>1</v>
      </c>
      <c r="U42" s="4">
        <f>MethodData!U39</f>
        <v>1</v>
      </c>
      <c r="W42" s="11">
        <f t="shared" si="23"/>
        <v>7.8947368421052627E-2</v>
      </c>
      <c r="X42" s="11">
        <f t="shared" si="24"/>
        <v>0.05</v>
      </c>
      <c r="Y42" s="11">
        <f t="shared" si="25"/>
        <v>0.4</v>
      </c>
      <c r="Z42" s="11">
        <f t="shared" si="26"/>
        <v>0.13793103448275862</v>
      </c>
      <c r="AA42" s="11">
        <f t="shared" si="27"/>
        <v>0.25</v>
      </c>
      <c r="AB42" s="11">
        <f t="shared" si="28"/>
        <v>0</v>
      </c>
      <c r="AC42" s="11">
        <f t="shared" si="29"/>
        <v>0.12820479520479522</v>
      </c>
      <c r="AD42" s="11">
        <f t="shared" si="30"/>
        <v>1.3332616685612352E-2</v>
      </c>
      <c r="AE42" s="11">
        <f t="shared" si="31"/>
        <v>5.61807950626248E-2</v>
      </c>
      <c r="AF42" s="11">
        <f t="shared" si="32"/>
        <v>0.11351351351351352</v>
      </c>
      <c r="AG42" s="11">
        <f t="shared" si="33"/>
        <v>0.26530612244897961</v>
      </c>
      <c r="AH42" s="11">
        <f t="shared" si="34"/>
        <v>8.0663178780985514E-2</v>
      </c>
      <c r="AI42" s="11">
        <f t="shared" si="35"/>
        <v>1</v>
      </c>
      <c r="AJ42" s="11">
        <f t="shared" si="36"/>
        <v>0.33333333333333331</v>
      </c>
      <c r="AK42" s="11">
        <f t="shared" si="37"/>
        <v>0.16666666666666666</v>
      </c>
      <c r="AL42" s="11">
        <f t="shared" si="38"/>
        <v>0.56901541378345533</v>
      </c>
      <c r="AM42" s="11">
        <f t="shared" si="39"/>
        <v>0.33333333333333331</v>
      </c>
      <c r="AN42" s="11">
        <f t="shared" si="40"/>
        <v>0.25806451612903225</v>
      </c>
      <c r="AO42" s="11">
        <f t="shared" si="41"/>
        <v>8.3333333333333329E-2</v>
      </c>
      <c r="AP42" s="11">
        <f t="shared" si="42"/>
        <v>0.25</v>
      </c>
      <c r="AQ42" s="11">
        <f t="shared" si="43"/>
        <v>4.5678260211794761</v>
      </c>
    </row>
    <row r="43" spans="1:43" ht="15" customHeight="1" x14ac:dyDescent="0.2">
      <c r="A43" s="3" t="str">
        <f>MethodData!A40</f>
        <v>Game: fireSingleShot(IPosition, boolean)</v>
      </c>
      <c r="B43" s="4">
        <f>MethodData!B40</f>
        <v>6</v>
      </c>
      <c r="C43" s="4">
        <f>MethodData!C40</f>
        <v>6</v>
      </c>
      <c r="D43" s="4">
        <f>MethodData!D40</f>
        <v>0.6</v>
      </c>
      <c r="E43" s="4">
        <f>MethodData!E40</f>
        <v>4</v>
      </c>
      <c r="F43" s="4">
        <f>MethodData!F40</f>
        <v>2</v>
      </c>
      <c r="G43" s="4">
        <f>MethodData!G40</f>
        <v>0</v>
      </c>
      <c r="H43" s="4">
        <f>MethodData!H40</f>
        <v>24.7273</v>
      </c>
      <c r="I43" s="4">
        <f>MethodData!I40</f>
        <v>7607.8576999999996</v>
      </c>
      <c r="J43" s="4">
        <f>MethodData!J40</f>
        <v>0.12889999999999999</v>
      </c>
      <c r="K43" s="4">
        <f>MethodData!K40</f>
        <v>64</v>
      </c>
      <c r="L43" s="4">
        <f>MethodData!L40</f>
        <v>28</v>
      </c>
      <c r="M43" s="4">
        <f>MethodData!M40</f>
        <v>307.67070000000001</v>
      </c>
      <c r="N43" s="4">
        <f>MethodData!N40</f>
        <v>1</v>
      </c>
      <c r="O43" s="4">
        <f>MethodData!O40</f>
        <v>0</v>
      </c>
      <c r="P43" s="4">
        <f>MethodData!P40</f>
        <v>33</v>
      </c>
      <c r="Q43" s="4">
        <f>MethodData!Q40</f>
        <v>49.219200000000001</v>
      </c>
      <c r="R43" s="4">
        <f>MethodData!R40</f>
        <v>2</v>
      </c>
      <c r="S43" s="4">
        <f>MethodData!S40</f>
        <v>8</v>
      </c>
      <c r="T43" s="4">
        <f>MethodData!T40</f>
        <v>0</v>
      </c>
      <c r="U43" s="4">
        <f>MethodData!U40</f>
        <v>2</v>
      </c>
      <c r="W43" s="11">
        <f t="shared" si="23"/>
        <v>0.15789473684210525</v>
      </c>
      <c r="X43" s="11">
        <f t="shared" si="24"/>
        <v>0.15</v>
      </c>
      <c r="Y43" s="11">
        <f t="shared" si="25"/>
        <v>0.6</v>
      </c>
      <c r="Z43" s="11">
        <f t="shared" si="26"/>
        <v>0.13793103448275862</v>
      </c>
      <c r="AA43" s="11">
        <f t="shared" si="27"/>
        <v>0.5</v>
      </c>
      <c r="AB43" s="11">
        <f t="shared" si="28"/>
        <v>0</v>
      </c>
      <c r="AC43" s="11">
        <f t="shared" si="29"/>
        <v>0.24702597402597404</v>
      </c>
      <c r="AD43" s="11">
        <f t="shared" si="30"/>
        <v>4.0035985467267464E-2</v>
      </c>
      <c r="AE43" s="11">
        <f t="shared" si="31"/>
        <v>0.11699037937919768</v>
      </c>
      <c r="AF43" s="11">
        <f t="shared" si="32"/>
        <v>0.17297297297297298</v>
      </c>
      <c r="AG43" s="11">
        <f t="shared" si="33"/>
        <v>0.2857142857142857</v>
      </c>
      <c r="AH43" s="11">
        <f t="shared" si="34"/>
        <v>0.12571109941454808</v>
      </c>
      <c r="AI43" s="11">
        <f t="shared" si="35"/>
        <v>1</v>
      </c>
      <c r="AJ43" s="11">
        <f t="shared" si="36"/>
        <v>0</v>
      </c>
      <c r="AK43" s="11">
        <f t="shared" si="37"/>
        <v>0.25</v>
      </c>
      <c r="AL43" s="11">
        <f t="shared" si="38"/>
        <v>0.51385403051018741</v>
      </c>
      <c r="AM43" s="11">
        <f t="shared" si="39"/>
        <v>0.5</v>
      </c>
      <c r="AN43" s="11">
        <f t="shared" si="40"/>
        <v>0.25806451612903225</v>
      </c>
      <c r="AO43" s="11">
        <f t="shared" si="41"/>
        <v>0</v>
      </c>
      <c r="AP43" s="11">
        <f t="shared" si="42"/>
        <v>0.5</v>
      </c>
      <c r="AQ43" s="11">
        <f t="shared" si="43"/>
        <v>5.5561950149383286</v>
      </c>
    </row>
    <row r="44" spans="1:43" ht="15" customHeight="1" x14ac:dyDescent="0.2">
      <c r="A44" s="3" t="str">
        <f>MethodData!A41</f>
        <v>Game: fireSingleShotAtAlien(IPosition, boolean)</v>
      </c>
      <c r="B44" s="4">
        <f>MethodData!B41</f>
        <v>5</v>
      </c>
      <c r="C44" s="4">
        <f>MethodData!C41</f>
        <v>4</v>
      </c>
      <c r="D44" s="4">
        <f>MethodData!D41</f>
        <v>0.6</v>
      </c>
      <c r="E44" s="4">
        <f>MethodData!E41</f>
        <v>4</v>
      </c>
      <c r="F44" s="4">
        <f>MethodData!F41</f>
        <v>1</v>
      </c>
      <c r="G44" s="4">
        <f>MethodData!G41</f>
        <v>0</v>
      </c>
      <c r="H44" s="4">
        <f>MethodData!H41</f>
        <v>28.928599999999999</v>
      </c>
      <c r="I44" s="4">
        <f>MethodData!I41</f>
        <v>6579.2542999999996</v>
      </c>
      <c r="J44" s="4">
        <f>MethodData!J41</f>
        <v>0.11700000000000001</v>
      </c>
      <c r="K44" s="4">
        <f>MethodData!K41</f>
        <v>51</v>
      </c>
      <c r="L44" s="4">
        <f>MethodData!L41</f>
        <v>22</v>
      </c>
      <c r="M44" s="4">
        <f>MethodData!M41</f>
        <v>227.43100000000001</v>
      </c>
      <c r="N44" s="4">
        <f>MethodData!N41</f>
        <v>1</v>
      </c>
      <c r="O44" s="4">
        <f>MethodData!O41</f>
        <v>0</v>
      </c>
      <c r="P44" s="4">
        <f>MethodData!P41</f>
        <v>19</v>
      </c>
      <c r="Q44" s="4">
        <f>MethodData!Q41</f>
        <v>55.3919</v>
      </c>
      <c r="R44" s="4">
        <f>MethodData!R41</f>
        <v>0</v>
      </c>
      <c r="S44" s="4">
        <f>MethodData!S41</f>
        <v>4</v>
      </c>
      <c r="T44" s="4">
        <f>MethodData!T41</f>
        <v>0</v>
      </c>
      <c r="U44" s="4">
        <f>MethodData!U41</f>
        <v>2</v>
      </c>
      <c r="W44" s="11">
        <f t="shared" si="23"/>
        <v>0.13157894736842105</v>
      </c>
      <c r="X44" s="11">
        <f t="shared" si="24"/>
        <v>0.1</v>
      </c>
      <c r="Y44" s="11">
        <f t="shared" si="25"/>
        <v>0.6</v>
      </c>
      <c r="Z44" s="11">
        <f t="shared" si="26"/>
        <v>0.13793103448275862</v>
      </c>
      <c r="AA44" s="11">
        <f t="shared" si="27"/>
        <v>0.25</v>
      </c>
      <c r="AB44" s="11">
        <f t="shared" si="28"/>
        <v>0</v>
      </c>
      <c r="AC44" s="11">
        <f t="shared" si="29"/>
        <v>0.28899700299700298</v>
      </c>
      <c r="AD44" s="11">
        <f t="shared" si="30"/>
        <v>3.4623009515577161E-2</v>
      </c>
      <c r="AE44" s="11">
        <f t="shared" si="31"/>
        <v>0.1061898711199855</v>
      </c>
      <c r="AF44" s="11">
        <f t="shared" si="32"/>
        <v>0.13783783783783785</v>
      </c>
      <c r="AG44" s="11">
        <f t="shared" si="33"/>
        <v>0.22448979591836735</v>
      </c>
      <c r="AH44" s="11">
        <f t="shared" si="34"/>
        <v>9.2925979142473053E-2</v>
      </c>
      <c r="AI44" s="11">
        <f t="shared" si="35"/>
        <v>1</v>
      </c>
      <c r="AJ44" s="11">
        <f t="shared" si="36"/>
        <v>0</v>
      </c>
      <c r="AK44" s="11">
        <f t="shared" si="37"/>
        <v>0.14393939393939395</v>
      </c>
      <c r="AL44" s="11">
        <f t="shared" si="38"/>
        <v>0.5782977186264151</v>
      </c>
      <c r="AM44" s="11">
        <f t="shared" si="39"/>
        <v>0.16666666666666666</v>
      </c>
      <c r="AN44" s="11">
        <f t="shared" si="40"/>
        <v>0.12903225806451613</v>
      </c>
      <c r="AO44" s="11">
        <f t="shared" si="41"/>
        <v>0</v>
      </c>
      <c r="AP44" s="11">
        <f t="shared" si="42"/>
        <v>0.5</v>
      </c>
      <c r="AQ44" s="11">
        <f t="shared" si="43"/>
        <v>4.6225095156794156</v>
      </c>
    </row>
    <row r="45" spans="1:43" ht="15" customHeight="1" x14ac:dyDescent="0.2">
      <c r="A45" s="3" t="str">
        <f>MethodData!A42</f>
        <v>Game: getAlienFleet()</v>
      </c>
      <c r="B45" s="4">
        <f>MethodData!B42</f>
        <v>1</v>
      </c>
      <c r="C45" s="4">
        <f>MethodData!C42</f>
        <v>0</v>
      </c>
      <c r="D45" s="4">
        <f>MethodData!D42</f>
        <v>0</v>
      </c>
      <c r="E45" s="4">
        <f>MethodData!E42</f>
        <v>0</v>
      </c>
      <c r="F45" s="4">
        <f>MethodData!F42</f>
        <v>0</v>
      </c>
      <c r="G45" s="4">
        <f>MethodData!G42</f>
        <v>0</v>
      </c>
      <c r="H45" s="4">
        <f>MethodData!H42</f>
        <v>1</v>
      </c>
      <c r="I45" s="4">
        <f>MethodData!I42</f>
        <v>4.7549000000000001</v>
      </c>
      <c r="J45" s="4">
        <f>MethodData!J42</f>
        <v>8.9999999999999998E-4</v>
      </c>
      <c r="K45" s="4">
        <f>MethodData!K42</f>
        <v>3</v>
      </c>
      <c r="L45" s="4">
        <f>MethodData!L42</f>
        <v>3</v>
      </c>
      <c r="M45" s="4">
        <f>MethodData!M42</f>
        <v>4.7549000000000001</v>
      </c>
      <c r="N45" s="4">
        <f>MethodData!N42</f>
        <v>1</v>
      </c>
      <c r="O45" s="4">
        <f>MethodData!O42</f>
        <v>0</v>
      </c>
      <c r="P45" s="4">
        <f>MethodData!P42</f>
        <v>5</v>
      </c>
      <c r="Q45" s="4">
        <f>MethodData!Q42</f>
        <v>80.537099999999995</v>
      </c>
      <c r="R45" s="4">
        <f>MethodData!R42</f>
        <v>0</v>
      </c>
      <c r="S45" s="4">
        <f>MethodData!S42</f>
        <v>1</v>
      </c>
      <c r="T45" s="4">
        <f>MethodData!T42</f>
        <v>0</v>
      </c>
      <c r="U45" s="4">
        <f>MethodData!U42</f>
        <v>0</v>
      </c>
      <c r="W45" s="11">
        <f t="shared" si="23"/>
        <v>2.6315789473684209E-2</v>
      </c>
      <c r="X45" s="11">
        <f t="shared" si="24"/>
        <v>0</v>
      </c>
      <c r="Y45" s="11">
        <f t="shared" si="25"/>
        <v>0</v>
      </c>
      <c r="Z45" s="11">
        <f t="shared" si="26"/>
        <v>0</v>
      </c>
      <c r="AA45" s="11">
        <f t="shared" si="27"/>
        <v>0</v>
      </c>
      <c r="AB45" s="11">
        <f t="shared" si="28"/>
        <v>0</v>
      </c>
      <c r="AC45" s="11">
        <f t="shared" si="29"/>
        <v>9.99000999000999E-3</v>
      </c>
      <c r="AD45" s="11">
        <f t="shared" si="30"/>
        <v>2.5022432701167647E-5</v>
      </c>
      <c r="AE45" s="11">
        <f t="shared" si="31"/>
        <v>8.1684516246142676E-4</v>
      </c>
      <c r="AF45" s="11">
        <f t="shared" si="32"/>
        <v>8.1081081081081086E-3</v>
      </c>
      <c r="AG45" s="11">
        <f t="shared" si="33"/>
        <v>3.0612244897959183E-2</v>
      </c>
      <c r="AH45" s="11">
        <f t="shared" si="34"/>
        <v>1.9428034798446346E-3</v>
      </c>
      <c r="AI45" s="11">
        <f t="shared" si="35"/>
        <v>1</v>
      </c>
      <c r="AJ45" s="11">
        <f t="shared" si="36"/>
        <v>0</v>
      </c>
      <c r="AK45" s="11">
        <f t="shared" si="37"/>
        <v>3.787878787878788E-2</v>
      </c>
      <c r="AL45" s="11">
        <f t="shared" si="38"/>
        <v>0.84081645863000642</v>
      </c>
      <c r="AM45" s="11">
        <f t="shared" si="39"/>
        <v>0.16666666666666666</v>
      </c>
      <c r="AN45" s="11">
        <f t="shared" si="40"/>
        <v>3.2258064516129031E-2</v>
      </c>
      <c r="AO45" s="11">
        <f t="shared" si="41"/>
        <v>0</v>
      </c>
      <c r="AP45" s="11">
        <f t="shared" si="42"/>
        <v>0</v>
      </c>
      <c r="AQ45" s="11">
        <f t="shared" si="43"/>
        <v>2.1554308012363586</v>
      </c>
    </row>
    <row r="46" spans="1:43" ht="15" customHeight="1" x14ac:dyDescent="0.2">
      <c r="A46" s="3" t="str">
        <f>MethodData!A43</f>
        <v>Game: getAlienMoves()</v>
      </c>
      <c r="B46" s="4">
        <f>MethodData!B43</f>
        <v>1</v>
      </c>
      <c r="C46" s="4">
        <f>MethodData!C43</f>
        <v>0</v>
      </c>
      <c r="D46" s="4">
        <f>MethodData!D43</f>
        <v>0</v>
      </c>
      <c r="E46" s="4">
        <f>MethodData!E43</f>
        <v>0</v>
      </c>
      <c r="F46" s="4">
        <f>MethodData!F43</f>
        <v>0</v>
      </c>
      <c r="G46" s="4">
        <f>MethodData!G43</f>
        <v>0</v>
      </c>
      <c r="H46" s="4">
        <f>MethodData!H43</f>
        <v>1</v>
      </c>
      <c r="I46" s="4">
        <f>MethodData!I43</f>
        <v>4.7549000000000001</v>
      </c>
      <c r="J46" s="4">
        <f>MethodData!J43</f>
        <v>8.9999999999999998E-4</v>
      </c>
      <c r="K46" s="4">
        <f>MethodData!K43</f>
        <v>3</v>
      </c>
      <c r="L46" s="4">
        <f>MethodData!L43</f>
        <v>3</v>
      </c>
      <c r="M46" s="4">
        <f>MethodData!M43</f>
        <v>4.7549000000000001</v>
      </c>
      <c r="N46" s="4">
        <f>MethodData!N43</f>
        <v>1</v>
      </c>
      <c r="O46" s="4">
        <f>MethodData!O43</f>
        <v>0</v>
      </c>
      <c r="P46" s="4">
        <f>MethodData!P43</f>
        <v>5</v>
      </c>
      <c r="Q46" s="4">
        <f>MethodData!Q43</f>
        <v>80.537099999999995</v>
      </c>
      <c r="R46" s="4">
        <f>MethodData!R43</f>
        <v>0</v>
      </c>
      <c r="S46" s="4">
        <f>MethodData!S43</f>
        <v>1</v>
      </c>
      <c r="T46" s="4">
        <f>MethodData!T43</f>
        <v>0</v>
      </c>
      <c r="U46" s="4">
        <f>MethodData!U43</f>
        <v>0</v>
      </c>
      <c r="W46" s="11">
        <f t="shared" si="23"/>
        <v>2.6315789473684209E-2</v>
      </c>
      <c r="X46" s="11">
        <f t="shared" si="24"/>
        <v>0</v>
      </c>
      <c r="Y46" s="11">
        <f t="shared" si="25"/>
        <v>0</v>
      </c>
      <c r="Z46" s="11">
        <f t="shared" si="26"/>
        <v>0</v>
      </c>
      <c r="AA46" s="11">
        <f t="shared" si="27"/>
        <v>0</v>
      </c>
      <c r="AB46" s="11">
        <f t="shared" si="28"/>
        <v>0</v>
      </c>
      <c r="AC46" s="11">
        <f t="shared" si="29"/>
        <v>9.99000999000999E-3</v>
      </c>
      <c r="AD46" s="11">
        <f t="shared" si="30"/>
        <v>2.5022432701167647E-5</v>
      </c>
      <c r="AE46" s="11">
        <f t="shared" si="31"/>
        <v>8.1684516246142676E-4</v>
      </c>
      <c r="AF46" s="11">
        <f t="shared" si="32"/>
        <v>8.1081081081081086E-3</v>
      </c>
      <c r="AG46" s="11">
        <f t="shared" si="33"/>
        <v>3.0612244897959183E-2</v>
      </c>
      <c r="AH46" s="11">
        <f t="shared" si="34"/>
        <v>1.9428034798446346E-3</v>
      </c>
      <c r="AI46" s="11">
        <f t="shared" si="35"/>
        <v>1</v>
      </c>
      <c r="AJ46" s="11">
        <f t="shared" si="36"/>
        <v>0</v>
      </c>
      <c r="AK46" s="11">
        <f t="shared" si="37"/>
        <v>3.787878787878788E-2</v>
      </c>
      <c r="AL46" s="11">
        <f t="shared" si="38"/>
        <v>0.84081645863000642</v>
      </c>
      <c r="AM46" s="11">
        <f t="shared" si="39"/>
        <v>0.16666666666666666</v>
      </c>
      <c r="AN46" s="11">
        <f t="shared" si="40"/>
        <v>3.2258064516129031E-2</v>
      </c>
      <c r="AO46" s="11">
        <f t="shared" si="41"/>
        <v>0</v>
      </c>
      <c r="AP46" s="11">
        <f t="shared" si="42"/>
        <v>0</v>
      </c>
      <c r="AQ46" s="11">
        <f t="shared" si="43"/>
        <v>2.1554308012363586</v>
      </c>
    </row>
    <row r="47" spans="1:43" ht="15" customHeight="1" x14ac:dyDescent="0.2">
      <c r="A47" s="3" t="str">
        <f>MethodData!A44</f>
        <v>Game: getHits()</v>
      </c>
      <c r="B47" s="4">
        <f>MethodData!B44</f>
        <v>1</v>
      </c>
      <c r="C47" s="4">
        <f>MethodData!C44</f>
        <v>0</v>
      </c>
      <c r="D47" s="4">
        <f>MethodData!D44</f>
        <v>0</v>
      </c>
      <c r="E47" s="4">
        <f>MethodData!E44</f>
        <v>0</v>
      </c>
      <c r="F47" s="4">
        <f>MethodData!F44</f>
        <v>0</v>
      </c>
      <c r="G47" s="4">
        <f>MethodData!G44</f>
        <v>0</v>
      </c>
      <c r="H47" s="4">
        <f>MethodData!H44</f>
        <v>2</v>
      </c>
      <c r="I47" s="4">
        <f>MethodData!I44</f>
        <v>23.2193</v>
      </c>
      <c r="J47" s="4">
        <f>MethodData!J44</f>
        <v>2.7000000000000001E-3</v>
      </c>
      <c r="K47" s="4">
        <f>MethodData!K44</f>
        <v>5</v>
      </c>
      <c r="L47" s="4">
        <f>MethodData!L44</f>
        <v>5</v>
      </c>
      <c r="M47" s="4">
        <f>MethodData!M44</f>
        <v>11.6096</v>
      </c>
      <c r="N47" s="4">
        <f>MethodData!N44</f>
        <v>1</v>
      </c>
      <c r="O47" s="4">
        <f>MethodData!O44</f>
        <v>0</v>
      </c>
      <c r="P47" s="4">
        <f>MethodData!P44</f>
        <v>5</v>
      </c>
      <c r="Q47" s="4">
        <f>MethodData!Q44</f>
        <v>77.460800000000006</v>
      </c>
      <c r="R47" s="4">
        <f>MethodData!R44</f>
        <v>0</v>
      </c>
      <c r="S47" s="4">
        <f>MethodData!S44</f>
        <v>1</v>
      </c>
      <c r="T47" s="4">
        <f>MethodData!T44</f>
        <v>0</v>
      </c>
      <c r="U47" s="4">
        <f>MethodData!U44</f>
        <v>0</v>
      </c>
      <c r="W47" s="11">
        <f t="shared" si="23"/>
        <v>2.6315789473684209E-2</v>
      </c>
      <c r="X47" s="11">
        <f t="shared" si="24"/>
        <v>0</v>
      </c>
      <c r="Y47" s="11">
        <f t="shared" si="25"/>
        <v>0</v>
      </c>
      <c r="Z47" s="11">
        <f t="shared" si="26"/>
        <v>0</v>
      </c>
      <c r="AA47" s="11">
        <f t="shared" si="27"/>
        <v>0</v>
      </c>
      <c r="AB47" s="11">
        <f t="shared" si="28"/>
        <v>0</v>
      </c>
      <c r="AC47" s="11">
        <f t="shared" si="29"/>
        <v>1.998001998001998E-2</v>
      </c>
      <c r="AD47" s="11">
        <f t="shared" si="30"/>
        <v>1.2219045019205914E-4</v>
      </c>
      <c r="AE47" s="11">
        <f t="shared" si="31"/>
        <v>2.4505354873842807E-3</v>
      </c>
      <c r="AF47" s="11">
        <f t="shared" si="32"/>
        <v>1.3513513513513514E-2</v>
      </c>
      <c r="AG47" s="11">
        <f t="shared" si="33"/>
        <v>5.1020408163265307E-2</v>
      </c>
      <c r="AH47" s="11">
        <f t="shared" si="34"/>
        <v>4.7435637509946104E-3</v>
      </c>
      <c r="AI47" s="11">
        <f t="shared" si="35"/>
        <v>1</v>
      </c>
      <c r="AJ47" s="11">
        <f t="shared" si="36"/>
        <v>0</v>
      </c>
      <c r="AK47" s="11">
        <f t="shared" si="37"/>
        <v>3.787878787878788E-2</v>
      </c>
      <c r="AL47" s="11">
        <f t="shared" si="38"/>
        <v>0.80869953771177772</v>
      </c>
      <c r="AM47" s="11">
        <f t="shared" si="39"/>
        <v>0.16666666666666666</v>
      </c>
      <c r="AN47" s="11">
        <f t="shared" si="40"/>
        <v>3.2258064516129031E-2</v>
      </c>
      <c r="AO47" s="11">
        <f t="shared" si="41"/>
        <v>0</v>
      </c>
      <c r="AP47" s="11">
        <f t="shared" si="42"/>
        <v>0</v>
      </c>
      <c r="AQ47" s="11">
        <f t="shared" si="43"/>
        <v>2.1636490775924151</v>
      </c>
    </row>
    <row r="48" spans="1:43" ht="15" customHeight="1" x14ac:dyDescent="0.2">
      <c r="A48" s="3" t="str">
        <f>MethodData!A45</f>
        <v>Game: getInvalidShots()</v>
      </c>
      <c r="B48" s="4">
        <f>MethodData!B45</f>
        <v>1</v>
      </c>
      <c r="C48" s="4">
        <f>MethodData!C45</f>
        <v>0</v>
      </c>
      <c r="D48" s="4">
        <f>MethodData!D45</f>
        <v>0</v>
      </c>
      <c r="E48" s="4">
        <f>MethodData!E45</f>
        <v>0</v>
      </c>
      <c r="F48" s="4">
        <f>MethodData!F45</f>
        <v>0</v>
      </c>
      <c r="G48" s="4">
        <f>MethodData!G45</f>
        <v>0</v>
      </c>
      <c r="H48" s="4">
        <f>MethodData!H45</f>
        <v>2</v>
      </c>
      <c r="I48" s="4">
        <f>MethodData!I45</f>
        <v>23.2193</v>
      </c>
      <c r="J48" s="4">
        <f>MethodData!J45</f>
        <v>2.7000000000000001E-3</v>
      </c>
      <c r="K48" s="4">
        <f>MethodData!K45</f>
        <v>5</v>
      </c>
      <c r="L48" s="4">
        <f>MethodData!L45</f>
        <v>5</v>
      </c>
      <c r="M48" s="4">
        <f>MethodData!M45</f>
        <v>11.6096</v>
      </c>
      <c r="N48" s="4">
        <f>MethodData!N45</f>
        <v>1</v>
      </c>
      <c r="O48" s="4">
        <f>MethodData!O45</f>
        <v>0</v>
      </c>
      <c r="P48" s="4">
        <f>MethodData!P45</f>
        <v>5</v>
      </c>
      <c r="Q48" s="4">
        <f>MethodData!Q45</f>
        <v>77.460800000000006</v>
      </c>
      <c r="R48" s="4">
        <f>MethodData!R45</f>
        <v>0</v>
      </c>
      <c r="S48" s="4">
        <f>MethodData!S45</f>
        <v>1</v>
      </c>
      <c r="T48" s="4">
        <f>MethodData!T45</f>
        <v>0</v>
      </c>
      <c r="U48" s="4">
        <f>MethodData!U45</f>
        <v>0</v>
      </c>
      <c r="W48" s="11">
        <f t="shared" si="23"/>
        <v>2.6315789473684209E-2</v>
      </c>
      <c r="X48" s="11">
        <f t="shared" si="24"/>
        <v>0</v>
      </c>
      <c r="Y48" s="11">
        <f t="shared" si="25"/>
        <v>0</v>
      </c>
      <c r="Z48" s="11">
        <f t="shared" si="26"/>
        <v>0</v>
      </c>
      <c r="AA48" s="11">
        <f t="shared" si="27"/>
        <v>0</v>
      </c>
      <c r="AB48" s="11">
        <f t="shared" si="28"/>
        <v>0</v>
      </c>
      <c r="AC48" s="11">
        <f t="shared" si="29"/>
        <v>1.998001998001998E-2</v>
      </c>
      <c r="AD48" s="11">
        <f t="shared" si="30"/>
        <v>1.2219045019205914E-4</v>
      </c>
      <c r="AE48" s="11">
        <f t="shared" si="31"/>
        <v>2.4505354873842807E-3</v>
      </c>
      <c r="AF48" s="11">
        <f t="shared" si="32"/>
        <v>1.3513513513513514E-2</v>
      </c>
      <c r="AG48" s="11">
        <f t="shared" si="33"/>
        <v>5.1020408163265307E-2</v>
      </c>
      <c r="AH48" s="11">
        <f t="shared" si="34"/>
        <v>4.7435637509946104E-3</v>
      </c>
      <c r="AI48" s="11">
        <f t="shared" si="35"/>
        <v>1</v>
      </c>
      <c r="AJ48" s="11">
        <f t="shared" si="36"/>
        <v>0</v>
      </c>
      <c r="AK48" s="11">
        <f t="shared" si="37"/>
        <v>3.787878787878788E-2</v>
      </c>
      <c r="AL48" s="11">
        <f t="shared" si="38"/>
        <v>0.80869953771177772</v>
      </c>
      <c r="AM48" s="11">
        <f t="shared" si="39"/>
        <v>0.16666666666666666</v>
      </c>
      <c r="AN48" s="11">
        <f t="shared" si="40"/>
        <v>3.2258064516129031E-2</v>
      </c>
      <c r="AO48" s="11">
        <f t="shared" si="41"/>
        <v>0</v>
      </c>
      <c r="AP48" s="11">
        <f t="shared" si="42"/>
        <v>0</v>
      </c>
      <c r="AQ48" s="11">
        <f t="shared" si="43"/>
        <v>2.1636490775924151</v>
      </c>
    </row>
    <row r="49" spans="1:43" ht="15" customHeight="1" x14ac:dyDescent="0.2">
      <c r="A49" s="3" t="str">
        <f>MethodData!A46</f>
        <v>Game: getMyFleet()</v>
      </c>
      <c r="B49" s="4">
        <f>MethodData!B46</f>
        <v>1</v>
      </c>
      <c r="C49" s="4">
        <f>MethodData!C46</f>
        <v>0</v>
      </c>
      <c r="D49" s="4">
        <f>MethodData!D46</f>
        <v>0</v>
      </c>
      <c r="E49" s="4">
        <f>MethodData!E46</f>
        <v>0</v>
      </c>
      <c r="F49" s="4">
        <f>MethodData!F46</f>
        <v>0</v>
      </c>
      <c r="G49" s="4">
        <f>MethodData!G46</f>
        <v>0</v>
      </c>
      <c r="H49" s="4">
        <f>MethodData!H46</f>
        <v>1</v>
      </c>
      <c r="I49" s="4">
        <f>MethodData!I46</f>
        <v>4.7549000000000001</v>
      </c>
      <c r="J49" s="4">
        <f>MethodData!J46</f>
        <v>8.9999999999999998E-4</v>
      </c>
      <c r="K49" s="4">
        <f>MethodData!K46</f>
        <v>3</v>
      </c>
      <c r="L49" s="4">
        <f>MethodData!L46</f>
        <v>3</v>
      </c>
      <c r="M49" s="4">
        <f>MethodData!M46</f>
        <v>4.7549000000000001</v>
      </c>
      <c r="N49" s="4">
        <f>MethodData!N46</f>
        <v>1</v>
      </c>
      <c r="O49" s="4">
        <f>MethodData!O46</f>
        <v>0</v>
      </c>
      <c r="P49" s="4">
        <f>MethodData!P46</f>
        <v>5</v>
      </c>
      <c r="Q49" s="4">
        <f>MethodData!Q46</f>
        <v>80.537099999999995</v>
      </c>
      <c r="R49" s="4">
        <f>MethodData!R46</f>
        <v>0</v>
      </c>
      <c r="S49" s="4">
        <f>MethodData!S46</f>
        <v>1</v>
      </c>
      <c r="T49" s="4">
        <f>MethodData!T46</f>
        <v>0</v>
      </c>
      <c r="U49" s="4">
        <f>MethodData!U46</f>
        <v>0</v>
      </c>
      <c r="W49" s="11">
        <f t="shared" si="23"/>
        <v>2.6315789473684209E-2</v>
      </c>
      <c r="X49" s="11">
        <f t="shared" si="24"/>
        <v>0</v>
      </c>
      <c r="Y49" s="11">
        <f t="shared" si="25"/>
        <v>0</v>
      </c>
      <c r="Z49" s="11">
        <f t="shared" si="26"/>
        <v>0</v>
      </c>
      <c r="AA49" s="11">
        <f t="shared" si="27"/>
        <v>0</v>
      </c>
      <c r="AB49" s="11">
        <f t="shared" si="28"/>
        <v>0</v>
      </c>
      <c r="AC49" s="11">
        <f t="shared" si="29"/>
        <v>9.99000999000999E-3</v>
      </c>
      <c r="AD49" s="11">
        <f t="shared" si="30"/>
        <v>2.5022432701167647E-5</v>
      </c>
      <c r="AE49" s="11">
        <f t="shared" si="31"/>
        <v>8.1684516246142676E-4</v>
      </c>
      <c r="AF49" s="11">
        <f t="shared" si="32"/>
        <v>8.1081081081081086E-3</v>
      </c>
      <c r="AG49" s="11">
        <f t="shared" si="33"/>
        <v>3.0612244897959183E-2</v>
      </c>
      <c r="AH49" s="11">
        <f t="shared" si="34"/>
        <v>1.9428034798446346E-3</v>
      </c>
      <c r="AI49" s="11">
        <f t="shared" si="35"/>
        <v>1</v>
      </c>
      <c r="AJ49" s="11">
        <f t="shared" si="36"/>
        <v>0</v>
      </c>
      <c r="AK49" s="11">
        <f t="shared" si="37"/>
        <v>3.787878787878788E-2</v>
      </c>
      <c r="AL49" s="11">
        <f t="shared" si="38"/>
        <v>0.84081645863000642</v>
      </c>
      <c r="AM49" s="11">
        <f t="shared" si="39"/>
        <v>0.16666666666666666</v>
      </c>
      <c r="AN49" s="11">
        <f t="shared" si="40"/>
        <v>3.2258064516129031E-2</v>
      </c>
      <c r="AO49" s="11">
        <f t="shared" si="41"/>
        <v>0</v>
      </c>
      <c r="AP49" s="11">
        <f t="shared" si="42"/>
        <v>0</v>
      </c>
      <c r="AQ49" s="11">
        <f t="shared" si="43"/>
        <v>2.1554308012363586</v>
      </c>
    </row>
    <row r="50" spans="1:43" ht="15" customHeight="1" x14ac:dyDescent="0.2">
      <c r="A50" s="3" t="str">
        <f>MethodData!A47</f>
        <v>Game: getMyMoves()</v>
      </c>
      <c r="B50" s="4">
        <f>MethodData!B47</f>
        <v>1</v>
      </c>
      <c r="C50" s="4">
        <f>MethodData!C47</f>
        <v>0</v>
      </c>
      <c r="D50" s="4">
        <f>MethodData!D47</f>
        <v>0</v>
      </c>
      <c r="E50" s="4">
        <f>MethodData!E47</f>
        <v>0</v>
      </c>
      <c r="F50" s="4">
        <f>MethodData!F47</f>
        <v>0</v>
      </c>
      <c r="G50" s="4">
        <f>MethodData!G47</f>
        <v>0</v>
      </c>
      <c r="H50" s="4">
        <f>MethodData!H47</f>
        <v>1</v>
      </c>
      <c r="I50" s="4">
        <f>MethodData!I47</f>
        <v>4.7549000000000001</v>
      </c>
      <c r="J50" s="4">
        <f>MethodData!J47</f>
        <v>8.9999999999999998E-4</v>
      </c>
      <c r="K50" s="4">
        <f>MethodData!K47</f>
        <v>3</v>
      </c>
      <c r="L50" s="4">
        <f>MethodData!L47</f>
        <v>3</v>
      </c>
      <c r="M50" s="4">
        <f>MethodData!M47</f>
        <v>4.7549000000000001</v>
      </c>
      <c r="N50" s="4">
        <f>MethodData!N47</f>
        <v>1</v>
      </c>
      <c r="O50" s="4">
        <f>MethodData!O47</f>
        <v>0</v>
      </c>
      <c r="P50" s="4">
        <f>MethodData!P47</f>
        <v>5</v>
      </c>
      <c r="Q50" s="4">
        <f>MethodData!Q47</f>
        <v>80.537099999999995</v>
      </c>
      <c r="R50" s="4">
        <f>MethodData!R47</f>
        <v>0</v>
      </c>
      <c r="S50" s="4">
        <f>MethodData!S47</f>
        <v>1</v>
      </c>
      <c r="T50" s="4">
        <f>MethodData!T47</f>
        <v>0</v>
      </c>
      <c r="U50" s="4">
        <f>MethodData!U47</f>
        <v>0</v>
      </c>
      <c r="W50" s="11">
        <f t="shared" si="23"/>
        <v>2.6315789473684209E-2</v>
      </c>
      <c r="X50" s="11">
        <f t="shared" si="24"/>
        <v>0</v>
      </c>
      <c r="Y50" s="11">
        <f t="shared" si="25"/>
        <v>0</v>
      </c>
      <c r="Z50" s="11">
        <f t="shared" si="26"/>
        <v>0</v>
      </c>
      <c r="AA50" s="11">
        <f t="shared" si="27"/>
        <v>0</v>
      </c>
      <c r="AB50" s="11">
        <f t="shared" si="28"/>
        <v>0</v>
      </c>
      <c r="AC50" s="11">
        <f t="shared" si="29"/>
        <v>9.99000999000999E-3</v>
      </c>
      <c r="AD50" s="11">
        <f t="shared" si="30"/>
        <v>2.5022432701167647E-5</v>
      </c>
      <c r="AE50" s="11">
        <f t="shared" si="31"/>
        <v>8.1684516246142676E-4</v>
      </c>
      <c r="AF50" s="11">
        <f t="shared" si="32"/>
        <v>8.1081081081081086E-3</v>
      </c>
      <c r="AG50" s="11">
        <f t="shared" si="33"/>
        <v>3.0612244897959183E-2</v>
      </c>
      <c r="AH50" s="11">
        <f t="shared" si="34"/>
        <v>1.9428034798446346E-3</v>
      </c>
      <c r="AI50" s="11">
        <f t="shared" si="35"/>
        <v>1</v>
      </c>
      <c r="AJ50" s="11">
        <f t="shared" si="36"/>
        <v>0</v>
      </c>
      <c r="AK50" s="11">
        <f t="shared" si="37"/>
        <v>3.787878787878788E-2</v>
      </c>
      <c r="AL50" s="11">
        <f t="shared" si="38"/>
        <v>0.84081645863000642</v>
      </c>
      <c r="AM50" s="11">
        <f t="shared" si="39"/>
        <v>0.16666666666666666</v>
      </c>
      <c r="AN50" s="11">
        <f t="shared" si="40"/>
        <v>3.2258064516129031E-2</v>
      </c>
      <c r="AO50" s="11">
        <f t="shared" si="41"/>
        <v>0</v>
      </c>
      <c r="AP50" s="11">
        <f t="shared" si="42"/>
        <v>0</v>
      </c>
      <c r="AQ50" s="11">
        <f t="shared" si="43"/>
        <v>2.1554308012363586</v>
      </c>
    </row>
    <row r="51" spans="1:43" ht="15" customHeight="1" x14ac:dyDescent="0.2">
      <c r="A51" s="3" t="str">
        <f>MethodData!A48</f>
        <v>Game: getRemainingShips()</v>
      </c>
      <c r="B51" s="4">
        <f>MethodData!B48</f>
        <v>1</v>
      </c>
      <c r="C51" s="4">
        <f>MethodData!C48</f>
        <v>0</v>
      </c>
      <c r="D51" s="4">
        <f>MethodData!D48</f>
        <v>1</v>
      </c>
      <c r="E51" s="4">
        <f>MethodData!E48</f>
        <v>2</v>
      </c>
      <c r="F51" s="4">
        <f>MethodData!F48</f>
        <v>0</v>
      </c>
      <c r="G51" s="4">
        <f>MethodData!G48</f>
        <v>0</v>
      </c>
      <c r="H51" s="4">
        <f>MethodData!H48</f>
        <v>2.5</v>
      </c>
      <c r="I51" s="4">
        <f>MethodData!I48</f>
        <v>49.128700000000002</v>
      </c>
      <c r="J51" s="4">
        <f>MethodData!J48</f>
        <v>4.4999999999999997E-3</v>
      </c>
      <c r="K51" s="4">
        <f>MethodData!K48</f>
        <v>7</v>
      </c>
      <c r="L51" s="4">
        <f>MethodData!L48</f>
        <v>7</v>
      </c>
      <c r="M51" s="4">
        <f>MethodData!M48</f>
        <v>19.651499999999999</v>
      </c>
      <c r="N51" s="4">
        <f>MethodData!N48</f>
        <v>1</v>
      </c>
      <c r="O51" s="4">
        <f>MethodData!O48</f>
        <v>0</v>
      </c>
      <c r="P51" s="4">
        <f>MethodData!P48</f>
        <v>6</v>
      </c>
      <c r="Q51" s="4">
        <f>MethodData!Q48</f>
        <v>74.071600000000004</v>
      </c>
      <c r="R51" s="4">
        <f>MethodData!R48</f>
        <v>0</v>
      </c>
      <c r="S51" s="4">
        <f>MethodData!S48</f>
        <v>2</v>
      </c>
      <c r="T51" s="4">
        <f>MethodData!T48</f>
        <v>0</v>
      </c>
      <c r="U51" s="4">
        <f>MethodData!U48</f>
        <v>0</v>
      </c>
      <c r="W51" s="11">
        <f t="shared" si="23"/>
        <v>2.6315789473684209E-2</v>
      </c>
      <c r="X51" s="11">
        <f t="shared" si="24"/>
        <v>0</v>
      </c>
      <c r="Y51" s="11">
        <f t="shared" si="25"/>
        <v>1</v>
      </c>
      <c r="Z51" s="11">
        <f t="shared" si="26"/>
        <v>6.8965517241379309E-2</v>
      </c>
      <c r="AA51" s="11">
        <f t="shared" si="27"/>
        <v>0</v>
      </c>
      <c r="AB51" s="11">
        <f t="shared" si="28"/>
        <v>0</v>
      </c>
      <c r="AC51" s="11">
        <f t="shared" si="29"/>
        <v>2.4975024975024976E-2</v>
      </c>
      <c r="AD51" s="11">
        <f t="shared" si="30"/>
        <v>2.5853742233187974E-4</v>
      </c>
      <c r="AE51" s="11">
        <f t="shared" si="31"/>
        <v>4.0842258123071342E-3</v>
      </c>
      <c r="AF51" s="11">
        <f t="shared" si="32"/>
        <v>1.891891891891892E-2</v>
      </c>
      <c r="AG51" s="11">
        <f t="shared" si="33"/>
        <v>7.1428571428571425E-2</v>
      </c>
      <c r="AH51" s="11">
        <f t="shared" si="34"/>
        <v>8.0294017927121149E-3</v>
      </c>
      <c r="AI51" s="11">
        <f t="shared" si="35"/>
        <v>1</v>
      </c>
      <c r="AJ51" s="11">
        <f t="shared" si="36"/>
        <v>0</v>
      </c>
      <c r="AK51" s="11">
        <f t="shared" si="37"/>
        <v>4.5454545454545456E-2</v>
      </c>
      <c r="AL51" s="11">
        <f t="shared" si="38"/>
        <v>0.77331590530399519</v>
      </c>
      <c r="AM51" s="11">
        <f t="shared" si="39"/>
        <v>0.16666666666666666</v>
      </c>
      <c r="AN51" s="11">
        <f t="shared" si="40"/>
        <v>6.4516129032258063E-2</v>
      </c>
      <c r="AO51" s="11">
        <f t="shared" si="41"/>
        <v>0</v>
      </c>
      <c r="AP51" s="11">
        <f t="shared" si="42"/>
        <v>0</v>
      </c>
      <c r="AQ51" s="11">
        <f t="shared" si="43"/>
        <v>3.2729292335223947</v>
      </c>
    </row>
    <row r="52" spans="1:43" ht="15" customHeight="1" x14ac:dyDescent="0.2">
      <c r="A52" s="3" t="str">
        <f>MethodData!A49</f>
        <v>Game: getRepeatedShots()</v>
      </c>
      <c r="B52" s="4">
        <f>MethodData!B49</f>
        <v>1</v>
      </c>
      <c r="C52" s="4">
        <f>MethodData!C49</f>
        <v>0</v>
      </c>
      <c r="D52" s="4">
        <f>MethodData!D49</f>
        <v>0</v>
      </c>
      <c r="E52" s="4">
        <f>MethodData!E49</f>
        <v>0</v>
      </c>
      <c r="F52" s="4">
        <f>MethodData!F49</f>
        <v>0</v>
      </c>
      <c r="G52" s="4">
        <f>MethodData!G49</f>
        <v>0</v>
      </c>
      <c r="H52" s="4">
        <f>MethodData!H49</f>
        <v>2</v>
      </c>
      <c r="I52" s="4">
        <f>MethodData!I49</f>
        <v>23.2193</v>
      </c>
      <c r="J52" s="4">
        <f>MethodData!J49</f>
        <v>2.7000000000000001E-3</v>
      </c>
      <c r="K52" s="4">
        <f>MethodData!K49</f>
        <v>5</v>
      </c>
      <c r="L52" s="4">
        <f>MethodData!L49</f>
        <v>5</v>
      </c>
      <c r="M52" s="4">
        <f>MethodData!M49</f>
        <v>11.6096</v>
      </c>
      <c r="N52" s="4">
        <f>MethodData!N49</f>
        <v>1</v>
      </c>
      <c r="O52" s="4">
        <f>MethodData!O49</f>
        <v>0</v>
      </c>
      <c r="P52" s="4">
        <f>MethodData!P49</f>
        <v>5</v>
      </c>
      <c r="Q52" s="4">
        <f>MethodData!Q49</f>
        <v>77.460800000000006</v>
      </c>
      <c r="R52" s="4">
        <f>MethodData!R49</f>
        <v>0</v>
      </c>
      <c r="S52" s="4">
        <f>MethodData!S49</f>
        <v>1</v>
      </c>
      <c r="T52" s="4">
        <f>MethodData!T49</f>
        <v>0</v>
      </c>
      <c r="U52" s="4">
        <f>MethodData!U49</f>
        <v>0</v>
      </c>
      <c r="W52" s="11">
        <f t="shared" si="23"/>
        <v>2.6315789473684209E-2</v>
      </c>
      <c r="X52" s="11">
        <f t="shared" si="24"/>
        <v>0</v>
      </c>
      <c r="Y52" s="11">
        <f t="shared" si="25"/>
        <v>0</v>
      </c>
      <c r="Z52" s="11">
        <f t="shared" si="26"/>
        <v>0</v>
      </c>
      <c r="AA52" s="11">
        <f t="shared" si="27"/>
        <v>0</v>
      </c>
      <c r="AB52" s="11">
        <f t="shared" si="28"/>
        <v>0</v>
      </c>
      <c r="AC52" s="11">
        <f t="shared" si="29"/>
        <v>1.998001998001998E-2</v>
      </c>
      <c r="AD52" s="11">
        <f t="shared" si="30"/>
        <v>1.2219045019205914E-4</v>
      </c>
      <c r="AE52" s="11">
        <f t="shared" si="31"/>
        <v>2.4505354873842807E-3</v>
      </c>
      <c r="AF52" s="11">
        <f t="shared" si="32"/>
        <v>1.3513513513513514E-2</v>
      </c>
      <c r="AG52" s="11">
        <f t="shared" si="33"/>
        <v>5.1020408163265307E-2</v>
      </c>
      <c r="AH52" s="11">
        <f t="shared" si="34"/>
        <v>4.7435637509946104E-3</v>
      </c>
      <c r="AI52" s="11">
        <f t="shared" si="35"/>
        <v>1</v>
      </c>
      <c r="AJ52" s="11">
        <f t="shared" si="36"/>
        <v>0</v>
      </c>
      <c r="AK52" s="11">
        <f t="shared" si="37"/>
        <v>3.787878787878788E-2</v>
      </c>
      <c r="AL52" s="11">
        <f t="shared" si="38"/>
        <v>0.80869953771177772</v>
      </c>
      <c r="AM52" s="11">
        <f t="shared" si="39"/>
        <v>0.16666666666666666</v>
      </c>
      <c r="AN52" s="11">
        <f t="shared" si="40"/>
        <v>3.2258064516129031E-2</v>
      </c>
      <c r="AO52" s="11">
        <f t="shared" si="41"/>
        <v>0</v>
      </c>
      <c r="AP52" s="11">
        <f t="shared" si="42"/>
        <v>0</v>
      </c>
      <c r="AQ52" s="11">
        <f t="shared" si="43"/>
        <v>2.1636490775924151</v>
      </c>
    </row>
    <row r="53" spans="1:43" ht="15" customHeight="1" x14ac:dyDescent="0.2">
      <c r="A53" s="3" t="str">
        <f>MethodData!A50</f>
        <v>Game: getSunkShips()</v>
      </c>
      <c r="B53" s="4">
        <f>MethodData!B50</f>
        <v>1</v>
      </c>
      <c r="C53" s="4">
        <f>MethodData!C50</f>
        <v>0</v>
      </c>
      <c r="D53" s="4">
        <f>MethodData!D50</f>
        <v>0</v>
      </c>
      <c r="E53" s="4">
        <f>MethodData!E50</f>
        <v>0</v>
      </c>
      <c r="F53" s="4">
        <f>MethodData!F50</f>
        <v>0</v>
      </c>
      <c r="G53" s="4">
        <f>MethodData!G50</f>
        <v>0</v>
      </c>
      <c r="H53" s="4">
        <f>MethodData!H50</f>
        <v>2</v>
      </c>
      <c r="I53" s="4">
        <f>MethodData!I50</f>
        <v>23.2193</v>
      </c>
      <c r="J53" s="4">
        <f>MethodData!J50</f>
        <v>2.7000000000000001E-3</v>
      </c>
      <c r="K53" s="4">
        <f>MethodData!K50</f>
        <v>5</v>
      </c>
      <c r="L53" s="4">
        <f>MethodData!L50</f>
        <v>5</v>
      </c>
      <c r="M53" s="4">
        <f>MethodData!M50</f>
        <v>11.6096</v>
      </c>
      <c r="N53" s="4">
        <f>MethodData!N50</f>
        <v>1</v>
      </c>
      <c r="O53" s="4">
        <f>MethodData!O50</f>
        <v>0</v>
      </c>
      <c r="P53" s="4">
        <f>MethodData!P50</f>
        <v>5</v>
      </c>
      <c r="Q53" s="4">
        <f>MethodData!Q50</f>
        <v>77.460800000000006</v>
      </c>
      <c r="R53" s="4">
        <f>MethodData!R50</f>
        <v>0</v>
      </c>
      <c r="S53" s="4">
        <f>MethodData!S50</f>
        <v>1</v>
      </c>
      <c r="T53" s="4">
        <f>MethodData!T50</f>
        <v>0</v>
      </c>
      <c r="U53" s="4">
        <f>MethodData!U50</f>
        <v>0</v>
      </c>
      <c r="W53" s="11">
        <f t="shared" si="23"/>
        <v>2.6315789473684209E-2</v>
      </c>
      <c r="X53" s="11">
        <f t="shared" si="24"/>
        <v>0</v>
      </c>
      <c r="Y53" s="11">
        <f t="shared" si="25"/>
        <v>0</v>
      </c>
      <c r="Z53" s="11">
        <f t="shared" si="26"/>
        <v>0</v>
      </c>
      <c r="AA53" s="11">
        <f t="shared" si="27"/>
        <v>0</v>
      </c>
      <c r="AB53" s="11">
        <f t="shared" si="28"/>
        <v>0</v>
      </c>
      <c r="AC53" s="11">
        <f t="shared" si="29"/>
        <v>1.998001998001998E-2</v>
      </c>
      <c r="AD53" s="11">
        <f t="shared" si="30"/>
        <v>1.2219045019205914E-4</v>
      </c>
      <c r="AE53" s="11">
        <f t="shared" si="31"/>
        <v>2.4505354873842807E-3</v>
      </c>
      <c r="AF53" s="11">
        <f t="shared" si="32"/>
        <v>1.3513513513513514E-2</v>
      </c>
      <c r="AG53" s="11">
        <f t="shared" si="33"/>
        <v>5.1020408163265307E-2</v>
      </c>
      <c r="AH53" s="11">
        <f t="shared" si="34"/>
        <v>4.7435637509946104E-3</v>
      </c>
      <c r="AI53" s="11">
        <f t="shared" si="35"/>
        <v>1</v>
      </c>
      <c r="AJ53" s="11">
        <f t="shared" si="36"/>
        <v>0</v>
      </c>
      <c r="AK53" s="11">
        <f t="shared" si="37"/>
        <v>3.787878787878788E-2</v>
      </c>
      <c r="AL53" s="11">
        <f t="shared" si="38"/>
        <v>0.80869953771177772</v>
      </c>
      <c r="AM53" s="11">
        <f t="shared" si="39"/>
        <v>0.16666666666666666</v>
      </c>
      <c r="AN53" s="11">
        <f t="shared" si="40"/>
        <v>3.2258064516129031E-2</v>
      </c>
      <c r="AO53" s="11">
        <f t="shared" si="41"/>
        <v>0</v>
      </c>
      <c r="AP53" s="11">
        <f t="shared" si="42"/>
        <v>0</v>
      </c>
      <c r="AQ53" s="11">
        <f t="shared" si="43"/>
        <v>2.1636490775924151</v>
      </c>
    </row>
    <row r="54" spans="1:43" ht="15" customHeight="1" x14ac:dyDescent="0.2">
      <c r="A54" s="3" t="str">
        <f>MethodData!A51</f>
        <v>Game: jsonShots(List&lt;IPosition&gt;)</v>
      </c>
      <c r="B54" s="4">
        <f>MethodData!B51</f>
        <v>3</v>
      </c>
      <c r="C54" s="4">
        <f>MethodData!C51</f>
        <v>2</v>
      </c>
      <c r="D54" s="4">
        <f>MethodData!D51</f>
        <v>0.71430000000000005</v>
      </c>
      <c r="E54" s="4">
        <f>MethodData!E51</f>
        <v>7</v>
      </c>
      <c r="F54" s="4">
        <f>MethodData!F51</f>
        <v>0</v>
      </c>
      <c r="G54" s="4">
        <f>MethodData!G51</f>
        <v>1</v>
      </c>
      <c r="H54" s="4">
        <f>MethodData!H51</f>
        <v>14.166700000000001</v>
      </c>
      <c r="I54" s="4">
        <f>MethodData!I51</f>
        <v>2821.6772999999998</v>
      </c>
      <c r="J54" s="4">
        <f>MethodData!J51</f>
        <v>6.6600000000000006E-2</v>
      </c>
      <c r="K54" s="4">
        <f>MethodData!K51</f>
        <v>41</v>
      </c>
      <c r="L54" s="4">
        <f>MethodData!L51</f>
        <v>29</v>
      </c>
      <c r="M54" s="4">
        <f>MethodData!M51</f>
        <v>199.1772</v>
      </c>
      <c r="N54" s="4">
        <f>MethodData!N51</f>
        <v>0</v>
      </c>
      <c r="O54" s="4">
        <f>MethodData!O51</f>
        <v>1</v>
      </c>
      <c r="P54" s="4">
        <f>MethodData!P51</f>
        <v>38</v>
      </c>
      <c r="Q54" s="4">
        <f>MethodData!Q51</f>
        <v>49.2943</v>
      </c>
      <c r="R54" s="4">
        <f>MethodData!R51</f>
        <v>1</v>
      </c>
      <c r="S54" s="4">
        <f>MethodData!S51</f>
        <v>8</v>
      </c>
      <c r="T54" s="4">
        <f>MethodData!T51</f>
        <v>1</v>
      </c>
      <c r="U54" s="4">
        <f>MethodData!U51</f>
        <v>1</v>
      </c>
      <c r="W54" s="11">
        <f t="shared" si="23"/>
        <v>7.8947368421052627E-2</v>
      </c>
      <c r="X54" s="11">
        <f t="shared" si="24"/>
        <v>0.05</v>
      </c>
      <c r="Y54" s="11">
        <f t="shared" si="25"/>
        <v>0.71430000000000005</v>
      </c>
      <c r="Z54" s="11">
        <f t="shared" si="26"/>
        <v>0.2413793103448276</v>
      </c>
      <c r="AA54" s="11">
        <f t="shared" si="27"/>
        <v>0</v>
      </c>
      <c r="AB54" s="11">
        <f t="shared" si="28"/>
        <v>0.2</v>
      </c>
      <c r="AC54" s="11">
        <f t="shared" si="29"/>
        <v>0.14152547452547454</v>
      </c>
      <c r="AD54" s="11">
        <f t="shared" si="30"/>
        <v>1.4848941164622268E-2</v>
      </c>
      <c r="AE54" s="11">
        <f t="shared" si="31"/>
        <v>6.044654202214559E-2</v>
      </c>
      <c r="AF54" s="11">
        <f t="shared" si="32"/>
        <v>0.11081081081081082</v>
      </c>
      <c r="AG54" s="11">
        <f t="shared" si="33"/>
        <v>0.29591836734693877</v>
      </c>
      <c r="AH54" s="11">
        <f t="shared" si="34"/>
        <v>8.1381765603001283E-2</v>
      </c>
      <c r="AI54" s="11">
        <f t="shared" si="35"/>
        <v>0</v>
      </c>
      <c r="AJ54" s="11">
        <f t="shared" si="36"/>
        <v>0.33333333333333331</v>
      </c>
      <c r="AK54" s="11">
        <f t="shared" si="37"/>
        <v>0.2878787878787879</v>
      </c>
      <c r="AL54" s="11">
        <f t="shared" si="38"/>
        <v>0.51463808302813396</v>
      </c>
      <c r="AM54" s="11">
        <f t="shared" si="39"/>
        <v>0.33333333333333331</v>
      </c>
      <c r="AN54" s="11">
        <f t="shared" si="40"/>
        <v>0.25806451612903225</v>
      </c>
      <c r="AO54" s="11">
        <f t="shared" si="41"/>
        <v>8.3333333333333329E-2</v>
      </c>
      <c r="AP54" s="11">
        <f t="shared" si="42"/>
        <v>0.25</v>
      </c>
      <c r="AQ54" s="11">
        <f t="shared" si="43"/>
        <v>4.0501399672748288</v>
      </c>
    </row>
    <row r="55" spans="1:43" ht="15" customHeight="1" x14ac:dyDescent="0.2">
      <c r="A55" s="3" t="str">
        <f>MethodData!A52</f>
        <v>Game: jsonToShots(String)</v>
      </c>
      <c r="B55" s="4">
        <f>MethodData!B52</f>
        <v>6</v>
      </c>
      <c r="C55" s="4">
        <f>MethodData!C52</f>
        <v>5</v>
      </c>
      <c r="D55" s="4">
        <f>MethodData!D52</f>
        <v>0.44440000000000002</v>
      </c>
      <c r="E55" s="4">
        <f>MethodData!E52</f>
        <v>9</v>
      </c>
      <c r="F55" s="4">
        <f>MethodData!F52</f>
        <v>1</v>
      </c>
      <c r="G55" s="4">
        <f>MethodData!G52</f>
        <v>0</v>
      </c>
      <c r="H55" s="4">
        <f>MethodData!H52</f>
        <v>17.968800000000002</v>
      </c>
      <c r="I55" s="4">
        <f>MethodData!I52</f>
        <v>5318.4359999999997</v>
      </c>
      <c r="J55" s="4">
        <f>MethodData!J52</f>
        <v>0.1016</v>
      </c>
      <c r="K55" s="4">
        <f>MethodData!K52</f>
        <v>56</v>
      </c>
      <c r="L55" s="4">
        <f>MethodData!L52</f>
        <v>39</v>
      </c>
      <c r="M55" s="4">
        <f>MethodData!M52</f>
        <v>295.98250000000002</v>
      </c>
      <c r="N55" s="4">
        <f>MethodData!N52</f>
        <v>0</v>
      </c>
      <c r="O55" s="4">
        <f>MethodData!O52</f>
        <v>1</v>
      </c>
      <c r="P55" s="4">
        <f>MethodData!P52</f>
        <v>28</v>
      </c>
      <c r="Q55" s="4">
        <f>MethodData!Q52</f>
        <v>50.896999999999998</v>
      </c>
      <c r="R55" s="4">
        <f>MethodData!R52</f>
        <v>2</v>
      </c>
      <c r="S55" s="4">
        <f>MethodData!S52</f>
        <v>9</v>
      </c>
      <c r="T55" s="4">
        <f>MethodData!T52</f>
        <v>1</v>
      </c>
      <c r="U55" s="4">
        <f>MethodData!U52</f>
        <v>1</v>
      </c>
      <c r="W55" s="11">
        <f t="shared" si="23"/>
        <v>0.15789473684210525</v>
      </c>
      <c r="X55" s="11">
        <f t="shared" si="24"/>
        <v>0.125</v>
      </c>
      <c r="Y55" s="11">
        <f t="shared" si="25"/>
        <v>0.44440000000000002</v>
      </c>
      <c r="Z55" s="11">
        <f t="shared" si="26"/>
        <v>0.31034482758620691</v>
      </c>
      <c r="AA55" s="11">
        <f t="shared" si="27"/>
        <v>0.25</v>
      </c>
      <c r="AB55" s="11">
        <f t="shared" si="28"/>
        <v>0</v>
      </c>
      <c r="AC55" s="11">
        <f t="shared" si="29"/>
        <v>0.17950849150849155</v>
      </c>
      <c r="AD55" s="11">
        <f t="shared" si="30"/>
        <v>2.7988013814268912E-2</v>
      </c>
      <c r="AE55" s="11">
        <f t="shared" si="31"/>
        <v>9.221274278453441E-2</v>
      </c>
      <c r="AF55" s="11">
        <f t="shared" si="32"/>
        <v>0.15135135135135136</v>
      </c>
      <c r="AG55" s="11">
        <f t="shared" si="33"/>
        <v>0.39795918367346939</v>
      </c>
      <c r="AH55" s="11">
        <f t="shared" si="34"/>
        <v>0.12093542050792122</v>
      </c>
      <c r="AI55" s="11">
        <f t="shared" si="35"/>
        <v>0</v>
      </c>
      <c r="AJ55" s="11">
        <f t="shared" si="36"/>
        <v>0.33333333333333331</v>
      </c>
      <c r="AK55" s="11">
        <f t="shared" si="37"/>
        <v>0.21212121212121213</v>
      </c>
      <c r="AL55" s="11">
        <f t="shared" si="38"/>
        <v>0.53137045280859929</v>
      </c>
      <c r="AM55" s="11">
        <f t="shared" si="39"/>
        <v>0.5</v>
      </c>
      <c r="AN55" s="11">
        <f t="shared" si="40"/>
        <v>0.29032258064516131</v>
      </c>
      <c r="AO55" s="11">
        <f t="shared" si="41"/>
        <v>8.3333333333333329E-2</v>
      </c>
      <c r="AP55" s="11">
        <f t="shared" si="42"/>
        <v>0.25</v>
      </c>
      <c r="AQ55" s="11">
        <f t="shared" si="43"/>
        <v>4.4580756803099879</v>
      </c>
    </row>
    <row r="56" spans="1:43" ht="15" customHeight="1" x14ac:dyDescent="0.2">
      <c r="A56" s="3" t="str">
        <f>MethodData!A53</f>
        <v>Game: over()</v>
      </c>
      <c r="B56" s="4">
        <f>MethodData!B53</f>
        <v>1</v>
      </c>
      <c r="C56" s="4">
        <f>MethodData!C53</f>
        <v>0</v>
      </c>
      <c r="D56" s="4">
        <f>MethodData!D53</f>
        <v>0.66669999999999996</v>
      </c>
      <c r="E56" s="4">
        <f>MethodData!E53</f>
        <v>3</v>
      </c>
      <c r="F56" s="4">
        <f>MethodData!F53</f>
        <v>0</v>
      </c>
      <c r="G56" s="4">
        <f>MethodData!G53</f>
        <v>1</v>
      </c>
      <c r="H56" s="4">
        <f>MethodData!H53</f>
        <v>5.8333000000000004</v>
      </c>
      <c r="I56" s="4">
        <f>MethodData!I53</f>
        <v>245</v>
      </c>
      <c r="J56" s="4">
        <f>MethodData!J53</f>
        <v>1.3100000000000001E-2</v>
      </c>
      <c r="K56" s="4">
        <f>MethodData!K53</f>
        <v>14</v>
      </c>
      <c r="L56" s="4">
        <f>MethodData!L53</f>
        <v>8</v>
      </c>
      <c r="M56" s="4">
        <f>MethodData!M53</f>
        <v>42</v>
      </c>
      <c r="N56" s="4">
        <f>MethodData!N53</f>
        <v>0</v>
      </c>
      <c r="O56" s="4">
        <f>MethodData!O53</f>
        <v>0</v>
      </c>
      <c r="P56" s="4">
        <f>MethodData!P53</f>
        <v>7</v>
      </c>
      <c r="Q56" s="4">
        <f>MethodData!Q53</f>
        <v>70.198999999999998</v>
      </c>
      <c r="R56" s="4">
        <f>MethodData!R53</f>
        <v>0</v>
      </c>
      <c r="S56" s="4">
        <f>MethodData!S53</f>
        <v>1</v>
      </c>
      <c r="T56" s="4">
        <f>MethodData!T53</f>
        <v>0</v>
      </c>
      <c r="U56" s="4">
        <f>MethodData!U53</f>
        <v>0</v>
      </c>
      <c r="W56" s="11">
        <f t="shared" si="23"/>
        <v>2.6315789473684209E-2</v>
      </c>
      <c r="X56" s="11">
        <f t="shared" si="24"/>
        <v>0</v>
      </c>
      <c r="Y56" s="11">
        <f t="shared" si="25"/>
        <v>0.66669999999999996</v>
      </c>
      <c r="Z56" s="11">
        <f t="shared" si="26"/>
        <v>0.10344827586206896</v>
      </c>
      <c r="AA56" s="11">
        <f t="shared" si="27"/>
        <v>0</v>
      </c>
      <c r="AB56" s="11">
        <f t="shared" si="28"/>
        <v>0.2</v>
      </c>
      <c r="AC56" s="11">
        <f t="shared" si="29"/>
        <v>5.8274725274725284E-2</v>
      </c>
      <c r="AD56" s="11">
        <f t="shared" si="30"/>
        <v>1.2893007238398437E-3</v>
      </c>
      <c r="AE56" s="11">
        <f t="shared" si="31"/>
        <v>1.1889635142494102E-2</v>
      </c>
      <c r="AF56" s="11">
        <f t="shared" si="32"/>
        <v>3.783783783783784E-2</v>
      </c>
      <c r="AG56" s="11">
        <f t="shared" si="33"/>
        <v>8.1632653061224483E-2</v>
      </c>
      <c r="AH56" s="11">
        <f t="shared" si="34"/>
        <v>1.7160770185172067E-2</v>
      </c>
      <c r="AI56" s="11">
        <f t="shared" si="35"/>
        <v>0</v>
      </c>
      <c r="AJ56" s="11">
        <f t="shared" si="36"/>
        <v>0</v>
      </c>
      <c r="AK56" s="11">
        <f t="shared" si="37"/>
        <v>5.3030303030303032E-2</v>
      </c>
      <c r="AL56" s="11">
        <f t="shared" si="38"/>
        <v>0.7328855220683117</v>
      </c>
      <c r="AM56" s="11">
        <f t="shared" si="39"/>
        <v>0.16666666666666666</v>
      </c>
      <c r="AN56" s="11">
        <f t="shared" si="40"/>
        <v>3.2258064516129031E-2</v>
      </c>
      <c r="AO56" s="11">
        <f t="shared" si="41"/>
        <v>0</v>
      </c>
      <c r="AP56" s="11">
        <f t="shared" si="42"/>
        <v>0</v>
      </c>
      <c r="AQ56" s="11">
        <f t="shared" si="43"/>
        <v>2.1893895438424575</v>
      </c>
    </row>
    <row r="57" spans="1:43" ht="15" customHeight="1" x14ac:dyDescent="0.2">
      <c r="A57" s="3" t="str">
        <f>MethodData!A54</f>
        <v>Game: printAlienBoard(boolean, boolean)</v>
      </c>
      <c r="B57" s="4">
        <f>MethodData!B54</f>
        <v>1</v>
      </c>
      <c r="C57" s="4">
        <f>MethodData!C54</f>
        <v>0</v>
      </c>
      <c r="D57" s="4">
        <f>MethodData!D54</f>
        <v>0.33329999999999999</v>
      </c>
      <c r="E57" s="4">
        <f>MethodData!E54</f>
        <v>1</v>
      </c>
      <c r="F57" s="4">
        <f>MethodData!F54</f>
        <v>0</v>
      </c>
      <c r="G57" s="4">
        <f>MethodData!G54</f>
        <v>1</v>
      </c>
      <c r="H57" s="4">
        <f>MethodData!H54</f>
        <v>4.5</v>
      </c>
      <c r="I57" s="4">
        <f>MethodData!I54</f>
        <v>325.52879999999999</v>
      </c>
      <c r="J57" s="4">
        <f>MethodData!J54</f>
        <v>1.5800000000000002E-2</v>
      </c>
      <c r="K57" s="4">
        <f>MethodData!K54</f>
        <v>19</v>
      </c>
      <c r="L57" s="4">
        <f>MethodData!L54</f>
        <v>14</v>
      </c>
      <c r="M57" s="4">
        <f>MethodData!M54</f>
        <v>72.339699999999993</v>
      </c>
      <c r="N57" s="4">
        <f>MethodData!N54</f>
        <v>0.66669999999999996</v>
      </c>
      <c r="O57" s="4">
        <f>MethodData!O54</f>
        <v>0</v>
      </c>
      <c r="P57" s="4">
        <f>MethodData!P54</f>
        <v>7</v>
      </c>
      <c r="Q57" s="4">
        <f>MethodData!Q54</f>
        <v>68.56</v>
      </c>
      <c r="R57" s="4">
        <f>MethodData!R54</f>
        <v>0</v>
      </c>
      <c r="S57" s="4">
        <f>MethodData!S54</f>
        <v>5</v>
      </c>
      <c r="T57" s="4">
        <f>MethodData!T54</f>
        <v>0</v>
      </c>
      <c r="U57" s="4">
        <f>MethodData!U54</f>
        <v>2</v>
      </c>
      <c r="W57" s="11">
        <f t="shared" si="23"/>
        <v>2.6315789473684209E-2</v>
      </c>
      <c r="X57" s="11">
        <f t="shared" si="24"/>
        <v>0</v>
      </c>
      <c r="Y57" s="11">
        <f t="shared" si="25"/>
        <v>0.33329999999999999</v>
      </c>
      <c r="Z57" s="11">
        <f t="shared" si="26"/>
        <v>3.4482758620689655E-2</v>
      </c>
      <c r="AA57" s="11">
        <f t="shared" si="27"/>
        <v>0</v>
      </c>
      <c r="AB57" s="11">
        <f t="shared" si="28"/>
        <v>0.2</v>
      </c>
      <c r="AC57" s="11">
        <f t="shared" si="29"/>
        <v>4.4955044955044959E-2</v>
      </c>
      <c r="AD57" s="11">
        <f t="shared" si="30"/>
        <v>1.7130796631457785E-3</v>
      </c>
      <c r="AE57" s="11">
        <f t="shared" si="31"/>
        <v>1.4340170629878383E-2</v>
      </c>
      <c r="AF57" s="11">
        <f t="shared" si="32"/>
        <v>5.1351351351351354E-2</v>
      </c>
      <c r="AG57" s="11">
        <f t="shared" si="33"/>
        <v>0.14285714285714285</v>
      </c>
      <c r="AH57" s="11">
        <f t="shared" si="34"/>
        <v>2.9557261118197418E-2</v>
      </c>
      <c r="AI57" s="11">
        <f t="shared" si="35"/>
        <v>0.66669999999999996</v>
      </c>
      <c r="AJ57" s="11">
        <f t="shared" si="36"/>
        <v>0</v>
      </c>
      <c r="AK57" s="11">
        <f t="shared" si="37"/>
        <v>5.3030303030303032E-2</v>
      </c>
      <c r="AL57" s="11">
        <f t="shared" si="38"/>
        <v>0.71577417617064987</v>
      </c>
      <c r="AM57" s="11">
        <f t="shared" si="39"/>
        <v>0.16666666666666666</v>
      </c>
      <c r="AN57" s="11">
        <f t="shared" si="40"/>
        <v>0.16129032258064516</v>
      </c>
      <c r="AO57" s="11">
        <f t="shared" si="41"/>
        <v>0</v>
      </c>
      <c r="AP57" s="11">
        <f t="shared" si="42"/>
        <v>0.5</v>
      </c>
      <c r="AQ57" s="11">
        <f t="shared" si="43"/>
        <v>3.1423340671173992</v>
      </c>
    </row>
    <row r="58" spans="1:43" ht="15" customHeight="1" x14ac:dyDescent="0.2">
      <c r="A58" s="3" t="str">
        <f>MethodData!A55</f>
        <v>Game: printBoard(IFleet, List&lt;IMove&gt;, boolean, boolean)</v>
      </c>
      <c r="B58" s="4">
        <f>MethodData!B55</f>
        <v>0</v>
      </c>
      <c r="C58" s="4">
        <f>MethodData!C55</f>
        <v>19</v>
      </c>
      <c r="D58" s="4">
        <f>MethodData!D55</f>
        <v>0.5</v>
      </c>
      <c r="E58" s="4">
        <f>MethodData!E55</f>
        <v>12</v>
      </c>
      <c r="F58" s="4">
        <f>MethodData!F55</f>
        <v>3</v>
      </c>
      <c r="G58" s="4">
        <f>MethodData!G55</f>
        <v>1</v>
      </c>
      <c r="H58" s="4">
        <f>MethodData!H55</f>
        <v>45.268300000000004</v>
      </c>
      <c r="I58" s="4">
        <f>MethodData!I55</f>
        <v>61319.141199999998</v>
      </c>
      <c r="J58" s="4">
        <f>MethodData!J55</f>
        <v>0.51829999999999998</v>
      </c>
      <c r="K58" s="4">
        <f>MethodData!K55</f>
        <v>221</v>
      </c>
      <c r="L58" s="4">
        <f>MethodData!L55</f>
        <v>70</v>
      </c>
      <c r="M58" s="4">
        <f>MethodData!M55</f>
        <v>1354.5715</v>
      </c>
      <c r="N58" s="4">
        <f>MethodData!N55</f>
        <v>0.85709999999999997</v>
      </c>
      <c r="O58" s="4">
        <f>MethodData!O55</f>
        <v>2</v>
      </c>
      <c r="P58" s="4">
        <f>MethodData!P55</f>
        <v>70</v>
      </c>
      <c r="Q58" s="4">
        <f>MethodData!Q55</f>
        <v>37.420499999999997</v>
      </c>
      <c r="R58" s="4">
        <f>MethodData!R55</f>
        <v>2</v>
      </c>
      <c r="S58" s="4">
        <f>MethodData!S55</f>
        <v>28</v>
      </c>
      <c r="T58" s="4">
        <f>MethodData!T55</f>
        <v>12</v>
      </c>
      <c r="U58" s="4">
        <f>MethodData!U55</f>
        <v>4</v>
      </c>
      <c r="W58" s="11">
        <f t="shared" si="23"/>
        <v>0</v>
      </c>
      <c r="X58" s="11">
        <f t="shared" si="24"/>
        <v>0.47499999999999998</v>
      </c>
      <c r="Y58" s="11">
        <f t="shared" si="25"/>
        <v>0.5</v>
      </c>
      <c r="Z58" s="11">
        <f t="shared" si="26"/>
        <v>0.41379310344827586</v>
      </c>
      <c r="AA58" s="11">
        <f t="shared" si="27"/>
        <v>0.75</v>
      </c>
      <c r="AB58" s="11">
        <f t="shared" si="28"/>
        <v>0.2</v>
      </c>
      <c r="AC58" s="11">
        <f t="shared" si="29"/>
        <v>0.45223076923076927</v>
      </c>
      <c r="AD58" s="11">
        <f t="shared" si="30"/>
        <v>0.32268903320162279</v>
      </c>
      <c r="AE58" s="11">
        <f t="shared" si="31"/>
        <v>0.47041205300417499</v>
      </c>
      <c r="AF58" s="11">
        <f t="shared" si="32"/>
        <v>0.5972972972972973</v>
      </c>
      <c r="AG58" s="11">
        <f t="shared" si="33"/>
        <v>0.7142857142857143</v>
      </c>
      <c r="AH58" s="11">
        <f t="shared" si="34"/>
        <v>0.55346405264009058</v>
      </c>
      <c r="AI58" s="11">
        <f t="shared" si="35"/>
        <v>0.85709999999999997</v>
      </c>
      <c r="AJ58" s="11">
        <f t="shared" si="36"/>
        <v>0.66666666666666663</v>
      </c>
      <c r="AK58" s="11">
        <f t="shared" si="37"/>
        <v>0.53030303030303028</v>
      </c>
      <c r="AL58" s="11">
        <f t="shared" si="38"/>
        <v>0.39067426428520713</v>
      </c>
      <c r="AM58" s="11">
        <f t="shared" si="39"/>
        <v>0.5</v>
      </c>
      <c r="AN58" s="11">
        <f t="shared" si="40"/>
        <v>0.90322580645161288</v>
      </c>
      <c r="AO58" s="11">
        <f t="shared" si="41"/>
        <v>1</v>
      </c>
      <c r="AP58" s="11">
        <f t="shared" si="42"/>
        <v>1</v>
      </c>
      <c r="AQ58" s="11">
        <f t="shared" si="43"/>
        <v>11.297141790814461</v>
      </c>
    </row>
    <row r="59" spans="1:43" ht="15" customHeight="1" x14ac:dyDescent="0.2">
      <c r="A59" s="3" t="str">
        <f>MethodData!A56</f>
        <v>Game: printBothBoards(boolean)</v>
      </c>
      <c r="B59" s="4">
        <f>MethodData!B56</f>
        <v>3</v>
      </c>
      <c r="C59" s="4">
        <f>MethodData!C56</f>
        <v>2</v>
      </c>
      <c r="D59" s="4">
        <f>MethodData!D56</f>
        <v>0.5</v>
      </c>
      <c r="E59" s="4">
        <f>MethodData!E56</f>
        <v>5</v>
      </c>
      <c r="F59" s="4">
        <f>MethodData!F56</f>
        <v>0</v>
      </c>
      <c r="G59" s="4">
        <f>MethodData!G56</f>
        <v>0</v>
      </c>
      <c r="H59" s="4">
        <f>MethodData!H56</f>
        <v>10.833299999999999</v>
      </c>
      <c r="I59" s="4">
        <f>MethodData!I56</f>
        <v>2515.4220999999998</v>
      </c>
      <c r="J59" s="4">
        <f>MethodData!J56</f>
        <v>6.1699999999999998E-2</v>
      </c>
      <c r="K59" s="4">
        <f>MethodData!K56</f>
        <v>50</v>
      </c>
      <c r="L59" s="4">
        <f>MethodData!L56</f>
        <v>25</v>
      </c>
      <c r="M59" s="4">
        <f>MethodData!M56</f>
        <v>232.19280000000001</v>
      </c>
      <c r="N59" s="4">
        <f>MethodData!N56</f>
        <v>1</v>
      </c>
      <c r="O59" s="4">
        <f>MethodData!O56</f>
        <v>0</v>
      </c>
      <c r="P59" s="4">
        <f>MethodData!P56</f>
        <v>11</v>
      </c>
      <c r="Q59" s="4">
        <f>MethodData!Q56</f>
        <v>60.572200000000002</v>
      </c>
      <c r="R59" s="4">
        <f>MethodData!R56</f>
        <v>0</v>
      </c>
      <c r="S59" s="4">
        <f>MethodData!S56</f>
        <v>9</v>
      </c>
      <c r="T59" s="4">
        <f>MethodData!T56</f>
        <v>0</v>
      </c>
      <c r="U59" s="4">
        <f>MethodData!U56</f>
        <v>1</v>
      </c>
      <c r="W59" s="11">
        <f t="shared" si="23"/>
        <v>7.8947368421052627E-2</v>
      </c>
      <c r="X59" s="11">
        <f t="shared" si="24"/>
        <v>0.05</v>
      </c>
      <c r="Y59" s="11">
        <f t="shared" si="25"/>
        <v>0.5</v>
      </c>
      <c r="Z59" s="11">
        <f t="shared" si="26"/>
        <v>0.17241379310344829</v>
      </c>
      <c r="AA59" s="11">
        <f t="shared" si="27"/>
        <v>0</v>
      </c>
      <c r="AB59" s="11">
        <f t="shared" si="28"/>
        <v>0</v>
      </c>
      <c r="AC59" s="11">
        <f t="shared" si="29"/>
        <v>0.10822477522477522</v>
      </c>
      <c r="AD59" s="11">
        <f t="shared" si="30"/>
        <v>1.3237287895072407E-2</v>
      </c>
      <c r="AE59" s="11">
        <f t="shared" si="31"/>
        <v>5.5999273915411152E-2</v>
      </c>
      <c r="AF59" s="11">
        <f t="shared" si="32"/>
        <v>0.13513513513513514</v>
      </c>
      <c r="AG59" s="11">
        <f t="shared" si="33"/>
        <v>0.25510204081632654</v>
      </c>
      <c r="AH59" s="11">
        <f t="shared" si="34"/>
        <v>9.4871601891705251E-2</v>
      </c>
      <c r="AI59" s="11">
        <f t="shared" si="35"/>
        <v>1</v>
      </c>
      <c r="AJ59" s="11">
        <f t="shared" si="36"/>
        <v>0</v>
      </c>
      <c r="AK59" s="11">
        <f t="shared" si="37"/>
        <v>8.3333333333333329E-2</v>
      </c>
      <c r="AL59" s="11">
        <f t="shared" si="38"/>
        <v>0.63238063818325319</v>
      </c>
      <c r="AM59" s="11">
        <f t="shared" si="39"/>
        <v>0.16666666666666666</v>
      </c>
      <c r="AN59" s="11">
        <f t="shared" si="40"/>
        <v>0.29032258064516131</v>
      </c>
      <c r="AO59" s="11">
        <f t="shared" si="41"/>
        <v>0</v>
      </c>
      <c r="AP59" s="11">
        <f t="shared" si="42"/>
        <v>0.25</v>
      </c>
      <c r="AQ59" s="11">
        <f t="shared" si="43"/>
        <v>3.8866344952313416</v>
      </c>
    </row>
    <row r="60" spans="1:43" ht="15" customHeight="1" x14ac:dyDescent="0.2">
      <c r="A60" s="3" t="str">
        <f>MethodData!A57</f>
        <v>Game: printMyBoard(boolean, boolean)</v>
      </c>
      <c r="B60" s="4">
        <f>MethodData!B57</f>
        <v>1</v>
      </c>
      <c r="C60" s="4">
        <f>MethodData!C57</f>
        <v>0</v>
      </c>
      <c r="D60" s="4">
        <f>MethodData!D57</f>
        <v>0.33329999999999999</v>
      </c>
      <c r="E60" s="4">
        <f>MethodData!E57</f>
        <v>1</v>
      </c>
      <c r="F60" s="4">
        <f>MethodData!F57</f>
        <v>0</v>
      </c>
      <c r="G60" s="4">
        <f>MethodData!G57</f>
        <v>1</v>
      </c>
      <c r="H60" s="4">
        <f>MethodData!H57</f>
        <v>4.5</v>
      </c>
      <c r="I60" s="4">
        <f>MethodData!I57</f>
        <v>325.52879999999999</v>
      </c>
      <c r="J60" s="4">
        <f>MethodData!J57</f>
        <v>1.5800000000000002E-2</v>
      </c>
      <c r="K60" s="4">
        <f>MethodData!K57</f>
        <v>19</v>
      </c>
      <c r="L60" s="4">
        <f>MethodData!L57</f>
        <v>14</v>
      </c>
      <c r="M60" s="4">
        <f>MethodData!M57</f>
        <v>72.339699999999993</v>
      </c>
      <c r="N60" s="4">
        <f>MethodData!N57</f>
        <v>0.66669999999999996</v>
      </c>
      <c r="O60" s="4">
        <f>MethodData!O57</f>
        <v>0</v>
      </c>
      <c r="P60" s="4">
        <f>MethodData!P57</f>
        <v>7</v>
      </c>
      <c r="Q60" s="4">
        <f>MethodData!Q57</f>
        <v>68.56</v>
      </c>
      <c r="R60" s="4">
        <f>MethodData!R57</f>
        <v>0</v>
      </c>
      <c r="S60" s="4">
        <f>MethodData!S57</f>
        <v>5</v>
      </c>
      <c r="T60" s="4">
        <f>MethodData!T57</f>
        <v>0</v>
      </c>
      <c r="U60" s="4">
        <f>MethodData!U57</f>
        <v>2</v>
      </c>
      <c r="W60" s="11">
        <f t="shared" si="23"/>
        <v>2.6315789473684209E-2</v>
      </c>
      <c r="X60" s="11">
        <f t="shared" si="24"/>
        <v>0</v>
      </c>
      <c r="Y60" s="11">
        <f t="shared" si="25"/>
        <v>0.33329999999999999</v>
      </c>
      <c r="Z60" s="11">
        <f t="shared" si="26"/>
        <v>3.4482758620689655E-2</v>
      </c>
      <c r="AA60" s="11">
        <f t="shared" si="27"/>
        <v>0</v>
      </c>
      <c r="AB60" s="11">
        <f t="shared" si="28"/>
        <v>0.2</v>
      </c>
      <c r="AC60" s="11">
        <f t="shared" si="29"/>
        <v>4.4955044955044959E-2</v>
      </c>
      <c r="AD60" s="11">
        <f t="shared" si="30"/>
        <v>1.7130796631457785E-3</v>
      </c>
      <c r="AE60" s="11">
        <f t="shared" si="31"/>
        <v>1.4340170629878383E-2</v>
      </c>
      <c r="AF60" s="11">
        <f t="shared" si="32"/>
        <v>5.1351351351351354E-2</v>
      </c>
      <c r="AG60" s="11">
        <f t="shared" si="33"/>
        <v>0.14285714285714285</v>
      </c>
      <c r="AH60" s="11">
        <f t="shared" si="34"/>
        <v>2.9557261118197418E-2</v>
      </c>
      <c r="AI60" s="11">
        <f t="shared" si="35"/>
        <v>0.66669999999999996</v>
      </c>
      <c r="AJ60" s="11">
        <f t="shared" si="36"/>
        <v>0</v>
      </c>
      <c r="AK60" s="11">
        <f t="shared" si="37"/>
        <v>5.3030303030303032E-2</v>
      </c>
      <c r="AL60" s="11">
        <f t="shared" si="38"/>
        <v>0.71577417617064987</v>
      </c>
      <c r="AM60" s="11">
        <f t="shared" si="39"/>
        <v>0.16666666666666666</v>
      </c>
      <c r="AN60" s="11">
        <f t="shared" si="40"/>
        <v>0.16129032258064516</v>
      </c>
      <c r="AO60" s="11">
        <f t="shared" si="41"/>
        <v>0</v>
      </c>
      <c r="AP60" s="11">
        <f t="shared" si="42"/>
        <v>0.5</v>
      </c>
      <c r="AQ60" s="11">
        <f t="shared" si="43"/>
        <v>3.1423340671173992</v>
      </c>
    </row>
    <row r="61" spans="1:43" ht="15" customHeight="1" x14ac:dyDescent="0.2">
      <c r="A61" s="3" t="str">
        <f>MethodData!A58</f>
        <v>Game: randomEnemyFire()</v>
      </c>
      <c r="B61" s="4">
        <f>MethodData!B58</f>
        <v>10</v>
      </c>
      <c r="C61" s="4">
        <f>MethodData!C58</f>
        <v>10</v>
      </c>
      <c r="D61" s="4">
        <f>MethodData!D58</f>
        <v>0.5625</v>
      </c>
      <c r="E61" s="4">
        <f>MethodData!E58</f>
        <v>14</v>
      </c>
      <c r="F61" s="4">
        <f>MethodData!F58</f>
        <v>2</v>
      </c>
      <c r="G61" s="4">
        <f>MethodData!G58</f>
        <v>1</v>
      </c>
      <c r="H61" s="4">
        <f>MethodData!H58</f>
        <v>43.421100000000003</v>
      </c>
      <c r="I61" s="4">
        <f>MethodData!I58</f>
        <v>29011.7968</v>
      </c>
      <c r="J61" s="4">
        <f>MethodData!J58</f>
        <v>0.31469999999999998</v>
      </c>
      <c r="K61" s="4">
        <f>MethodData!K58</f>
        <v>119</v>
      </c>
      <c r="L61" s="4">
        <f>MethodData!L58</f>
        <v>49</v>
      </c>
      <c r="M61" s="4">
        <f>MethodData!M58</f>
        <v>668.15049999999997</v>
      </c>
      <c r="N61" s="4">
        <f>MethodData!N58</f>
        <v>0.8</v>
      </c>
      <c r="O61" s="4">
        <f>MethodData!O58</f>
        <v>2</v>
      </c>
      <c r="P61" s="4">
        <f>MethodData!P58</f>
        <v>46</v>
      </c>
      <c r="Q61" s="4">
        <f>MethodData!Q58</f>
        <v>43.639800000000001</v>
      </c>
      <c r="R61" s="4">
        <f>MethodData!R58</f>
        <v>2</v>
      </c>
      <c r="S61" s="4">
        <f>MethodData!S58</f>
        <v>15</v>
      </c>
      <c r="T61" s="4">
        <f>MethodData!T58</f>
        <v>6</v>
      </c>
      <c r="U61" s="4">
        <f>MethodData!U58</f>
        <v>0</v>
      </c>
      <c r="W61" s="11">
        <f t="shared" si="23"/>
        <v>0.26315789473684209</v>
      </c>
      <c r="X61" s="11">
        <f t="shared" si="24"/>
        <v>0.25</v>
      </c>
      <c r="Y61" s="11">
        <f t="shared" si="25"/>
        <v>0.5625</v>
      </c>
      <c r="Z61" s="11">
        <f t="shared" si="26"/>
        <v>0.48275862068965519</v>
      </c>
      <c r="AA61" s="11">
        <f t="shared" si="27"/>
        <v>0.5</v>
      </c>
      <c r="AB61" s="11">
        <f t="shared" si="28"/>
        <v>0.2</v>
      </c>
      <c r="AC61" s="11">
        <f t="shared" si="29"/>
        <v>0.4337772227772228</v>
      </c>
      <c r="AD61" s="11">
        <f t="shared" si="30"/>
        <v>0.15267318618014067</v>
      </c>
      <c r="AE61" s="11">
        <f t="shared" si="31"/>
        <v>0.2856235251406789</v>
      </c>
      <c r="AF61" s="11">
        <f t="shared" si="32"/>
        <v>0.32162162162162161</v>
      </c>
      <c r="AG61" s="11">
        <f t="shared" si="33"/>
        <v>0.5</v>
      </c>
      <c r="AH61" s="11">
        <f t="shared" si="34"/>
        <v>0.27299945665732878</v>
      </c>
      <c r="AI61" s="11">
        <f t="shared" si="35"/>
        <v>0.8</v>
      </c>
      <c r="AJ61" s="11">
        <f t="shared" si="36"/>
        <v>0.66666666666666663</v>
      </c>
      <c r="AK61" s="11">
        <f t="shared" si="37"/>
        <v>0.34848484848484851</v>
      </c>
      <c r="AL61" s="11">
        <f t="shared" si="38"/>
        <v>0.45560446168687174</v>
      </c>
      <c r="AM61" s="11">
        <f t="shared" si="39"/>
        <v>0.5</v>
      </c>
      <c r="AN61" s="11">
        <f t="shared" si="40"/>
        <v>0.4838709677419355</v>
      </c>
      <c r="AO61" s="11">
        <f t="shared" si="41"/>
        <v>0.5</v>
      </c>
      <c r="AP61" s="11">
        <f t="shared" si="42"/>
        <v>0</v>
      </c>
      <c r="AQ61" s="11">
        <f t="shared" si="43"/>
        <v>7.9797384723838132</v>
      </c>
    </row>
    <row r="62" spans="1:43" ht="15" customHeight="1" x14ac:dyDescent="0.2">
      <c r="A62" s="3" t="str">
        <f>MethodData!A59</f>
        <v>Game: randomPlayerFire()</v>
      </c>
      <c r="B62" s="4">
        <f>MethodData!B59</f>
        <v>10</v>
      </c>
      <c r="C62" s="4">
        <f>MethodData!C59</f>
        <v>10</v>
      </c>
      <c r="D62" s="4">
        <f>MethodData!D59</f>
        <v>0.5625</v>
      </c>
      <c r="E62" s="4">
        <f>MethodData!E59</f>
        <v>14</v>
      </c>
      <c r="F62" s="4">
        <f>MethodData!F59</f>
        <v>2</v>
      </c>
      <c r="G62" s="4">
        <f>MethodData!G59</f>
        <v>1</v>
      </c>
      <c r="H62" s="4">
        <f>MethodData!H59</f>
        <v>43.421100000000003</v>
      </c>
      <c r="I62" s="4">
        <f>MethodData!I59</f>
        <v>29011.7968</v>
      </c>
      <c r="J62" s="4">
        <f>MethodData!J59</f>
        <v>0.31469999999999998</v>
      </c>
      <c r="K62" s="4">
        <f>MethodData!K59</f>
        <v>119</v>
      </c>
      <c r="L62" s="4">
        <f>MethodData!L59</f>
        <v>49</v>
      </c>
      <c r="M62" s="4">
        <f>MethodData!M59</f>
        <v>668.15049999999997</v>
      </c>
      <c r="N62" s="4">
        <f>MethodData!N59</f>
        <v>0.8</v>
      </c>
      <c r="O62" s="4">
        <f>MethodData!O59</f>
        <v>2</v>
      </c>
      <c r="P62" s="4">
        <f>MethodData!P59</f>
        <v>42</v>
      </c>
      <c r="Q62" s="4">
        <f>MethodData!Q59</f>
        <v>44.5017</v>
      </c>
      <c r="R62" s="4">
        <f>MethodData!R59</f>
        <v>2</v>
      </c>
      <c r="S62" s="4">
        <f>MethodData!S59</f>
        <v>15</v>
      </c>
      <c r="T62" s="4">
        <f>MethodData!T59</f>
        <v>6</v>
      </c>
      <c r="U62" s="4">
        <f>MethodData!U59</f>
        <v>0</v>
      </c>
      <c r="W62" s="11">
        <f t="shared" si="23"/>
        <v>0.26315789473684209</v>
      </c>
      <c r="X62" s="11">
        <f t="shared" si="24"/>
        <v>0.25</v>
      </c>
      <c r="Y62" s="11">
        <f t="shared" si="25"/>
        <v>0.5625</v>
      </c>
      <c r="Z62" s="11">
        <f t="shared" si="26"/>
        <v>0.48275862068965519</v>
      </c>
      <c r="AA62" s="11">
        <f t="shared" si="27"/>
        <v>0.5</v>
      </c>
      <c r="AB62" s="11">
        <f t="shared" si="28"/>
        <v>0.2</v>
      </c>
      <c r="AC62" s="11">
        <f t="shared" si="29"/>
        <v>0.4337772227772228</v>
      </c>
      <c r="AD62" s="11">
        <f t="shared" si="30"/>
        <v>0.15267318618014067</v>
      </c>
      <c r="AE62" s="11">
        <f t="shared" si="31"/>
        <v>0.2856235251406789</v>
      </c>
      <c r="AF62" s="11">
        <f t="shared" si="32"/>
        <v>0.32162162162162161</v>
      </c>
      <c r="AG62" s="11">
        <f t="shared" si="33"/>
        <v>0.5</v>
      </c>
      <c r="AH62" s="11">
        <f t="shared" si="34"/>
        <v>0.27299945665732878</v>
      </c>
      <c r="AI62" s="11">
        <f t="shared" si="35"/>
        <v>0.8</v>
      </c>
      <c r="AJ62" s="11">
        <f t="shared" si="36"/>
        <v>0.66666666666666663</v>
      </c>
      <c r="AK62" s="11">
        <f t="shared" si="37"/>
        <v>0.31818181818181818</v>
      </c>
      <c r="AL62" s="11">
        <f t="shared" si="38"/>
        <v>0.46460279544476968</v>
      </c>
      <c r="AM62" s="11">
        <f t="shared" si="39"/>
        <v>0.5</v>
      </c>
      <c r="AN62" s="11">
        <f t="shared" si="40"/>
        <v>0.4838709677419355</v>
      </c>
      <c r="AO62" s="11">
        <f t="shared" si="41"/>
        <v>0.5</v>
      </c>
      <c r="AP62" s="11">
        <f t="shared" si="42"/>
        <v>0</v>
      </c>
      <c r="AQ62" s="11">
        <f t="shared" si="43"/>
        <v>7.9584337758386816</v>
      </c>
    </row>
    <row r="63" spans="1:43" ht="15" customHeight="1" x14ac:dyDescent="0.2">
      <c r="A63" s="3" t="str">
        <f>MethodData!A60</f>
        <v>Game: readAlienFire(Scanner)</v>
      </c>
      <c r="B63" s="4">
        <f>MethodData!B60</f>
        <v>12</v>
      </c>
      <c r="C63" s="4">
        <f>MethodData!C60</f>
        <v>13</v>
      </c>
      <c r="D63" s="4">
        <f>MethodData!D60</f>
        <v>0.1905</v>
      </c>
      <c r="E63" s="4">
        <f>MethodData!E60</f>
        <v>18</v>
      </c>
      <c r="F63" s="4">
        <f>MethodData!F60</f>
        <v>2</v>
      </c>
      <c r="G63" s="4">
        <f>MethodData!G60</f>
        <v>0</v>
      </c>
      <c r="H63" s="4">
        <f>MethodData!H60</f>
        <v>45.9</v>
      </c>
      <c r="I63" s="4">
        <f>MethodData!I60</f>
        <v>31453.795699999999</v>
      </c>
      <c r="J63" s="4">
        <f>MethodData!J60</f>
        <v>0.33210000000000001</v>
      </c>
      <c r="K63" s="4">
        <f>MethodData!K60</f>
        <v>118</v>
      </c>
      <c r="L63" s="4">
        <f>MethodData!L60</f>
        <v>56</v>
      </c>
      <c r="M63" s="4">
        <f>MethodData!M60</f>
        <v>685.26790000000005</v>
      </c>
      <c r="N63" s="4">
        <f>MethodData!N60</f>
        <v>1</v>
      </c>
      <c r="O63" s="4">
        <f>MethodData!O60</f>
        <v>1</v>
      </c>
      <c r="P63" s="4">
        <f>MethodData!P60</f>
        <v>50</v>
      </c>
      <c r="Q63" s="4">
        <f>MethodData!Q60</f>
        <v>42.749000000000002</v>
      </c>
      <c r="R63" s="4">
        <f>MethodData!R60</f>
        <v>4</v>
      </c>
      <c r="S63" s="4">
        <f>MethodData!S60</f>
        <v>8</v>
      </c>
      <c r="T63" s="4">
        <f>MethodData!T60</f>
        <v>2</v>
      </c>
      <c r="U63" s="4">
        <f>MethodData!U60</f>
        <v>1</v>
      </c>
      <c r="W63" s="11">
        <f t="shared" si="23"/>
        <v>0.31578947368421051</v>
      </c>
      <c r="X63" s="11">
        <f t="shared" si="24"/>
        <v>0.32500000000000001</v>
      </c>
      <c r="Y63" s="11">
        <f t="shared" si="25"/>
        <v>0.1905</v>
      </c>
      <c r="Z63" s="11">
        <f t="shared" si="26"/>
        <v>0.62068965517241381</v>
      </c>
      <c r="AA63" s="11">
        <f t="shared" si="27"/>
        <v>0.5</v>
      </c>
      <c r="AB63" s="11">
        <f t="shared" si="28"/>
        <v>0</v>
      </c>
      <c r="AC63" s="11">
        <f t="shared" si="29"/>
        <v>0.45854145854145856</v>
      </c>
      <c r="AD63" s="11">
        <f t="shared" si="30"/>
        <v>0.16552408801436966</v>
      </c>
      <c r="AE63" s="11">
        <f t="shared" si="31"/>
        <v>0.3014158649482665</v>
      </c>
      <c r="AF63" s="11">
        <f t="shared" si="32"/>
        <v>0.31891891891891894</v>
      </c>
      <c r="AG63" s="11">
        <f t="shared" si="33"/>
        <v>0.5714285714285714</v>
      </c>
      <c r="AH63" s="11">
        <f t="shared" si="34"/>
        <v>0.27999345112322555</v>
      </c>
      <c r="AI63" s="11">
        <f t="shared" si="35"/>
        <v>1</v>
      </c>
      <c r="AJ63" s="11">
        <f t="shared" si="36"/>
        <v>0.33333333333333331</v>
      </c>
      <c r="AK63" s="11">
        <f t="shared" si="37"/>
        <v>0.37878787878787878</v>
      </c>
      <c r="AL63" s="11">
        <f t="shared" si="38"/>
        <v>0.44630440865109561</v>
      </c>
      <c r="AM63" s="11">
        <f t="shared" si="39"/>
        <v>0.83333333333333337</v>
      </c>
      <c r="AN63" s="11">
        <f t="shared" si="40"/>
        <v>0.25806451612903225</v>
      </c>
      <c r="AO63" s="11">
        <f t="shared" si="41"/>
        <v>0.16666666666666666</v>
      </c>
      <c r="AP63" s="11">
        <f t="shared" si="42"/>
        <v>0.25</v>
      </c>
      <c r="AQ63" s="11">
        <f t="shared" si="43"/>
        <v>7.7142916187327737</v>
      </c>
    </row>
    <row r="64" spans="1:43" ht="15" customHeight="1" x14ac:dyDescent="0.2">
      <c r="A64" s="3" t="str">
        <f>MethodData!A61</f>
        <v>Game: readEnemyFire(Scanner)</v>
      </c>
      <c r="B64" s="4">
        <f>MethodData!B61</f>
        <v>12</v>
      </c>
      <c r="C64" s="4">
        <f>MethodData!C61</f>
        <v>13</v>
      </c>
      <c r="D64" s="4">
        <f>MethodData!D61</f>
        <v>0.1905</v>
      </c>
      <c r="E64" s="4">
        <f>MethodData!E61</f>
        <v>18</v>
      </c>
      <c r="F64" s="4">
        <f>MethodData!F61</f>
        <v>2</v>
      </c>
      <c r="G64" s="4">
        <f>MethodData!G61</f>
        <v>0</v>
      </c>
      <c r="H64" s="4">
        <f>MethodData!H61</f>
        <v>45.9</v>
      </c>
      <c r="I64" s="4">
        <f>MethodData!I61</f>
        <v>31453.795699999999</v>
      </c>
      <c r="J64" s="4">
        <f>MethodData!J61</f>
        <v>0.33210000000000001</v>
      </c>
      <c r="K64" s="4">
        <f>MethodData!K61</f>
        <v>118</v>
      </c>
      <c r="L64" s="4">
        <f>MethodData!L61</f>
        <v>56</v>
      </c>
      <c r="M64" s="4">
        <f>MethodData!M61</f>
        <v>685.26790000000005</v>
      </c>
      <c r="N64" s="4">
        <f>MethodData!N61</f>
        <v>1</v>
      </c>
      <c r="O64" s="4">
        <f>MethodData!O61</f>
        <v>1</v>
      </c>
      <c r="P64" s="4">
        <f>MethodData!P61</f>
        <v>52</v>
      </c>
      <c r="Q64" s="4">
        <f>MethodData!Q61</f>
        <v>42.377400000000002</v>
      </c>
      <c r="R64" s="4">
        <f>MethodData!R61</f>
        <v>4</v>
      </c>
      <c r="S64" s="4">
        <f>MethodData!S61</f>
        <v>8</v>
      </c>
      <c r="T64" s="4">
        <f>MethodData!T61</f>
        <v>2</v>
      </c>
      <c r="U64" s="4">
        <f>MethodData!U61</f>
        <v>1</v>
      </c>
      <c r="W64" s="11">
        <f t="shared" si="23"/>
        <v>0.31578947368421051</v>
      </c>
      <c r="X64" s="11">
        <f t="shared" si="24"/>
        <v>0.32500000000000001</v>
      </c>
      <c r="Y64" s="11">
        <f t="shared" si="25"/>
        <v>0.1905</v>
      </c>
      <c r="Z64" s="11">
        <f t="shared" si="26"/>
        <v>0.62068965517241381</v>
      </c>
      <c r="AA64" s="11">
        <f t="shared" si="27"/>
        <v>0.5</v>
      </c>
      <c r="AB64" s="11">
        <f t="shared" si="28"/>
        <v>0</v>
      </c>
      <c r="AC64" s="11">
        <f t="shared" si="29"/>
        <v>0.45854145854145856</v>
      </c>
      <c r="AD64" s="11">
        <f t="shared" si="30"/>
        <v>0.16552408801436966</v>
      </c>
      <c r="AE64" s="11">
        <f t="shared" si="31"/>
        <v>0.3014158649482665</v>
      </c>
      <c r="AF64" s="11">
        <f t="shared" si="32"/>
        <v>0.31891891891891894</v>
      </c>
      <c r="AG64" s="11">
        <f t="shared" si="33"/>
        <v>0.5714285714285714</v>
      </c>
      <c r="AH64" s="11">
        <f t="shared" si="34"/>
        <v>0.27999345112322555</v>
      </c>
      <c r="AI64" s="11">
        <f t="shared" si="35"/>
        <v>1</v>
      </c>
      <c r="AJ64" s="11">
        <f t="shared" si="36"/>
        <v>0.33333333333333331</v>
      </c>
      <c r="AK64" s="11">
        <f t="shared" si="37"/>
        <v>0.39393939393939392</v>
      </c>
      <c r="AL64" s="11">
        <f t="shared" si="38"/>
        <v>0.44242486250370622</v>
      </c>
      <c r="AM64" s="11">
        <f t="shared" si="39"/>
        <v>0.83333333333333337</v>
      </c>
      <c r="AN64" s="11">
        <f t="shared" si="40"/>
        <v>0.25806451612903225</v>
      </c>
      <c r="AO64" s="11">
        <f t="shared" si="41"/>
        <v>0.16666666666666666</v>
      </c>
      <c r="AP64" s="11">
        <f t="shared" si="42"/>
        <v>0.25</v>
      </c>
      <c r="AQ64" s="11">
        <f t="shared" si="43"/>
        <v>7.7255635877368993</v>
      </c>
    </row>
    <row r="65" spans="1:43" ht="15" customHeight="1" x14ac:dyDescent="0.2">
      <c r="A65" s="3" t="str">
        <f>MethodData!A62</f>
        <v>Game: repeatedShot(IPosition)</v>
      </c>
      <c r="B65" s="4">
        <f>MethodData!B62</f>
        <v>3</v>
      </c>
      <c r="C65" s="4">
        <f>MethodData!C62</f>
        <v>2</v>
      </c>
      <c r="D65" s="4">
        <f>MethodData!D62</f>
        <v>1</v>
      </c>
      <c r="E65" s="4">
        <f>MethodData!E62</f>
        <v>2</v>
      </c>
      <c r="F65" s="4">
        <f>MethodData!F62</f>
        <v>1</v>
      </c>
      <c r="G65" s="4">
        <f>MethodData!G62</f>
        <v>0</v>
      </c>
      <c r="H65" s="4">
        <f>MethodData!H62</f>
        <v>5.25</v>
      </c>
      <c r="I65" s="4">
        <f>MethodData!I62</f>
        <v>348.69</v>
      </c>
      <c r="J65" s="4">
        <f>MethodData!J62</f>
        <v>1.6500000000000001E-2</v>
      </c>
      <c r="K65" s="4">
        <f>MethodData!K62</f>
        <v>17</v>
      </c>
      <c r="L65" s="4">
        <f>MethodData!L62</f>
        <v>15</v>
      </c>
      <c r="M65" s="4">
        <f>MethodData!M62</f>
        <v>66.417100000000005</v>
      </c>
      <c r="N65" s="4">
        <f>MethodData!N62</f>
        <v>1</v>
      </c>
      <c r="O65" s="4">
        <f>MethodData!O62</f>
        <v>1</v>
      </c>
      <c r="P65" s="4">
        <f>MethodData!P62</f>
        <v>8</v>
      </c>
      <c r="Q65" s="4">
        <f>MethodData!Q62</f>
        <v>67.411799999999999</v>
      </c>
      <c r="R65" s="4">
        <f>MethodData!R62</f>
        <v>0</v>
      </c>
      <c r="S65" s="4">
        <f>MethodData!S62</f>
        <v>3</v>
      </c>
      <c r="T65" s="4">
        <f>MethodData!T62</f>
        <v>1</v>
      </c>
      <c r="U65" s="4">
        <f>MethodData!U62</f>
        <v>1</v>
      </c>
      <c r="W65" s="11">
        <f t="shared" si="23"/>
        <v>7.8947368421052627E-2</v>
      </c>
      <c r="X65" s="11">
        <f t="shared" si="24"/>
        <v>0.05</v>
      </c>
      <c r="Y65" s="11">
        <f t="shared" si="25"/>
        <v>1</v>
      </c>
      <c r="Z65" s="11">
        <f t="shared" si="26"/>
        <v>6.8965517241379309E-2</v>
      </c>
      <c r="AA65" s="11">
        <f t="shared" si="27"/>
        <v>0.25</v>
      </c>
      <c r="AB65" s="11">
        <f t="shared" si="28"/>
        <v>0</v>
      </c>
      <c r="AC65" s="11">
        <f t="shared" si="29"/>
        <v>5.2447552447552448E-2</v>
      </c>
      <c r="AD65" s="11">
        <f t="shared" si="30"/>
        <v>1.8349643648804699E-3</v>
      </c>
      <c r="AE65" s="11">
        <f t="shared" si="31"/>
        <v>1.497549464512616E-2</v>
      </c>
      <c r="AF65" s="11">
        <f t="shared" si="32"/>
        <v>4.5945945945945948E-2</v>
      </c>
      <c r="AG65" s="11">
        <f t="shared" si="33"/>
        <v>0.15306122448979592</v>
      </c>
      <c r="AH65" s="11">
        <f t="shared" si="34"/>
        <v>2.7137347368228374E-2</v>
      </c>
      <c r="AI65" s="11">
        <f t="shared" si="35"/>
        <v>1</v>
      </c>
      <c r="AJ65" s="11">
        <f t="shared" si="36"/>
        <v>0.33333333333333331</v>
      </c>
      <c r="AK65" s="11">
        <f t="shared" si="37"/>
        <v>6.0606060606060608E-2</v>
      </c>
      <c r="AL65" s="11">
        <f t="shared" si="38"/>
        <v>0.70378683794020735</v>
      </c>
      <c r="AM65" s="11">
        <f t="shared" si="39"/>
        <v>0.16666666666666666</v>
      </c>
      <c r="AN65" s="11">
        <f t="shared" si="40"/>
        <v>9.6774193548387094E-2</v>
      </c>
      <c r="AO65" s="11">
        <f t="shared" si="41"/>
        <v>8.3333333333333329E-2</v>
      </c>
      <c r="AP65" s="11">
        <f t="shared" si="42"/>
        <v>0.25</v>
      </c>
      <c r="AQ65" s="11">
        <f t="shared" si="43"/>
        <v>4.4378158403519494</v>
      </c>
    </row>
    <row r="66" spans="1:43" ht="15" customHeight="1" x14ac:dyDescent="0.2">
      <c r="A66" s="3" t="str">
        <f>MethodData!A63</f>
        <v>Game: repeatedShotAtAlien(IPosition)</v>
      </c>
      <c r="B66" s="4">
        <f>MethodData!B63</f>
        <v>3</v>
      </c>
      <c r="C66" s="4">
        <f>MethodData!C63</f>
        <v>2</v>
      </c>
      <c r="D66" s="4">
        <f>MethodData!D63</f>
        <v>1</v>
      </c>
      <c r="E66" s="4">
        <f>MethodData!E63</f>
        <v>2</v>
      </c>
      <c r="F66" s="4">
        <f>MethodData!F63</f>
        <v>1</v>
      </c>
      <c r="G66" s="4">
        <f>MethodData!G63</f>
        <v>0</v>
      </c>
      <c r="H66" s="4">
        <f>MethodData!H63</f>
        <v>5.25</v>
      </c>
      <c r="I66" s="4">
        <f>MethodData!I63</f>
        <v>348.69</v>
      </c>
      <c r="J66" s="4">
        <f>MethodData!J63</f>
        <v>1.6500000000000001E-2</v>
      </c>
      <c r="K66" s="4">
        <f>MethodData!K63</f>
        <v>17</v>
      </c>
      <c r="L66" s="4">
        <f>MethodData!L63</f>
        <v>15</v>
      </c>
      <c r="M66" s="4">
        <f>MethodData!M63</f>
        <v>66.417100000000005</v>
      </c>
      <c r="N66" s="4">
        <f>MethodData!N63</f>
        <v>1</v>
      </c>
      <c r="O66" s="4">
        <f>MethodData!O63</f>
        <v>1</v>
      </c>
      <c r="P66" s="4">
        <f>MethodData!P63</f>
        <v>14</v>
      </c>
      <c r="Q66" s="4">
        <f>MethodData!Q63</f>
        <v>62.110199999999999</v>
      </c>
      <c r="R66" s="4">
        <f>MethodData!R63</f>
        <v>0</v>
      </c>
      <c r="S66" s="4">
        <f>MethodData!S63</f>
        <v>3</v>
      </c>
      <c r="T66" s="4">
        <f>MethodData!T63</f>
        <v>1</v>
      </c>
      <c r="U66" s="4">
        <f>MethodData!U63</f>
        <v>1</v>
      </c>
      <c r="W66" s="11">
        <f t="shared" si="23"/>
        <v>7.8947368421052627E-2</v>
      </c>
      <c r="X66" s="11">
        <f t="shared" si="24"/>
        <v>0.05</v>
      </c>
      <c r="Y66" s="11">
        <f t="shared" si="25"/>
        <v>1</v>
      </c>
      <c r="Z66" s="11">
        <f t="shared" si="26"/>
        <v>6.8965517241379309E-2</v>
      </c>
      <c r="AA66" s="11">
        <f t="shared" si="27"/>
        <v>0.25</v>
      </c>
      <c r="AB66" s="11">
        <f t="shared" si="28"/>
        <v>0</v>
      </c>
      <c r="AC66" s="11">
        <f t="shared" si="29"/>
        <v>5.2447552447552448E-2</v>
      </c>
      <c r="AD66" s="11">
        <f t="shared" si="30"/>
        <v>1.8349643648804699E-3</v>
      </c>
      <c r="AE66" s="11">
        <f t="shared" si="31"/>
        <v>1.497549464512616E-2</v>
      </c>
      <c r="AF66" s="11">
        <f t="shared" si="32"/>
        <v>4.5945945945945948E-2</v>
      </c>
      <c r="AG66" s="11">
        <f t="shared" si="33"/>
        <v>0.15306122448979592</v>
      </c>
      <c r="AH66" s="11">
        <f t="shared" si="34"/>
        <v>2.7137347368228374E-2</v>
      </c>
      <c r="AI66" s="11">
        <f t="shared" si="35"/>
        <v>1</v>
      </c>
      <c r="AJ66" s="11">
        <f t="shared" si="36"/>
        <v>0.33333333333333331</v>
      </c>
      <c r="AK66" s="11">
        <f t="shared" si="37"/>
        <v>0.10606060606060606</v>
      </c>
      <c r="AL66" s="11">
        <f t="shared" si="38"/>
        <v>0.64843753262535442</v>
      </c>
      <c r="AM66" s="11">
        <f t="shared" si="39"/>
        <v>0.16666666666666666</v>
      </c>
      <c r="AN66" s="11">
        <f t="shared" si="40"/>
        <v>9.6774193548387094E-2</v>
      </c>
      <c r="AO66" s="11">
        <f t="shared" si="41"/>
        <v>8.3333333333333329E-2</v>
      </c>
      <c r="AP66" s="11">
        <f t="shared" si="42"/>
        <v>0.25</v>
      </c>
      <c r="AQ66" s="11">
        <f t="shared" si="43"/>
        <v>4.4279210804916422</v>
      </c>
    </row>
    <row r="67" spans="1:43" ht="15" customHeight="1" x14ac:dyDescent="0.2">
      <c r="A67" s="3" t="str">
        <f>MethodData!A64</f>
        <v>GameResult: GameResult()</v>
      </c>
      <c r="B67" s="4">
        <f>MethodData!B64</f>
        <v>1</v>
      </c>
      <c r="C67" s="4">
        <f>MethodData!C64</f>
        <v>0</v>
      </c>
      <c r="D67" s="4">
        <f>MethodData!D64</f>
        <v>0</v>
      </c>
      <c r="E67" s="4">
        <f>MethodData!E64</f>
        <v>0</v>
      </c>
      <c r="F67" s="4">
        <f>MethodData!F64</f>
        <v>0</v>
      </c>
      <c r="G67" s="4">
        <f>MethodData!G64</f>
        <v>0</v>
      </c>
      <c r="H67" s="4">
        <f>MethodData!H64</f>
        <v>0</v>
      </c>
      <c r="I67" s="4">
        <f>MethodData!I64</f>
        <v>0</v>
      </c>
      <c r="J67" s="4">
        <f>MethodData!J64</f>
        <v>0</v>
      </c>
      <c r="K67" s="4">
        <f>MethodData!K64</f>
        <v>1</v>
      </c>
      <c r="L67" s="4">
        <f>MethodData!L64</f>
        <v>1</v>
      </c>
      <c r="M67" s="4">
        <f>MethodData!M64</f>
        <v>0</v>
      </c>
      <c r="N67" s="4">
        <f>MethodData!N64</f>
        <v>0</v>
      </c>
      <c r="O67" s="4">
        <f>MethodData!O64</f>
        <v>0</v>
      </c>
      <c r="P67" s="4">
        <f>MethodData!P64</f>
        <v>3</v>
      </c>
      <c r="Q67" s="4">
        <f>MethodData!Q64</f>
        <v>0</v>
      </c>
      <c r="R67" s="4">
        <f>MethodData!R64</f>
        <v>0</v>
      </c>
      <c r="S67" s="4">
        <f>MethodData!S64</f>
        <v>0</v>
      </c>
      <c r="T67" s="4">
        <f>MethodData!T64</f>
        <v>0</v>
      </c>
      <c r="U67" s="4">
        <f>MethodData!U64</f>
        <v>0</v>
      </c>
      <c r="W67" s="11">
        <f t="shared" si="23"/>
        <v>2.6315789473684209E-2</v>
      </c>
      <c r="X67" s="11">
        <f t="shared" si="24"/>
        <v>0</v>
      </c>
      <c r="Y67" s="11">
        <f t="shared" si="25"/>
        <v>0</v>
      </c>
      <c r="Z67" s="11">
        <f t="shared" si="26"/>
        <v>0</v>
      </c>
      <c r="AA67" s="11">
        <f t="shared" si="27"/>
        <v>0</v>
      </c>
      <c r="AB67" s="11">
        <f t="shared" si="28"/>
        <v>0</v>
      </c>
      <c r="AC67" s="11">
        <f t="shared" si="29"/>
        <v>0</v>
      </c>
      <c r="AD67" s="11">
        <f t="shared" si="30"/>
        <v>0</v>
      </c>
      <c r="AE67" s="11">
        <f t="shared" si="31"/>
        <v>0</v>
      </c>
      <c r="AF67" s="11">
        <f t="shared" si="32"/>
        <v>2.7027027027027029E-3</v>
      </c>
      <c r="AG67" s="11">
        <f t="shared" si="33"/>
        <v>1.020408163265306E-2</v>
      </c>
      <c r="AH67" s="11">
        <f t="shared" si="34"/>
        <v>0</v>
      </c>
      <c r="AI67" s="11">
        <f t="shared" si="35"/>
        <v>0</v>
      </c>
      <c r="AJ67" s="11">
        <f t="shared" si="36"/>
        <v>0</v>
      </c>
      <c r="AK67" s="11">
        <f t="shared" si="37"/>
        <v>2.2727272727272728E-2</v>
      </c>
      <c r="AL67" s="11">
        <f t="shared" si="38"/>
        <v>0</v>
      </c>
      <c r="AM67" s="11">
        <f t="shared" si="39"/>
        <v>0.16666666666666666</v>
      </c>
      <c r="AN67" s="11">
        <f t="shared" si="40"/>
        <v>0</v>
      </c>
      <c r="AO67" s="11">
        <f t="shared" si="41"/>
        <v>0</v>
      </c>
      <c r="AP67" s="11">
        <f t="shared" si="42"/>
        <v>0</v>
      </c>
      <c r="AQ67" s="11">
        <f t="shared" si="43"/>
        <v>0.22861651320297935</v>
      </c>
    </row>
    <row r="68" spans="1:43" ht="15" customHeight="1" x14ac:dyDescent="0.2">
      <c r="A68" s="3" t="str">
        <f>MethodData!A65</f>
        <v>GameResult: GameResult(String, int, boolean)</v>
      </c>
      <c r="B68" s="4">
        <f>MethodData!B65</f>
        <v>1</v>
      </c>
      <c r="C68" s="4">
        <f>MethodData!C65</f>
        <v>0</v>
      </c>
      <c r="D68" s="4">
        <f>MethodData!D65</f>
        <v>1</v>
      </c>
      <c r="E68" s="4">
        <f>MethodData!E65</f>
        <v>1</v>
      </c>
      <c r="F68" s="4">
        <f>MethodData!F65</f>
        <v>0</v>
      </c>
      <c r="G68" s="4">
        <f>MethodData!G65</f>
        <v>0</v>
      </c>
      <c r="H68" s="4">
        <f>MethodData!H65</f>
        <v>2.5</v>
      </c>
      <c r="I68" s="4">
        <f>MethodData!I65</f>
        <v>134.43610000000001</v>
      </c>
      <c r="J68" s="4">
        <f>MethodData!J65</f>
        <v>8.6999999999999994E-3</v>
      </c>
      <c r="K68" s="4">
        <f>MethodData!K65</f>
        <v>15</v>
      </c>
      <c r="L68" s="4">
        <f>MethodData!L65</f>
        <v>12</v>
      </c>
      <c r="M68" s="4">
        <f>MethodData!M65</f>
        <v>53.7744</v>
      </c>
      <c r="N68" s="4">
        <f>MethodData!N65</f>
        <v>1</v>
      </c>
      <c r="O68" s="4">
        <f>MethodData!O65</f>
        <v>0</v>
      </c>
      <c r="P68" s="4">
        <f>MethodData!P65</f>
        <v>13</v>
      </c>
      <c r="Q68" s="4">
        <f>MethodData!Q65</f>
        <v>63.627099999999999</v>
      </c>
      <c r="R68" s="4">
        <f>MethodData!R65</f>
        <v>0</v>
      </c>
      <c r="S68" s="4">
        <f>MethodData!S65</f>
        <v>7</v>
      </c>
      <c r="T68" s="4">
        <f>MethodData!T65</f>
        <v>0</v>
      </c>
      <c r="U68" s="4">
        <f>MethodData!U65</f>
        <v>3</v>
      </c>
      <c r="W68" s="11">
        <f t="shared" si="23"/>
        <v>2.6315789473684209E-2</v>
      </c>
      <c r="X68" s="11">
        <f t="shared" si="24"/>
        <v>0</v>
      </c>
      <c r="Y68" s="11">
        <f t="shared" si="25"/>
        <v>1</v>
      </c>
      <c r="Z68" s="11">
        <f t="shared" si="26"/>
        <v>3.4482758620689655E-2</v>
      </c>
      <c r="AA68" s="11">
        <f t="shared" si="27"/>
        <v>0</v>
      </c>
      <c r="AB68" s="11">
        <f t="shared" si="28"/>
        <v>0</v>
      </c>
      <c r="AC68" s="11">
        <f t="shared" si="29"/>
        <v>2.4975024975024976E-2</v>
      </c>
      <c r="AD68" s="11">
        <f t="shared" si="30"/>
        <v>7.0746351444981898E-4</v>
      </c>
      <c r="AE68" s="11">
        <f t="shared" si="31"/>
        <v>7.896169903793793E-3</v>
      </c>
      <c r="AF68" s="11">
        <f t="shared" si="32"/>
        <v>4.0540540540540543E-2</v>
      </c>
      <c r="AG68" s="11">
        <f t="shared" si="33"/>
        <v>0.12244897959183673</v>
      </c>
      <c r="AH68" s="11">
        <f t="shared" si="34"/>
        <v>2.1971669529655159E-2</v>
      </c>
      <c r="AI68" s="11">
        <f t="shared" si="35"/>
        <v>1</v>
      </c>
      <c r="AJ68" s="11">
        <f t="shared" si="36"/>
        <v>0</v>
      </c>
      <c r="AK68" s="11">
        <f t="shared" si="37"/>
        <v>9.8484848484848481E-2</v>
      </c>
      <c r="AL68" s="11">
        <f t="shared" si="38"/>
        <v>0.66427414067426427</v>
      </c>
      <c r="AM68" s="11">
        <f t="shared" si="39"/>
        <v>0.16666666666666666</v>
      </c>
      <c r="AN68" s="11">
        <f t="shared" si="40"/>
        <v>0.22580645161290322</v>
      </c>
      <c r="AO68" s="11">
        <f t="shared" si="41"/>
        <v>0</v>
      </c>
      <c r="AP68" s="11">
        <f t="shared" si="42"/>
        <v>0.75</v>
      </c>
      <c r="AQ68" s="11">
        <f t="shared" si="43"/>
        <v>4.1845705035883576</v>
      </c>
    </row>
    <row r="69" spans="1:43" ht="15" customHeight="1" x14ac:dyDescent="0.2">
      <c r="A69" s="3" t="str">
        <f>MethodData!A66</f>
        <v>GameResult: getDate()</v>
      </c>
      <c r="B69" s="4">
        <f>MethodData!B66</f>
        <v>1</v>
      </c>
      <c r="C69" s="4">
        <f>MethodData!C66</f>
        <v>0</v>
      </c>
      <c r="D69" s="4">
        <f>MethodData!D66</f>
        <v>0</v>
      </c>
      <c r="E69" s="4">
        <f>MethodData!E66</f>
        <v>0</v>
      </c>
      <c r="F69" s="4">
        <f>MethodData!F66</f>
        <v>0</v>
      </c>
      <c r="G69" s="4">
        <f>MethodData!G66</f>
        <v>0</v>
      </c>
      <c r="H69" s="4">
        <f>MethodData!H66</f>
        <v>1</v>
      </c>
      <c r="I69" s="4">
        <f>MethodData!I66</f>
        <v>4.7549000000000001</v>
      </c>
      <c r="J69" s="4">
        <f>MethodData!J66</f>
        <v>8.9999999999999998E-4</v>
      </c>
      <c r="K69" s="4">
        <f>MethodData!K66</f>
        <v>3</v>
      </c>
      <c r="L69" s="4">
        <f>MethodData!L66</f>
        <v>3</v>
      </c>
      <c r="M69" s="4">
        <f>MethodData!M66</f>
        <v>4.7549000000000001</v>
      </c>
      <c r="N69" s="4">
        <f>MethodData!N66</f>
        <v>1</v>
      </c>
      <c r="O69" s="4">
        <f>MethodData!O66</f>
        <v>0</v>
      </c>
      <c r="P69" s="4">
        <f>MethodData!P66</f>
        <v>1</v>
      </c>
      <c r="Q69" s="4">
        <f>MethodData!Q66</f>
        <v>95.784400000000005</v>
      </c>
      <c r="R69" s="4">
        <f>MethodData!R66</f>
        <v>0</v>
      </c>
      <c r="S69" s="4">
        <f>MethodData!S66</f>
        <v>1</v>
      </c>
      <c r="T69" s="4">
        <f>MethodData!T66</f>
        <v>0</v>
      </c>
      <c r="U69" s="4">
        <f>MethodData!U66</f>
        <v>0</v>
      </c>
      <c r="W69" s="11">
        <f t="shared" ref="W69:W100" si="44">IF(B$3-B$2=0,0,(B69-B$2)/(B$3-B$2))</f>
        <v>2.6315789473684209E-2</v>
      </c>
      <c r="X69" s="11">
        <f t="shared" ref="X69:X100" si="45">IF(C$3-C$2=0,0,(C69-C$2)/(C$3-C$2))</f>
        <v>0</v>
      </c>
      <c r="Y69" s="11">
        <f t="shared" ref="Y69:Y100" si="46">IF(D$3-D$2=0,0,(D69-D$2)/(D$3-D$2))</f>
        <v>0</v>
      </c>
      <c r="Z69" s="11">
        <f t="shared" ref="Z69:Z100" si="47">IF(E$3-E$2=0,0,(E69-E$2)/(E$3-E$2))</f>
        <v>0</v>
      </c>
      <c r="AA69" s="11">
        <f t="shared" ref="AA69:AA100" si="48">IF(F$3-F$2=0,0,(F69-F$2)/(F$3-F$2))</f>
        <v>0</v>
      </c>
      <c r="AB69" s="11">
        <f t="shared" ref="AB69:AB100" si="49">IF(G$3-G$2=0,0,(G69-G$2)/(G$3-G$2))</f>
        <v>0</v>
      </c>
      <c r="AC69" s="11">
        <f t="shared" ref="AC69:AC100" si="50">IF(H$3-H$2=0,0,(H69-H$2)/(H$3-H$2))</f>
        <v>9.99000999000999E-3</v>
      </c>
      <c r="AD69" s="11">
        <f t="shared" ref="AD69:AD100" si="51">IF(I$3-I$2=0,0,(I69-I$2)/(I$3-I$2))</f>
        <v>2.5022432701167647E-5</v>
      </c>
      <c r="AE69" s="11">
        <f t="shared" ref="AE69:AE100" si="52">IF(J$3-J$2=0,0,(J69-J$2)/(J$3-J$2))</f>
        <v>8.1684516246142676E-4</v>
      </c>
      <c r="AF69" s="11">
        <f t="shared" ref="AF69:AF100" si="53">IF(K$3-K$2=0,0,(K69-K$2)/(K$3-K$2))</f>
        <v>8.1081081081081086E-3</v>
      </c>
      <c r="AG69" s="11">
        <f t="shared" ref="AG69:AG100" si="54">IF(L$3-L$2=0,0,(L69-L$2)/(L$3-L$2))</f>
        <v>3.0612244897959183E-2</v>
      </c>
      <c r="AH69" s="11">
        <f t="shared" ref="AH69:AH100" si="55">IF(M$3-M$2=0,0,(M69-M$2)/(M$3-M$2))</f>
        <v>1.9428034798446346E-3</v>
      </c>
      <c r="AI69" s="11">
        <f t="shared" ref="AI69:AI100" si="56">IF(N$3-N$2=0,0,(N69-N$2)/(N$3-N$2))</f>
        <v>1</v>
      </c>
      <c r="AJ69" s="11">
        <f t="shared" ref="AJ69:AJ100" si="57">IF(O$3-O$2=0,0,(O69-O$2)/(O$3-O$2))</f>
        <v>0</v>
      </c>
      <c r="AK69" s="11">
        <f t="shared" ref="AK69:AK100" si="58">IF(P$3-P$2=0,0,(P69-P$2)/(P$3-P$2))</f>
        <v>7.575757575757576E-3</v>
      </c>
      <c r="AL69" s="11">
        <f t="shared" ref="AL69:AL100" si="59">IF(Q$3-Q$2=0,0,(Q69-Q$2)/(Q$3-Q$2))</f>
        <v>1</v>
      </c>
      <c r="AM69" s="11">
        <f t="shared" ref="AM69:AM100" si="60">IF(R$3-R$2=0,0,(R69-R$2)/(R$3-R$2))</f>
        <v>0.16666666666666666</v>
      </c>
      <c r="AN69" s="11">
        <f t="shared" ref="AN69:AN100" si="61">IF(S$3-S$2=0,0,(S69-S$2)/(S$3-S$2))</f>
        <v>3.2258064516129031E-2</v>
      </c>
      <c r="AO69" s="11">
        <f t="shared" ref="AO69:AO100" si="62">IF(T$3-T$2=0,0,(T69-T$2)/(T$3-T$2))</f>
        <v>0</v>
      </c>
      <c r="AP69" s="11">
        <f t="shared" ref="AP69:AP100" si="63">IF(U$3-U$2=0,0,(U69-U$2)/(U$3-U$2))</f>
        <v>0</v>
      </c>
      <c r="AQ69" s="11">
        <f t="shared" ref="AQ69:AQ100" si="64">SUM(W69:AP69)</f>
        <v>2.2843113123033221</v>
      </c>
    </row>
    <row r="70" spans="1:43" ht="15" customHeight="1" x14ac:dyDescent="0.2">
      <c r="A70" s="3" t="str">
        <f>MethodData!A67</f>
        <v>GameResult: getPlayerName()</v>
      </c>
      <c r="B70" s="4">
        <f>MethodData!B67</f>
        <v>1</v>
      </c>
      <c r="C70" s="4">
        <f>MethodData!C67</f>
        <v>0</v>
      </c>
      <c r="D70" s="4">
        <f>MethodData!D67</f>
        <v>0</v>
      </c>
      <c r="E70" s="4">
        <f>MethodData!E67</f>
        <v>0</v>
      </c>
      <c r="F70" s="4">
        <f>MethodData!F67</f>
        <v>0</v>
      </c>
      <c r="G70" s="4">
        <f>MethodData!G67</f>
        <v>0</v>
      </c>
      <c r="H70" s="4">
        <f>MethodData!H67</f>
        <v>1</v>
      </c>
      <c r="I70" s="4">
        <f>MethodData!I67</f>
        <v>4.7549000000000001</v>
      </c>
      <c r="J70" s="4">
        <f>MethodData!J67</f>
        <v>8.9999999999999998E-4</v>
      </c>
      <c r="K70" s="4">
        <f>MethodData!K67</f>
        <v>3</v>
      </c>
      <c r="L70" s="4">
        <f>MethodData!L67</f>
        <v>3</v>
      </c>
      <c r="M70" s="4">
        <f>MethodData!M67</f>
        <v>4.7549000000000001</v>
      </c>
      <c r="N70" s="4">
        <f>MethodData!N67</f>
        <v>1</v>
      </c>
      <c r="O70" s="4">
        <f>MethodData!O67</f>
        <v>0</v>
      </c>
      <c r="P70" s="4">
        <f>MethodData!P67</f>
        <v>1</v>
      </c>
      <c r="Q70" s="4">
        <f>MethodData!Q67</f>
        <v>95.784400000000005</v>
      </c>
      <c r="R70" s="4">
        <f>MethodData!R67</f>
        <v>0</v>
      </c>
      <c r="S70" s="4">
        <f>MethodData!S67</f>
        <v>1</v>
      </c>
      <c r="T70" s="4">
        <f>MethodData!T67</f>
        <v>0</v>
      </c>
      <c r="U70" s="4">
        <f>MethodData!U67</f>
        <v>0</v>
      </c>
      <c r="W70" s="11">
        <f t="shared" si="44"/>
        <v>2.6315789473684209E-2</v>
      </c>
      <c r="X70" s="11">
        <f t="shared" si="45"/>
        <v>0</v>
      </c>
      <c r="Y70" s="11">
        <f t="shared" si="46"/>
        <v>0</v>
      </c>
      <c r="Z70" s="11">
        <f t="shared" si="47"/>
        <v>0</v>
      </c>
      <c r="AA70" s="11">
        <f t="shared" si="48"/>
        <v>0</v>
      </c>
      <c r="AB70" s="11">
        <f t="shared" si="49"/>
        <v>0</v>
      </c>
      <c r="AC70" s="11">
        <f t="shared" si="50"/>
        <v>9.99000999000999E-3</v>
      </c>
      <c r="AD70" s="11">
        <f t="shared" si="51"/>
        <v>2.5022432701167647E-5</v>
      </c>
      <c r="AE70" s="11">
        <f t="shared" si="52"/>
        <v>8.1684516246142676E-4</v>
      </c>
      <c r="AF70" s="11">
        <f t="shared" si="53"/>
        <v>8.1081081081081086E-3</v>
      </c>
      <c r="AG70" s="11">
        <f t="shared" si="54"/>
        <v>3.0612244897959183E-2</v>
      </c>
      <c r="AH70" s="11">
        <f t="shared" si="55"/>
        <v>1.9428034798446346E-3</v>
      </c>
      <c r="AI70" s="11">
        <f t="shared" si="56"/>
        <v>1</v>
      </c>
      <c r="AJ70" s="11">
        <f t="shared" si="57"/>
        <v>0</v>
      </c>
      <c r="AK70" s="11">
        <f t="shared" si="58"/>
        <v>7.575757575757576E-3</v>
      </c>
      <c r="AL70" s="11">
        <f t="shared" si="59"/>
        <v>1</v>
      </c>
      <c r="AM70" s="11">
        <f t="shared" si="60"/>
        <v>0.16666666666666666</v>
      </c>
      <c r="AN70" s="11">
        <f t="shared" si="61"/>
        <v>3.2258064516129031E-2</v>
      </c>
      <c r="AO70" s="11">
        <f t="shared" si="62"/>
        <v>0</v>
      </c>
      <c r="AP70" s="11">
        <f t="shared" si="63"/>
        <v>0</v>
      </c>
      <c r="AQ70" s="11">
        <f t="shared" si="64"/>
        <v>2.2843113123033221</v>
      </c>
    </row>
    <row r="71" spans="1:43" ht="15" customHeight="1" x14ac:dyDescent="0.2">
      <c r="A71" s="3" t="str">
        <f>MethodData!A68</f>
        <v>GameResult: getTotalMoves()</v>
      </c>
      <c r="B71" s="4">
        <f>MethodData!B68</f>
        <v>1</v>
      </c>
      <c r="C71" s="4">
        <f>MethodData!C68</f>
        <v>0</v>
      </c>
      <c r="D71" s="4">
        <f>MethodData!D68</f>
        <v>0</v>
      </c>
      <c r="E71" s="4">
        <f>MethodData!E68</f>
        <v>0</v>
      </c>
      <c r="F71" s="4">
        <f>MethodData!F68</f>
        <v>0</v>
      </c>
      <c r="G71" s="4">
        <f>MethodData!G68</f>
        <v>0</v>
      </c>
      <c r="H71" s="4">
        <f>MethodData!H68</f>
        <v>1.5</v>
      </c>
      <c r="I71" s="4">
        <f>MethodData!I68</f>
        <v>12</v>
      </c>
      <c r="J71" s="4">
        <f>MethodData!J68</f>
        <v>1.6999999999999999E-3</v>
      </c>
      <c r="K71" s="4">
        <f>MethodData!K68</f>
        <v>4</v>
      </c>
      <c r="L71" s="4">
        <f>MethodData!L68</f>
        <v>4</v>
      </c>
      <c r="M71" s="4">
        <f>MethodData!M68</f>
        <v>8</v>
      </c>
      <c r="N71" s="4">
        <f>MethodData!N68</f>
        <v>1</v>
      </c>
      <c r="O71" s="4">
        <f>MethodData!O68</f>
        <v>0</v>
      </c>
      <c r="P71" s="4">
        <f>MethodData!P68</f>
        <v>1</v>
      </c>
      <c r="Q71" s="4">
        <f>MethodData!Q68</f>
        <v>93.676599999999993</v>
      </c>
      <c r="R71" s="4">
        <f>MethodData!R68</f>
        <v>0</v>
      </c>
      <c r="S71" s="4">
        <f>MethodData!S68</f>
        <v>1</v>
      </c>
      <c r="T71" s="4">
        <f>MethodData!T68</f>
        <v>0</v>
      </c>
      <c r="U71" s="4">
        <f>MethodData!U68</f>
        <v>0</v>
      </c>
      <c r="W71" s="11">
        <f t="shared" si="44"/>
        <v>2.6315789473684209E-2</v>
      </c>
      <c r="X71" s="11">
        <f t="shared" si="45"/>
        <v>0</v>
      </c>
      <c r="Y71" s="11">
        <f t="shared" si="46"/>
        <v>0</v>
      </c>
      <c r="Z71" s="11">
        <f t="shared" si="47"/>
        <v>0</v>
      </c>
      <c r="AA71" s="11">
        <f t="shared" si="48"/>
        <v>0</v>
      </c>
      <c r="AB71" s="11">
        <f t="shared" si="49"/>
        <v>0</v>
      </c>
      <c r="AC71" s="11">
        <f t="shared" si="50"/>
        <v>1.4985014985014986E-2</v>
      </c>
      <c r="AD71" s="11">
        <f t="shared" si="51"/>
        <v>6.3149423208482149E-5</v>
      </c>
      <c r="AE71" s="11">
        <f t="shared" si="52"/>
        <v>1.5429297513160284E-3</v>
      </c>
      <c r="AF71" s="11">
        <f t="shared" si="53"/>
        <v>1.0810810810810811E-2</v>
      </c>
      <c r="AG71" s="11">
        <f t="shared" si="54"/>
        <v>4.0816326530612242E-2</v>
      </c>
      <c r="AH71" s="11">
        <f t="shared" si="55"/>
        <v>3.2687181305089651E-3</v>
      </c>
      <c r="AI71" s="11">
        <f t="shared" si="56"/>
        <v>1</v>
      </c>
      <c r="AJ71" s="11">
        <f t="shared" si="57"/>
        <v>0</v>
      </c>
      <c r="AK71" s="11">
        <f t="shared" si="58"/>
        <v>7.575757575757576E-3</v>
      </c>
      <c r="AL71" s="11">
        <f t="shared" si="59"/>
        <v>0.9779943289303894</v>
      </c>
      <c r="AM71" s="11">
        <f t="shared" si="60"/>
        <v>0.16666666666666666</v>
      </c>
      <c r="AN71" s="11">
        <f t="shared" si="61"/>
        <v>3.2258064516129031E-2</v>
      </c>
      <c r="AO71" s="11">
        <f t="shared" si="62"/>
        <v>0</v>
      </c>
      <c r="AP71" s="11">
        <f t="shared" si="63"/>
        <v>0</v>
      </c>
      <c r="AQ71" s="11">
        <f t="shared" si="64"/>
        <v>2.2822975567940982</v>
      </c>
    </row>
    <row r="72" spans="1:43" ht="15" customHeight="1" x14ac:dyDescent="0.2">
      <c r="A72" s="3" t="str">
        <f>MethodData!A69</f>
        <v>GameResult: isPlayerWon()</v>
      </c>
      <c r="B72" s="4">
        <f>MethodData!B69</f>
        <v>1</v>
      </c>
      <c r="C72" s="4">
        <f>MethodData!C69</f>
        <v>0</v>
      </c>
      <c r="D72" s="4">
        <f>MethodData!D69</f>
        <v>0</v>
      </c>
      <c r="E72" s="4">
        <f>MethodData!E69</f>
        <v>0</v>
      </c>
      <c r="F72" s="4">
        <f>MethodData!F69</f>
        <v>0</v>
      </c>
      <c r="G72" s="4">
        <f>MethodData!G69</f>
        <v>0</v>
      </c>
      <c r="H72" s="4">
        <f>MethodData!H69</f>
        <v>1.5</v>
      </c>
      <c r="I72" s="4">
        <f>MethodData!I69</f>
        <v>12</v>
      </c>
      <c r="J72" s="4">
        <f>MethodData!J69</f>
        <v>1.6999999999999999E-3</v>
      </c>
      <c r="K72" s="4">
        <f>MethodData!K69</f>
        <v>4</v>
      </c>
      <c r="L72" s="4">
        <f>MethodData!L69</f>
        <v>4</v>
      </c>
      <c r="M72" s="4">
        <f>MethodData!M69</f>
        <v>8</v>
      </c>
      <c r="N72" s="4">
        <f>MethodData!N69</f>
        <v>1</v>
      </c>
      <c r="O72" s="4">
        <f>MethodData!O69</f>
        <v>0</v>
      </c>
      <c r="P72" s="4">
        <f>MethodData!P69</f>
        <v>1</v>
      </c>
      <c r="Q72" s="4">
        <f>MethodData!Q69</f>
        <v>93.676599999999993</v>
      </c>
      <c r="R72" s="4">
        <f>MethodData!R69</f>
        <v>0</v>
      </c>
      <c r="S72" s="4">
        <f>MethodData!S69</f>
        <v>1</v>
      </c>
      <c r="T72" s="4">
        <f>MethodData!T69</f>
        <v>0</v>
      </c>
      <c r="U72" s="4">
        <f>MethodData!U69</f>
        <v>0</v>
      </c>
      <c r="W72" s="11">
        <f t="shared" si="44"/>
        <v>2.6315789473684209E-2</v>
      </c>
      <c r="X72" s="11">
        <f t="shared" si="45"/>
        <v>0</v>
      </c>
      <c r="Y72" s="11">
        <f t="shared" si="46"/>
        <v>0</v>
      </c>
      <c r="Z72" s="11">
        <f t="shared" si="47"/>
        <v>0</v>
      </c>
      <c r="AA72" s="11">
        <f t="shared" si="48"/>
        <v>0</v>
      </c>
      <c r="AB72" s="11">
        <f t="shared" si="49"/>
        <v>0</v>
      </c>
      <c r="AC72" s="11">
        <f t="shared" si="50"/>
        <v>1.4985014985014986E-2</v>
      </c>
      <c r="AD72" s="11">
        <f t="shared" si="51"/>
        <v>6.3149423208482149E-5</v>
      </c>
      <c r="AE72" s="11">
        <f t="shared" si="52"/>
        <v>1.5429297513160284E-3</v>
      </c>
      <c r="AF72" s="11">
        <f t="shared" si="53"/>
        <v>1.0810810810810811E-2</v>
      </c>
      <c r="AG72" s="11">
        <f t="shared" si="54"/>
        <v>4.0816326530612242E-2</v>
      </c>
      <c r="AH72" s="11">
        <f t="shared" si="55"/>
        <v>3.2687181305089651E-3</v>
      </c>
      <c r="AI72" s="11">
        <f t="shared" si="56"/>
        <v>1</v>
      </c>
      <c r="AJ72" s="11">
        <f t="shared" si="57"/>
        <v>0</v>
      </c>
      <c r="AK72" s="11">
        <f t="shared" si="58"/>
        <v>7.575757575757576E-3</v>
      </c>
      <c r="AL72" s="11">
        <f t="shared" si="59"/>
        <v>0.9779943289303894</v>
      </c>
      <c r="AM72" s="11">
        <f t="shared" si="60"/>
        <v>0.16666666666666666</v>
      </c>
      <c r="AN72" s="11">
        <f t="shared" si="61"/>
        <v>3.2258064516129031E-2</v>
      </c>
      <c r="AO72" s="11">
        <f t="shared" si="62"/>
        <v>0</v>
      </c>
      <c r="AP72" s="11">
        <f t="shared" si="63"/>
        <v>0</v>
      </c>
      <c r="AQ72" s="11">
        <f t="shared" si="64"/>
        <v>2.2822975567940982</v>
      </c>
    </row>
    <row r="73" spans="1:43" ht="15" customHeight="1" x14ac:dyDescent="0.2">
      <c r="A73" s="3" t="str">
        <f>MethodData!A70</f>
        <v>GameResult: setDate(LocalDateTime)</v>
      </c>
      <c r="B73" s="4">
        <f>MethodData!B70</f>
        <v>1</v>
      </c>
      <c r="C73" s="4">
        <f>MethodData!C70</f>
        <v>0</v>
      </c>
      <c r="D73" s="4">
        <f>MethodData!D70</f>
        <v>0</v>
      </c>
      <c r="E73" s="4">
        <f>MethodData!E70</f>
        <v>0</v>
      </c>
      <c r="F73" s="4">
        <f>MethodData!F70</f>
        <v>0</v>
      </c>
      <c r="G73" s="4">
        <f>MethodData!G70</f>
        <v>0</v>
      </c>
      <c r="H73" s="4">
        <f>MethodData!H70</f>
        <v>1.5</v>
      </c>
      <c r="I73" s="4">
        <f>MethodData!I70</f>
        <v>17.4145</v>
      </c>
      <c r="J73" s="4">
        <f>MethodData!J70</f>
        <v>2.2000000000000001E-3</v>
      </c>
      <c r="K73" s="4">
        <f>MethodData!K70</f>
        <v>5</v>
      </c>
      <c r="L73" s="4">
        <f>MethodData!L70</f>
        <v>5</v>
      </c>
      <c r="M73" s="4">
        <f>MethodData!M70</f>
        <v>11.6096</v>
      </c>
      <c r="N73" s="4">
        <f>MethodData!N70</f>
        <v>1</v>
      </c>
      <c r="O73" s="4">
        <f>MethodData!O70</f>
        <v>0</v>
      </c>
      <c r="P73" s="4">
        <f>MethodData!P70</f>
        <v>1</v>
      </c>
      <c r="Q73" s="4">
        <f>MethodData!Q70</f>
        <v>92.708200000000005</v>
      </c>
      <c r="R73" s="4">
        <f>MethodData!R70</f>
        <v>0</v>
      </c>
      <c r="S73" s="4">
        <f>MethodData!S70</f>
        <v>2</v>
      </c>
      <c r="T73" s="4">
        <f>MethodData!T70</f>
        <v>0</v>
      </c>
      <c r="U73" s="4">
        <f>MethodData!U70</f>
        <v>1</v>
      </c>
      <c r="W73" s="11">
        <f t="shared" si="44"/>
        <v>2.6315789473684209E-2</v>
      </c>
      <c r="X73" s="11">
        <f t="shared" si="45"/>
        <v>0</v>
      </c>
      <c r="Y73" s="11">
        <f t="shared" si="46"/>
        <v>0</v>
      </c>
      <c r="Z73" s="11">
        <f t="shared" si="47"/>
        <v>0</v>
      </c>
      <c r="AA73" s="11">
        <f t="shared" si="48"/>
        <v>0</v>
      </c>
      <c r="AB73" s="11">
        <f t="shared" si="49"/>
        <v>0</v>
      </c>
      <c r="AC73" s="11">
        <f t="shared" si="50"/>
        <v>1.4985014985014986E-2</v>
      </c>
      <c r="AD73" s="11">
        <f t="shared" si="51"/>
        <v>9.1642969205342693E-5</v>
      </c>
      <c r="AE73" s="11">
        <f t="shared" si="52"/>
        <v>1.9967326193501547E-3</v>
      </c>
      <c r="AF73" s="11">
        <f t="shared" si="53"/>
        <v>1.3513513513513514E-2</v>
      </c>
      <c r="AG73" s="11">
        <f t="shared" si="54"/>
        <v>5.1020408163265307E-2</v>
      </c>
      <c r="AH73" s="11">
        <f t="shared" si="55"/>
        <v>4.7435637509946104E-3</v>
      </c>
      <c r="AI73" s="11">
        <f t="shared" si="56"/>
        <v>1</v>
      </c>
      <c r="AJ73" s="11">
        <f t="shared" si="57"/>
        <v>0</v>
      </c>
      <c r="AK73" s="11">
        <f t="shared" si="58"/>
        <v>7.575757575757576E-3</v>
      </c>
      <c r="AL73" s="11">
        <f t="shared" si="59"/>
        <v>0.96788412309311334</v>
      </c>
      <c r="AM73" s="11">
        <f t="shared" si="60"/>
        <v>0.16666666666666666</v>
      </c>
      <c r="AN73" s="11">
        <f t="shared" si="61"/>
        <v>6.4516129032258063E-2</v>
      </c>
      <c r="AO73" s="11">
        <f t="shared" si="62"/>
        <v>0</v>
      </c>
      <c r="AP73" s="11">
        <f t="shared" si="63"/>
        <v>0.25</v>
      </c>
      <c r="AQ73" s="11">
        <f t="shared" si="64"/>
        <v>2.5693093418428234</v>
      </c>
    </row>
    <row r="74" spans="1:43" ht="15" customHeight="1" x14ac:dyDescent="0.2">
      <c r="A74" s="3" t="str">
        <f>MethodData!A71</f>
        <v>GameResult: setPlayerName(String)</v>
      </c>
      <c r="B74" s="4">
        <f>MethodData!B71</f>
        <v>1</v>
      </c>
      <c r="C74" s="4">
        <f>MethodData!C71</f>
        <v>0</v>
      </c>
      <c r="D74" s="4">
        <f>MethodData!D71</f>
        <v>0</v>
      </c>
      <c r="E74" s="4">
        <f>MethodData!E71</f>
        <v>0</v>
      </c>
      <c r="F74" s="4">
        <f>MethodData!F71</f>
        <v>0</v>
      </c>
      <c r="G74" s="4">
        <f>MethodData!G71</f>
        <v>0</v>
      </c>
      <c r="H74" s="4">
        <f>MethodData!H71</f>
        <v>1.5</v>
      </c>
      <c r="I74" s="4">
        <f>MethodData!I71</f>
        <v>17.4145</v>
      </c>
      <c r="J74" s="4">
        <f>MethodData!J71</f>
        <v>2.2000000000000001E-3</v>
      </c>
      <c r="K74" s="4">
        <f>MethodData!K71</f>
        <v>5</v>
      </c>
      <c r="L74" s="4">
        <f>MethodData!L71</f>
        <v>5</v>
      </c>
      <c r="M74" s="4">
        <f>MethodData!M71</f>
        <v>11.6096</v>
      </c>
      <c r="N74" s="4">
        <f>MethodData!N71</f>
        <v>1</v>
      </c>
      <c r="O74" s="4">
        <f>MethodData!O71</f>
        <v>0</v>
      </c>
      <c r="P74" s="4">
        <f>MethodData!P71</f>
        <v>1</v>
      </c>
      <c r="Q74" s="4">
        <f>MethodData!Q71</f>
        <v>92.708200000000005</v>
      </c>
      <c r="R74" s="4">
        <f>MethodData!R71</f>
        <v>0</v>
      </c>
      <c r="S74" s="4">
        <f>MethodData!S71</f>
        <v>2</v>
      </c>
      <c r="T74" s="4">
        <f>MethodData!T71</f>
        <v>0</v>
      </c>
      <c r="U74" s="4">
        <f>MethodData!U71</f>
        <v>1</v>
      </c>
      <c r="W74" s="11">
        <f t="shared" si="44"/>
        <v>2.6315789473684209E-2</v>
      </c>
      <c r="X74" s="11">
        <f t="shared" si="45"/>
        <v>0</v>
      </c>
      <c r="Y74" s="11">
        <f t="shared" si="46"/>
        <v>0</v>
      </c>
      <c r="Z74" s="11">
        <f t="shared" si="47"/>
        <v>0</v>
      </c>
      <c r="AA74" s="11">
        <f t="shared" si="48"/>
        <v>0</v>
      </c>
      <c r="AB74" s="11">
        <f t="shared" si="49"/>
        <v>0</v>
      </c>
      <c r="AC74" s="11">
        <f t="shared" si="50"/>
        <v>1.4985014985014986E-2</v>
      </c>
      <c r="AD74" s="11">
        <f t="shared" si="51"/>
        <v>9.1642969205342693E-5</v>
      </c>
      <c r="AE74" s="11">
        <f t="shared" si="52"/>
        <v>1.9967326193501547E-3</v>
      </c>
      <c r="AF74" s="11">
        <f t="shared" si="53"/>
        <v>1.3513513513513514E-2</v>
      </c>
      <c r="AG74" s="11">
        <f t="shared" si="54"/>
        <v>5.1020408163265307E-2</v>
      </c>
      <c r="AH74" s="11">
        <f t="shared" si="55"/>
        <v>4.7435637509946104E-3</v>
      </c>
      <c r="AI74" s="11">
        <f t="shared" si="56"/>
        <v>1</v>
      </c>
      <c r="AJ74" s="11">
        <f t="shared" si="57"/>
        <v>0</v>
      </c>
      <c r="AK74" s="11">
        <f t="shared" si="58"/>
        <v>7.575757575757576E-3</v>
      </c>
      <c r="AL74" s="11">
        <f t="shared" si="59"/>
        <v>0.96788412309311334</v>
      </c>
      <c r="AM74" s="11">
        <f t="shared" si="60"/>
        <v>0.16666666666666666</v>
      </c>
      <c r="AN74" s="11">
        <f t="shared" si="61"/>
        <v>6.4516129032258063E-2</v>
      </c>
      <c r="AO74" s="11">
        <f t="shared" si="62"/>
        <v>0</v>
      </c>
      <c r="AP74" s="11">
        <f t="shared" si="63"/>
        <v>0.25</v>
      </c>
      <c r="AQ74" s="11">
        <f t="shared" si="64"/>
        <v>2.5693093418428234</v>
      </c>
    </row>
    <row r="75" spans="1:43" ht="15" customHeight="1" x14ac:dyDescent="0.2">
      <c r="A75" s="3" t="str">
        <f>MethodData!A72</f>
        <v>GameResult: setPlayerWon(boolean)</v>
      </c>
      <c r="B75" s="4">
        <f>MethodData!B72</f>
        <v>1</v>
      </c>
      <c r="C75" s="4">
        <f>MethodData!C72</f>
        <v>0</v>
      </c>
      <c r="D75" s="4">
        <f>MethodData!D72</f>
        <v>0</v>
      </c>
      <c r="E75" s="4">
        <f>MethodData!E72</f>
        <v>0</v>
      </c>
      <c r="F75" s="4">
        <f>MethodData!F72</f>
        <v>0</v>
      </c>
      <c r="G75" s="4">
        <f>MethodData!G72</f>
        <v>0</v>
      </c>
      <c r="H75" s="4">
        <f>MethodData!H72</f>
        <v>2</v>
      </c>
      <c r="I75" s="4">
        <f>MethodData!I72</f>
        <v>31.019600000000001</v>
      </c>
      <c r="J75" s="4">
        <f>MethodData!J72</f>
        <v>3.3E-3</v>
      </c>
      <c r="K75" s="4">
        <f>MethodData!K72</f>
        <v>6</v>
      </c>
      <c r="L75" s="4">
        <f>MethodData!L72</f>
        <v>6</v>
      </c>
      <c r="M75" s="4">
        <f>MethodData!M72</f>
        <v>15.5098</v>
      </c>
      <c r="N75" s="4">
        <f>MethodData!N72</f>
        <v>1</v>
      </c>
      <c r="O75" s="4">
        <f>MethodData!O72</f>
        <v>0</v>
      </c>
      <c r="P75" s="4">
        <f>MethodData!P72</f>
        <v>1</v>
      </c>
      <c r="Q75" s="4">
        <f>MethodData!Q72</f>
        <v>91.765000000000001</v>
      </c>
      <c r="R75" s="4">
        <f>MethodData!R72</f>
        <v>0</v>
      </c>
      <c r="S75" s="4">
        <f>MethodData!S72</f>
        <v>2</v>
      </c>
      <c r="T75" s="4">
        <f>MethodData!T72</f>
        <v>0</v>
      </c>
      <c r="U75" s="4">
        <f>MethodData!U72</f>
        <v>1</v>
      </c>
      <c r="W75" s="11">
        <f t="shared" si="44"/>
        <v>2.6315789473684209E-2</v>
      </c>
      <c r="X75" s="11">
        <f t="shared" si="45"/>
        <v>0</v>
      </c>
      <c r="Y75" s="11">
        <f t="shared" si="46"/>
        <v>0</v>
      </c>
      <c r="Z75" s="11">
        <f t="shared" si="47"/>
        <v>0</v>
      </c>
      <c r="AA75" s="11">
        <f t="shared" si="48"/>
        <v>0</v>
      </c>
      <c r="AB75" s="11">
        <f t="shared" si="49"/>
        <v>0</v>
      </c>
      <c r="AC75" s="11">
        <f t="shared" si="50"/>
        <v>1.998001998001998E-2</v>
      </c>
      <c r="AD75" s="11">
        <f t="shared" si="51"/>
        <v>1.6323915401315274E-4</v>
      </c>
      <c r="AE75" s="11">
        <f t="shared" si="52"/>
        <v>2.9950989290252316E-3</v>
      </c>
      <c r="AF75" s="11">
        <f t="shared" si="53"/>
        <v>1.6216216216216217E-2</v>
      </c>
      <c r="AG75" s="11">
        <f t="shared" si="54"/>
        <v>6.1224489795918366E-2</v>
      </c>
      <c r="AH75" s="11">
        <f t="shared" si="55"/>
        <v>6.3371455575709935E-3</v>
      </c>
      <c r="AI75" s="11">
        <f t="shared" si="56"/>
        <v>1</v>
      </c>
      <c r="AJ75" s="11">
        <f t="shared" si="57"/>
        <v>0</v>
      </c>
      <c r="AK75" s="11">
        <f t="shared" si="58"/>
        <v>7.575757575757576E-3</v>
      </c>
      <c r="AL75" s="11">
        <f t="shared" si="59"/>
        <v>0.95803700811405612</v>
      </c>
      <c r="AM75" s="11">
        <f t="shared" si="60"/>
        <v>0.16666666666666666</v>
      </c>
      <c r="AN75" s="11">
        <f t="shared" si="61"/>
        <v>6.4516129032258063E-2</v>
      </c>
      <c r="AO75" s="11">
        <f t="shared" si="62"/>
        <v>0</v>
      </c>
      <c r="AP75" s="11">
        <f t="shared" si="63"/>
        <v>0.25</v>
      </c>
      <c r="AQ75" s="11">
        <f t="shared" si="64"/>
        <v>2.5800275604951861</v>
      </c>
    </row>
    <row r="76" spans="1:43" ht="15" customHeight="1" x14ac:dyDescent="0.2">
      <c r="A76" s="3" t="str">
        <f>MethodData!A73</f>
        <v>GameResult: setTotalMoves(int)</v>
      </c>
      <c r="B76" s="4">
        <f>MethodData!B73</f>
        <v>1</v>
      </c>
      <c r="C76" s="4">
        <f>MethodData!C73</f>
        <v>0</v>
      </c>
      <c r="D76" s="4">
        <f>MethodData!D73</f>
        <v>0</v>
      </c>
      <c r="E76" s="4">
        <f>MethodData!E73</f>
        <v>0</v>
      </c>
      <c r="F76" s="4">
        <f>MethodData!F73</f>
        <v>0</v>
      </c>
      <c r="G76" s="4">
        <f>MethodData!G73</f>
        <v>0</v>
      </c>
      <c r="H76" s="4">
        <f>MethodData!H73</f>
        <v>2</v>
      </c>
      <c r="I76" s="4">
        <f>MethodData!I73</f>
        <v>31.019600000000001</v>
      </c>
      <c r="J76" s="4">
        <f>MethodData!J73</f>
        <v>3.3E-3</v>
      </c>
      <c r="K76" s="4">
        <f>MethodData!K73</f>
        <v>6</v>
      </c>
      <c r="L76" s="4">
        <f>MethodData!L73</f>
        <v>6</v>
      </c>
      <c r="M76" s="4">
        <f>MethodData!M73</f>
        <v>15.5098</v>
      </c>
      <c r="N76" s="4">
        <f>MethodData!N73</f>
        <v>1</v>
      </c>
      <c r="O76" s="4">
        <f>MethodData!O73</f>
        <v>0</v>
      </c>
      <c r="P76" s="4">
        <f>MethodData!P73</f>
        <v>1</v>
      </c>
      <c r="Q76" s="4">
        <f>MethodData!Q73</f>
        <v>91.765000000000001</v>
      </c>
      <c r="R76" s="4">
        <f>MethodData!R73</f>
        <v>0</v>
      </c>
      <c r="S76" s="4">
        <f>MethodData!S73</f>
        <v>2</v>
      </c>
      <c r="T76" s="4">
        <f>MethodData!T73</f>
        <v>0</v>
      </c>
      <c r="U76" s="4">
        <f>MethodData!U73</f>
        <v>1</v>
      </c>
      <c r="W76" s="11">
        <f t="shared" si="44"/>
        <v>2.6315789473684209E-2</v>
      </c>
      <c r="X76" s="11">
        <f t="shared" si="45"/>
        <v>0</v>
      </c>
      <c r="Y76" s="11">
        <f t="shared" si="46"/>
        <v>0</v>
      </c>
      <c r="Z76" s="11">
        <f t="shared" si="47"/>
        <v>0</v>
      </c>
      <c r="AA76" s="11">
        <f t="shared" si="48"/>
        <v>0</v>
      </c>
      <c r="AB76" s="11">
        <f t="shared" si="49"/>
        <v>0</v>
      </c>
      <c r="AC76" s="11">
        <f t="shared" si="50"/>
        <v>1.998001998001998E-2</v>
      </c>
      <c r="AD76" s="11">
        <f t="shared" si="51"/>
        <v>1.6323915401315274E-4</v>
      </c>
      <c r="AE76" s="11">
        <f t="shared" si="52"/>
        <v>2.9950989290252316E-3</v>
      </c>
      <c r="AF76" s="11">
        <f t="shared" si="53"/>
        <v>1.6216216216216217E-2</v>
      </c>
      <c r="AG76" s="11">
        <f t="shared" si="54"/>
        <v>6.1224489795918366E-2</v>
      </c>
      <c r="AH76" s="11">
        <f t="shared" si="55"/>
        <v>6.3371455575709935E-3</v>
      </c>
      <c r="AI76" s="11">
        <f t="shared" si="56"/>
        <v>1</v>
      </c>
      <c r="AJ76" s="11">
        <f t="shared" si="57"/>
        <v>0</v>
      </c>
      <c r="AK76" s="11">
        <f t="shared" si="58"/>
        <v>7.575757575757576E-3</v>
      </c>
      <c r="AL76" s="11">
        <f t="shared" si="59"/>
        <v>0.95803700811405612</v>
      </c>
      <c r="AM76" s="11">
        <f t="shared" si="60"/>
        <v>0.16666666666666666</v>
      </c>
      <c r="AN76" s="11">
        <f t="shared" si="61"/>
        <v>6.4516129032258063E-2</v>
      </c>
      <c r="AO76" s="11">
        <f t="shared" si="62"/>
        <v>0</v>
      </c>
      <c r="AP76" s="11">
        <f t="shared" si="63"/>
        <v>0.25</v>
      </c>
      <c r="AQ76" s="11">
        <f t="shared" si="64"/>
        <v>2.5800275604951861</v>
      </c>
    </row>
    <row r="77" spans="1:43" ht="15" customHeight="1" x14ac:dyDescent="0.2">
      <c r="A77" s="3" t="str">
        <f>MethodData!A74</f>
        <v>IFleet: addShip(IShip)</v>
      </c>
      <c r="B77" s="4">
        <f>MethodData!B74</f>
        <v>1</v>
      </c>
      <c r="C77" s="4">
        <f>MethodData!C74</f>
        <v>0</v>
      </c>
      <c r="D77" s="4">
        <f>MethodData!D74</f>
        <v>0</v>
      </c>
      <c r="E77" s="4">
        <f>MethodData!E74</f>
        <v>0</v>
      </c>
      <c r="F77" s="4">
        <f>MethodData!F74</f>
        <v>0</v>
      </c>
      <c r="G77" s="4">
        <f>MethodData!G74</f>
        <v>0</v>
      </c>
      <c r="H77" s="4">
        <f>MethodData!H74</f>
        <v>0</v>
      </c>
      <c r="I77" s="4">
        <f>MethodData!I74</f>
        <v>0</v>
      </c>
      <c r="J77" s="4">
        <f>MethodData!J74</f>
        <v>0</v>
      </c>
      <c r="K77" s="4">
        <f>MethodData!K74</f>
        <v>1</v>
      </c>
      <c r="L77" s="4">
        <f>MethodData!L74</f>
        <v>1</v>
      </c>
      <c r="M77" s="4">
        <f>MethodData!M74</f>
        <v>0</v>
      </c>
      <c r="N77" s="4">
        <f>MethodData!N74</f>
        <v>0</v>
      </c>
      <c r="O77" s="4">
        <f>MethodData!O74</f>
        <v>1</v>
      </c>
      <c r="P77" s="4">
        <f>MethodData!P74</f>
        <v>0</v>
      </c>
      <c r="Q77" s="4">
        <f>MethodData!Q74</f>
        <v>0</v>
      </c>
      <c r="R77" s="4">
        <f>MethodData!R74</f>
        <v>0</v>
      </c>
      <c r="S77" s="4">
        <f>MethodData!S74</f>
        <v>0</v>
      </c>
      <c r="T77" s="4">
        <f>MethodData!T74</f>
        <v>4</v>
      </c>
      <c r="U77" s="4">
        <f>MethodData!U74</f>
        <v>1</v>
      </c>
      <c r="W77" s="11">
        <f t="shared" si="44"/>
        <v>2.6315789473684209E-2</v>
      </c>
      <c r="X77" s="11">
        <f t="shared" si="45"/>
        <v>0</v>
      </c>
      <c r="Y77" s="11">
        <f t="shared" si="46"/>
        <v>0</v>
      </c>
      <c r="Z77" s="11">
        <f t="shared" si="47"/>
        <v>0</v>
      </c>
      <c r="AA77" s="11">
        <f t="shared" si="48"/>
        <v>0</v>
      </c>
      <c r="AB77" s="11">
        <f t="shared" si="49"/>
        <v>0</v>
      </c>
      <c r="AC77" s="11">
        <f t="shared" si="50"/>
        <v>0</v>
      </c>
      <c r="AD77" s="11">
        <f t="shared" si="51"/>
        <v>0</v>
      </c>
      <c r="AE77" s="11">
        <f t="shared" si="52"/>
        <v>0</v>
      </c>
      <c r="AF77" s="11">
        <f t="shared" si="53"/>
        <v>2.7027027027027029E-3</v>
      </c>
      <c r="AG77" s="11">
        <f t="shared" si="54"/>
        <v>1.020408163265306E-2</v>
      </c>
      <c r="AH77" s="11">
        <f t="shared" si="55"/>
        <v>0</v>
      </c>
      <c r="AI77" s="11">
        <f t="shared" si="56"/>
        <v>0</v>
      </c>
      <c r="AJ77" s="11">
        <f t="shared" si="57"/>
        <v>0.33333333333333331</v>
      </c>
      <c r="AK77" s="11">
        <f t="shared" si="58"/>
        <v>0</v>
      </c>
      <c r="AL77" s="11">
        <f t="shared" si="59"/>
        <v>0</v>
      </c>
      <c r="AM77" s="11">
        <f t="shared" si="60"/>
        <v>0.16666666666666666</v>
      </c>
      <c r="AN77" s="11">
        <f t="shared" si="61"/>
        <v>0</v>
      </c>
      <c r="AO77" s="11">
        <f t="shared" si="62"/>
        <v>0.33333333333333331</v>
      </c>
      <c r="AP77" s="11">
        <f t="shared" si="63"/>
        <v>0.25</v>
      </c>
      <c r="AQ77" s="11">
        <f t="shared" si="64"/>
        <v>1.1225559071423732</v>
      </c>
    </row>
    <row r="78" spans="1:43" ht="15" customHeight="1" x14ac:dyDescent="0.2">
      <c r="A78" s="3" t="str">
        <f>MethodData!A75</f>
        <v>IFleet: getFloatingShips()</v>
      </c>
      <c r="B78" s="4">
        <f>MethodData!B75</f>
        <v>1</v>
      </c>
      <c r="C78" s="4">
        <f>MethodData!C75</f>
        <v>0</v>
      </c>
      <c r="D78" s="4">
        <f>MethodData!D75</f>
        <v>0</v>
      </c>
      <c r="E78" s="4">
        <f>MethodData!E75</f>
        <v>0</v>
      </c>
      <c r="F78" s="4">
        <f>MethodData!F75</f>
        <v>0</v>
      </c>
      <c r="G78" s="4">
        <f>MethodData!G75</f>
        <v>0</v>
      </c>
      <c r="H78" s="4">
        <f>MethodData!H75</f>
        <v>0</v>
      </c>
      <c r="I78" s="4">
        <f>MethodData!I75</f>
        <v>0</v>
      </c>
      <c r="J78" s="4">
        <f>MethodData!J75</f>
        <v>0</v>
      </c>
      <c r="K78" s="4">
        <f>MethodData!K75</f>
        <v>0</v>
      </c>
      <c r="L78" s="4">
        <f>MethodData!L75</f>
        <v>0</v>
      </c>
      <c r="M78" s="4">
        <f>MethodData!M75</f>
        <v>0</v>
      </c>
      <c r="N78" s="4">
        <f>MethodData!N75</f>
        <v>0</v>
      </c>
      <c r="O78" s="4">
        <f>MethodData!O75</f>
        <v>1</v>
      </c>
      <c r="P78" s="4">
        <f>MethodData!P75</f>
        <v>0</v>
      </c>
      <c r="Q78" s="4">
        <f>MethodData!Q75</f>
        <v>0</v>
      </c>
      <c r="R78" s="4">
        <f>MethodData!R75</f>
        <v>0</v>
      </c>
      <c r="S78" s="4">
        <f>MethodData!S75</f>
        <v>0</v>
      </c>
      <c r="T78" s="4">
        <f>MethodData!T75</f>
        <v>4</v>
      </c>
      <c r="U78" s="4">
        <f>MethodData!U75</f>
        <v>0</v>
      </c>
      <c r="W78" s="11">
        <f t="shared" si="44"/>
        <v>2.6315789473684209E-2</v>
      </c>
      <c r="X78" s="11">
        <f t="shared" si="45"/>
        <v>0</v>
      </c>
      <c r="Y78" s="11">
        <f t="shared" si="46"/>
        <v>0</v>
      </c>
      <c r="Z78" s="11">
        <f t="shared" si="47"/>
        <v>0</v>
      </c>
      <c r="AA78" s="11">
        <f t="shared" si="48"/>
        <v>0</v>
      </c>
      <c r="AB78" s="11">
        <f t="shared" si="49"/>
        <v>0</v>
      </c>
      <c r="AC78" s="11">
        <f t="shared" si="50"/>
        <v>0</v>
      </c>
      <c r="AD78" s="11">
        <f t="shared" si="51"/>
        <v>0</v>
      </c>
      <c r="AE78" s="11">
        <f t="shared" si="52"/>
        <v>0</v>
      </c>
      <c r="AF78" s="11">
        <f t="shared" si="53"/>
        <v>0</v>
      </c>
      <c r="AG78" s="11">
        <f t="shared" si="54"/>
        <v>0</v>
      </c>
      <c r="AH78" s="11">
        <f t="shared" si="55"/>
        <v>0</v>
      </c>
      <c r="AI78" s="11">
        <f t="shared" si="56"/>
        <v>0</v>
      </c>
      <c r="AJ78" s="11">
        <f t="shared" si="57"/>
        <v>0.33333333333333331</v>
      </c>
      <c r="AK78" s="11">
        <f t="shared" si="58"/>
        <v>0</v>
      </c>
      <c r="AL78" s="11">
        <f t="shared" si="59"/>
        <v>0</v>
      </c>
      <c r="AM78" s="11">
        <f t="shared" si="60"/>
        <v>0.16666666666666666</v>
      </c>
      <c r="AN78" s="11">
        <f t="shared" si="61"/>
        <v>0</v>
      </c>
      <c r="AO78" s="11">
        <f t="shared" si="62"/>
        <v>0.33333333333333331</v>
      </c>
      <c r="AP78" s="11">
        <f t="shared" si="63"/>
        <v>0</v>
      </c>
      <c r="AQ78" s="11">
        <f t="shared" si="64"/>
        <v>0.85964912280701755</v>
      </c>
    </row>
    <row r="79" spans="1:43" ht="15" customHeight="1" x14ac:dyDescent="0.2">
      <c r="A79" s="3" t="str">
        <f>MethodData!A76</f>
        <v>IFleet: getShips()</v>
      </c>
      <c r="B79" s="4">
        <f>MethodData!B76</f>
        <v>1</v>
      </c>
      <c r="C79" s="4">
        <f>MethodData!C76</f>
        <v>0</v>
      </c>
      <c r="D79" s="4">
        <f>MethodData!D76</f>
        <v>0</v>
      </c>
      <c r="E79" s="4">
        <f>MethodData!E76</f>
        <v>0</v>
      </c>
      <c r="F79" s="4">
        <f>MethodData!F76</f>
        <v>0</v>
      </c>
      <c r="G79" s="4">
        <f>MethodData!G76</f>
        <v>0</v>
      </c>
      <c r="H79" s="4">
        <f>MethodData!H76</f>
        <v>0</v>
      </c>
      <c r="I79" s="4">
        <f>MethodData!I76</f>
        <v>0</v>
      </c>
      <c r="J79" s="4">
        <f>MethodData!J76</f>
        <v>0</v>
      </c>
      <c r="K79" s="4">
        <f>MethodData!K76</f>
        <v>0</v>
      </c>
      <c r="L79" s="4">
        <f>MethodData!L76</f>
        <v>0</v>
      </c>
      <c r="M79" s="4">
        <f>MethodData!M76</f>
        <v>0</v>
      </c>
      <c r="N79" s="4">
        <f>MethodData!N76</f>
        <v>0</v>
      </c>
      <c r="O79" s="4">
        <f>MethodData!O76</f>
        <v>1</v>
      </c>
      <c r="P79" s="4">
        <f>MethodData!P76</f>
        <v>0</v>
      </c>
      <c r="Q79" s="4">
        <f>MethodData!Q76</f>
        <v>0</v>
      </c>
      <c r="R79" s="4">
        <f>MethodData!R76</f>
        <v>0</v>
      </c>
      <c r="S79" s="4">
        <f>MethodData!S76</f>
        <v>0</v>
      </c>
      <c r="T79" s="4">
        <f>MethodData!T76</f>
        <v>4</v>
      </c>
      <c r="U79" s="4">
        <f>MethodData!U76</f>
        <v>0</v>
      </c>
      <c r="W79" s="11">
        <f t="shared" si="44"/>
        <v>2.6315789473684209E-2</v>
      </c>
      <c r="X79" s="11">
        <f t="shared" si="45"/>
        <v>0</v>
      </c>
      <c r="Y79" s="11">
        <f t="shared" si="46"/>
        <v>0</v>
      </c>
      <c r="Z79" s="11">
        <f t="shared" si="47"/>
        <v>0</v>
      </c>
      <c r="AA79" s="11">
        <f t="shared" si="48"/>
        <v>0</v>
      </c>
      <c r="AB79" s="11">
        <f t="shared" si="49"/>
        <v>0</v>
      </c>
      <c r="AC79" s="11">
        <f t="shared" si="50"/>
        <v>0</v>
      </c>
      <c r="AD79" s="11">
        <f t="shared" si="51"/>
        <v>0</v>
      </c>
      <c r="AE79" s="11">
        <f t="shared" si="52"/>
        <v>0</v>
      </c>
      <c r="AF79" s="11">
        <f t="shared" si="53"/>
        <v>0</v>
      </c>
      <c r="AG79" s="11">
        <f t="shared" si="54"/>
        <v>0</v>
      </c>
      <c r="AH79" s="11">
        <f t="shared" si="55"/>
        <v>0</v>
      </c>
      <c r="AI79" s="11">
        <f t="shared" si="56"/>
        <v>0</v>
      </c>
      <c r="AJ79" s="11">
        <f t="shared" si="57"/>
        <v>0.33333333333333331</v>
      </c>
      <c r="AK79" s="11">
        <f t="shared" si="58"/>
        <v>0</v>
      </c>
      <c r="AL79" s="11">
        <f t="shared" si="59"/>
        <v>0</v>
      </c>
      <c r="AM79" s="11">
        <f t="shared" si="60"/>
        <v>0.16666666666666666</v>
      </c>
      <c r="AN79" s="11">
        <f t="shared" si="61"/>
        <v>0</v>
      </c>
      <c r="AO79" s="11">
        <f t="shared" si="62"/>
        <v>0.33333333333333331</v>
      </c>
      <c r="AP79" s="11">
        <f t="shared" si="63"/>
        <v>0</v>
      </c>
      <c r="AQ79" s="11">
        <f t="shared" si="64"/>
        <v>0.85964912280701755</v>
      </c>
    </row>
    <row r="80" spans="1:43" ht="15" customHeight="1" x14ac:dyDescent="0.2">
      <c r="A80" s="3" t="str">
        <f>MethodData!A77</f>
        <v>IFleet: getShipsLike(String)</v>
      </c>
      <c r="B80" s="4">
        <f>MethodData!B77</f>
        <v>1</v>
      </c>
      <c r="C80" s="4">
        <f>MethodData!C77</f>
        <v>0</v>
      </c>
      <c r="D80" s="4">
        <f>MethodData!D77</f>
        <v>0</v>
      </c>
      <c r="E80" s="4">
        <f>MethodData!E77</f>
        <v>0</v>
      </c>
      <c r="F80" s="4">
        <f>MethodData!F77</f>
        <v>0</v>
      </c>
      <c r="G80" s="4">
        <f>MethodData!G77</f>
        <v>0</v>
      </c>
      <c r="H80" s="4">
        <f>MethodData!H77</f>
        <v>0</v>
      </c>
      <c r="I80" s="4">
        <f>MethodData!I77</f>
        <v>0</v>
      </c>
      <c r="J80" s="4">
        <f>MethodData!J77</f>
        <v>0</v>
      </c>
      <c r="K80" s="4">
        <f>MethodData!K77</f>
        <v>0</v>
      </c>
      <c r="L80" s="4">
        <f>MethodData!L77</f>
        <v>0</v>
      </c>
      <c r="M80" s="4">
        <f>MethodData!M77</f>
        <v>0</v>
      </c>
      <c r="N80" s="4">
        <f>MethodData!N77</f>
        <v>0</v>
      </c>
      <c r="O80" s="4">
        <f>MethodData!O77</f>
        <v>1</v>
      </c>
      <c r="P80" s="4">
        <f>MethodData!P77</f>
        <v>0</v>
      </c>
      <c r="Q80" s="4">
        <f>MethodData!Q77</f>
        <v>0</v>
      </c>
      <c r="R80" s="4">
        <f>MethodData!R77</f>
        <v>0</v>
      </c>
      <c r="S80" s="4">
        <f>MethodData!S77</f>
        <v>0</v>
      </c>
      <c r="T80" s="4">
        <f>MethodData!T77</f>
        <v>4</v>
      </c>
      <c r="U80" s="4">
        <f>MethodData!U77</f>
        <v>1</v>
      </c>
      <c r="W80" s="11">
        <f t="shared" si="44"/>
        <v>2.6315789473684209E-2</v>
      </c>
      <c r="X80" s="11">
        <f t="shared" si="45"/>
        <v>0</v>
      </c>
      <c r="Y80" s="11">
        <f t="shared" si="46"/>
        <v>0</v>
      </c>
      <c r="Z80" s="11">
        <f t="shared" si="47"/>
        <v>0</v>
      </c>
      <c r="AA80" s="11">
        <f t="shared" si="48"/>
        <v>0</v>
      </c>
      <c r="AB80" s="11">
        <f t="shared" si="49"/>
        <v>0</v>
      </c>
      <c r="AC80" s="11">
        <f t="shared" si="50"/>
        <v>0</v>
      </c>
      <c r="AD80" s="11">
        <f t="shared" si="51"/>
        <v>0</v>
      </c>
      <c r="AE80" s="11">
        <f t="shared" si="52"/>
        <v>0</v>
      </c>
      <c r="AF80" s="11">
        <f t="shared" si="53"/>
        <v>0</v>
      </c>
      <c r="AG80" s="11">
        <f t="shared" si="54"/>
        <v>0</v>
      </c>
      <c r="AH80" s="11">
        <f t="shared" si="55"/>
        <v>0</v>
      </c>
      <c r="AI80" s="11">
        <f t="shared" si="56"/>
        <v>0</v>
      </c>
      <c r="AJ80" s="11">
        <f t="shared" si="57"/>
        <v>0.33333333333333331</v>
      </c>
      <c r="AK80" s="11">
        <f t="shared" si="58"/>
        <v>0</v>
      </c>
      <c r="AL80" s="11">
        <f t="shared" si="59"/>
        <v>0</v>
      </c>
      <c r="AM80" s="11">
        <f t="shared" si="60"/>
        <v>0.16666666666666666</v>
      </c>
      <c r="AN80" s="11">
        <f t="shared" si="61"/>
        <v>0</v>
      </c>
      <c r="AO80" s="11">
        <f t="shared" si="62"/>
        <v>0.33333333333333331</v>
      </c>
      <c r="AP80" s="11">
        <f t="shared" si="63"/>
        <v>0.25</v>
      </c>
      <c r="AQ80" s="11">
        <f t="shared" si="64"/>
        <v>1.1096491228070176</v>
      </c>
    </row>
    <row r="81" spans="1:43" ht="15" customHeight="1" x14ac:dyDescent="0.2">
      <c r="A81" s="3" t="str">
        <f>MethodData!A78</f>
        <v>IFleet: getSunkShips()</v>
      </c>
      <c r="B81" s="4">
        <f>MethodData!B78</f>
        <v>1</v>
      </c>
      <c r="C81" s="4">
        <f>MethodData!C78</f>
        <v>0</v>
      </c>
      <c r="D81" s="4">
        <f>MethodData!D78</f>
        <v>0</v>
      </c>
      <c r="E81" s="4">
        <f>MethodData!E78</f>
        <v>0</v>
      </c>
      <c r="F81" s="4">
        <f>MethodData!F78</f>
        <v>0</v>
      </c>
      <c r="G81" s="4">
        <f>MethodData!G78</f>
        <v>0</v>
      </c>
      <c r="H81" s="4">
        <f>MethodData!H78</f>
        <v>0</v>
      </c>
      <c r="I81" s="4">
        <f>MethodData!I78</f>
        <v>0</v>
      </c>
      <c r="J81" s="4">
        <f>MethodData!J78</f>
        <v>0</v>
      </c>
      <c r="K81" s="4">
        <f>MethodData!K78</f>
        <v>0</v>
      </c>
      <c r="L81" s="4">
        <f>MethodData!L78</f>
        <v>0</v>
      </c>
      <c r="M81" s="4">
        <f>MethodData!M78</f>
        <v>0</v>
      </c>
      <c r="N81" s="4">
        <f>MethodData!N78</f>
        <v>0</v>
      </c>
      <c r="O81" s="4">
        <f>MethodData!O78</f>
        <v>1</v>
      </c>
      <c r="P81" s="4">
        <f>MethodData!P78</f>
        <v>0</v>
      </c>
      <c r="Q81" s="4">
        <f>MethodData!Q78</f>
        <v>0</v>
      </c>
      <c r="R81" s="4">
        <f>MethodData!R78</f>
        <v>0</v>
      </c>
      <c r="S81" s="4">
        <f>MethodData!S78</f>
        <v>0</v>
      </c>
      <c r="T81" s="4">
        <f>MethodData!T78</f>
        <v>4</v>
      </c>
      <c r="U81" s="4">
        <f>MethodData!U78</f>
        <v>0</v>
      </c>
      <c r="W81" s="11">
        <f t="shared" si="44"/>
        <v>2.6315789473684209E-2</v>
      </c>
      <c r="X81" s="11">
        <f t="shared" si="45"/>
        <v>0</v>
      </c>
      <c r="Y81" s="11">
        <f t="shared" si="46"/>
        <v>0</v>
      </c>
      <c r="Z81" s="11">
        <f t="shared" si="47"/>
        <v>0</v>
      </c>
      <c r="AA81" s="11">
        <f t="shared" si="48"/>
        <v>0</v>
      </c>
      <c r="AB81" s="11">
        <f t="shared" si="49"/>
        <v>0</v>
      </c>
      <c r="AC81" s="11">
        <f t="shared" si="50"/>
        <v>0</v>
      </c>
      <c r="AD81" s="11">
        <f t="shared" si="51"/>
        <v>0</v>
      </c>
      <c r="AE81" s="11">
        <f t="shared" si="52"/>
        <v>0</v>
      </c>
      <c r="AF81" s="11">
        <f t="shared" si="53"/>
        <v>0</v>
      </c>
      <c r="AG81" s="11">
        <f t="shared" si="54"/>
        <v>0</v>
      </c>
      <c r="AH81" s="11">
        <f t="shared" si="55"/>
        <v>0</v>
      </c>
      <c r="AI81" s="11">
        <f t="shared" si="56"/>
        <v>0</v>
      </c>
      <c r="AJ81" s="11">
        <f t="shared" si="57"/>
        <v>0.33333333333333331</v>
      </c>
      <c r="AK81" s="11">
        <f t="shared" si="58"/>
        <v>0</v>
      </c>
      <c r="AL81" s="11">
        <f t="shared" si="59"/>
        <v>0</v>
      </c>
      <c r="AM81" s="11">
        <f t="shared" si="60"/>
        <v>0.16666666666666666</v>
      </c>
      <c r="AN81" s="11">
        <f t="shared" si="61"/>
        <v>0</v>
      </c>
      <c r="AO81" s="11">
        <f t="shared" si="62"/>
        <v>0.33333333333333331</v>
      </c>
      <c r="AP81" s="11">
        <f t="shared" si="63"/>
        <v>0</v>
      </c>
      <c r="AQ81" s="11">
        <f t="shared" si="64"/>
        <v>0.85964912280701755</v>
      </c>
    </row>
    <row r="82" spans="1:43" ht="15" customHeight="1" x14ac:dyDescent="0.2">
      <c r="A82" s="3" t="str">
        <f>MethodData!A79</f>
        <v>IFleet: printStatus()</v>
      </c>
      <c r="B82" s="4">
        <f>MethodData!B79</f>
        <v>1</v>
      </c>
      <c r="C82" s="4">
        <f>MethodData!C79</f>
        <v>0</v>
      </c>
      <c r="D82" s="4">
        <f>MethodData!D79</f>
        <v>0</v>
      </c>
      <c r="E82" s="4">
        <f>MethodData!E79</f>
        <v>0</v>
      </c>
      <c r="F82" s="4">
        <f>MethodData!F79</f>
        <v>0</v>
      </c>
      <c r="G82" s="4">
        <f>MethodData!G79</f>
        <v>0</v>
      </c>
      <c r="H82" s="4">
        <f>MethodData!H79</f>
        <v>0</v>
      </c>
      <c r="I82" s="4">
        <f>MethodData!I79</f>
        <v>0</v>
      </c>
      <c r="J82" s="4">
        <f>MethodData!J79</f>
        <v>0</v>
      </c>
      <c r="K82" s="4">
        <f>MethodData!K79</f>
        <v>1</v>
      </c>
      <c r="L82" s="4">
        <f>MethodData!L79</f>
        <v>1</v>
      </c>
      <c r="M82" s="4">
        <f>MethodData!M79</f>
        <v>0</v>
      </c>
      <c r="N82" s="4">
        <f>MethodData!N79</f>
        <v>0</v>
      </c>
      <c r="O82" s="4">
        <f>MethodData!O79</f>
        <v>1</v>
      </c>
      <c r="P82" s="4">
        <f>MethodData!P79</f>
        <v>0</v>
      </c>
      <c r="Q82" s="4">
        <f>MethodData!Q79</f>
        <v>0</v>
      </c>
      <c r="R82" s="4">
        <f>MethodData!R79</f>
        <v>0</v>
      </c>
      <c r="S82" s="4">
        <f>MethodData!S79</f>
        <v>0</v>
      </c>
      <c r="T82" s="4">
        <f>MethodData!T79</f>
        <v>4</v>
      </c>
      <c r="U82" s="4">
        <f>MethodData!U79</f>
        <v>0</v>
      </c>
      <c r="W82" s="11">
        <f t="shared" si="44"/>
        <v>2.6315789473684209E-2</v>
      </c>
      <c r="X82" s="11">
        <f t="shared" si="45"/>
        <v>0</v>
      </c>
      <c r="Y82" s="11">
        <f t="shared" si="46"/>
        <v>0</v>
      </c>
      <c r="Z82" s="11">
        <f t="shared" si="47"/>
        <v>0</v>
      </c>
      <c r="AA82" s="11">
        <f t="shared" si="48"/>
        <v>0</v>
      </c>
      <c r="AB82" s="11">
        <f t="shared" si="49"/>
        <v>0</v>
      </c>
      <c r="AC82" s="11">
        <f t="shared" si="50"/>
        <v>0</v>
      </c>
      <c r="AD82" s="11">
        <f t="shared" si="51"/>
        <v>0</v>
      </c>
      <c r="AE82" s="11">
        <f t="shared" si="52"/>
        <v>0</v>
      </c>
      <c r="AF82" s="11">
        <f t="shared" si="53"/>
        <v>2.7027027027027029E-3</v>
      </c>
      <c r="AG82" s="11">
        <f t="shared" si="54"/>
        <v>1.020408163265306E-2</v>
      </c>
      <c r="AH82" s="11">
        <f t="shared" si="55"/>
        <v>0</v>
      </c>
      <c r="AI82" s="11">
        <f t="shared" si="56"/>
        <v>0</v>
      </c>
      <c r="AJ82" s="11">
        <f t="shared" si="57"/>
        <v>0.33333333333333331</v>
      </c>
      <c r="AK82" s="11">
        <f t="shared" si="58"/>
        <v>0</v>
      </c>
      <c r="AL82" s="11">
        <f t="shared" si="59"/>
        <v>0</v>
      </c>
      <c r="AM82" s="11">
        <f t="shared" si="60"/>
        <v>0.16666666666666666</v>
      </c>
      <c r="AN82" s="11">
        <f t="shared" si="61"/>
        <v>0</v>
      </c>
      <c r="AO82" s="11">
        <f t="shared" si="62"/>
        <v>0.33333333333333331</v>
      </c>
      <c r="AP82" s="11">
        <f t="shared" si="63"/>
        <v>0</v>
      </c>
      <c r="AQ82" s="11">
        <f t="shared" si="64"/>
        <v>0.87255590714237319</v>
      </c>
    </row>
    <row r="83" spans="1:43" ht="15" customHeight="1" x14ac:dyDescent="0.2">
      <c r="A83" s="3" t="str">
        <f>MethodData!A80</f>
        <v>IFleet: shipAt(IPosition)</v>
      </c>
      <c r="B83" s="4">
        <f>MethodData!B80</f>
        <v>1</v>
      </c>
      <c r="C83" s="4">
        <f>MethodData!C80</f>
        <v>0</v>
      </c>
      <c r="D83" s="4">
        <f>MethodData!D80</f>
        <v>0</v>
      </c>
      <c r="E83" s="4">
        <f>MethodData!E80</f>
        <v>0</v>
      </c>
      <c r="F83" s="4">
        <f>MethodData!F80</f>
        <v>0</v>
      </c>
      <c r="G83" s="4">
        <f>MethodData!G80</f>
        <v>0</v>
      </c>
      <c r="H83" s="4">
        <f>MethodData!H80</f>
        <v>0</v>
      </c>
      <c r="I83" s="4">
        <f>MethodData!I80</f>
        <v>0</v>
      </c>
      <c r="J83" s="4">
        <f>MethodData!J80</f>
        <v>0</v>
      </c>
      <c r="K83" s="4">
        <f>MethodData!K80</f>
        <v>0</v>
      </c>
      <c r="L83" s="4">
        <f>MethodData!L80</f>
        <v>0</v>
      </c>
      <c r="M83" s="4">
        <f>MethodData!M80</f>
        <v>0</v>
      </c>
      <c r="N83" s="4">
        <f>MethodData!N80</f>
        <v>0</v>
      </c>
      <c r="O83" s="4">
        <f>MethodData!O80</f>
        <v>1</v>
      </c>
      <c r="P83" s="4">
        <f>MethodData!P80</f>
        <v>0</v>
      </c>
      <c r="Q83" s="4">
        <f>MethodData!Q80</f>
        <v>0</v>
      </c>
      <c r="R83" s="4">
        <f>MethodData!R80</f>
        <v>0</v>
      </c>
      <c r="S83" s="4">
        <f>MethodData!S80</f>
        <v>0</v>
      </c>
      <c r="T83" s="4">
        <f>MethodData!T80</f>
        <v>4</v>
      </c>
      <c r="U83" s="4">
        <f>MethodData!U80</f>
        <v>1</v>
      </c>
      <c r="W83" s="11">
        <f t="shared" si="44"/>
        <v>2.6315789473684209E-2</v>
      </c>
      <c r="X83" s="11">
        <f t="shared" si="45"/>
        <v>0</v>
      </c>
      <c r="Y83" s="11">
        <f t="shared" si="46"/>
        <v>0</v>
      </c>
      <c r="Z83" s="11">
        <f t="shared" si="47"/>
        <v>0</v>
      </c>
      <c r="AA83" s="11">
        <f t="shared" si="48"/>
        <v>0</v>
      </c>
      <c r="AB83" s="11">
        <f t="shared" si="49"/>
        <v>0</v>
      </c>
      <c r="AC83" s="11">
        <f t="shared" si="50"/>
        <v>0</v>
      </c>
      <c r="AD83" s="11">
        <f t="shared" si="51"/>
        <v>0</v>
      </c>
      <c r="AE83" s="11">
        <f t="shared" si="52"/>
        <v>0</v>
      </c>
      <c r="AF83" s="11">
        <f t="shared" si="53"/>
        <v>0</v>
      </c>
      <c r="AG83" s="11">
        <f t="shared" si="54"/>
        <v>0</v>
      </c>
      <c r="AH83" s="11">
        <f t="shared" si="55"/>
        <v>0</v>
      </c>
      <c r="AI83" s="11">
        <f t="shared" si="56"/>
        <v>0</v>
      </c>
      <c r="AJ83" s="11">
        <f t="shared" si="57"/>
        <v>0.33333333333333331</v>
      </c>
      <c r="AK83" s="11">
        <f t="shared" si="58"/>
        <v>0</v>
      </c>
      <c r="AL83" s="11">
        <f t="shared" si="59"/>
        <v>0</v>
      </c>
      <c r="AM83" s="11">
        <f t="shared" si="60"/>
        <v>0.16666666666666666</v>
      </c>
      <c r="AN83" s="11">
        <f t="shared" si="61"/>
        <v>0</v>
      </c>
      <c r="AO83" s="11">
        <f t="shared" si="62"/>
        <v>0.33333333333333331</v>
      </c>
      <c r="AP83" s="11">
        <f t="shared" si="63"/>
        <v>0.25</v>
      </c>
      <c r="AQ83" s="11">
        <f t="shared" si="64"/>
        <v>1.1096491228070176</v>
      </c>
    </row>
    <row r="84" spans="1:43" ht="15" customHeight="1" x14ac:dyDescent="0.2">
      <c r="A84" s="3" t="str">
        <f>MethodData!A81</f>
        <v>IGame: fireShots(List&lt;IPosition&gt;)</v>
      </c>
      <c r="B84" s="4">
        <f>MethodData!B81</f>
        <v>1</v>
      </c>
      <c r="C84" s="4">
        <f>MethodData!C81</f>
        <v>0</v>
      </c>
      <c r="D84" s="4">
        <f>MethodData!D81</f>
        <v>0</v>
      </c>
      <c r="E84" s="4">
        <f>MethodData!E81</f>
        <v>0</v>
      </c>
      <c r="F84" s="4">
        <f>MethodData!F81</f>
        <v>0</v>
      </c>
      <c r="G84" s="4">
        <f>MethodData!G81</f>
        <v>0</v>
      </c>
      <c r="H84" s="4">
        <f>MethodData!H81</f>
        <v>0</v>
      </c>
      <c r="I84" s="4">
        <f>MethodData!I81</f>
        <v>0</v>
      </c>
      <c r="J84" s="4">
        <f>MethodData!J81</f>
        <v>0</v>
      </c>
      <c r="K84" s="4">
        <f>MethodData!K81</f>
        <v>1</v>
      </c>
      <c r="L84" s="4">
        <f>MethodData!L81</f>
        <v>1</v>
      </c>
      <c r="M84" s="4">
        <f>MethodData!M81</f>
        <v>0</v>
      </c>
      <c r="N84" s="4">
        <f>MethodData!N81</f>
        <v>0</v>
      </c>
      <c r="O84" s="4">
        <f>MethodData!O81</f>
        <v>0</v>
      </c>
      <c r="P84" s="4">
        <f>MethodData!P81</f>
        <v>0</v>
      </c>
      <c r="Q84" s="4">
        <f>MethodData!Q81</f>
        <v>0</v>
      </c>
      <c r="R84" s="4">
        <f>MethodData!R81</f>
        <v>0</v>
      </c>
      <c r="S84" s="4">
        <f>MethodData!S81</f>
        <v>0</v>
      </c>
      <c r="T84" s="4">
        <f>MethodData!T81</f>
        <v>0</v>
      </c>
      <c r="U84" s="4">
        <f>MethodData!U81</f>
        <v>1</v>
      </c>
      <c r="W84" s="11">
        <f t="shared" si="44"/>
        <v>2.6315789473684209E-2</v>
      </c>
      <c r="X84" s="11">
        <f t="shared" si="45"/>
        <v>0</v>
      </c>
      <c r="Y84" s="11">
        <f t="shared" si="46"/>
        <v>0</v>
      </c>
      <c r="Z84" s="11">
        <f t="shared" si="47"/>
        <v>0</v>
      </c>
      <c r="AA84" s="11">
        <f t="shared" si="48"/>
        <v>0</v>
      </c>
      <c r="AB84" s="11">
        <f t="shared" si="49"/>
        <v>0</v>
      </c>
      <c r="AC84" s="11">
        <f t="shared" si="50"/>
        <v>0</v>
      </c>
      <c r="AD84" s="11">
        <f t="shared" si="51"/>
        <v>0</v>
      </c>
      <c r="AE84" s="11">
        <f t="shared" si="52"/>
        <v>0</v>
      </c>
      <c r="AF84" s="11">
        <f t="shared" si="53"/>
        <v>2.7027027027027029E-3</v>
      </c>
      <c r="AG84" s="11">
        <f t="shared" si="54"/>
        <v>1.020408163265306E-2</v>
      </c>
      <c r="AH84" s="11">
        <f t="shared" si="55"/>
        <v>0</v>
      </c>
      <c r="AI84" s="11">
        <f t="shared" si="56"/>
        <v>0</v>
      </c>
      <c r="AJ84" s="11">
        <f t="shared" si="57"/>
        <v>0</v>
      </c>
      <c r="AK84" s="11">
        <f t="shared" si="58"/>
        <v>0</v>
      </c>
      <c r="AL84" s="11">
        <f t="shared" si="59"/>
        <v>0</v>
      </c>
      <c r="AM84" s="11">
        <f t="shared" si="60"/>
        <v>0.16666666666666666</v>
      </c>
      <c r="AN84" s="11">
        <f t="shared" si="61"/>
        <v>0</v>
      </c>
      <c r="AO84" s="11">
        <f t="shared" si="62"/>
        <v>0</v>
      </c>
      <c r="AP84" s="11">
        <f t="shared" si="63"/>
        <v>0.25</v>
      </c>
      <c r="AQ84" s="11">
        <f t="shared" si="64"/>
        <v>0.45588924047570661</v>
      </c>
    </row>
    <row r="85" spans="1:43" ht="15" customHeight="1" x14ac:dyDescent="0.2">
      <c r="A85" s="3" t="str">
        <f>MethodData!A82</f>
        <v>IGame: fireSingleShot(IPosition, boolean)</v>
      </c>
      <c r="B85" s="4">
        <f>MethodData!B82</f>
        <v>1</v>
      </c>
      <c r="C85" s="4">
        <f>MethodData!C82</f>
        <v>0</v>
      </c>
      <c r="D85" s="4">
        <f>MethodData!D82</f>
        <v>0</v>
      </c>
      <c r="E85" s="4">
        <f>MethodData!E82</f>
        <v>0</v>
      </c>
      <c r="F85" s="4">
        <f>MethodData!F82</f>
        <v>0</v>
      </c>
      <c r="G85" s="4">
        <f>MethodData!G82</f>
        <v>0</v>
      </c>
      <c r="H85" s="4">
        <f>MethodData!H82</f>
        <v>0</v>
      </c>
      <c r="I85" s="4">
        <f>MethodData!I82</f>
        <v>0</v>
      </c>
      <c r="J85" s="4">
        <f>MethodData!J82</f>
        <v>0</v>
      </c>
      <c r="K85" s="4">
        <f>MethodData!K82</f>
        <v>1</v>
      </c>
      <c r="L85" s="4">
        <f>MethodData!L82</f>
        <v>1</v>
      </c>
      <c r="M85" s="4">
        <f>MethodData!M82</f>
        <v>0</v>
      </c>
      <c r="N85" s="4">
        <f>MethodData!N82</f>
        <v>0</v>
      </c>
      <c r="O85" s="4">
        <f>MethodData!O82</f>
        <v>0</v>
      </c>
      <c r="P85" s="4">
        <f>MethodData!P82</f>
        <v>0</v>
      </c>
      <c r="Q85" s="4">
        <f>MethodData!Q82</f>
        <v>0</v>
      </c>
      <c r="R85" s="4">
        <f>MethodData!R82</f>
        <v>0</v>
      </c>
      <c r="S85" s="4">
        <f>MethodData!S82</f>
        <v>0</v>
      </c>
      <c r="T85" s="4">
        <f>MethodData!T82</f>
        <v>0</v>
      </c>
      <c r="U85" s="4">
        <f>MethodData!U82</f>
        <v>2</v>
      </c>
      <c r="W85" s="11">
        <f t="shared" si="44"/>
        <v>2.6315789473684209E-2</v>
      </c>
      <c r="X85" s="11">
        <f t="shared" si="45"/>
        <v>0</v>
      </c>
      <c r="Y85" s="11">
        <f t="shared" si="46"/>
        <v>0</v>
      </c>
      <c r="Z85" s="11">
        <f t="shared" si="47"/>
        <v>0</v>
      </c>
      <c r="AA85" s="11">
        <f t="shared" si="48"/>
        <v>0</v>
      </c>
      <c r="AB85" s="11">
        <f t="shared" si="49"/>
        <v>0</v>
      </c>
      <c r="AC85" s="11">
        <f t="shared" si="50"/>
        <v>0</v>
      </c>
      <c r="AD85" s="11">
        <f t="shared" si="51"/>
        <v>0</v>
      </c>
      <c r="AE85" s="11">
        <f t="shared" si="52"/>
        <v>0</v>
      </c>
      <c r="AF85" s="11">
        <f t="shared" si="53"/>
        <v>2.7027027027027029E-3</v>
      </c>
      <c r="AG85" s="11">
        <f t="shared" si="54"/>
        <v>1.020408163265306E-2</v>
      </c>
      <c r="AH85" s="11">
        <f t="shared" si="55"/>
        <v>0</v>
      </c>
      <c r="AI85" s="11">
        <f t="shared" si="56"/>
        <v>0</v>
      </c>
      <c r="AJ85" s="11">
        <f t="shared" si="57"/>
        <v>0</v>
      </c>
      <c r="AK85" s="11">
        <f t="shared" si="58"/>
        <v>0</v>
      </c>
      <c r="AL85" s="11">
        <f t="shared" si="59"/>
        <v>0</v>
      </c>
      <c r="AM85" s="11">
        <f t="shared" si="60"/>
        <v>0.16666666666666666</v>
      </c>
      <c r="AN85" s="11">
        <f t="shared" si="61"/>
        <v>0</v>
      </c>
      <c r="AO85" s="11">
        <f t="shared" si="62"/>
        <v>0</v>
      </c>
      <c r="AP85" s="11">
        <f t="shared" si="63"/>
        <v>0.5</v>
      </c>
      <c r="AQ85" s="11">
        <f t="shared" si="64"/>
        <v>0.70588924047570667</v>
      </c>
    </row>
    <row r="86" spans="1:43" ht="15" customHeight="1" x14ac:dyDescent="0.2">
      <c r="A86" s="3" t="str">
        <f>MethodData!A83</f>
        <v>IGame: getAlienFleet()</v>
      </c>
      <c r="B86" s="4">
        <f>MethodData!B83</f>
        <v>1</v>
      </c>
      <c r="C86" s="4">
        <f>MethodData!C83</f>
        <v>0</v>
      </c>
      <c r="D86" s="4">
        <f>MethodData!D83</f>
        <v>0</v>
      </c>
      <c r="E86" s="4">
        <f>MethodData!E83</f>
        <v>0</v>
      </c>
      <c r="F86" s="4">
        <f>MethodData!F83</f>
        <v>0</v>
      </c>
      <c r="G86" s="4">
        <f>MethodData!G83</f>
        <v>0</v>
      </c>
      <c r="H86" s="4">
        <f>MethodData!H83</f>
        <v>0</v>
      </c>
      <c r="I86" s="4">
        <f>MethodData!I83</f>
        <v>0</v>
      </c>
      <c r="J86" s="4">
        <f>MethodData!J83</f>
        <v>0</v>
      </c>
      <c r="K86" s="4">
        <f>MethodData!K83</f>
        <v>0</v>
      </c>
      <c r="L86" s="4">
        <f>MethodData!L83</f>
        <v>0</v>
      </c>
      <c r="M86" s="4">
        <f>MethodData!M83</f>
        <v>0</v>
      </c>
      <c r="N86" s="4">
        <f>MethodData!N83</f>
        <v>0</v>
      </c>
      <c r="O86" s="4">
        <f>MethodData!O83</f>
        <v>0</v>
      </c>
      <c r="P86" s="4">
        <f>MethodData!P83</f>
        <v>0</v>
      </c>
      <c r="Q86" s="4">
        <f>MethodData!Q83</f>
        <v>0</v>
      </c>
      <c r="R86" s="4">
        <f>MethodData!R83</f>
        <v>0</v>
      </c>
      <c r="S86" s="4">
        <f>MethodData!S83</f>
        <v>0</v>
      </c>
      <c r="T86" s="4">
        <f>MethodData!T83</f>
        <v>0</v>
      </c>
      <c r="U86" s="4">
        <f>MethodData!U83</f>
        <v>0</v>
      </c>
      <c r="W86" s="11">
        <f t="shared" si="44"/>
        <v>2.6315789473684209E-2</v>
      </c>
      <c r="X86" s="11">
        <f t="shared" si="45"/>
        <v>0</v>
      </c>
      <c r="Y86" s="11">
        <f t="shared" si="46"/>
        <v>0</v>
      </c>
      <c r="Z86" s="11">
        <f t="shared" si="47"/>
        <v>0</v>
      </c>
      <c r="AA86" s="11">
        <f t="shared" si="48"/>
        <v>0</v>
      </c>
      <c r="AB86" s="11">
        <f t="shared" si="49"/>
        <v>0</v>
      </c>
      <c r="AC86" s="11">
        <f t="shared" si="50"/>
        <v>0</v>
      </c>
      <c r="AD86" s="11">
        <f t="shared" si="51"/>
        <v>0</v>
      </c>
      <c r="AE86" s="11">
        <f t="shared" si="52"/>
        <v>0</v>
      </c>
      <c r="AF86" s="11">
        <f t="shared" si="53"/>
        <v>0</v>
      </c>
      <c r="AG86" s="11">
        <f t="shared" si="54"/>
        <v>0</v>
      </c>
      <c r="AH86" s="11">
        <f t="shared" si="55"/>
        <v>0</v>
      </c>
      <c r="AI86" s="11">
        <f t="shared" si="56"/>
        <v>0</v>
      </c>
      <c r="AJ86" s="11">
        <f t="shared" si="57"/>
        <v>0</v>
      </c>
      <c r="AK86" s="11">
        <f t="shared" si="58"/>
        <v>0</v>
      </c>
      <c r="AL86" s="11">
        <f t="shared" si="59"/>
        <v>0</v>
      </c>
      <c r="AM86" s="11">
        <f t="shared" si="60"/>
        <v>0.16666666666666666</v>
      </c>
      <c r="AN86" s="11">
        <f t="shared" si="61"/>
        <v>0</v>
      </c>
      <c r="AO86" s="11">
        <f t="shared" si="62"/>
        <v>0</v>
      </c>
      <c r="AP86" s="11">
        <f t="shared" si="63"/>
        <v>0</v>
      </c>
      <c r="AQ86" s="11">
        <f t="shared" si="64"/>
        <v>0.19298245614035087</v>
      </c>
    </row>
    <row r="87" spans="1:43" ht="15" customHeight="1" x14ac:dyDescent="0.2">
      <c r="A87" s="3" t="str">
        <f>MethodData!A84</f>
        <v>IGame: getAlienMoves()</v>
      </c>
      <c r="B87" s="4">
        <f>MethodData!B84</f>
        <v>1</v>
      </c>
      <c r="C87" s="4">
        <f>MethodData!C84</f>
        <v>0</v>
      </c>
      <c r="D87" s="4">
        <f>MethodData!D84</f>
        <v>0</v>
      </c>
      <c r="E87" s="4">
        <f>MethodData!E84</f>
        <v>0</v>
      </c>
      <c r="F87" s="4">
        <f>MethodData!F84</f>
        <v>0</v>
      </c>
      <c r="G87" s="4">
        <f>MethodData!G84</f>
        <v>0</v>
      </c>
      <c r="H87" s="4">
        <f>MethodData!H84</f>
        <v>0</v>
      </c>
      <c r="I87" s="4">
        <f>MethodData!I84</f>
        <v>0</v>
      </c>
      <c r="J87" s="4">
        <f>MethodData!J84</f>
        <v>0</v>
      </c>
      <c r="K87" s="4">
        <f>MethodData!K84</f>
        <v>0</v>
      </c>
      <c r="L87" s="4">
        <f>MethodData!L84</f>
        <v>0</v>
      </c>
      <c r="M87" s="4">
        <f>MethodData!M84</f>
        <v>0</v>
      </c>
      <c r="N87" s="4">
        <f>MethodData!N84</f>
        <v>0</v>
      </c>
      <c r="O87" s="4">
        <f>MethodData!O84</f>
        <v>0</v>
      </c>
      <c r="P87" s="4">
        <f>MethodData!P84</f>
        <v>0</v>
      </c>
      <c r="Q87" s="4">
        <f>MethodData!Q84</f>
        <v>0</v>
      </c>
      <c r="R87" s="4">
        <f>MethodData!R84</f>
        <v>0</v>
      </c>
      <c r="S87" s="4">
        <f>MethodData!S84</f>
        <v>0</v>
      </c>
      <c r="T87" s="4">
        <f>MethodData!T84</f>
        <v>0</v>
      </c>
      <c r="U87" s="4">
        <f>MethodData!U84</f>
        <v>0</v>
      </c>
      <c r="W87" s="11">
        <f t="shared" si="44"/>
        <v>2.6315789473684209E-2</v>
      </c>
      <c r="X87" s="11">
        <f t="shared" si="45"/>
        <v>0</v>
      </c>
      <c r="Y87" s="11">
        <f t="shared" si="46"/>
        <v>0</v>
      </c>
      <c r="Z87" s="11">
        <f t="shared" si="47"/>
        <v>0</v>
      </c>
      <c r="AA87" s="11">
        <f t="shared" si="48"/>
        <v>0</v>
      </c>
      <c r="AB87" s="11">
        <f t="shared" si="49"/>
        <v>0</v>
      </c>
      <c r="AC87" s="11">
        <f t="shared" si="50"/>
        <v>0</v>
      </c>
      <c r="AD87" s="11">
        <f t="shared" si="51"/>
        <v>0</v>
      </c>
      <c r="AE87" s="11">
        <f t="shared" si="52"/>
        <v>0</v>
      </c>
      <c r="AF87" s="11">
        <f t="shared" si="53"/>
        <v>0</v>
      </c>
      <c r="AG87" s="11">
        <f t="shared" si="54"/>
        <v>0</v>
      </c>
      <c r="AH87" s="11">
        <f t="shared" si="55"/>
        <v>0</v>
      </c>
      <c r="AI87" s="11">
        <f t="shared" si="56"/>
        <v>0</v>
      </c>
      <c r="AJ87" s="11">
        <f t="shared" si="57"/>
        <v>0</v>
      </c>
      <c r="AK87" s="11">
        <f t="shared" si="58"/>
        <v>0</v>
      </c>
      <c r="AL87" s="11">
        <f t="shared" si="59"/>
        <v>0</v>
      </c>
      <c r="AM87" s="11">
        <f t="shared" si="60"/>
        <v>0.16666666666666666</v>
      </c>
      <c r="AN87" s="11">
        <f t="shared" si="61"/>
        <v>0</v>
      </c>
      <c r="AO87" s="11">
        <f t="shared" si="62"/>
        <v>0</v>
      </c>
      <c r="AP87" s="11">
        <f t="shared" si="63"/>
        <v>0</v>
      </c>
      <c r="AQ87" s="11">
        <f t="shared" si="64"/>
        <v>0.19298245614035087</v>
      </c>
    </row>
    <row r="88" spans="1:43" ht="15" customHeight="1" x14ac:dyDescent="0.2">
      <c r="A88" s="3" t="str">
        <f>MethodData!A85</f>
        <v>IGame: getHits()</v>
      </c>
      <c r="B88" s="4">
        <f>MethodData!B85</f>
        <v>1</v>
      </c>
      <c r="C88" s="4">
        <f>MethodData!C85</f>
        <v>0</v>
      </c>
      <c r="D88" s="4">
        <f>MethodData!D85</f>
        <v>0</v>
      </c>
      <c r="E88" s="4">
        <f>MethodData!E85</f>
        <v>0</v>
      </c>
      <c r="F88" s="4">
        <f>MethodData!F85</f>
        <v>0</v>
      </c>
      <c r="G88" s="4">
        <f>MethodData!G85</f>
        <v>0</v>
      </c>
      <c r="H88" s="4">
        <f>MethodData!H85</f>
        <v>0</v>
      </c>
      <c r="I88" s="4">
        <f>MethodData!I85</f>
        <v>0</v>
      </c>
      <c r="J88" s="4">
        <f>MethodData!J85</f>
        <v>0</v>
      </c>
      <c r="K88" s="4">
        <f>MethodData!K85</f>
        <v>1</v>
      </c>
      <c r="L88" s="4">
        <f>MethodData!L85</f>
        <v>1</v>
      </c>
      <c r="M88" s="4">
        <f>MethodData!M85</f>
        <v>0</v>
      </c>
      <c r="N88" s="4">
        <f>MethodData!N85</f>
        <v>0</v>
      </c>
      <c r="O88" s="4">
        <f>MethodData!O85</f>
        <v>0</v>
      </c>
      <c r="P88" s="4">
        <f>MethodData!P85</f>
        <v>0</v>
      </c>
      <c r="Q88" s="4">
        <f>MethodData!Q85</f>
        <v>0</v>
      </c>
      <c r="R88" s="4">
        <f>MethodData!R85</f>
        <v>0</v>
      </c>
      <c r="S88" s="4">
        <f>MethodData!S85</f>
        <v>0</v>
      </c>
      <c r="T88" s="4">
        <f>MethodData!T85</f>
        <v>0</v>
      </c>
      <c r="U88" s="4">
        <f>MethodData!U85</f>
        <v>0</v>
      </c>
      <c r="W88" s="11">
        <f t="shared" si="44"/>
        <v>2.6315789473684209E-2</v>
      </c>
      <c r="X88" s="11">
        <f t="shared" si="45"/>
        <v>0</v>
      </c>
      <c r="Y88" s="11">
        <f t="shared" si="46"/>
        <v>0</v>
      </c>
      <c r="Z88" s="11">
        <f t="shared" si="47"/>
        <v>0</v>
      </c>
      <c r="AA88" s="11">
        <f t="shared" si="48"/>
        <v>0</v>
      </c>
      <c r="AB88" s="11">
        <f t="shared" si="49"/>
        <v>0</v>
      </c>
      <c r="AC88" s="11">
        <f t="shared" si="50"/>
        <v>0</v>
      </c>
      <c r="AD88" s="11">
        <f t="shared" si="51"/>
        <v>0</v>
      </c>
      <c r="AE88" s="11">
        <f t="shared" si="52"/>
        <v>0</v>
      </c>
      <c r="AF88" s="11">
        <f t="shared" si="53"/>
        <v>2.7027027027027029E-3</v>
      </c>
      <c r="AG88" s="11">
        <f t="shared" si="54"/>
        <v>1.020408163265306E-2</v>
      </c>
      <c r="AH88" s="11">
        <f t="shared" si="55"/>
        <v>0</v>
      </c>
      <c r="AI88" s="11">
        <f t="shared" si="56"/>
        <v>0</v>
      </c>
      <c r="AJ88" s="11">
        <f t="shared" si="57"/>
        <v>0</v>
      </c>
      <c r="AK88" s="11">
        <f t="shared" si="58"/>
        <v>0</v>
      </c>
      <c r="AL88" s="11">
        <f t="shared" si="59"/>
        <v>0</v>
      </c>
      <c r="AM88" s="11">
        <f t="shared" si="60"/>
        <v>0.16666666666666666</v>
      </c>
      <c r="AN88" s="11">
        <f t="shared" si="61"/>
        <v>0</v>
      </c>
      <c r="AO88" s="11">
        <f t="shared" si="62"/>
        <v>0</v>
      </c>
      <c r="AP88" s="11">
        <f t="shared" si="63"/>
        <v>0</v>
      </c>
      <c r="AQ88" s="11">
        <f t="shared" si="64"/>
        <v>0.20588924047570661</v>
      </c>
    </row>
    <row r="89" spans="1:43" ht="15" customHeight="1" x14ac:dyDescent="0.2">
      <c r="A89" s="3" t="str">
        <f>MethodData!A86</f>
        <v>IGame: getInvalidShots()</v>
      </c>
      <c r="B89" s="4">
        <f>MethodData!B86</f>
        <v>1</v>
      </c>
      <c r="C89" s="4">
        <f>MethodData!C86</f>
        <v>0</v>
      </c>
      <c r="D89" s="4">
        <f>MethodData!D86</f>
        <v>0</v>
      </c>
      <c r="E89" s="4">
        <f>MethodData!E86</f>
        <v>0</v>
      </c>
      <c r="F89" s="4">
        <f>MethodData!F86</f>
        <v>0</v>
      </c>
      <c r="G89" s="4">
        <f>MethodData!G86</f>
        <v>0</v>
      </c>
      <c r="H89" s="4">
        <f>MethodData!H86</f>
        <v>0</v>
      </c>
      <c r="I89" s="4">
        <f>MethodData!I86</f>
        <v>0</v>
      </c>
      <c r="J89" s="4">
        <f>MethodData!J86</f>
        <v>0</v>
      </c>
      <c r="K89" s="4">
        <f>MethodData!K86</f>
        <v>1</v>
      </c>
      <c r="L89" s="4">
        <f>MethodData!L86</f>
        <v>1</v>
      </c>
      <c r="M89" s="4">
        <f>MethodData!M86</f>
        <v>0</v>
      </c>
      <c r="N89" s="4">
        <f>MethodData!N86</f>
        <v>0</v>
      </c>
      <c r="O89" s="4">
        <f>MethodData!O86</f>
        <v>0</v>
      </c>
      <c r="P89" s="4">
        <f>MethodData!P86</f>
        <v>0</v>
      </c>
      <c r="Q89" s="4">
        <f>MethodData!Q86</f>
        <v>0</v>
      </c>
      <c r="R89" s="4">
        <f>MethodData!R86</f>
        <v>0</v>
      </c>
      <c r="S89" s="4">
        <f>MethodData!S86</f>
        <v>0</v>
      </c>
      <c r="T89" s="4">
        <f>MethodData!T86</f>
        <v>0</v>
      </c>
      <c r="U89" s="4">
        <f>MethodData!U86</f>
        <v>0</v>
      </c>
      <c r="W89" s="11">
        <f t="shared" si="44"/>
        <v>2.6315789473684209E-2</v>
      </c>
      <c r="X89" s="11">
        <f t="shared" si="45"/>
        <v>0</v>
      </c>
      <c r="Y89" s="11">
        <f t="shared" si="46"/>
        <v>0</v>
      </c>
      <c r="Z89" s="11">
        <f t="shared" si="47"/>
        <v>0</v>
      </c>
      <c r="AA89" s="11">
        <f t="shared" si="48"/>
        <v>0</v>
      </c>
      <c r="AB89" s="11">
        <f t="shared" si="49"/>
        <v>0</v>
      </c>
      <c r="AC89" s="11">
        <f t="shared" si="50"/>
        <v>0</v>
      </c>
      <c r="AD89" s="11">
        <f t="shared" si="51"/>
        <v>0</v>
      </c>
      <c r="AE89" s="11">
        <f t="shared" si="52"/>
        <v>0</v>
      </c>
      <c r="AF89" s="11">
        <f t="shared" si="53"/>
        <v>2.7027027027027029E-3</v>
      </c>
      <c r="AG89" s="11">
        <f t="shared" si="54"/>
        <v>1.020408163265306E-2</v>
      </c>
      <c r="AH89" s="11">
        <f t="shared" si="55"/>
        <v>0</v>
      </c>
      <c r="AI89" s="11">
        <f t="shared" si="56"/>
        <v>0</v>
      </c>
      <c r="AJ89" s="11">
        <f t="shared" si="57"/>
        <v>0</v>
      </c>
      <c r="AK89" s="11">
        <f t="shared" si="58"/>
        <v>0</v>
      </c>
      <c r="AL89" s="11">
        <f t="shared" si="59"/>
        <v>0</v>
      </c>
      <c r="AM89" s="11">
        <f t="shared" si="60"/>
        <v>0.16666666666666666</v>
      </c>
      <c r="AN89" s="11">
        <f t="shared" si="61"/>
        <v>0</v>
      </c>
      <c r="AO89" s="11">
        <f t="shared" si="62"/>
        <v>0</v>
      </c>
      <c r="AP89" s="11">
        <f t="shared" si="63"/>
        <v>0</v>
      </c>
      <c r="AQ89" s="11">
        <f t="shared" si="64"/>
        <v>0.20588924047570661</v>
      </c>
    </row>
    <row r="90" spans="1:43" ht="15" customHeight="1" x14ac:dyDescent="0.2">
      <c r="A90" s="3" t="str">
        <f>MethodData!A87</f>
        <v>IGame: getMyFleet()</v>
      </c>
      <c r="B90" s="4">
        <f>MethodData!B87</f>
        <v>1</v>
      </c>
      <c r="C90" s="4">
        <f>MethodData!C87</f>
        <v>0</v>
      </c>
      <c r="D90" s="4">
        <f>MethodData!D87</f>
        <v>0</v>
      </c>
      <c r="E90" s="4">
        <f>MethodData!E87</f>
        <v>0</v>
      </c>
      <c r="F90" s="4">
        <f>MethodData!F87</f>
        <v>0</v>
      </c>
      <c r="G90" s="4">
        <f>MethodData!G87</f>
        <v>0</v>
      </c>
      <c r="H90" s="4">
        <f>MethodData!H87</f>
        <v>0</v>
      </c>
      <c r="I90" s="4">
        <f>MethodData!I87</f>
        <v>0</v>
      </c>
      <c r="J90" s="4">
        <f>MethodData!J87</f>
        <v>0</v>
      </c>
      <c r="K90" s="4">
        <f>MethodData!K87</f>
        <v>0</v>
      </c>
      <c r="L90" s="4">
        <f>MethodData!L87</f>
        <v>0</v>
      </c>
      <c r="M90" s="4">
        <f>MethodData!M87</f>
        <v>0</v>
      </c>
      <c r="N90" s="4">
        <f>MethodData!N87</f>
        <v>0</v>
      </c>
      <c r="O90" s="4">
        <f>MethodData!O87</f>
        <v>0</v>
      </c>
      <c r="P90" s="4">
        <f>MethodData!P87</f>
        <v>0</v>
      </c>
      <c r="Q90" s="4">
        <f>MethodData!Q87</f>
        <v>0</v>
      </c>
      <c r="R90" s="4">
        <f>MethodData!R87</f>
        <v>0</v>
      </c>
      <c r="S90" s="4">
        <f>MethodData!S87</f>
        <v>0</v>
      </c>
      <c r="T90" s="4">
        <f>MethodData!T87</f>
        <v>0</v>
      </c>
      <c r="U90" s="4">
        <f>MethodData!U87</f>
        <v>0</v>
      </c>
      <c r="W90" s="11">
        <f t="shared" si="44"/>
        <v>2.6315789473684209E-2</v>
      </c>
      <c r="X90" s="11">
        <f t="shared" si="45"/>
        <v>0</v>
      </c>
      <c r="Y90" s="11">
        <f t="shared" si="46"/>
        <v>0</v>
      </c>
      <c r="Z90" s="11">
        <f t="shared" si="47"/>
        <v>0</v>
      </c>
      <c r="AA90" s="11">
        <f t="shared" si="48"/>
        <v>0</v>
      </c>
      <c r="AB90" s="11">
        <f t="shared" si="49"/>
        <v>0</v>
      </c>
      <c r="AC90" s="11">
        <f t="shared" si="50"/>
        <v>0</v>
      </c>
      <c r="AD90" s="11">
        <f t="shared" si="51"/>
        <v>0</v>
      </c>
      <c r="AE90" s="11">
        <f t="shared" si="52"/>
        <v>0</v>
      </c>
      <c r="AF90" s="11">
        <f t="shared" si="53"/>
        <v>0</v>
      </c>
      <c r="AG90" s="11">
        <f t="shared" si="54"/>
        <v>0</v>
      </c>
      <c r="AH90" s="11">
        <f t="shared" si="55"/>
        <v>0</v>
      </c>
      <c r="AI90" s="11">
        <f t="shared" si="56"/>
        <v>0</v>
      </c>
      <c r="AJ90" s="11">
        <f t="shared" si="57"/>
        <v>0</v>
      </c>
      <c r="AK90" s="11">
        <f t="shared" si="58"/>
        <v>0</v>
      </c>
      <c r="AL90" s="11">
        <f t="shared" si="59"/>
        <v>0</v>
      </c>
      <c r="AM90" s="11">
        <f t="shared" si="60"/>
        <v>0.16666666666666666</v>
      </c>
      <c r="AN90" s="11">
        <f t="shared" si="61"/>
        <v>0</v>
      </c>
      <c r="AO90" s="11">
        <f t="shared" si="62"/>
        <v>0</v>
      </c>
      <c r="AP90" s="11">
        <f t="shared" si="63"/>
        <v>0</v>
      </c>
      <c r="AQ90" s="11">
        <f t="shared" si="64"/>
        <v>0.19298245614035087</v>
      </c>
    </row>
    <row r="91" spans="1:43" ht="15" customHeight="1" x14ac:dyDescent="0.2">
      <c r="A91" s="3" t="str">
        <f>MethodData!A88</f>
        <v>IGame: getMyMoves()</v>
      </c>
      <c r="B91" s="4">
        <f>MethodData!B88</f>
        <v>1</v>
      </c>
      <c r="C91" s="4">
        <f>MethodData!C88</f>
        <v>0</v>
      </c>
      <c r="D91" s="4">
        <f>MethodData!D88</f>
        <v>0</v>
      </c>
      <c r="E91" s="4">
        <f>MethodData!E88</f>
        <v>0</v>
      </c>
      <c r="F91" s="4">
        <f>MethodData!F88</f>
        <v>0</v>
      </c>
      <c r="G91" s="4">
        <f>MethodData!G88</f>
        <v>0</v>
      </c>
      <c r="H91" s="4">
        <f>MethodData!H88</f>
        <v>0</v>
      </c>
      <c r="I91" s="4">
        <f>MethodData!I88</f>
        <v>0</v>
      </c>
      <c r="J91" s="4">
        <f>MethodData!J88</f>
        <v>0</v>
      </c>
      <c r="K91" s="4">
        <f>MethodData!K88</f>
        <v>0</v>
      </c>
      <c r="L91" s="4">
        <f>MethodData!L88</f>
        <v>0</v>
      </c>
      <c r="M91" s="4">
        <f>MethodData!M88</f>
        <v>0</v>
      </c>
      <c r="N91" s="4">
        <f>MethodData!N88</f>
        <v>0</v>
      </c>
      <c r="O91" s="4">
        <f>MethodData!O88</f>
        <v>0</v>
      </c>
      <c r="P91" s="4">
        <f>MethodData!P88</f>
        <v>0</v>
      </c>
      <c r="Q91" s="4">
        <f>MethodData!Q88</f>
        <v>0</v>
      </c>
      <c r="R91" s="4">
        <f>MethodData!R88</f>
        <v>0</v>
      </c>
      <c r="S91" s="4">
        <f>MethodData!S88</f>
        <v>0</v>
      </c>
      <c r="T91" s="4">
        <f>MethodData!T88</f>
        <v>0</v>
      </c>
      <c r="U91" s="4">
        <f>MethodData!U88</f>
        <v>0</v>
      </c>
      <c r="W91" s="11">
        <f t="shared" si="44"/>
        <v>2.6315789473684209E-2</v>
      </c>
      <c r="X91" s="11">
        <f t="shared" si="45"/>
        <v>0</v>
      </c>
      <c r="Y91" s="11">
        <f t="shared" si="46"/>
        <v>0</v>
      </c>
      <c r="Z91" s="11">
        <f t="shared" si="47"/>
        <v>0</v>
      </c>
      <c r="AA91" s="11">
        <f t="shared" si="48"/>
        <v>0</v>
      </c>
      <c r="AB91" s="11">
        <f t="shared" si="49"/>
        <v>0</v>
      </c>
      <c r="AC91" s="11">
        <f t="shared" si="50"/>
        <v>0</v>
      </c>
      <c r="AD91" s="11">
        <f t="shared" si="51"/>
        <v>0</v>
      </c>
      <c r="AE91" s="11">
        <f t="shared" si="52"/>
        <v>0</v>
      </c>
      <c r="AF91" s="11">
        <f t="shared" si="53"/>
        <v>0</v>
      </c>
      <c r="AG91" s="11">
        <f t="shared" si="54"/>
        <v>0</v>
      </c>
      <c r="AH91" s="11">
        <f t="shared" si="55"/>
        <v>0</v>
      </c>
      <c r="AI91" s="11">
        <f t="shared" si="56"/>
        <v>0</v>
      </c>
      <c r="AJ91" s="11">
        <f t="shared" si="57"/>
        <v>0</v>
      </c>
      <c r="AK91" s="11">
        <f t="shared" si="58"/>
        <v>0</v>
      </c>
      <c r="AL91" s="11">
        <f t="shared" si="59"/>
        <v>0</v>
      </c>
      <c r="AM91" s="11">
        <f t="shared" si="60"/>
        <v>0.16666666666666666</v>
      </c>
      <c r="AN91" s="11">
        <f t="shared" si="61"/>
        <v>0</v>
      </c>
      <c r="AO91" s="11">
        <f t="shared" si="62"/>
        <v>0</v>
      </c>
      <c r="AP91" s="11">
        <f t="shared" si="63"/>
        <v>0</v>
      </c>
      <c r="AQ91" s="11">
        <f t="shared" si="64"/>
        <v>0.19298245614035087</v>
      </c>
    </row>
    <row r="92" spans="1:43" ht="15" customHeight="1" x14ac:dyDescent="0.2">
      <c r="A92" s="3" t="str">
        <f>MethodData!A89</f>
        <v>IGame: getRemainingShips()</v>
      </c>
      <c r="B92" s="4">
        <f>MethodData!B89</f>
        <v>1</v>
      </c>
      <c r="C92" s="4">
        <f>MethodData!C89</f>
        <v>0</v>
      </c>
      <c r="D92" s="4">
        <f>MethodData!D89</f>
        <v>0</v>
      </c>
      <c r="E92" s="4">
        <f>MethodData!E89</f>
        <v>0</v>
      </c>
      <c r="F92" s="4">
        <f>MethodData!F89</f>
        <v>0</v>
      </c>
      <c r="G92" s="4">
        <f>MethodData!G89</f>
        <v>0</v>
      </c>
      <c r="H92" s="4">
        <f>MethodData!H89</f>
        <v>0</v>
      </c>
      <c r="I92" s="4">
        <f>MethodData!I89</f>
        <v>0</v>
      </c>
      <c r="J92" s="4">
        <f>MethodData!J89</f>
        <v>0</v>
      </c>
      <c r="K92" s="4">
        <f>MethodData!K89</f>
        <v>1</v>
      </c>
      <c r="L92" s="4">
        <f>MethodData!L89</f>
        <v>1</v>
      </c>
      <c r="M92" s="4">
        <f>MethodData!M89</f>
        <v>0</v>
      </c>
      <c r="N92" s="4">
        <f>MethodData!N89</f>
        <v>0</v>
      </c>
      <c r="O92" s="4">
        <f>MethodData!O89</f>
        <v>0</v>
      </c>
      <c r="P92" s="4">
        <f>MethodData!P89</f>
        <v>0</v>
      </c>
      <c r="Q92" s="4">
        <f>MethodData!Q89</f>
        <v>0</v>
      </c>
      <c r="R92" s="4">
        <f>MethodData!R89</f>
        <v>0</v>
      </c>
      <c r="S92" s="4">
        <f>MethodData!S89</f>
        <v>0</v>
      </c>
      <c r="T92" s="4">
        <f>MethodData!T89</f>
        <v>0</v>
      </c>
      <c r="U92" s="4">
        <f>MethodData!U89</f>
        <v>0</v>
      </c>
      <c r="W92" s="11">
        <f t="shared" si="44"/>
        <v>2.6315789473684209E-2</v>
      </c>
      <c r="X92" s="11">
        <f t="shared" si="45"/>
        <v>0</v>
      </c>
      <c r="Y92" s="11">
        <f t="shared" si="46"/>
        <v>0</v>
      </c>
      <c r="Z92" s="11">
        <f t="shared" si="47"/>
        <v>0</v>
      </c>
      <c r="AA92" s="11">
        <f t="shared" si="48"/>
        <v>0</v>
      </c>
      <c r="AB92" s="11">
        <f t="shared" si="49"/>
        <v>0</v>
      </c>
      <c r="AC92" s="11">
        <f t="shared" si="50"/>
        <v>0</v>
      </c>
      <c r="AD92" s="11">
        <f t="shared" si="51"/>
        <v>0</v>
      </c>
      <c r="AE92" s="11">
        <f t="shared" si="52"/>
        <v>0</v>
      </c>
      <c r="AF92" s="11">
        <f t="shared" si="53"/>
        <v>2.7027027027027029E-3</v>
      </c>
      <c r="AG92" s="11">
        <f t="shared" si="54"/>
        <v>1.020408163265306E-2</v>
      </c>
      <c r="AH92" s="11">
        <f t="shared" si="55"/>
        <v>0</v>
      </c>
      <c r="AI92" s="11">
        <f t="shared" si="56"/>
        <v>0</v>
      </c>
      <c r="AJ92" s="11">
        <f t="shared" si="57"/>
        <v>0</v>
      </c>
      <c r="AK92" s="11">
        <f t="shared" si="58"/>
        <v>0</v>
      </c>
      <c r="AL92" s="11">
        <f t="shared" si="59"/>
        <v>0</v>
      </c>
      <c r="AM92" s="11">
        <f t="shared" si="60"/>
        <v>0.16666666666666666</v>
      </c>
      <c r="AN92" s="11">
        <f t="shared" si="61"/>
        <v>0</v>
      </c>
      <c r="AO92" s="11">
        <f t="shared" si="62"/>
        <v>0</v>
      </c>
      <c r="AP92" s="11">
        <f t="shared" si="63"/>
        <v>0</v>
      </c>
      <c r="AQ92" s="11">
        <f t="shared" si="64"/>
        <v>0.20588924047570661</v>
      </c>
    </row>
    <row r="93" spans="1:43" ht="15" customHeight="1" x14ac:dyDescent="0.2">
      <c r="A93" s="3" t="str">
        <f>MethodData!A90</f>
        <v>IGame: getRepeatedShots()</v>
      </c>
      <c r="B93" s="4">
        <f>MethodData!B90</f>
        <v>1</v>
      </c>
      <c r="C93" s="4">
        <f>MethodData!C90</f>
        <v>0</v>
      </c>
      <c r="D93" s="4">
        <f>MethodData!D90</f>
        <v>0</v>
      </c>
      <c r="E93" s="4">
        <f>MethodData!E90</f>
        <v>0</v>
      </c>
      <c r="F93" s="4">
        <f>MethodData!F90</f>
        <v>0</v>
      </c>
      <c r="G93" s="4">
        <f>MethodData!G90</f>
        <v>0</v>
      </c>
      <c r="H93" s="4">
        <f>MethodData!H90</f>
        <v>0</v>
      </c>
      <c r="I93" s="4">
        <f>MethodData!I90</f>
        <v>0</v>
      </c>
      <c r="J93" s="4">
        <f>MethodData!J90</f>
        <v>0</v>
      </c>
      <c r="K93" s="4">
        <f>MethodData!K90</f>
        <v>1</v>
      </c>
      <c r="L93" s="4">
        <f>MethodData!L90</f>
        <v>1</v>
      </c>
      <c r="M93" s="4">
        <f>MethodData!M90</f>
        <v>0</v>
      </c>
      <c r="N93" s="4">
        <f>MethodData!N90</f>
        <v>0</v>
      </c>
      <c r="O93" s="4">
        <f>MethodData!O90</f>
        <v>0</v>
      </c>
      <c r="P93" s="4">
        <f>MethodData!P90</f>
        <v>0</v>
      </c>
      <c r="Q93" s="4">
        <f>MethodData!Q90</f>
        <v>0</v>
      </c>
      <c r="R93" s="4">
        <f>MethodData!R90</f>
        <v>0</v>
      </c>
      <c r="S93" s="4">
        <f>MethodData!S90</f>
        <v>0</v>
      </c>
      <c r="T93" s="4">
        <f>MethodData!T90</f>
        <v>0</v>
      </c>
      <c r="U93" s="4">
        <f>MethodData!U90</f>
        <v>0</v>
      </c>
      <c r="W93" s="11">
        <f t="shared" si="44"/>
        <v>2.6315789473684209E-2</v>
      </c>
      <c r="X93" s="11">
        <f t="shared" si="45"/>
        <v>0</v>
      </c>
      <c r="Y93" s="11">
        <f t="shared" si="46"/>
        <v>0</v>
      </c>
      <c r="Z93" s="11">
        <f t="shared" si="47"/>
        <v>0</v>
      </c>
      <c r="AA93" s="11">
        <f t="shared" si="48"/>
        <v>0</v>
      </c>
      <c r="AB93" s="11">
        <f t="shared" si="49"/>
        <v>0</v>
      </c>
      <c r="AC93" s="11">
        <f t="shared" si="50"/>
        <v>0</v>
      </c>
      <c r="AD93" s="11">
        <f t="shared" si="51"/>
        <v>0</v>
      </c>
      <c r="AE93" s="11">
        <f t="shared" si="52"/>
        <v>0</v>
      </c>
      <c r="AF93" s="11">
        <f t="shared" si="53"/>
        <v>2.7027027027027029E-3</v>
      </c>
      <c r="AG93" s="11">
        <f t="shared" si="54"/>
        <v>1.020408163265306E-2</v>
      </c>
      <c r="AH93" s="11">
        <f t="shared" si="55"/>
        <v>0</v>
      </c>
      <c r="AI93" s="11">
        <f t="shared" si="56"/>
        <v>0</v>
      </c>
      <c r="AJ93" s="11">
        <f t="shared" si="57"/>
        <v>0</v>
      </c>
      <c r="AK93" s="11">
        <f t="shared" si="58"/>
        <v>0</v>
      </c>
      <c r="AL93" s="11">
        <f t="shared" si="59"/>
        <v>0</v>
      </c>
      <c r="AM93" s="11">
        <f t="shared" si="60"/>
        <v>0.16666666666666666</v>
      </c>
      <c r="AN93" s="11">
        <f t="shared" si="61"/>
        <v>0</v>
      </c>
      <c r="AO93" s="11">
        <f t="shared" si="62"/>
        <v>0</v>
      </c>
      <c r="AP93" s="11">
        <f t="shared" si="63"/>
        <v>0</v>
      </c>
      <c r="AQ93" s="11">
        <f t="shared" si="64"/>
        <v>0.20588924047570661</v>
      </c>
    </row>
    <row r="94" spans="1:43" ht="15" customHeight="1" x14ac:dyDescent="0.2">
      <c r="A94" s="3" t="str">
        <f>MethodData!A91</f>
        <v>IGame: getSunkShips()</v>
      </c>
      <c r="B94" s="4">
        <f>MethodData!B91</f>
        <v>1</v>
      </c>
      <c r="C94" s="4">
        <f>MethodData!C91</f>
        <v>0</v>
      </c>
      <c r="D94" s="4">
        <f>MethodData!D91</f>
        <v>0</v>
      </c>
      <c r="E94" s="4">
        <f>MethodData!E91</f>
        <v>0</v>
      </c>
      <c r="F94" s="4">
        <f>MethodData!F91</f>
        <v>0</v>
      </c>
      <c r="G94" s="4">
        <f>MethodData!G91</f>
        <v>0</v>
      </c>
      <c r="H94" s="4">
        <f>MethodData!H91</f>
        <v>0</v>
      </c>
      <c r="I94" s="4">
        <f>MethodData!I91</f>
        <v>0</v>
      </c>
      <c r="J94" s="4">
        <f>MethodData!J91</f>
        <v>0</v>
      </c>
      <c r="K94" s="4">
        <f>MethodData!K91</f>
        <v>1</v>
      </c>
      <c r="L94" s="4">
        <f>MethodData!L91</f>
        <v>1</v>
      </c>
      <c r="M94" s="4">
        <f>MethodData!M91</f>
        <v>0</v>
      </c>
      <c r="N94" s="4">
        <f>MethodData!N91</f>
        <v>0</v>
      </c>
      <c r="O94" s="4">
        <f>MethodData!O91</f>
        <v>0</v>
      </c>
      <c r="P94" s="4">
        <f>MethodData!P91</f>
        <v>0</v>
      </c>
      <c r="Q94" s="4">
        <f>MethodData!Q91</f>
        <v>0</v>
      </c>
      <c r="R94" s="4">
        <f>MethodData!R91</f>
        <v>0</v>
      </c>
      <c r="S94" s="4">
        <f>MethodData!S91</f>
        <v>0</v>
      </c>
      <c r="T94" s="4">
        <f>MethodData!T91</f>
        <v>0</v>
      </c>
      <c r="U94" s="4">
        <f>MethodData!U91</f>
        <v>0</v>
      </c>
      <c r="W94" s="11">
        <f t="shared" si="44"/>
        <v>2.6315789473684209E-2</v>
      </c>
      <c r="X94" s="11">
        <f t="shared" si="45"/>
        <v>0</v>
      </c>
      <c r="Y94" s="11">
        <f t="shared" si="46"/>
        <v>0</v>
      </c>
      <c r="Z94" s="11">
        <f t="shared" si="47"/>
        <v>0</v>
      </c>
      <c r="AA94" s="11">
        <f t="shared" si="48"/>
        <v>0</v>
      </c>
      <c r="AB94" s="11">
        <f t="shared" si="49"/>
        <v>0</v>
      </c>
      <c r="AC94" s="11">
        <f t="shared" si="50"/>
        <v>0</v>
      </c>
      <c r="AD94" s="11">
        <f t="shared" si="51"/>
        <v>0</v>
      </c>
      <c r="AE94" s="11">
        <f t="shared" si="52"/>
        <v>0</v>
      </c>
      <c r="AF94" s="11">
        <f t="shared" si="53"/>
        <v>2.7027027027027029E-3</v>
      </c>
      <c r="AG94" s="11">
        <f t="shared" si="54"/>
        <v>1.020408163265306E-2</v>
      </c>
      <c r="AH94" s="11">
        <f t="shared" si="55"/>
        <v>0</v>
      </c>
      <c r="AI94" s="11">
        <f t="shared" si="56"/>
        <v>0</v>
      </c>
      <c r="AJ94" s="11">
        <f t="shared" si="57"/>
        <v>0</v>
      </c>
      <c r="AK94" s="11">
        <f t="shared" si="58"/>
        <v>0</v>
      </c>
      <c r="AL94" s="11">
        <f t="shared" si="59"/>
        <v>0</v>
      </c>
      <c r="AM94" s="11">
        <f t="shared" si="60"/>
        <v>0.16666666666666666</v>
      </c>
      <c r="AN94" s="11">
        <f t="shared" si="61"/>
        <v>0</v>
      </c>
      <c r="AO94" s="11">
        <f t="shared" si="62"/>
        <v>0</v>
      </c>
      <c r="AP94" s="11">
        <f t="shared" si="63"/>
        <v>0</v>
      </c>
      <c r="AQ94" s="11">
        <f t="shared" si="64"/>
        <v>0.20588924047570661</v>
      </c>
    </row>
    <row r="95" spans="1:43" ht="15" customHeight="1" x14ac:dyDescent="0.2">
      <c r="A95" s="3" t="str">
        <f>MethodData!A92</f>
        <v>IGame: over()</v>
      </c>
      <c r="B95" s="4">
        <f>MethodData!B92</f>
        <v>1</v>
      </c>
      <c r="C95" s="4">
        <f>MethodData!C92</f>
        <v>0</v>
      </c>
      <c r="D95" s="4">
        <f>MethodData!D92</f>
        <v>0</v>
      </c>
      <c r="E95" s="4">
        <f>MethodData!E92</f>
        <v>0</v>
      </c>
      <c r="F95" s="4">
        <f>MethodData!F92</f>
        <v>0</v>
      </c>
      <c r="G95" s="4">
        <f>MethodData!G92</f>
        <v>0</v>
      </c>
      <c r="H95" s="4">
        <f>MethodData!H92</f>
        <v>0</v>
      </c>
      <c r="I95" s="4">
        <f>MethodData!I92</f>
        <v>0</v>
      </c>
      <c r="J95" s="4">
        <f>MethodData!J92</f>
        <v>0</v>
      </c>
      <c r="K95" s="4">
        <f>MethodData!K92</f>
        <v>1</v>
      </c>
      <c r="L95" s="4">
        <f>MethodData!L92</f>
        <v>1</v>
      </c>
      <c r="M95" s="4">
        <f>MethodData!M92</f>
        <v>0</v>
      </c>
      <c r="N95" s="4">
        <f>MethodData!N92</f>
        <v>0</v>
      </c>
      <c r="O95" s="4">
        <f>MethodData!O92</f>
        <v>0</v>
      </c>
      <c r="P95" s="4">
        <f>MethodData!P92</f>
        <v>0</v>
      </c>
      <c r="Q95" s="4">
        <f>MethodData!Q92</f>
        <v>0</v>
      </c>
      <c r="R95" s="4">
        <f>MethodData!R92</f>
        <v>0</v>
      </c>
      <c r="S95" s="4">
        <f>MethodData!S92</f>
        <v>0</v>
      </c>
      <c r="T95" s="4">
        <f>MethodData!T92</f>
        <v>0</v>
      </c>
      <c r="U95" s="4">
        <f>MethodData!U92</f>
        <v>0</v>
      </c>
      <c r="W95" s="11">
        <f t="shared" si="44"/>
        <v>2.6315789473684209E-2</v>
      </c>
      <c r="X95" s="11">
        <f t="shared" si="45"/>
        <v>0</v>
      </c>
      <c r="Y95" s="11">
        <f t="shared" si="46"/>
        <v>0</v>
      </c>
      <c r="Z95" s="11">
        <f t="shared" si="47"/>
        <v>0</v>
      </c>
      <c r="AA95" s="11">
        <f t="shared" si="48"/>
        <v>0</v>
      </c>
      <c r="AB95" s="11">
        <f t="shared" si="49"/>
        <v>0</v>
      </c>
      <c r="AC95" s="11">
        <f t="shared" si="50"/>
        <v>0</v>
      </c>
      <c r="AD95" s="11">
        <f t="shared" si="51"/>
        <v>0</v>
      </c>
      <c r="AE95" s="11">
        <f t="shared" si="52"/>
        <v>0</v>
      </c>
      <c r="AF95" s="11">
        <f t="shared" si="53"/>
        <v>2.7027027027027029E-3</v>
      </c>
      <c r="AG95" s="11">
        <f t="shared" si="54"/>
        <v>1.020408163265306E-2</v>
      </c>
      <c r="AH95" s="11">
        <f t="shared" si="55"/>
        <v>0</v>
      </c>
      <c r="AI95" s="11">
        <f t="shared" si="56"/>
        <v>0</v>
      </c>
      <c r="AJ95" s="11">
        <f t="shared" si="57"/>
        <v>0</v>
      </c>
      <c r="AK95" s="11">
        <f t="shared" si="58"/>
        <v>0</v>
      </c>
      <c r="AL95" s="11">
        <f t="shared" si="59"/>
        <v>0</v>
      </c>
      <c r="AM95" s="11">
        <f t="shared" si="60"/>
        <v>0.16666666666666666</v>
      </c>
      <c r="AN95" s="11">
        <f t="shared" si="61"/>
        <v>0</v>
      </c>
      <c r="AO95" s="11">
        <f t="shared" si="62"/>
        <v>0</v>
      </c>
      <c r="AP95" s="11">
        <f t="shared" si="63"/>
        <v>0</v>
      </c>
      <c r="AQ95" s="11">
        <f t="shared" si="64"/>
        <v>0.20588924047570661</v>
      </c>
    </row>
    <row r="96" spans="1:43" ht="15" customHeight="1" x14ac:dyDescent="0.2">
      <c r="A96" s="3" t="str">
        <f>MethodData!A93</f>
        <v>IGame: printAlienBoard(boolean, boolean)</v>
      </c>
      <c r="B96" s="4">
        <f>MethodData!B93</f>
        <v>1</v>
      </c>
      <c r="C96" s="4">
        <f>MethodData!C93</f>
        <v>0</v>
      </c>
      <c r="D96" s="4">
        <f>MethodData!D93</f>
        <v>0</v>
      </c>
      <c r="E96" s="4">
        <f>MethodData!E93</f>
        <v>0</v>
      </c>
      <c r="F96" s="4">
        <f>MethodData!F93</f>
        <v>0</v>
      </c>
      <c r="G96" s="4">
        <f>MethodData!G93</f>
        <v>0</v>
      </c>
      <c r="H96" s="4">
        <f>MethodData!H93</f>
        <v>0</v>
      </c>
      <c r="I96" s="4">
        <f>MethodData!I93</f>
        <v>0</v>
      </c>
      <c r="J96" s="4">
        <f>MethodData!J93</f>
        <v>0</v>
      </c>
      <c r="K96" s="4">
        <f>MethodData!K93</f>
        <v>3</v>
      </c>
      <c r="L96" s="4">
        <f>MethodData!L93</f>
        <v>2</v>
      </c>
      <c r="M96" s="4">
        <f>MethodData!M93</f>
        <v>3</v>
      </c>
      <c r="N96" s="4">
        <f>MethodData!N93</f>
        <v>0</v>
      </c>
      <c r="O96" s="4">
        <f>MethodData!O93</f>
        <v>0</v>
      </c>
      <c r="P96" s="4">
        <f>MethodData!P93</f>
        <v>0</v>
      </c>
      <c r="Q96" s="4">
        <f>MethodData!Q93</f>
        <v>0</v>
      </c>
      <c r="R96" s="4">
        <f>MethodData!R93</f>
        <v>0</v>
      </c>
      <c r="S96" s="4">
        <f>MethodData!S93</f>
        <v>0</v>
      </c>
      <c r="T96" s="4">
        <f>MethodData!T93</f>
        <v>0</v>
      </c>
      <c r="U96" s="4">
        <f>MethodData!U93</f>
        <v>2</v>
      </c>
      <c r="W96" s="11">
        <f t="shared" si="44"/>
        <v>2.6315789473684209E-2</v>
      </c>
      <c r="X96" s="11">
        <f t="shared" si="45"/>
        <v>0</v>
      </c>
      <c r="Y96" s="11">
        <f t="shared" si="46"/>
        <v>0</v>
      </c>
      <c r="Z96" s="11">
        <f t="shared" si="47"/>
        <v>0</v>
      </c>
      <c r="AA96" s="11">
        <f t="shared" si="48"/>
        <v>0</v>
      </c>
      <c r="AB96" s="11">
        <f t="shared" si="49"/>
        <v>0</v>
      </c>
      <c r="AC96" s="11">
        <f t="shared" si="50"/>
        <v>0</v>
      </c>
      <c r="AD96" s="11">
        <f t="shared" si="51"/>
        <v>0</v>
      </c>
      <c r="AE96" s="11">
        <f t="shared" si="52"/>
        <v>0</v>
      </c>
      <c r="AF96" s="11">
        <f t="shared" si="53"/>
        <v>8.1081081081081086E-3</v>
      </c>
      <c r="AG96" s="11">
        <f t="shared" si="54"/>
        <v>2.0408163265306121E-2</v>
      </c>
      <c r="AH96" s="11">
        <f t="shared" si="55"/>
        <v>1.2257692989408619E-3</v>
      </c>
      <c r="AI96" s="11">
        <f t="shared" si="56"/>
        <v>0</v>
      </c>
      <c r="AJ96" s="11">
        <f t="shared" si="57"/>
        <v>0</v>
      </c>
      <c r="AK96" s="11">
        <f t="shared" si="58"/>
        <v>0</v>
      </c>
      <c r="AL96" s="11">
        <f t="shared" si="59"/>
        <v>0</v>
      </c>
      <c r="AM96" s="11">
        <f t="shared" si="60"/>
        <v>0.16666666666666666</v>
      </c>
      <c r="AN96" s="11">
        <f t="shared" si="61"/>
        <v>0</v>
      </c>
      <c r="AO96" s="11">
        <f t="shared" si="62"/>
        <v>0</v>
      </c>
      <c r="AP96" s="11">
        <f t="shared" si="63"/>
        <v>0.5</v>
      </c>
      <c r="AQ96" s="11">
        <f t="shared" si="64"/>
        <v>0.72272449681270601</v>
      </c>
    </row>
    <row r="97" spans="1:43" ht="15" customHeight="1" x14ac:dyDescent="0.2">
      <c r="A97" s="3" t="str">
        <f>MethodData!A94</f>
        <v>IGame: printMyBoard(boolean, boolean)</v>
      </c>
      <c r="B97" s="4">
        <f>MethodData!B94</f>
        <v>1</v>
      </c>
      <c r="C97" s="4">
        <f>MethodData!C94</f>
        <v>0</v>
      </c>
      <c r="D97" s="4">
        <f>MethodData!D94</f>
        <v>0</v>
      </c>
      <c r="E97" s="4">
        <f>MethodData!E94</f>
        <v>0</v>
      </c>
      <c r="F97" s="4">
        <f>MethodData!F94</f>
        <v>0</v>
      </c>
      <c r="G97" s="4">
        <f>MethodData!G94</f>
        <v>0</v>
      </c>
      <c r="H97" s="4">
        <f>MethodData!H94</f>
        <v>0</v>
      </c>
      <c r="I97" s="4">
        <f>MethodData!I94</f>
        <v>0</v>
      </c>
      <c r="J97" s="4">
        <f>MethodData!J94</f>
        <v>0</v>
      </c>
      <c r="K97" s="4">
        <f>MethodData!K94</f>
        <v>3</v>
      </c>
      <c r="L97" s="4">
        <f>MethodData!L94</f>
        <v>2</v>
      </c>
      <c r="M97" s="4">
        <f>MethodData!M94</f>
        <v>3</v>
      </c>
      <c r="N97" s="4">
        <f>MethodData!N94</f>
        <v>0</v>
      </c>
      <c r="O97" s="4">
        <f>MethodData!O94</f>
        <v>0</v>
      </c>
      <c r="P97" s="4">
        <f>MethodData!P94</f>
        <v>0</v>
      </c>
      <c r="Q97" s="4">
        <f>MethodData!Q94</f>
        <v>0</v>
      </c>
      <c r="R97" s="4">
        <f>MethodData!R94</f>
        <v>0</v>
      </c>
      <c r="S97" s="4">
        <f>MethodData!S94</f>
        <v>0</v>
      </c>
      <c r="T97" s="4">
        <f>MethodData!T94</f>
        <v>0</v>
      </c>
      <c r="U97" s="4">
        <f>MethodData!U94</f>
        <v>2</v>
      </c>
      <c r="W97" s="11">
        <f t="shared" si="44"/>
        <v>2.6315789473684209E-2</v>
      </c>
      <c r="X97" s="11">
        <f t="shared" si="45"/>
        <v>0</v>
      </c>
      <c r="Y97" s="11">
        <f t="shared" si="46"/>
        <v>0</v>
      </c>
      <c r="Z97" s="11">
        <f t="shared" si="47"/>
        <v>0</v>
      </c>
      <c r="AA97" s="11">
        <f t="shared" si="48"/>
        <v>0</v>
      </c>
      <c r="AB97" s="11">
        <f t="shared" si="49"/>
        <v>0</v>
      </c>
      <c r="AC97" s="11">
        <f t="shared" si="50"/>
        <v>0</v>
      </c>
      <c r="AD97" s="11">
        <f t="shared" si="51"/>
        <v>0</v>
      </c>
      <c r="AE97" s="11">
        <f t="shared" si="52"/>
        <v>0</v>
      </c>
      <c r="AF97" s="11">
        <f t="shared" si="53"/>
        <v>8.1081081081081086E-3</v>
      </c>
      <c r="AG97" s="11">
        <f t="shared" si="54"/>
        <v>2.0408163265306121E-2</v>
      </c>
      <c r="AH97" s="11">
        <f t="shared" si="55"/>
        <v>1.2257692989408619E-3</v>
      </c>
      <c r="AI97" s="11">
        <f t="shared" si="56"/>
        <v>0</v>
      </c>
      <c r="AJ97" s="11">
        <f t="shared" si="57"/>
        <v>0</v>
      </c>
      <c r="AK97" s="11">
        <f t="shared" si="58"/>
        <v>0</v>
      </c>
      <c r="AL97" s="11">
        <f t="shared" si="59"/>
        <v>0</v>
      </c>
      <c r="AM97" s="11">
        <f t="shared" si="60"/>
        <v>0.16666666666666666</v>
      </c>
      <c r="AN97" s="11">
        <f t="shared" si="61"/>
        <v>0</v>
      </c>
      <c r="AO97" s="11">
        <f t="shared" si="62"/>
        <v>0</v>
      </c>
      <c r="AP97" s="11">
        <f t="shared" si="63"/>
        <v>0.5</v>
      </c>
      <c r="AQ97" s="11">
        <f t="shared" si="64"/>
        <v>0.72272449681270601</v>
      </c>
    </row>
    <row r="98" spans="1:43" ht="15" customHeight="1" x14ac:dyDescent="0.2">
      <c r="A98" s="3" t="str">
        <f>MethodData!A95</f>
        <v>IGame: randomEnemyFire()</v>
      </c>
      <c r="B98" s="4">
        <f>MethodData!B95</f>
        <v>1</v>
      </c>
      <c r="C98" s="4">
        <f>MethodData!C95</f>
        <v>0</v>
      </c>
      <c r="D98" s="4">
        <f>MethodData!D95</f>
        <v>0</v>
      </c>
      <c r="E98" s="4">
        <f>MethodData!E95</f>
        <v>0</v>
      </c>
      <c r="F98" s="4">
        <f>MethodData!F95</f>
        <v>0</v>
      </c>
      <c r="G98" s="4">
        <f>MethodData!G95</f>
        <v>0</v>
      </c>
      <c r="H98" s="4">
        <f>MethodData!H95</f>
        <v>0</v>
      </c>
      <c r="I98" s="4">
        <f>MethodData!I95</f>
        <v>0</v>
      </c>
      <c r="J98" s="4">
        <f>MethodData!J95</f>
        <v>0</v>
      </c>
      <c r="K98" s="4">
        <f>MethodData!K95</f>
        <v>0</v>
      </c>
      <c r="L98" s="4">
        <f>MethodData!L95</f>
        <v>0</v>
      </c>
      <c r="M98" s="4">
        <f>MethodData!M95</f>
        <v>0</v>
      </c>
      <c r="N98" s="4">
        <f>MethodData!N95</f>
        <v>0</v>
      </c>
      <c r="O98" s="4">
        <f>MethodData!O95</f>
        <v>0</v>
      </c>
      <c r="P98" s="4">
        <f>MethodData!P95</f>
        <v>0</v>
      </c>
      <c r="Q98" s="4">
        <f>MethodData!Q95</f>
        <v>0</v>
      </c>
      <c r="R98" s="4">
        <f>MethodData!R95</f>
        <v>0</v>
      </c>
      <c r="S98" s="4">
        <f>MethodData!S95</f>
        <v>0</v>
      </c>
      <c r="T98" s="4">
        <f>MethodData!T95</f>
        <v>0</v>
      </c>
      <c r="U98" s="4">
        <f>MethodData!U95</f>
        <v>0</v>
      </c>
      <c r="W98" s="11">
        <f t="shared" si="44"/>
        <v>2.6315789473684209E-2</v>
      </c>
      <c r="X98" s="11">
        <f t="shared" si="45"/>
        <v>0</v>
      </c>
      <c r="Y98" s="11">
        <f t="shared" si="46"/>
        <v>0</v>
      </c>
      <c r="Z98" s="11">
        <f t="shared" si="47"/>
        <v>0</v>
      </c>
      <c r="AA98" s="11">
        <f t="shared" si="48"/>
        <v>0</v>
      </c>
      <c r="AB98" s="11">
        <f t="shared" si="49"/>
        <v>0</v>
      </c>
      <c r="AC98" s="11">
        <f t="shared" si="50"/>
        <v>0</v>
      </c>
      <c r="AD98" s="11">
        <f t="shared" si="51"/>
        <v>0</v>
      </c>
      <c r="AE98" s="11">
        <f t="shared" si="52"/>
        <v>0</v>
      </c>
      <c r="AF98" s="11">
        <f t="shared" si="53"/>
        <v>0</v>
      </c>
      <c r="AG98" s="11">
        <f t="shared" si="54"/>
        <v>0</v>
      </c>
      <c r="AH98" s="11">
        <f t="shared" si="55"/>
        <v>0</v>
      </c>
      <c r="AI98" s="11">
        <f t="shared" si="56"/>
        <v>0</v>
      </c>
      <c r="AJ98" s="11">
        <f t="shared" si="57"/>
        <v>0</v>
      </c>
      <c r="AK98" s="11">
        <f t="shared" si="58"/>
        <v>0</v>
      </c>
      <c r="AL98" s="11">
        <f t="shared" si="59"/>
        <v>0</v>
      </c>
      <c r="AM98" s="11">
        <f t="shared" si="60"/>
        <v>0.16666666666666666</v>
      </c>
      <c r="AN98" s="11">
        <f t="shared" si="61"/>
        <v>0</v>
      </c>
      <c r="AO98" s="11">
        <f t="shared" si="62"/>
        <v>0</v>
      </c>
      <c r="AP98" s="11">
        <f t="shared" si="63"/>
        <v>0</v>
      </c>
      <c r="AQ98" s="11">
        <f t="shared" si="64"/>
        <v>0.19298245614035087</v>
      </c>
    </row>
    <row r="99" spans="1:43" ht="15" customHeight="1" x14ac:dyDescent="0.2">
      <c r="A99" s="3" t="str">
        <f>MethodData!A96</f>
        <v>IGame: readEnemyFire(Scanner)</v>
      </c>
      <c r="B99" s="4">
        <f>MethodData!B96</f>
        <v>1</v>
      </c>
      <c r="C99" s="4">
        <f>MethodData!C96</f>
        <v>0</v>
      </c>
      <c r="D99" s="4">
        <f>MethodData!D96</f>
        <v>0</v>
      </c>
      <c r="E99" s="4">
        <f>MethodData!E96</f>
        <v>0</v>
      </c>
      <c r="F99" s="4">
        <f>MethodData!F96</f>
        <v>0</v>
      </c>
      <c r="G99" s="4">
        <f>MethodData!G96</f>
        <v>0</v>
      </c>
      <c r="H99" s="4">
        <f>MethodData!H96</f>
        <v>0</v>
      </c>
      <c r="I99" s="4">
        <f>MethodData!I96</f>
        <v>0</v>
      </c>
      <c r="J99" s="4">
        <f>MethodData!J96</f>
        <v>0</v>
      </c>
      <c r="K99" s="4">
        <f>MethodData!K96</f>
        <v>0</v>
      </c>
      <c r="L99" s="4">
        <f>MethodData!L96</f>
        <v>0</v>
      </c>
      <c r="M99" s="4">
        <f>MethodData!M96</f>
        <v>0</v>
      </c>
      <c r="N99" s="4">
        <f>MethodData!N96</f>
        <v>0</v>
      </c>
      <c r="O99" s="4">
        <f>MethodData!O96</f>
        <v>0</v>
      </c>
      <c r="P99" s="4">
        <f>MethodData!P96</f>
        <v>0</v>
      </c>
      <c r="Q99" s="4">
        <f>MethodData!Q96</f>
        <v>0</v>
      </c>
      <c r="R99" s="4">
        <f>MethodData!R96</f>
        <v>0</v>
      </c>
      <c r="S99" s="4">
        <f>MethodData!S96</f>
        <v>0</v>
      </c>
      <c r="T99" s="4">
        <f>MethodData!T96</f>
        <v>0</v>
      </c>
      <c r="U99" s="4">
        <f>MethodData!U96</f>
        <v>1</v>
      </c>
      <c r="W99" s="11">
        <f t="shared" si="44"/>
        <v>2.6315789473684209E-2</v>
      </c>
      <c r="X99" s="11">
        <f t="shared" si="45"/>
        <v>0</v>
      </c>
      <c r="Y99" s="11">
        <f t="shared" si="46"/>
        <v>0</v>
      </c>
      <c r="Z99" s="11">
        <f t="shared" si="47"/>
        <v>0</v>
      </c>
      <c r="AA99" s="11">
        <f t="shared" si="48"/>
        <v>0</v>
      </c>
      <c r="AB99" s="11">
        <f t="shared" si="49"/>
        <v>0</v>
      </c>
      <c r="AC99" s="11">
        <f t="shared" si="50"/>
        <v>0</v>
      </c>
      <c r="AD99" s="11">
        <f t="shared" si="51"/>
        <v>0</v>
      </c>
      <c r="AE99" s="11">
        <f t="shared" si="52"/>
        <v>0</v>
      </c>
      <c r="AF99" s="11">
        <f t="shared" si="53"/>
        <v>0</v>
      </c>
      <c r="AG99" s="11">
        <f t="shared" si="54"/>
        <v>0</v>
      </c>
      <c r="AH99" s="11">
        <f t="shared" si="55"/>
        <v>0</v>
      </c>
      <c r="AI99" s="11">
        <f t="shared" si="56"/>
        <v>0</v>
      </c>
      <c r="AJ99" s="11">
        <f t="shared" si="57"/>
        <v>0</v>
      </c>
      <c r="AK99" s="11">
        <f t="shared" si="58"/>
        <v>0</v>
      </c>
      <c r="AL99" s="11">
        <f t="shared" si="59"/>
        <v>0</v>
      </c>
      <c r="AM99" s="11">
        <f t="shared" si="60"/>
        <v>0.16666666666666666</v>
      </c>
      <c r="AN99" s="11">
        <f t="shared" si="61"/>
        <v>0</v>
      </c>
      <c r="AO99" s="11">
        <f t="shared" si="62"/>
        <v>0</v>
      </c>
      <c r="AP99" s="11">
        <f t="shared" si="63"/>
        <v>0.25</v>
      </c>
      <c r="AQ99" s="11">
        <f t="shared" si="64"/>
        <v>0.44298245614035087</v>
      </c>
    </row>
    <row r="100" spans="1:43" ht="15" customHeight="1" x14ac:dyDescent="0.2">
      <c r="A100" s="3" t="str">
        <f>MethodData!A97</f>
        <v>IMove: getNumber()</v>
      </c>
      <c r="B100" s="4">
        <f>MethodData!B97</f>
        <v>1</v>
      </c>
      <c r="C100" s="4">
        <f>MethodData!C97</f>
        <v>0</v>
      </c>
      <c r="D100" s="4">
        <f>MethodData!D97</f>
        <v>0</v>
      </c>
      <c r="E100" s="4">
        <f>MethodData!E97</f>
        <v>0</v>
      </c>
      <c r="F100" s="4">
        <f>MethodData!F97</f>
        <v>0</v>
      </c>
      <c r="G100" s="4">
        <f>MethodData!G97</f>
        <v>0</v>
      </c>
      <c r="H100" s="4">
        <f>MethodData!H97</f>
        <v>0</v>
      </c>
      <c r="I100" s="4">
        <f>MethodData!I97</f>
        <v>0</v>
      </c>
      <c r="J100" s="4">
        <f>MethodData!J97</f>
        <v>0</v>
      </c>
      <c r="K100" s="4">
        <f>MethodData!K97</f>
        <v>1</v>
      </c>
      <c r="L100" s="4">
        <f>MethodData!L97</f>
        <v>1</v>
      </c>
      <c r="M100" s="4">
        <f>MethodData!M97</f>
        <v>0</v>
      </c>
      <c r="N100" s="4">
        <f>MethodData!N97</f>
        <v>0</v>
      </c>
      <c r="O100" s="4">
        <f>MethodData!O97</f>
        <v>1</v>
      </c>
      <c r="P100" s="4">
        <f>MethodData!P97</f>
        <v>0</v>
      </c>
      <c r="Q100" s="4">
        <f>MethodData!Q97</f>
        <v>0</v>
      </c>
      <c r="R100" s="4">
        <f>MethodData!R97</f>
        <v>0</v>
      </c>
      <c r="S100" s="4">
        <f>MethodData!S97</f>
        <v>0</v>
      </c>
      <c r="T100" s="4">
        <f>MethodData!T97</f>
        <v>1</v>
      </c>
      <c r="U100" s="4">
        <f>MethodData!U97</f>
        <v>0</v>
      </c>
      <c r="W100" s="11">
        <f t="shared" si="44"/>
        <v>2.6315789473684209E-2</v>
      </c>
      <c r="X100" s="11">
        <f t="shared" si="45"/>
        <v>0</v>
      </c>
      <c r="Y100" s="11">
        <f t="shared" si="46"/>
        <v>0</v>
      </c>
      <c r="Z100" s="11">
        <f t="shared" si="47"/>
        <v>0</v>
      </c>
      <c r="AA100" s="11">
        <f t="shared" si="48"/>
        <v>0</v>
      </c>
      <c r="AB100" s="11">
        <f t="shared" si="49"/>
        <v>0</v>
      </c>
      <c r="AC100" s="11">
        <f t="shared" si="50"/>
        <v>0</v>
      </c>
      <c r="AD100" s="11">
        <f t="shared" si="51"/>
        <v>0</v>
      </c>
      <c r="AE100" s="11">
        <f t="shared" si="52"/>
        <v>0</v>
      </c>
      <c r="AF100" s="11">
        <f t="shared" si="53"/>
        <v>2.7027027027027029E-3</v>
      </c>
      <c r="AG100" s="11">
        <f t="shared" si="54"/>
        <v>1.020408163265306E-2</v>
      </c>
      <c r="AH100" s="11">
        <f t="shared" si="55"/>
        <v>0</v>
      </c>
      <c r="AI100" s="11">
        <f t="shared" si="56"/>
        <v>0</v>
      </c>
      <c r="AJ100" s="11">
        <f t="shared" si="57"/>
        <v>0.33333333333333331</v>
      </c>
      <c r="AK100" s="11">
        <f t="shared" si="58"/>
        <v>0</v>
      </c>
      <c r="AL100" s="11">
        <f t="shared" si="59"/>
        <v>0</v>
      </c>
      <c r="AM100" s="11">
        <f t="shared" si="60"/>
        <v>0.16666666666666666</v>
      </c>
      <c r="AN100" s="11">
        <f t="shared" si="61"/>
        <v>0</v>
      </c>
      <c r="AO100" s="11">
        <f t="shared" si="62"/>
        <v>8.3333333333333329E-2</v>
      </c>
      <c r="AP100" s="11">
        <f t="shared" si="63"/>
        <v>0</v>
      </c>
      <c r="AQ100" s="11">
        <f t="shared" si="64"/>
        <v>0.6225559071423733</v>
      </c>
    </row>
    <row r="101" spans="1:43" ht="15" customHeight="1" x14ac:dyDescent="0.2">
      <c r="A101" s="3" t="str">
        <f>MethodData!A98</f>
        <v>IMove: getShotResults()</v>
      </c>
      <c r="B101" s="4">
        <f>MethodData!B98</f>
        <v>1</v>
      </c>
      <c r="C101" s="4">
        <f>MethodData!C98</f>
        <v>0</v>
      </c>
      <c r="D101" s="4">
        <f>MethodData!D98</f>
        <v>0</v>
      </c>
      <c r="E101" s="4">
        <f>MethodData!E98</f>
        <v>0</v>
      </c>
      <c r="F101" s="4">
        <f>MethodData!F98</f>
        <v>0</v>
      </c>
      <c r="G101" s="4">
        <f>MethodData!G98</f>
        <v>0</v>
      </c>
      <c r="H101" s="4">
        <f>MethodData!H98</f>
        <v>0</v>
      </c>
      <c r="I101" s="4">
        <f>MethodData!I98</f>
        <v>0</v>
      </c>
      <c r="J101" s="4">
        <f>MethodData!J98</f>
        <v>0</v>
      </c>
      <c r="K101" s="4">
        <f>MethodData!K98</f>
        <v>0</v>
      </c>
      <c r="L101" s="4">
        <f>MethodData!L98</f>
        <v>0</v>
      </c>
      <c r="M101" s="4">
        <f>MethodData!M98</f>
        <v>0</v>
      </c>
      <c r="N101" s="4">
        <f>MethodData!N98</f>
        <v>0</v>
      </c>
      <c r="O101" s="4">
        <f>MethodData!O98</f>
        <v>1</v>
      </c>
      <c r="P101" s="4">
        <f>MethodData!P98</f>
        <v>0</v>
      </c>
      <c r="Q101" s="4">
        <f>MethodData!Q98</f>
        <v>0</v>
      </c>
      <c r="R101" s="4">
        <f>MethodData!R98</f>
        <v>0</v>
      </c>
      <c r="S101" s="4">
        <f>MethodData!S98</f>
        <v>0</v>
      </c>
      <c r="T101" s="4">
        <f>MethodData!T98</f>
        <v>1</v>
      </c>
      <c r="U101" s="4">
        <f>MethodData!U98</f>
        <v>0</v>
      </c>
      <c r="W101" s="11">
        <f t="shared" ref="W101:W132" si="65">IF(B$3-B$2=0,0,(B101-B$2)/(B$3-B$2))</f>
        <v>2.6315789473684209E-2</v>
      </c>
      <c r="X101" s="11">
        <f t="shared" ref="X101:X132" si="66">IF(C$3-C$2=0,0,(C101-C$2)/(C$3-C$2))</f>
        <v>0</v>
      </c>
      <c r="Y101" s="11">
        <f t="shared" ref="Y101:Y132" si="67">IF(D$3-D$2=0,0,(D101-D$2)/(D$3-D$2))</f>
        <v>0</v>
      </c>
      <c r="Z101" s="11">
        <f t="shared" ref="Z101:Z132" si="68">IF(E$3-E$2=0,0,(E101-E$2)/(E$3-E$2))</f>
        <v>0</v>
      </c>
      <c r="AA101" s="11">
        <f t="shared" ref="AA101:AA132" si="69">IF(F$3-F$2=0,0,(F101-F$2)/(F$3-F$2))</f>
        <v>0</v>
      </c>
      <c r="AB101" s="11">
        <f t="shared" ref="AB101:AB132" si="70">IF(G$3-G$2=0,0,(G101-G$2)/(G$3-G$2))</f>
        <v>0</v>
      </c>
      <c r="AC101" s="11">
        <f t="shared" ref="AC101:AC132" si="71">IF(H$3-H$2=0,0,(H101-H$2)/(H$3-H$2))</f>
        <v>0</v>
      </c>
      <c r="AD101" s="11">
        <f t="shared" ref="AD101:AD132" si="72">IF(I$3-I$2=0,0,(I101-I$2)/(I$3-I$2))</f>
        <v>0</v>
      </c>
      <c r="AE101" s="11">
        <f t="shared" ref="AE101:AE132" si="73">IF(J$3-J$2=0,0,(J101-J$2)/(J$3-J$2))</f>
        <v>0</v>
      </c>
      <c r="AF101" s="11">
        <f t="shared" ref="AF101:AF132" si="74">IF(K$3-K$2=0,0,(K101-K$2)/(K$3-K$2))</f>
        <v>0</v>
      </c>
      <c r="AG101" s="11">
        <f t="shared" ref="AG101:AG132" si="75">IF(L$3-L$2=0,0,(L101-L$2)/(L$3-L$2))</f>
        <v>0</v>
      </c>
      <c r="AH101" s="11">
        <f t="shared" ref="AH101:AH132" si="76">IF(M$3-M$2=0,0,(M101-M$2)/(M$3-M$2))</f>
        <v>0</v>
      </c>
      <c r="AI101" s="11">
        <f t="shared" ref="AI101:AI132" si="77">IF(N$3-N$2=0,0,(N101-N$2)/(N$3-N$2))</f>
        <v>0</v>
      </c>
      <c r="AJ101" s="11">
        <f t="shared" ref="AJ101:AJ132" si="78">IF(O$3-O$2=0,0,(O101-O$2)/(O$3-O$2))</f>
        <v>0.33333333333333331</v>
      </c>
      <c r="AK101" s="11">
        <f t="shared" ref="AK101:AK132" si="79">IF(P$3-P$2=0,0,(P101-P$2)/(P$3-P$2))</f>
        <v>0</v>
      </c>
      <c r="AL101" s="11">
        <f t="shared" ref="AL101:AL132" si="80">IF(Q$3-Q$2=0,0,(Q101-Q$2)/(Q$3-Q$2))</f>
        <v>0</v>
      </c>
      <c r="AM101" s="11">
        <f t="shared" ref="AM101:AM132" si="81">IF(R$3-R$2=0,0,(R101-R$2)/(R$3-R$2))</f>
        <v>0.16666666666666666</v>
      </c>
      <c r="AN101" s="11">
        <f t="shared" ref="AN101:AN132" si="82">IF(S$3-S$2=0,0,(S101-S$2)/(S$3-S$2))</f>
        <v>0</v>
      </c>
      <c r="AO101" s="11">
        <f t="shared" ref="AO101:AO132" si="83">IF(T$3-T$2=0,0,(T101-T$2)/(T$3-T$2))</f>
        <v>8.3333333333333329E-2</v>
      </c>
      <c r="AP101" s="11">
        <f t="shared" ref="AP101:AP132" si="84">IF(U$3-U$2=0,0,(U101-U$2)/(U$3-U$2))</f>
        <v>0</v>
      </c>
      <c r="AQ101" s="11">
        <f t="shared" ref="AQ101:AQ132" si="85">SUM(W101:AP101)</f>
        <v>0.60964912280701755</v>
      </c>
    </row>
    <row r="102" spans="1:43" ht="15" customHeight="1" x14ac:dyDescent="0.2">
      <c r="A102" s="3" t="str">
        <f>MethodData!A99</f>
        <v>IMove: getShots()</v>
      </c>
      <c r="B102" s="4">
        <f>MethodData!B99</f>
        <v>1</v>
      </c>
      <c r="C102" s="4">
        <f>MethodData!C99</f>
        <v>0</v>
      </c>
      <c r="D102" s="4">
        <f>MethodData!D99</f>
        <v>0</v>
      </c>
      <c r="E102" s="4">
        <f>MethodData!E99</f>
        <v>0</v>
      </c>
      <c r="F102" s="4">
        <f>MethodData!F99</f>
        <v>0</v>
      </c>
      <c r="G102" s="4">
        <f>MethodData!G99</f>
        <v>0</v>
      </c>
      <c r="H102" s="4">
        <f>MethodData!H99</f>
        <v>0</v>
      </c>
      <c r="I102" s="4">
        <f>MethodData!I99</f>
        <v>0</v>
      </c>
      <c r="J102" s="4">
        <f>MethodData!J99</f>
        <v>0</v>
      </c>
      <c r="K102" s="4">
        <f>MethodData!K99</f>
        <v>0</v>
      </c>
      <c r="L102" s="4">
        <f>MethodData!L99</f>
        <v>0</v>
      </c>
      <c r="M102" s="4">
        <f>MethodData!M99</f>
        <v>0</v>
      </c>
      <c r="N102" s="4">
        <f>MethodData!N99</f>
        <v>0</v>
      </c>
      <c r="O102" s="4">
        <f>MethodData!O99</f>
        <v>1</v>
      </c>
      <c r="P102" s="4">
        <f>MethodData!P99</f>
        <v>0</v>
      </c>
      <c r="Q102" s="4">
        <f>MethodData!Q99</f>
        <v>0</v>
      </c>
      <c r="R102" s="4">
        <f>MethodData!R99</f>
        <v>0</v>
      </c>
      <c r="S102" s="4">
        <f>MethodData!S99</f>
        <v>0</v>
      </c>
      <c r="T102" s="4">
        <f>MethodData!T99</f>
        <v>1</v>
      </c>
      <c r="U102" s="4">
        <f>MethodData!U99</f>
        <v>0</v>
      </c>
      <c r="W102" s="11">
        <f t="shared" si="65"/>
        <v>2.6315789473684209E-2</v>
      </c>
      <c r="X102" s="11">
        <f t="shared" si="66"/>
        <v>0</v>
      </c>
      <c r="Y102" s="11">
        <f t="shared" si="67"/>
        <v>0</v>
      </c>
      <c r="Z102" s="11">
        <f t="shared" si="68"/>
        <v>0</v>
      </c>
      <c r="AA102" s="11">
        <f t="shared" si="69"/>
        <v>0</v>
      </c>
      <c r="AB102" s="11">
        <f t="shared" si="70"/>
        <v>0</v>
      </c>
      <c r="AC102" s="11">
        <f t="shared" si="71"/>
        <v>0</v>
      </c>
      <c r="AD102" s="11">
        <f t="shared" si="72"/>
        <v>0</v>
      </c>
      <c r="AE102" s="11">
        <f t="shared" si="73"/>
        <v>0</v>
      </c>
      <c r="AF102" s="11">
        <f t="shared" si="74"/>
        <v>0</v>
      </c>
      <c r="AG102" s="11">
        <f t="shared" si="75"/>
        <v>0</v>
      </c>
      <c r="AH102" s="11">
        <f t="shared" si="76"/>
        <v>0</v>
      </c>
      <c r="AI102" s="11">
        <f t="shared" si="77"/>
        <v>0</v>
      </c>
      <c r="AJ102" s="11">
        <f t="shared" si="78"/>
        <v>0.33333333333333331</v>
      </c>
      <c r="AK102" s="11">
        <f t="shared" si="79"/>
        <v>0</v>
      </c>
      <c r="AL102" s="11">
        <f t="shared" si="80"/>
        <v>0</v>
      </c>
      <c r="AM102" s="11">
        <f t="shared" si="81"/>
        <v>0.16666666666666666</v>
      </c>
      <c r="AN102" s="11">
        <f t="shared" si="82"/>
        <v>0</v>
      </c>
      <c r="AO102" s="11">
        <f t="shared" si="83"/>
        <v>8.3333333333333329E-2</v>
      </c>
      <c r="AP102" s="11">
        <f t="shared" si="84"/>
        <v>0</v>
      </c>
      <c r="AQ102" s="11">
        <f t="shared" si="85"/>
        <v>0.60964912280701755</v>
      </c>
    </row>
    <row r="103" spans="1:43" ht="15" customHeight="1" x14ac:dyDescent="0.2">
      <c r="A103" s="3" t="str">
        <f>MethodData!A100</f>
        <v>IMove: processEnemyFire(boolean)</v>
      </c>
      <c r="B103" s="4">
        <f>MethodData!B100</f>
        <v>1</v>
      </c>
      <c r="C103" s="4">
        <f>MethodData!C100</f>
        <v>0</v>
      </c>
      <c r="D103" s="4">
        <f>MethodData!D100</f>
        <v>0</v>
      </c>
      <c r="E103" s="4">
        <f>MethodData!E100</f>
        <v>0</v>
      </c>
      <c r="F103" s="4">
        <f>MethodData!F100</f>
        <v>0</v>
      </c>
      <c r="G103" s="4">
        <f>MethodData!G100</f>
        <v>0</v>
      </c>
      <c r="H103" s="4">
        <f>MethodData!H100</f>
        <v>0</v>
      </c>
      <c r="I103" s="4">
        <f>MethodData!I100</f>
        <v>0</v>
      </c>
      <c r="J103" s="4">
        <f>MethodData!J100</f>
        <v>0</v>
      </c>
      <c r="K103" s="4">
        <f>MethodData!K100</f>
        <v>1</v>
      </c>
      <c r="L103" s="4">
        <f>MethodData!L100</f>
        <v>1</v>
      </c>
      <c r="M103" s="4">
        <f>MethodData!M100</f>
        <v>0</v>
      </c>
      <c r="N103" s="4">
        <f>MethodData!N100</f>
        <v>0</v>
      </c>
      <c r="O103" s="4">
        <f>MethodData!O100</f>
        <v>1</v>
      </c>
      <c r="P103" s="4">
        <f>MethodData!P100</f>
        <v>0</v>
      </c>
      <c r="Q103" s="4">
        <f>MethodData!Q100</f>
        <v>0</v>
      </c>
      <c r="R103" s="4">
        <f>MethodData!R100</f>
        <v>0</v>
      </c>
      <c r="S103" s="4">
        <f>MethodData!S100</f>
        <v>0</v>
      </c>
      <c r="T103" s="4">
        <f>MethodData!T100</f>
        <v>1</v>
      </c>
      <c r="U103" s="4">
        <f>MethodData!U100</f>
        <v>1</v>
      </c>
      <c r="W103" s="11">
        <f t="shared" si="65"/>
        <v>2.6315789473684209E-2</v>
      </c>
      <c r="X103" s="11">
        <f t="shared" si="66"/>
        <v>0</v>
      </c>
      <c r="Y103" s="11">
        <f t="shared" si="67"/>
        <v>0</v>
      </c>
      <c r="Z103" s="11">
        <f t="shared" si="68"/>
        <v>0</v>
      </c>
      <c r="AA103" s="11">
        <f t="shared" si="69"/>
        <v>0</v>
      </c>
      <c r="AB103" s="11">
        <f t="shared" si="70"/>
        <v>0</v>
      </c>
      <c r="AC103" s="11">
        <f t="shared" si="71"/>
        <v>0</v>
      </c>
      <c r="AD103" s="11">
        <f t="shared" si="72"/>
        <v>0</v>
      </c>
      <c r="AE103" s="11">
        <f t="shared" si="73"/>
        <v>0</v>
      </c>
      <c r="AF103" s="11">
        <f t="shared" si="74"/>
        <v>2.7027027027027029E-3</v>
      </c>
      <c r="AG103" s="11">
        <f t="shared" si="75"/>
        <v>1.020408163265306E-2</v>
      </c>
      <c r="AH103" s="11">
        <f t="shared" si="76"/>
        <v>0</v>
      </c>
      <c r="AI103" s="11">
        <f t="shared" si="77"/>
        <v>0</v>
      </c>
      <c r="AJ103" s="11">
        <f t="shared" si="78"/>
        <v>0.33333333333333331</v>
      </c>
      <c r="AK103" s="11">
        <f t="shared" si="79"/>
        <v>0</v>
      </c>
      <c r="AL103" s="11">
        <f t="shared" si="80"/>
        <v>0</v>
      </c>
      <c r="AM103" s="11">
        <f t="shared" si="81"/>
        <v>0.16666666666666666</v>
      </c>
      <c r="AN103" s="11">
        <f t="shared" si="82"/>
        <v>0</v>
      </c>
      <c r="AO103" s="11">
        <f t="shared" si="83"/>
        <v>8.3333333333333329E-2</v>
      </c>
      <c r="AP103" s="11">
        <f t="shared" si="84"/>
        <v>0.25</v>
      </c>
      <c r="AQ103" s="11">
        <f t="shared" si="85"/>
        <v>0.8725559071423733</v>
      </c>
    </row>
    <row r="104" spans="1:43" ht="15" customHeight="1" x14ac:dyDescent="0.2">
      <c r="A104" s="3" t="str">
        <f>MethodData!A101</f>
        <v>IMove: readMove(int, Scanner)</v>
      </c>
      <c r="B104" s="4">
        <f>MethodData!B101</f>
        <v>2</v>
      </c>
      <c r="C104" s="4">
        <f>MethodData!C101</f>
        <v>1</v>
      </c>
      <c r="D104" s="4">
        <f>MethodData!D101</f>
        <v>1</v>
      </c>
      <c r="E104" s="4">
        <f>MethodData!E101</f>
        <v>2</v>
      </c>
      <c r="F104" s="4">
        <f>MethodData!F101</f>
        <v>0</v>
      </c>
      <c r="G104" s="4">
        <f>MethodData!G101</f>
        <v>0</v>
      </c>
      <c r="H104" s="4">
        <f>MethodData!H101</f>
        <v>6.75</v>
      </c>
      <c r="I104" s="4">
        <f>MethodData!I101</f>
        <v>827.71119999999996</v>
      </c>
      <c r="J104" s="4">
        <f>MethodData!J101</f>
        <v>2.9399999999999999E-2</v>
      </c>
      <c r="K104" s="4">
        <f>MethodData!K101</f>
        <v>30</v>
      </c>
      <c r="L104" s="4">
        <f>MethodData!L101</f>
        <v>17</v>
      </c>
      <c r="M104" s="4">
        <f>MethodData!M101</f>
        <v>122.62390000000001</v>
      </c>
      <c r="N104" s="4">
        <f>MethodData!N101</f>
        <v>0</v>
      </c>
      <c r="O104" s="4">
        <f>MethodData!O101</f>
        <v>1</v>
      </c>
      <c r="P104" s="4">
        <f>MethodData!P101</f>
        <v>10</v>
      </c>
      <c r="Q104" s="4">
        <f>MethodData!Q101</f>
        <v>63.484099999999998</v>
      </c>
      <c r="R104" s="4">
        <f>MethodData!R101</f>
        <v>1</v>
      </c>
      <c r="S104" s="4">
        <f>MethodData!S101</f>
        <v>7</v>
      </c>
      <c r="T104" s="4">
        <f>MethodData!T101</f>
        <v>1</v>
      </c>
      <c r="U104" s="4">
        <f>MethodData!U101</f>
        <v>2</v>
      </c>
      <c r="W104" s="11">
        <f t="shared" si="65"/>
        <v>5.2631578947368418E-2</v>
      </c>
      <c r="X104" s="11">
        <f t="shared" si="66"/>
        <v>2.5000000000000001E-2</v>
      </c>
      <c r="Y104" s="11">
        <f t="shared" si="67"/>
        <v>1</v>
      </c>
      <c r="Z104" s="11">
        <f t="shared" si="68"/>
        <v>6.8965517241379309E-2</v>
      </c>
      <c r="AA104" s="11">
        <f t="shared" si="69"/>
        <v>0</v>
      </c>
      <c r="AB104" s="11">
        <f t="shared" si="70"/>
        <v>0</v>
      </c>
      <c r="AC104" s="11">
        <f t="shared" si="71"/>
        <v>6.7432567432567439E-2</v>
      </c>
      <c r="AD104" s="11">
        <f t="shared" si="72"/>
        <v>4.3557904052667169E-3</v>
      </c>
      <c r="AE104" s="11">
        <f t="shared" si="73"/>
        <v>2.6683608640406611E-2</v>
      </c>
      <c r="AF104" s="11">
        <f t="shared" si="74"/>
        <v>8.1081081081081086E-2</v>
      </c>
      <c r="AG104" s="11">
        <f t="shared" si="75"/>
        <v>0.17346938775510204</v>
      </c>
      <c r="AH104" s="11">
        <f t="shared" si="76"/>
        <v>5.0102870645464787E-2</v>
      </c>
      <c r="AI104" s="11">
        <f t="shared" si="77"/>
        <v>0</v>
      </c>
      <c r="AJ104" s="11">
        <f t="shared" si="78"/>
        <v>0.33333333333333331</v>
      </c>
      <c r="AK104" s="11">
        <f t="shared" si="79"/>
        <v>7.575757575757576E-2</v>
      </c>
      <c r="AL104" s="11">
        <f t="shared" si="80"/>
        <v>0.6627812044550051</v>
      </c>
      <c r="AM104" s="11">
        <f t="shared" si="81"/>
        <v>0.33333333333333331</v>
      </c>
      <c r="AN104" s="11">
        <f t="shared" si="82"/>
        <v>0.22580645161290322</v>
      </c>
      <c r="AO104" s="11">
        <f t="shared" si="83"/>
        <v>8.3333333333333329E-2</v>
      </c>
      <c r="AP104" s="11">
        <f t="shared" si="84"/>
        <v>0.5</v>
      </c>
      <c r="AQ104" s="11">
        <f t="shared" si="85"/>
        <v>3.7640676339741206</v>
      </c>
    </row>
    <row r="105" spans="1:43" ht="15" customHeight="1" x14ac:dyDescent="0.2">
      <c r="A105" s="3" t="str">
        <f>MethodData!A102</f>
        <v>IMove: toString()</v>
      </c>
      <c r="B105" s="4">
        <f>MethodData!B102</f>
        <v>1</v>
      </c>
      <c r="C105" s="4">
        <f>MethodData!C102</f>
        <v>0</v>
      </c>
      <c r="D105" s="4">
        <f>MethodData!D102</f>
        <v>0</v>
      </c>
      <c r="E105" s="4">
        <f>MethodData!E102</f>
        <v>0</v>
      </c>
      <c r="F105" s="4">
        <f>MethodData!F102</f>
        <v>0</v>
      </c>
      <c r="G105" s="4">
        <f>MethodData!G102</f>
        <v>0</v>
      </c>
      <c r="H105" s="4">
        <f>MethodData!H102</f>
        <v>0</v>
      </c>
      <c r="I105" s="4">
        <f>MethodData!I102</f>
        <v>0</v>
      </c>
      <c r="J105" s="4">
        <f>MethodData!J102</f>
        <v>0</v>
      </c>
      <c r="K105" s="4">
        <f>MethodData!K102</f>
        <v>0</v>
      </c>
      <c r="L105" s="4">
        <f>MethodData!L102</f>
        <v>0</v>
      </c>
      <c r="M105" s="4">
        <f>MethodData!M102</f>
        <v>0</v>
      </c>
      <c r="N105" s="4">
        <f>MethodData!N102</f>
        <v>0</v>
      </c>
      <c r="O105" s="4">
        <f>MethodData!O102</f>
        <v>1</v>
      </c>
      <c r="P105" s="4">
        <f>MethodData!P102</f>
        <v>0</v>
      </c>
      <c r="Q105" s="4">
        <f>MethodData!Q102</f>
        <v>0</v>
      </c>
      <c r="R105" s="4">
        <f>MethodData!R102</f>
        <v>0</v>
      </c>
      <c r="S105" s="4">
        <f>MethodData!S102</f>
        <v>0</v>
      </c>
      <c r="T105" s="4">
        <f>MethodData!T102</f>
        <v>1</v>
      </c>
      <c r="U105" s="4">
        <f>MethodData!U102</f>
        <v>0</v>
      </c>
      <c r="W105" s="11">
        <f t="shared" si="65"/>
        <v>2.6315789473684209E-2</v>
      </c>
      <c r="X105" s="11">
        <f t="shared" si="66"/>
        <v>0</v>
      </c>
      <c r="Y105" s="11">
        <f t="shared" si="67"/>
        <v>0</v>
      </c>
      <c r="Z105" s="11">
        <f t="shared" si="68"/>
        <v>0</v>
      </c>
      <c r="AA105" s="11">
        <f t="shared" si="69"/>
        <v>0</v>
      </c>
      <c r="AB105" s="11">
        <f t="shared" si="70"/>
        <v>0</v>
      </c>
      <c r="AC105" s="11">
        <f t="shared" si="71"/>
        <v>0</v>
      </c>
      <c r="AD105" s="11">
        <f t="shared" si="72"/>
        <v>0</v>
      </c>
      <c r="AE105" s="11">
        <f t="shared" si="73"/>
        <v>0</v>
      </c>
      <c r="AF105" s="11">
        <f t="shared" si="74"/>
        <v>0</v>
      </c>
      <c r="AG105" s="11">
        <f t="shared" si="75"/>
        <v>0</v>
      </c>
      <c r="AH105" s="11">
        <f t="shared" si="76"/>
        <v>0</v>
      </c>
      <c r="AI105" s="11">
        <f t="shared" si="77"/>
        <v>0</v>
      </c>
      <c r="AJ105" s="11">
        <f t="shared" si="78"/>
        <v>0.33333333333333331</v>
      </c>
      <c r="AK105" s="11">
        <f t="shared" si="79"/>
        <v>0</v>
      </c>
      <c r="AL105" s="11">
        <f t="shared" si="80"/>
        <v>0</v>
      </c>
      <c r="AM105" s="11">
        <f t="shared" si="81"/>
        <v>0.16666666666666666</v>
      </c>
      <c r="AN105" s="11">
        <f t="shared" si="82"/>
        <v>0</v>
      </c>
      <c r="AO105" s="11">
        <f t="shared" si="83"/>
        <v>8.3333333333333329E-2</v>
      </c>
      <c r="AP105" s="11">
        <f t="shared" si="84"/>
        <v>0</v>
      </c>
      <c r="AQ105" s="11">
        <f t="shared" si="85"/>
        <v>0.60964912280701755</v>
      </c>
    </row>
    <row r="106" spans="1:43" ht="15" customHeight="1" x14ac:dyDescent="0.2">
      <c r="A106" s="3" t="str">
        <f>MethodData!A103</f>
        <v>IPosition: adjacentPositions()</v>
      </c>
      <c r="B106" s="4">
        <f>MethodData!B103</f>
        <v>1</v>
      </c>
      <c r="C106" s="4">
        <f>MethodData!C103</f>
        <v>0</v>
      </c>
      <c r="D106" s="4">
        <f>MethodData!D103</f>
        <v>0</v>
      </c>
      <c r="E106" s="4">
        <f>MethodData!E103</f>
        <v>0</v>
      </c>
      <c r="F106" s="4">
        <f>MethodData!F103</f>
        <v>0</v>
      </c>
      <c r="G106" s="4">
        <f>MethodData!G103</f>
        <v>0</v>
      </c>
      <c r="H106" s="4">
        <f>MethodData!H103</f>
        <v>0</v>
      </c>
      <c r="I106" s="4">
        <f>MethodData!I103</f>
        <v>0</v>
      </c>
      <c r="J106" s="4">
        <f>MethodData!J103</f>
        <v>0</v>
      </c>
      <c r="K106" s="4">
        <f>MethodData!K103</f>
        <v>0</v>
      </c>
      <c r="L106" s="4">
        <f>MethodData!L103</f>
        <v>0</v>
      </c>
      <c r="M106" s="4">
        <f>MethodData!M103</f>
        <v>0</v>
      </c>
      <c r="N106" s="4">
        <f>MethodData!N103</f>
        <v>0</v>
      </c>
      <c r="O106" s="4">
        <f>MethodData!O103</f>
        <v>0</v>
      </c>
      <c r="P106" s="4">
        <f>MethodData!P103</f>
        <v>0</v>
      </c>
      <c r="Q106" s="4">
        <f>MethodData!Q103</f>
        <v>0</v>
      </c>
      <c r="R106" s="4">
        <f>MethodData!R103</f>
        <v>0</v>
      </c>
      <c r="S106" s="4">
        <f>MethodData!S103</f>
        <v>0</v>
      </c>
      <c r="T106" s="4">
        <f>MethodData!T103</f>
        <v>0</v>
      </c>
      <c r="U106" s="4">
        <f>MethodData!U103</f>
        <v>0</v>
      </c>
      <c r="W106" s="11">
        <f t="shared" si="65"/>
        <v>2.6315789473684209E-2</v>
      </c>
      <c r="X106" s="11">
        <f t="shared" si="66"/>
        <v>0</v>
      </c>
      <c r="Y106" s="11">
        <f t="shared" si="67"/>
        <v>0</v>
      </c>
      <c r="Z106" s="11">
        <f t="shared" si="68"/>
        <v>0</v>
      </c>
      <c r="AA106" s="11">
        <f t="shared" si="69"/>
        <v>0</v>
      </c>
      <c r="AB106" s="11">
        <f t="shared" si="70"/>
        <v>0</v>
      </c>
      <c r="AC106" s="11">
        <f t="shared" si="71"/>
        <v>0</v>
      </c>
      <c r="AD106" s="11">
        <f t="shared" si="72"/>
        <v>0</v>
      </c>
      <c r="AE106" s="11">
        <f t="shared" si="73"/>
        <v>0</v>
      </c>
      <c r="AF106" s="11">
        <f t="shared" si="74"/>
        <v>0</v>
      </c>
      <c r="AG106" s="11">
        <f t="shared" si="75"/>
        <v>0</v>
      </c>
      <c r="AH106" s="11">
        <f t="shared" si="76"/>
        <v>0</v>
      </c>
      <c r="AI106" s="11">
        <f t="shared" si="77"/>
        <v>0</v>
      </c>
      <c r="AJ106" s="11">
        <f t="shared" si="78"/>
        <v>0</v>
      </c>
      <c r="AK106" s="11">
        <f t="shared" si="79"/>
        <v>0</v>
      </c>
      <c r="AL106" s="11">
        <f t="shared" si="80"/>
        <v>0</v>
      </c>
      <c r="AM106" s="11">
        <f t="shared" si="81"/>
        <v>0.16666666666666666</v>
      </c>
      <c r="AN106" s="11">
        <f t="shared" si="82"/>
        <v>0</v>
      </c>
      <c r="AO106" s="11">
        <f t="shared" si="83"/>
        <v>0</v>
      </c>
      <c r="AP106" s="11">
        <f t="shared" si="84"/>
        <v>0</v>
      </c>
      <c r="AQ106" s="11">
        <f t="shared" si="85"/>
        <v>0.19298245614035087</v>
      </c>
    </row>
    <row r="107" spans="1:43" ht="15" customHeight="1" x14ac:dyDescent="0.2">
      <c r="A107" s="3" t="str">
        <f>MethodData!A104</f>
        <v>IPosition: equals(Object)</v>
      </c>
      <c r="B107" s="4">
        <f>MethodData!B104</f>
        <v>1</v>
      </c>
      <c r="C107" s="4">
        <f>MethodData!C104</f>
        <v>0</v>
      </c>
      <c r="D107" s="4">
        <f>MethodData!D104</f>
        <v>0</v>
      </c>
      <c r="E107" s="4">
        <f>MethodData!E104</f>
        <v>0</v>
      </c>
      <c r="F107" s="4">
        <f>MethodData!F104</f>
        <v>0</v>
      </c>
      <c r="G107" s="4">
        <f>MethodData!G104</f>
        <v>0</v>
      </c>
      <c r="H107" s="4">
        <f>MethodData!H104</f>
        <v>0</v>
      </c>
      <c r="I107" s="4">
        <f>MethodData!I104</f>
        <v>0</v>
      </c>
      <c r="J107" s="4">
        <f>MethodData!J104</f>
        <v>0</v>
      </c>
      <c r="K107" s="4">
        <f>MethodData!K104</f>
        <v>1</v>
      </c>
      <c r="L107" s="4">
        <f>MethodData!L104</f>
        <v>1</v>
      </c>
      <c r="M107" s="4">
        <f>MethodData!M104</f>
        <v>0</v>
      </c>
      <c r="N107" s="4">
        <f>MethodData!N104</f>
        <v>0</v>
      </c>
      <c r="O107" s="4">
        <f>MethodData!O104</f>
        <v>0</v>
      </c>
      <c r="P107" s="4">
        <f>MethodData!P104</f>
        <v>0</v>
      </c>
      <c r="Q107" s="4">
        <f>MethodData!Q104</f>
        <v>0</v>
      </c>
      <c r="R107" s="4">
        <f>MethodData!R104</f>
        <v>0</v>
      </c>
      <c r="S107" s="4">
        <f>MethodData!S104</f>
        <v>0</v>
      </c>
      <c r="T107" s="4">
        <f>MethodData!T104</f>
        <v>0</v>
      </c>
      <c r="U107" s="4">
        <f>MethodData!U104</f>
        <v>1</v>
      </c>
      <c r="W107" s="11">
        <f t="shared" si="65"/>
        <v>2.6315789473684209E-2</v>
      </c>
      <c r="X107" s="11">
        <f t="shared" si="66"/>
        <v>0</v>
      </c>
      <c r="Y107" s="11">
        <f t="shared" si="67"/>
        <v>0</v>
      </c>
      <c r="Z107" s="11">
        <f t="shared" si="68"/>
        <v>0</v>
      </c>
      <c r="AA107" s="11">
        <f t="shared" si="69"/>
        <v>0</v>
      </c>
      <c r="AB107" s="11">
        <f t="shared" si="70"/>
        <v>0</v>
      </c>
      <c r="AC107" s="11">
        <f t="shared" si="71"/>
        <v>0</v>
      </c>
      <c r="AD107" s="11">
        <f t="shared" si="72"/>
        <v>0</v>
      </c>
      <c r="AE107" s="11">
        <f t="shared" si="73"/>
        <v>0</v>
      </c>
      <c r="AF107" s="11">
        <f t="shared" si="74"/>
        <v>2.7027027027027029E-3</v>
      </c>
      <c r="AG107" s="11">
        <f t="shared" si="75"/>
        <v>1.020408163265306E-2</v>
      </c>
      <c r="AH107" s="11">
        <f t="shared" si="76"/>
        <v>0</v>
      </c>
      <c r="AI107" s="11">
        <f t="shared" si="77"/>
        <v>0</v>
      </c>
      <c r="AJ107" s="11">
        <f t="shared" si="78"/>
        <v>0</v>
      </c>
      <c r="AK107" s="11">
        <f t="shared" si="79"/>
        <v>0</v>
      </c>
      <c r="AL107" s="11">
        <f t="shared" si="80"/>
        <v>0</v>
      </c>
      <c r="AM107" s="11">
        <f t="shared" si="81"/>
        <v>0.16666666666666666</v>
      </c>
      <c r="AN107" s="11">
        <f t="shared" si="82"/>
        <v>0</v>
      </c>
      <c r="AO107" s="11">
        <f t="shared" si="83"/>
        <v>0</v>
      </c>
      <c r="AP107" s="11">
        <f t="shared" si="84"/>
        <v>0.25</v>
      </c>
      <c r="AQ107" s="11">
        <f t="shared" si="85"/>
        <v>0.45588924047570661</v>
      </c>
    </row>
    <row r="108" spans="1:43" ht="15" customHeight="1" x14ac:dyDescent="0.2">
      <c r="A108" s="3" t="str">
        <f>MethodData!A105</f>
        <v>IPosition: getClassicColumn()</v>
      </c>
      <c r="B108" s="4">
        <f>MethodData!B105</f>
        <v>1</v>
      </c>
      <c r="C108" s="4">
        <f>MethodData!C105</f>
        <v>0</v>
      </c>
      <c r="D108" s="4">
        <f>MethodData!D105</f>
        <v>0</v>
      </c>
      <c r="E108" s="4">
        <f>MethodData!E105</f>
        <v>0</v>
      </c>
      <c r="F108" s="4">
        <f>MethodData!F105</f>
        <v>0</v>
      </c>
      <c r="G108" s="4">
        <f>MethodData!G105</f>
        <v>0</v>
      </c>
      <c r="H108" s="4">
        <f>MethodData!H105</f>
        <v>0</v>
      </c>
      <c r="I108" s="4">
        <f>MethodData!I105</f>
        <v>0</v>
      </c>
      <c r="J108" s="4">
        <f>MethodData!J105</f>
        <v>0</v>
      </c>
      <c r="K108" s="4">
        <f>MethodData!K105</f>
        <v>1</v>
      </c>
      <c r="L108" s="4">
        <f>MethodData!L105</f>
        <v>1</v>
      </c>
      <c r="M108" s="4">
        <f>MethodData!M105</f>
        <v>0</v>
      </c>
      <c r="N108" s="4">
        <f>MethodData!N105</f>
        <v>0</v>
      </c>
      <c r="O108" s="4">
        <f>MethodData!O105</f>
        <v>0</v>
      </c>
      <c r="P108" s="4">
        <f>MethodData!P105</f>
        <v>0</v>
      </c>
      <c r="Q108" s="4">
        <f>MethodData!Q105</f>
        <v>0</v>
      </c>
      <c r="R108" s="4">
        <f>MethodData!R105</f>
        <v>0</v>
      </c>
      <c r="S108" s="4">
        <f>MethodData!S105</f>
        <v>0</v>
      </c>
      <c r="T108" s="4">
        <f>MethodData!T105</f>
        <v>0</v>
      </c>
      <c r="U108" s="4">
        <f>MethodData!U105</f>
        <v>0</v>
      </c>
      <c r="W108" s="11">
        <f t="shared" si="65"/>
        <v>2.6315789473684209E-2</v>
      </c>
      <c r="X108" s="11">
        <f t="shared" si="66"/>
        <v>0</v>
      </c>
      <c r="Y108" s="11">
        <f t="shared" si="67"/>
        <v>0</v>
      </c>
      <c r="Z108" s="11">
        <f t="shared" si="68"/>
        <v>0</v>
      </c>
      <c r="AA108" s="11">
        <f t="shared" si="69"/>
        <v>0</v>
      </c>
      <c r="AB108" s="11">
        <f t="shared" si="70"/>
        <v>0</v>
      </c>
      <c r="AC108" s="11">
        <f t="shared" si="71"/>
        <v>0</v>
      </c>
      <c r="AD108" s="11">
        <f t="shared" si="72"/>
        <v>0</v>
      </c>
      <c r="AE108" s="11">
        <f t="shared" si="73"/>
        <v>0</v>
      </c>
      <c r="AF108" s="11">
        <f t="shared" si="74"/>
        <v>2.7027027027027029E-3</v>
      </c>
      <c r="AG108" s="11">
        <f t="shared" si="75"/>
        <v>1.020408163265306E-2</v>
      </c>
      <c r="AH108" s="11">
        <f t="shared" si="76"/>
        <v>0</v>
      </c>
      <c r="AI108" s="11">
        <f t="shared" si="77"/>
        <v>0</v>
      </c>
      <c r="AJ108" s="11">
        <f t="shared" si="78"/>
        <v>0</v>
      </c>
      <c r="AK108" s="11">
        <f t="shared" si="79"/>
        <v>0</v>
      </c>
      <c r="AL108" s="11">
        <f t="shared" si="80"/>
        <v>0</v>
      </c>
      <c r="AM108" s="11">
        <f t="shared" si="81"/>
        <v>0.16666666666666666</v>
      </c>
      <c r="AN108" s="11">
        <f t="shared" si="82"/>
        <v>0</v>
      </c>
      <c r="AO108" s="11">
        <f t="shared" si="83"/>
        <v>0</v>
      </c>
      <c r="AP108" s="11">
        <f t="shared" si="84"/>
        <v>0</v>
      </c>
      <c r="AQ108" s="11">
        <f t="shared" si="85"/>
        <v>0.20588924047570661</v>
      </c>
    </row>
    <row r="109" spans="1:43" ht="15" customHeight="1" x14ac:dyDescent="0.2">
      <c r="A109" s="3" t="str">
        <f>MethodData!A106</f>
        <v>IPosition: getClassicRow()</v>
      </c>
      <c r="B109" s="4">
        <f>MethodData!B106</f>
        <v>1</v>
      </c>
      <c r="C109" s="4">
        <f>MethodData!C106</f>
        <v>0</v>
      </c>
      <c r="D109" s="4">
        <f>MethodData!D106</f>
        <v>0</v>
      </c>
      <c r="E109" s="4">
        <f>MethodData!E106</f>
        <v>0</v>
      </c>
      <c r="F109" s="4">
        <f>MethodData!F106</f>
        <v>0</v>
      </c>
      <c r="G109" s="4">
        <f>MethodData!G106</f>
        <v>0</v>
      </c>
      <c r="H109" s="4">
        <f>MethodData!H106</f>
        <v>0</v>
      </c>
      <c r="I109" s="4">
        <f>MethodData!I106</f>
        <v>0</v>
      </c>
      <c r="J109" s="4">
        <f>MethodData!J106</f>
        <v>0</v>
      </c>
      <c r="K109" s="4">
        <f>MethodData!K106</f>
        <v>1</v>
      </c>
      <c r="L109" s="4">
        <f>MethodData!L106</f>
        <v>1</v>
      </c>
      <c r="M109" s="4">
        <f>MethodData!M106</f>
        <v>0</v>
      </c>
      <c r="N109" s="4">
        <f>MethodData!N106</f>
        <v>0</v>
      </c>
      <c r="O109" s="4">
        <f>MethodData!O106</f>
        <v>0</v>
      </c>
      <c r="P109" s="4">
        <f>MethodData!P106</f>
        <v>0</v>
      </c>
      <c r="Q109" s="4">
        <f>MethodData!Q106</f>
        <v>0</v>
      </c>
      <c r="R109" s="4">
        <f>MethodData!R106</f>
        <v>0</v>
      </c>
      <c r="S109" s="4">
        <f>MethodData!S106</f>
        <v>0</v>
      </c>
      <c r="T109" s="4">
        <f>MethodData!T106</f>
        <v>0</v>
      </c>
      <c r="U109" s="4">
        <f>MethodData!U106</f>
        <v>0</v>
      </c>
      <c r="W109" s="11">
        <f t="shared" si="65"/>
        <v>2.6315789473684209E-2</v>
      </c>
      <c r="X109" s="11">
        <f t="shared" si="66"/>
        <v>0</v>
      </c>
      <c r="Y109" s="11">
        <f t="shared" si="67"/>
        <v>0</v>
      </c>
      <c r="Z109" s="11">
        <f t="shared" si="68"/>
        <v>0</v>
      </c>
      <c r="AA109" s="11">
        <f t="shared" si="69"/>
        <v>0</v>
      </c>
      <c r="AB109" s="11">
        <f t="shared" si="70"/>
        <v>0</v>
      </c>
      <c r="AC109" s="11">
        <f t="shared" si="71"/>
        <v>0</v>
      </c>
      <c r="AD109" s="11">
        <f t="shared" si="72"/>
        <v>0</v>
      </c>
      <c r="AE109" s="11">
        <f t="shared" si="73"/>
        <v>0</v>
      </c>
      <c r="AF109" s="11">
        <f t="shared" si="74"/>
        <v>2.7027027027027029E-3</v>
      </c>
      <c r="AG109" s="11">
        <f t="shared" si="75"/>
        <v>1.020408163265306E-2</v>
      </c>
      <c r="AH109" s="11">
        <f t="shared" si="76"/>
        <v>0</v>
      </c>
      <c r="AI109" s="11">
        <f t="shared" si="77"/>
        <v>0</v>
      </c>
      <c r="AJ109" s="11">
        <f t="shared" si="78"/>
        <v>0</v>
      </c>
      <c r="AK109" s="11">
        <f t="shared" si="79"/>
        <v>0</v>
      </c>
      <c r="AL109" s="11">
        <f t="shared" si="80"/>
        <v>0</v>
      </c>
      <c r="AM109" s="11">
        <f t="shared" si="81"/>
        <v>0.16666666666666666</v>
      </c>
      <c r="AN109" s="11">
        <f t="shared" si="82"/>
        <v>0</v>
      </c>
      <c r="AO109" s="11">
        <f t="shared" si="83"/>
        <v>0</v>
      </c>
      <c r="AP109" s="11">
        <f t="shared" si="84"/>
        <v>0</v>
      </c>
      <c r="AQ109" s="11">
        <f t="shared" si="85"/>
        <v>0.20588924047570661</v>
      </c>
    </row>
    <row r="110" spans="1:43" ht="15" customHeight="1" x14ac:dyDescent="0.2">
      <c r="A110" s="3" t="str">
        <f>MethodData!A107</f>
        <v>IPosition: getColumn()</v>
      </c>
      <c r="B110" s="4">
        <f>MethodData!B107</f>
        <v>1</v>
      </c>
      <c r="C110" s="4">
        <f>MethodData!C107</f>
        <v>0</v>
      </c>
      <c r="D110" s="4">
        <f>MethodData!D107</f>
        <v>0</v>
      </c>
      <c r="E110" s="4">
        <f>MethodData!E107</f>
        <v>0</v>
      </c>
      <c r="F110" s="4">
        <f>MethodData!F107</f>
        <v>0</v>
      </c>
      <c r="G110" s="4">
        <f>MethodData!G107</f>
        <v>0</v>
      </c>
      <c r="H110" s="4">
        <f>MethodData!H107</f>
        <v>0</v>
      </c>
      <c r="I110" s="4">
        <f>MethodData!I107</f>
        <v>0</v>
      </c>
      <c r="J110" s="4">
        <f>MethodData!J107</f>
        <v>0</v>
      </c>
      <c r="K110" s="4">
        <f>MethodData!K107</f>
        <v>1</v>
      </c>
      <c r="L110" s="4">
        <f>MethodData!L107</f>
        <v>1</v>
      </c>
      <c r="M110" s="4">
        <f>MethodData!M107</f>
        <v>0</v>
      </c>
      <c r="N110" s="4">
        <f>MethodData!N107</f>
        <v>0</v>
      </c>
      <c r="O110" s="4">
        <f>MethodData!O107</f>
        <v>0</v>
      </c>
      <c r="P110" s="4">
        <f>MethodData!P107</f>
        <v>0</v>
      </c>
      <c r="Q110" s="4">
        <f>MethodData!Q107</f>
        <v>0</v>
      </c>
      <c r="R110" s="4">
        <f>MethodData!R107</f>
        <v>0</v>
      </c>
      <c r="S110" s="4">
        <f>MethodData!S107</f>
        <v>0</v>
      </c>
      <c r="T110" s="4">
        <f>MethodData!T107</f>
        <v>0</v>
      </c>
      <c r="U110" s="4">
        <f>MethodData!U107</f>
        <v>0</v>
      </c>
      <c r="W110" s="11">
        <f t="shared" si="65"/>
        <v>2.6315789473684209E-2</v>
      </c>
      <c r="X110" s="11">
        <f t="shared" si="66"/>
        <v>0</v>
      </c>
      <c r="Y110" s="11">
        <f t="shared" si="67"/>
        <v>0</v>
      </c>
      <c r="Z110" s="11">
        <f t="shared" si="68"/>
        <v>0</v>
      </c>
      <c r="AA110" s="11">
        <f t="shared" si="69"/>
        <v>0</v>
      </c>
      <c r="AB110" s="11">
        <f t="shared" si="70"/>
        <v>0</v>
      </c>
      <c r="AC110" s="11">
        <f t="shared" si="71"/>
        <v>0</v>
      </c>
      <c r="AD110" s="11">
        <f t="shared" si="72"/>
        <v>0</v>
      </c>
      <c r="AE110" s="11">
        <f t="shared" si="73"/>
        <v>0</v>
      </c>
      <c r="AF110" s="11">
        <f t="shared" si="74"/>
        <v>2.7027027027027029E-3</v>
      </c>
      <c r="AG110" s="11">
        <f t="shared" si="75"/>
        <v>1.020408163265306E-2</v>
      </c>
      <c r="AH110" s="11">
        <f t="shared" si="76"/>
        <v>0</v>
      </c>
      <c r="AI110" s="11">
        <f t="shared" si="77"/>
        <v>0</v>
      </c>
      <c r="AJ110" s="11">
        <f t="shared" si="78"/>
        <v>0</v>
      </c>
      <c r="AK110" s="11">
        <f t="shared" si="79"/>
        <v>0</v>
      </c>
      <c r="AL110" s="11">
        <f t="shared" si="80"/>
        <v>0</v>
      </c>
      <c r="AM110" s="11">
        <f t="shared" si="81"/>
        <v>0.16666666666666666</v>
      </c>
      <c r="AN110" s="11">
        <f t="shared" si="82"/>
        <v>0</v>
      </c>
      <c r="AO110" s="11">
        <f t="shared" si="83"/>
        <v>0</v>
      </c>
      <c r="AP110" s="11">
        <f t="shared" si="84"/>
        <v>0</v>
      </c>
      <c r="AQ110" s="11">
        <f t="shared" si="85"/>
        <v>0.20588924047570661</v>
      </c>
    </row>
    <row r="111" spans="1:43" ht="15" customHeight="1" x14ac:dyDescent="0.2">
      <c r="A111" s="3" t="str">
        <f>MethodData!A108</f>
        <v>IPosition: getRow()</v>
      </c>
      <c r="B111" s="4">
        <f>MethodData!B108</f>
        <v>1</v>
      </c>
      <c r="C111" s="4">
        <f>MethodData!C108</f>
        <v>0</v>
      </c>
      <c r="D111" s="4">
        <f>MethodData!D108</f>
        <v>0</v>
      </c>
      <c r="E111" s="4">
        <f>MethodData!E108</f>
        <v>0</v>
      </c>
      <c r="F111" s="4">
        <f>MethodData!F108</f>
        <v>0</v>
      </c>
      <c r="G111" s="4">
        <f>MethodData!G108</f>
        <v>0</v>
      </c>
      <c r="H111" s="4">
        <f>MethodData!H108</f>
        <v>0</v>
      </c>
      <c r="I111" s="4">
        <f>MethodData!I108</f>
        <v>0</v>
      </c>
      <c r="J111" s="4">
        <f>MethodData!J108</f>
        <v>0</v>
      </c>
      <c r="K111" s="4">
        <f>MethodData!K108</f>
        <v>1</v>
      </c>
      <c r="L111" s="4">
        <f>MethodData!L108</f>
        <v>1</v>
      </c>
      <c r="M111" s="4">
        <f>MethodData!M108</f>
        <v>0</v>
      </c>
      <c r="N111" s="4">
        <f>MethodData!N108</f>
        <v>0</v>
      </c>
      <c r="O111" s="4">
        <f>MethodData!O108</f>
        <v>0</v>
      </c>
      <c r="P111" s="4">
        <f>MethodData!P108</f>
        <v>0</v>
      </c>
      <c r="Q111" s="4">
        <f>MethodData!Q108</f>
        <v>0</v>
      </c>
      <c r="R111" s="4">
        <f>MethodData!R108</f>
        <v>0</v>
      </c>
      <c r="S111" s="4">
        <f>MethodData!S108</f>
        <v>0</v>
      </c>
      <c r="T111" s="4">
        <f>MethodData!T108</f>
        <v>0</v>
      </c>
      <c r="U111" s="4">
        <f>MethodData!U108</f>
        <v>0</v>
      </c>
      <c r="W111" s="11">
        <f t="shared" si="65"/>
        <v>2.6315789473684209E-2</v>
      </c>
      <c r="X111" s="11">
        <f t="shared" si="66"/>
        <v>0</v>
      </c>
      <c r="Y111" s="11">
        <f t="shared" si="67"/>
        <v>0</v>
      </c>
      <c r="Z111" s="11">
        <f t="shared" si="68"/>
        <v>0</v>
      </c>
      <c r="AA111" s="11">
        <f t="shared" si="69"/>
        <v>0</v>
      </c>
      <c r="AB111" s="11">
        <f t="shared" si="70"/>
        <v>0</v>
      </c>
      <c r="AC111" s="11">
        <f t="shared" si="71"/>
        <v>0</v>
      </c>
      <c r="AD111" s="11">
        <f t="shared" si="72"/>
        <v>0</v>
      </c>
      <c r="AE111" s="11">
        <f t="shared" si="73"/>
        <v>0</v>
      </c>
      <c r="AF111" s="11">
        <f t="shared" si="74"/>
        <v>2.7027027027027029E-3</v>
      </c>
      <c r="AG111" s="11">
        <f t="shared" si="75"/>
        <v>1.020408163265306E-2</v>
      </c>
      <c r="AH111" s="11">
        <f t="shared" si="76"/>
        <v>0</v>
      </c>
      <c r="AI111" s="11">
        <f t="shared" si="77"/>
        <v>0</v>
      </c>
      <c r="AJ111" s="11">
        <f t="shared" si="78"/>
        <v>0</v>
      </c>
      <c r="AK111" s="11">
        <f t="shared" si="79"/>
        <v>0</v>
      </c>
      <c r="AL111" s="11">
        <f t="shared" si="80"/>
        <v>0</v>
      </c>
      <c r="AM111" s="11">
        <f t="shared" si="81"/>
        <v>0.16666666666666666</v>
      </c>
      <c r="AN111" s="11">
        <f t="shared" si="82"/>
        <v>0</v>
      </c>
      <c r="AO111" s="11">
        <f t="shared" si="83"/>
        <v>0</v>
      </c>
      <c r="AP111" s="11">
        <f t="shared" si="84"/>
        <v>0</v>
      </c>
      <c r="AQ111" s="11">
        <f t="shared" si="85"/>
        <v>0.20588924047570661</v>
      </c>
    </row>
    <row r="112" spans="1:43" ht="15" customHeight="1" x14ac:dyDescent="0.2">
      <c r="A112" s="3" t="str">
        <f>MethodData!A109</f>
        <v>IPosition: isAdjacentTo(IPosition)</v>
      </c>
      <c r="B112" s="4">
        <f>MethodData!B109</f>
        <v>1</v>
      </c>
      <c r="C112" s="4">
        <f>MethodData!C109</f>
        <v>0</v>
      </c>
      <c r="D112" s="4">
        <f>MethodData!D109</f>
        <v>0</v>
      </c>
      <c r="E112" s="4">
        <f>MethodData!E109</f>
        <v>0</v>
      </c>
      <c r="F112" s="4">
        <f>MethodData!F109</f>
        <v>0</v>
      </c>
      <c r="G112" s="4">
        <f>MethodData!G109</f>
        <v>0</v>
      </c>
      <c r="H112" s="4">
        <f>MethodData!H109</f>
        <v>0</v>
      </c>
      <c r="I112" s="4">
        <f>MethodData!I109</f>
        <v>0</v>
      </c>
      <c r="J112" s="4">
        <f>MethodData!J109</f>
        <v>0</v>
      </c>
      <c r="K112" s="4">
        <f>MethodData!K109</f>
        <v>1</v>
      </c>
      <c r="L112" s="4">
        <f>MethodData!L109</f>
        <v>1</v>
      </c>
      <c r="M112" s="4">
        <f>MethodData!M109</f>
        <v>0</v>
      </c>
      <c r="N112" s="4">
        <f>MethodData!N109</f>
        <v>0</v>
      </c>
      <c r="O112" s="4">
        <f>MethodData!O109</f>
        <v>0</v>
      </c>
      <c r="P112" s="4">
        <f>MethodData!P109</f>
        <v>0</v>
      </c>
      <c r="Q112" s="4">
        <f>MethodData!Q109</f>
        <v>0</v>
      </c>
      <c r="R112" s="4">
        <f>MethodData!R109</f>
        <v>0</v>
      </c>
      <c r="S112" s="4">
        <f>MethodData!S109</f>
        <v>0</v>
      </c>
      <c r="T112" s="4">
        <f>MethodData!T109</f>
        <v>0</v>
      </c>
      <c r="U112" s="4">
        <f>MethodData!U109</f>
        <v>1</v>
      </c>
      <c r="W112" s="11">
        <f t="shared" si="65"/>
        <v>2.6315789473684209E-2</v>
      </c>
      <c r="X112" s="11">
        <f t="shared" si="66"/>
        <v>0</v>
      </c>
      <c r="Y112" s="11">
        <f t="shared" si="67"/>
        <v>0</v>
      </c>
      <c r="Z112" s="11">
        <f t="shared" si="68"/>
        <v>0</v>
      </c>
      <c r="AA112" s="11">
        <f t="shared" si="69"/>
        <v>0</v>
      </c>
      <c r="AB112" s="11">
        <f t="shared" si="70"/>
        <v>0</v>
      </c>
      <c r="AC112" s="11">
        <f t="shared" si="71"/>
        <v>0</v>
      </c>
      <c r="AD112" s="11">
        <f t="shared" si="72"/>
        <v>0</v>
      </c>
      <c r="AE112" s="11">
        <f t="shared" si="73"/>
        <v>0</v>
      </c>
      <c r="AF112" s="11">
        <f t="shared" si="74"/>
        <v>2.7027027027027029E-3</v>
      </c>
      <c r="AG112" s="11">
        <f t="shared" si="75"/>
        <v>1.020408163265306E-2</v>
      </c>
      <c r="AH112" s="11">
        <f t="shared" si="76"/>
        <v>0</v>
      </c>
      <c r="AI112" s="11">
        <f t="shared" si="77"/>
        <v>0</v>
      </c>
      <c r="AJ112" s="11">
        <f t="shared" si="78"/>
        <v>0</v>
      </c>
      <c r="AK112" s="11">
        <f t="shared" si="79"/>
        <v>0</v>
      </c>
      <c r="AL112" s="11">
        <f t="shared" si="80"/>
        <v>0</v>
      </c>
      <c r="AM112" s="11">
        <f t="shared" si="81"/>
        <v>0.16666666666666666</v>
      </c>
      <c r="AN112" s="11">
        <f t="shared" si="82"/>
        <v>0</v>
      </c>
      <c r="AO112" s="11">
        <f t="shared" si="83"/>
        <v>0</v>
      </c>
      <c r="AP112" s="11">
        <f t="shared" si="84"/>
        <v>0.25</v>
      </c>
      <c r="AQ112" s="11">
        <f t="shared" si="85"/>
        <v>0.45588924047570661</v>
      </c>
    </row>
    <row r="113" spans="1:43" ht="15" customHeight="1" x14ac:dyDescent="0.2">
      <c r="A113" s="3" t="str">
        <f>MethodData!A110</f>
        <v>IPosition: isHit()</v>
      </c>
      <c r="B113" s="4">
        <f>MethodData!B110</f>
        <v>1</v>
      </c>
      <c r="C113" s="4">
        <f>MethodData!C110</f>
        <v>0</v>
      </c>
      <c r="D113" s="4">
        <f>MethodData!D110</f>
        <v>0</v>
      </c>
      <c r="E113" s="4">
        <f>MethodData!E110</f>
        <v>0</v>
      </c>
      <c r="F113" s="4">
        <f>MethodData!F110</f>
        <v>0</v>
      </c>
      <c r="G113" s="4">
        <f>MethodData!G110</f>
        <v>0</v>
      </c>
      <c r="H113" s="4">
        <f>MethodData!H110</f>
        <v>0</v>
      </c>
      <c r="I113" s="4">
        <f>MethodData!I110</f>
        <v>0</v>
      </c>
      <c r="J113" s="4">
        <f>MethodData!J110</f>
        <v>0</v>
      </c>
      <c r="K113" s="4">
        <f>MethodData!K110</f>
        <v>1</v>
      </c>
      <c r="L113" s="4">
        <f>MethodData!L110</f>
        <v>1</v>
      </c>
      <c r="M113" s="4">
        <f>MethodData!M110</f>
        <v>0</v>
      </c>
      <c r="N113" s="4">
        <f>MethodData!N110</f>
        <v>0</v>
      </c>
      <c r="O113" s="4">
        <f>MethodData!O110</f>
        <v>0</v>
      </c>
      <c r="P113" s="4">
        <f>MethodData!P110</f>
        <v>0</v>
      </c>
      <c r="Q113" s="4">
        <f>MethodData!Q110</f>
        <v>0</v>
      </c>
      <c r="R113" s="4">
        <f>MethodData!R110</f>
        <v>0</v>
      </c>
      <c r="S113" s="4">
        <f>MethodData!S110</f>
        <v>0</v>
      </c>
      <c r="T113" s="4">
        <f>MethodData!T110</f>
        <v>0</v>
      </c>
      <c r="U113" s="4">
        <f>MethodData!U110</f>
        <v>0</v>
      </c>
      <c r="W113" s="11">
        <f t="shared" si="65"/>
        <v>2.6315789473684209E-2</v>
      </c>
      <c r="X113" s="11">
        <f t="shared" si="66"/>
        <v>0</v>
      </c>
      <c r="Y113" s="11">
        <f t="shared" si="67"/>
        <v>0</v>
      </c>
      <c r="Z113" s="11">
        <f t="shared" si="68"/>
        <v>0</v>
      </c>
      <c r="AA113" s="11">
        <f t="shared" si="69"/>
        <v>0</v>
      </c>
      <c r="AB113" s="11">
        <f t="shared" si="70"/>
        <v>0</v>
      </c>
      <c r="AC113" s="11">
        <f t="shared" si="71"/>
        <v>0</v>
      </c>
      <c r="AD113" s="11">
        <f t="shared" si="72"/>
        <v>0</v>
      </c>
      <c r="AE113" s="11">
        <f t="shared" si="73"/>
        <v>0</v>
      </c>
      <c r="AF113" s="11">
        <f t="shared" si="74"/>
        <v>2.7027027027027029E-3</v>
      </c>
      <c r="AG113" s="11">
        <f t="shared" si="75"/>
        <v>1.020408163265306E-2</v>
      </c>
      <c r="AH113" s="11">
        <f t="shared" si="76"/>
        <v>0</v>
      </c>
      <c r="AI113" s="11">
        <f t="shared" si="77"/>
        <v>0</v>
      </c>
      <c r="AJ113" s="11">
        <f t="shared" si="78"/>
        <v>0</v>
      </c>
      <c r="AK113" s="11">
        <f t="shared" si="79"/>
        <v>0</v>
      </c>
      <c r="AL113" s="11">
        <f t="shared" si="80"/>
        <v>0</v>
      </c>
      <c r="AM113" s="11">
        <f t="shared" si="81"/>
        <v>0.16666666666666666</v>
      </c>
      <c r="AN113" s="11">
        <f t="shared" si="82"/>
        <v>0</v>
      </c>
      <c r="AO113" s="11">
        <f t="shared" si="83"/>
        <v>0</v>
      </c>
      <c r="AP113" s="11">
        <f t="shared" si="84"/>
        <v>0</v>
      </c>
      <c r="AQ113" s="11">
        <f t="shared" si="85"/>
        <v>0.20588924047570661</v>
      </c>
    </row>
    <row r="114" spans="1:43" ht="15" customHeight="1" x14ac:dyDescent="0.2">
      <c r="A114" s="3" t="str">
        <f>MethodData!A111</f>
        <v>IPosition: isInside()</v>
      </c>
      <c r="B114" s="4">
        <f>MethodData!B111</f>
        <v>1</v>
      </c>
      <c r="C114" s="4">
        <f>MethodData!C111</f>
        <v>0</v>
      </c>
      <c r="D114" s="4">
        <f>MethodData!D111</f>
        <v>0</v>
      </c>
      <c r="E114" s="4">
        <f>MethodData!E111</f>
        <v>0</v>
      </c>
      <c r="F114" s="4">
        <f>MethodData!F111</f>
        <v>0</v>
      </c>
      <c r="G114" s="4">
        <f>MethodData!G111</f>
        <v>0</v>
      </c>
      <c r="H114" s="4">
        <f>MethodData!H111</f>
        <v>0</v>
      </c>
      <c r="I114" s="4">
        <f>MethodData!I111</f>
        <v>0</v>
      </c>
      <c r="J114" s="4">
        <f>MethodData!J111</f>
        <v>0</v>
      </c>
      <c r="K114" s="4">
        <f>MethodData!K111</f>
        <v>1</v>
      </c>
      <c r="L114" s="4">
        <f>MethodData!L111</f>
        <v>1</v>
      </c>
      <c r="M114" s="4">
        <f>MethodData!M111</f>
        <v>0</v>
      </c>
      <c r="N114" s="4">
        <f>MethodData!N111</f>
        <v>0</v>
      </c>
      <c r="O114" s="4">
        <f>MethodData!O111</f>
        <v>0</v>
      </c>
      <c r="P114" s="4">
        <f>MethodData!P111</f>
        <v>0</v>
      </c>
      <c r="Q114" s="4">
        <f>MethodData!Q111</f>
        <v>0</v>
      </c>
      <c r="R114" s="4">
        <f>MethodData!R111</f>
        <v>0</v>
      </c>
      <c r="S114" s="4">
        <f>MethodData!S111</f>
        <v>0</v>
      </c>
      <c r="T114" s="4">
        <f>MethodData!T111</f>
        <v>0</v>
      </c>
      <c r="U114" s="4">
        <f>MethodData!U111</f>
        <v>0</v>
      </c>
      <c r="W114" s="11">
        <f t="shared" si="65"/>
        <v>2.6315789473684209E-2</v>
      </c>
      <c r="X114" s="11">
        <f t="shared" si="66"/>
        <v>0</v>
      </c>
      <c r="Y114" s="11">
        <f t="shared" si="67"/>
        <v>0</v>
      </c>
      <c r="Z114" s="11">
        <f t="shared" si="68"/>
        <v>0</v>
      </c>
      <c r="AA114" s="11">
        <f t="shared" si="69"/>
        <v>0</v>
      </c>
      <c r="AB114" s="11">
        <f t="shared" si="70"/>
        <v>0</v>
      </c>
      <c r="AC114" s="11">
        <f t="shared" si="71"/>
        <v>0</v>
      </c>
      <c r="AD114" s="11">
        <f t="shared" si="72"/>
        <v>0</v>
      </c>
      <c r="AE114" s="11">
        <f t="shared" si="73"/>
        <v>0</v>
      </c>
      <c r="AF114" s="11">
        <f t="shared" si="74"/>
        <v>2.7027027027027029E-3</v>
      </c>
      <c r="AG114" s="11">
        <f t="shared" si="75"/>
        <v>1.020408163265306E-2</v>
      </c>
      <c r="AH114" s="11">
        <f t="shared" si="76"/>
        <v>0</v>
      </c>
      <c r="AI114" s="11">
        <f t="shared" si="77"/>
        <v>0</v>
      </c>
      <c r="AJ114" s="11">
        <f t="shared" si="78"/>
        <v>0</v>
      </c>
      <c r="AK114" s="11">
        <f t="shared" si="79"/>
        <v>0</v>
      </c>
      <c r="AL114" s="11">
        <f t="shared" si="80"/>
        <v>0</v>
      </c>
      <c r="AM114" s="11">
        <f t="shared" si="81"/>
        <v>0.16666666666666666</v>
      </c>
      <c r="AN114" s="11">
        <f t="shared" si="82"/>
        <v>0</v>
      </c>
      <c r="AO114" s="11">
        <f t="shared" si="83"/>
        <v>0</v>
      </c>
      <c r="AP114" s="11">
        <f t="shared" si="84"/>
        <v>0</v>
      </c>
      <c r="AQ114" s="11">
        <f t="shared" si="85"/>
        <v>0.20588924047570661</v>
      </c>
    </row>
    <row r="115" spans="1:43" ht="15" customHeight="1" x14ac:dyDescent="0.2">
      <c r="A115" s="3" t="str">
        <f>MethodData!A112</f>
        <v>IPosition: isOccupied()</v>
      </c>
      <c r="B115" s="4">
        <f>MethodData!B112</f>
        <v>1</v>
      </c>
      <c r="C115" s="4">
        <f>MethodData!C112</f>
        <v>0</v>
      </c>
      <c r="D115" s="4">
        <f>MethodData!D112</f>
        <v>0</v>
      </c>
      <c r="E115" s="4">
        <f>MethodData!E112</f>
        <v>0</v>
      </c>
      <c r="F115" s="4">
        <f>MethodData!F112</f>
        <v>0</v>
      </c>
      <c r="G115" s="4">
        <f>MethodData!G112</f>
        <v>0</v>
      </c>
      <c r="H115" s="4">
        <f>MethodData!H112</f>
        <v>0</v>
      </c>
      <c r="I115" s="4">
        <f>MethodData!I112</f>
        <v>0</v>
      </c>
      <c r="J115" s="4">
        <f>MethodData!J112</f>
        <v>0</v>
      </c>
      <c r="K115" s="4">
        <f>MethodData!K112</f>
        <v>1</v>
      </c>
      <c r="L115" s="4">
        <f>MethodData!L112</f>
        <v>1</v>
      </c>
      <c r="M115" s="4">
        <f>MethodData!M112</f>
        <v>0</v>
      </c>
      <c r="N115" s="4">
        <f>MethodData!N112</f>
        <v>0</v>
      </c>
      <c r="O115" s="4">
        <f>MethodData!O112</f>
        <v>0</v>
      </c>
      <c r="P115" s="4">
        <f>MethodData!P112</f>
        <v>0</v>
      </c>
      <c r="Q115" s="4">
        <f>MethodData!Q112</f>
        <v>0</v>
      </c>
      <c r="R115" s="4">
        <f>MethodData!R112</f>
        <v>0</v>
      </c>
      <c r="S115" s="4">
        <f>MethodData!S112</f>
        <v>0</v>
      </c>
      <c r="T115" s="4">
        <f>MethodData!T112</f>
        <v>0</v>
      </c>
      <c r="U115" s="4">
        <f>MethodData!U112</f>
        <v>0</v>
      </c>
      <c r="W115" s="11">
        <f t="shared" si="65"/>
        <v>2.6315789473684209E-2</v>
      </c>
      <c r="X115" s="11">
        <f t="shared" si="66"/>
        <v>0</v>
      </c>
      <c r="Y115" s="11">
        <f t="shared" si="67"/>
        <v>0</v>
      </c>
      <c r="Z115" s="11">
        <f t="shared" si="68"/>
        <v>0</v>
      </c>
      <c r="AA115" s="11">
        <f t="shared" si="69"/>
        <v>0</v>
      </c>
      <c r="AB115" s="11">
        <f t="shared" si="70"/>
        <v>0</v>
      </c>
      <c r="AC115" s="11">
        <f t="shared" si="71"/>
        <v>0</v>
      </c>
      <c r="AD115" s="11">
        <f t="shared" si="72"/>
        <v>0</v>
      </c>
      <c r="AE115" s="11">
        <f t="shared" si="73"/>
        <v>0</v>
      </c>
      <c r="AF115" s="11">
        <f t="shared" si="74"/>
        <v>2.7027027027027029E-3</v>
      </c>
      <c r="AG115" s="11">
        <f t="shared" si="75"/>
        <v>1.020408163265306E-2</v>
      </c>
      <c r="AH115" s="11">
        <f t="shared" si="76"/>
        <v>0</v>
      </c>
      <c r="AI115" s="11">
        <f t="shared" si="77"/>
        <v>0</v>
      </c>
      <c r="AJ115" s="11">
        <f t="shared" si="78"/>
        <v>0</v>
      </c>
      <c r="AK115" s="11">
        <f t="shared" si="79"/>
        <v>0</v>
      </c>
      <c r="AL115" s="11">
        <f t="shared" si="80"/>
        <v>0</v>
      </c>
      <c r="AM115" s="11">
        <f t="shared" si="81"/>
        <v>0.16666666666666666</v>
      </c>
      <c r="AN115" s="11">
        <f t="shared" si="82"/>
        <v>0</v>
      </c>
      <c r="AO115" s="11">
        <f t="shared" si="83"/>
        <v>0</v>
      </c>
      <c r="AP115" s="11">
        <f t="shared" si="84"/>
        <v>0</v>
      </c>
      <c r="AQ115" s="11">
        <f t="shared" si="85"/>
        <v>0.20588924047570661</v>
      </c>
    </row>
    <row r="116" spans="1:43" ht="15" customHeight="1" x14ac:dyDescent="0.2">
      <c r="A116" s="3" t="str">
        <f>MethodData!A113</f>
        <v>IPosition: occupy()</v>
      </c>
      <c r="B116" s="4">
        <f>MethodData!B113</f>
        <v>1</v>
      </c>
      <c r="C116" s="4">
        <f>MethodData!C113</f>
        <v>0</v>
      </c>
      <c r="D116" s="4">
        <f>MethodData!D113</f>
        <v>0</v>
      </c>
      <c r="E116" s="4">
        <f>MethodData!E113</f>
        <v>0</v>
      </c>
      <c r="F116" s="4">
        <f>MethodData!F113</f>
        <v>0</v>
      </c>
      <c r="G116" s="4">
        <f>MethodData!G113</f>
        <v>0</v>
      </c>
      <c r="H116" s="4">
        <f>MethodData!H113</f>
        <v>0</v>
      </c>
      <c r="I116" s="4">
        <f>MethodData!I113</f>
        <v>0</v>
      </c>
      <c r="J116" s="4">
        <f>MethodData!J113</f>
        <v>0</v>
      </c>
      <c r="K116" s="4">
        <f>MethodData!K113</f>
        <v>1</v>
      </c>
      <c r="L116" s="4">
        <f>MethodData!L113</f>
        <v>1</v>
      </c>
      <c r="M116" s="4">
        <f>MethodData!M113</f>
        <v>0</v>
      </c>
      <c r="N116" s="4">
        <f>MethodData!N113</f>
        <v>0</v>
      </c>
      <c r="O116" s="4">
        <f>MethodData!O113</f>
        <v>0</v>
      </c>
      <c r="P116" s="4">
        <f>MethodData!P113</f>
        <v>0</v>
      </c>
      <c r="Q116" s="4">
        <f>MethodData!Q113</f>
        <v>0</v>
      </c>
      <c r="R116" s="4">
        <f>MethodData!R113</f>
        <v>0</v>
      </c>
      <c r="S116" s="4">
        <f>MethodData!S113</f>
        <v>0</v>
      </c>
      <c r="T116" s="4">
        <f>MethodData!T113</f>
        <v>0</v>
      </c>
      <c r="U116" s="4">
        <f>MethodData!U113</f>
        <v>0</v>
      </c>
      <c r="W116" s="11">
        <f t="shared" si="65"/>
        <v>2.6315789473684209E-2</v>
      </c>
      <c r="X116" s="11">
        <f t="shared" si="66"/>
        <v>0</v>
      </c>
      <c r="Y116" s="11">
        <f t="shared" si="67"/>
        <v>0</v>
      </c>
      <c r="Z116" s="11">
        <f t="shared" si="68"/>
        <v>0</v>
      </c>
      <c r="AA116" s="11">
        <f t="shared" si="69"/>
        <v>0</v>
      </c>
      <c r="AB116" s="11">
        <f t="shared" si="70"/>
        <v>0</v>
      </c>
      <c r="AC116" s="11">
        <f t="shared" si="71"/>
        <v>0</v>
      </c>
      <c r="AD116" s="11">
        <f t="shared" si="72"/>
        <v>0</v>
      </c>
      <c r="AE116" s="11">
        <f t="shared" si="73"/>
        <v>0</v>
      </c>
      <c r="AF116" s="11">
        <f t="shared" si="74"/>
        <v>2.7027027027027029E-3</v>
      </c>
      <c r="AG116" s="11">
        <f t="shared" si="75"/>
        <v>1.020408163265306E-2</v>
      </c>
      <c r="AH116" s="11">
        <f t="shared" si="76"/>
        <v>0</v>
      </c>
      <c r="AI116" s="11">
        <f t="shared" si="77"/>
        <v>0</v>
      </c>
      <c r="AJ116" s="11">
        <f t="shared" si="78"/>
        <v>0</v>
      </c>
      <c r="AK116" s="11">
        <f t="shared" si="79"/>
        <v>0</v>
      </c>
      <c r="AL116" s="11">
        <f t="shared" si="80"/>
        <v>0</v>
      </c>
      <c r="AM116" s="11">
        <f t="shared" si="81"/>
        <v>0.16666666666666666</v>
      </c>
      <c r="AN116" s="11">
        <f t="shared" si="82"/>
        <v>0</v>
      </c>
      <c r="AO116" s="11">
        <f t="shared" si="83"/>
        <v>0</v>
      </c>
      <c r="AP116" s="11">
        <f t="shared" si="84"/>
        <v>0</v>
      </c>
      <c r="AQ116" s="11">
        <f t="shared" si="85"/>
        <v>0.20588924047570661</v>
      </c>
    </row>
    <row r="117" spans="1:43" ht="15" customHeight="1" x14ac:dyDescent="0.2">
      <c r="A117" s="3" t="str">
        <f>MethodData!A114</f>
        <v>IPosition: shoot()</v>
      </c>
      <c r="B117" s="4">
        <f>MethodData!B114</f>
        <v>1</v>
      </c>
      <c r="C117" s="4">
        <f>MethodData!C114</f>
        <v>0</v>
      </c>
      <c r="D117" s="4">
        <f>MethodData!D114</f>
        <v>0</v>
      </c>
      <c r="E117" s="4">
        <f>MethodData!E114</f>
        <v>0</v>
      </c>
      <c r="F117" s="4">
        <f>MethodData!F114</f>
        <v>0</v>
      </c>
      <c r="G117" s="4">
        <f>MethodData!G114</f>
        <v>0</v>
      </c>
      <c r="H117" s="4">
        <f>MethodData!H114</f>
        <v>0</v>
      </c>
      <c r="I117" s="4">
        <f>MethodData!I114</f>
        <v>0</v>
      </c>
      <c r="J117" s="4">
        <f>MethodData!J114</f>
        <v>0</v>
      </c>
      <c r="K117" s="4">
        <f>MethodData!K114</f>
        <v>1</v>
      </c>
      <c r="L117" s="4">
        <f>MethodData!L114</f>
        <v>1</v>
      </c>
      <c r="M117" s="4">
        <f>MethodData!M114</f>
        <v>0</v>
      </c>
      <c r="N117" s="4">
        <f>MethodData!N114</f>
        <v>0</v>
      </c>
      <c r="O117" s="4">
        <f>MethodData!O114</f>
        <v>0</v>
      </c>
      <c r="P117" s="4">
        <f>MethodData!P114</f>
        <v>0</v>
      </c>
      <c r="Q117" s="4">
        <f>MethodData!Q114</f>
        <v>0</v>
      </c>
      <c r="R117" s="4">
        <f>MethodData!R114</f>
        <v>0</v>
      </c>
      <c r="S117" s="4">
        <f>MethodData!S114</f>
        <v>0</v>
      </c>
      <c r="T117" s="4">
        <f>MethodData!T114</f>
        <v>0</v>
      </c>
      <c r="U117" s="4">
        <f>MethodData!U114</f>
        <v>0</v>
      </c>
      <c r="W117" s="11">
        <f t="shared" si="65"/>
        <v>2.6315789473684209E-2</v>
      </c>
      <c r="X117" s="11">
        <f t="shared" si="66"/>
        <v>0</v>
      </c>
      <c r="Y117" s="11">
        <f t="shared" si="67"/>
        <v>0</v>
      </c>
      <c r="Z117" s="11">
        <f t="shared" si="68"/>
        <v>0</v>
      </c>
      <c r="AA117" s="11">
        <f t="shared" si="69"/>
        <v>0</v>
      </c>
      <c r="AB117" s="11">
        <f t="shared" si="70"/>
        <v>0</v>
      </c>
      <c r="AC117" s="11">
        <f t="shared" si="71"/>
        <v>0</v>
      </c>
      <c r="AD117" s="11">
        <f t="shared" si="72"/>
        <v>0</v>
      </c>
      <c r="AE117" s="11">
        <f t="shared" si="73"/>
        <v>0</v>
      </c>
      <c r="AF117" s="11">
        <f t="shared" si="74"/>
        <v>2.7027027027027029E-3</v>
      </c>
      <c r="AG117" s="11">
        <f t="shared" si="75"/>
        <v>1.020408163265306E-2</v>
      </c>
      <c r="AH117" s="11">
        <f t="shared" si="76"/>
        <v>0</v>
      </c>
      <c r="AI117" s="11">
        <f t="shared" si="77"/>
        <v>0</v>
      </c>
      <c r="AJ117" s="11">
        <f t="shared" si="78"/>
        <v>0</v>
      </c>
      <c r="AK117" s="11">
        <f t="shared" si="79"/>
        <v>0</v>
      </c>
      <c r="AL117" s="11">
        <f t="shared" si="80"/>
        <v>0</v>
      </c>
      <c r="AM117" s="11">
        <f t="shared" si="81"/>
        <v>0.16666666666666666</v>
      </c>
      <c r="AN117" s="11">
        <f t="shared" si="82"/>
        <v>0</v>
      </c>
      <c r="AO117" s="11">
        <f t="shared" si="83"/>
        <v>0</v>
      </c>
      <c r="AP117" s="11">
        <f t="shared" si="84"/>
        <v>0</v>
      </c>
      <c r="AQ117" s="11">
        <f t="shared" si="85"/>
        <v>0.20588924047570661</v>
      </c>
    </row>
    <row r="118" spans="1:43" ht="15" customHeight="1" x14ac:dyDescent="0.2">
      <c r="A118" s="3" t="str">
        <f>MethodData!A115</f>
        <v>IShip: getAdjacentPositions()</v>
      </c>
      <c r="B118" s="4">
        <f>MethodData!B115</f>
        <v>1</v>
      </c>
      <c r="C118" s="4">
        <f>MethodData!C115</f>
        <v>0</v>
      </c>
      <c r="D118" s="4">
        <f>MethodData!D115</f>
        <v>0</v>
      </c>
      <c r="E118" s="4">
        <f>MethodData!E115</f>
        <v>0</v>
      </c>
      <c r="F118" s="4">
        <f>MethodData!F115</f>
        <v>0</v>
      </c>
      <c r="G118" s="4">
        <f>MethodData!G115</f>
        <v>0</v>
      </c>
      <c r="H118" s="4">
        <f>MethodData!H115</f>
        <v>0</v>
      </c>
      <c r="I118" s="4">
        <f>MethodData!I115</f>
        <v>0</v>
      </c>
      <c r="J118" s="4">
        <f>MethodData!J115</f>
        <v>0</v>
      </c>
      <c r="K118" s="4">
        <f>MethodData!K115</f>
        <v>0</v>
      </c>
      <c r="L118" s="4">
        <f>MethodData!L115</f>
        <v>0</v>
      </c>
      <c r="M118" s="4">
        <f>MethodData!M115</f>
        <v>0</v>
      </c>
      <c r="N118" s="4">
        <f>MethodData!N115</f>
        <v>0</v>
      </c>
      <c r="O118" s="4">
        <f>MethodData!O115</f>
        <v>1</v>
      </c>
      <c r="P118" s="4">
        <f>MethodData!P115</f>
        <v>0</v>
      </c>
      <c r="Q118" s="4">
        <f>MethodData!Q115</f>
        <v>0</v>
      </c>
      <c r="R118" s="4">
        <f>MethodData!R115</f>
        <v>0</v>
      </c>
      <c r="S118" s="4">
        <f>MethodData!S115</f>
        <v>0</v>
      </c>
      <c r="T118" s="4">
        <f>MethodData!T115</f>
        <v>4</v>
      </c>
      <c r="U118" s="4">
        <f>MethodData!U115</f>
        <v>0</v>
      </c>
      <c r="W118" s="11">
        <f t="shared" si="65"/>
        <v>2.6315789473684209E-2</v>
      </c>
      <c r="X118" s="11">
        <f t="shared" si="66"/>
        <v>0</v>
      </c>
      <c r="Y118" s="11">
        <f t="shared" si="67"/>
        <v>0</v>
      </c>
      <c r="Z118" s="11">
        <f t="shared" si="68"/>
        <v>0</v>
      </c>
      <c r="AA118" s="11">
        <f t="shared" si="69"/>
        <v>0</v>
      </c>
      <c r="AB118" s="11">
        <f t="shared" si="70"/>
        <v>0</v>
      </c>
      <c r="AC118" s="11">
        <f t="shared" si="71"/>
        <v>0</v>
      </c>
      <c r="AD118" s="11">
        <f t="shared" si="72"/>
        <v>0</v>
      </c>
      <c r="AE118" s="11">
        <f t="shared" si="73"/>
        <v>0</v>
      </c>
      <c r="AF118" s="11">
        <f t="shared" si="74"/>
        <v>0</v>
      </c>
      <c r="AG118" s="11">
        <f t="shared" si="75"/>
        <v>0</v>
      </c>
      <c r="AH118" s="11">
        <f t="shared" si="76"/>
        <v>0</v>
      </c>
      <c r="AI118" s="11">
        <f t="shared" si="77"/>
        <v>0</v>
      </c>
      <c r="AJ118" s="11">
        <f t="shared" si="78"/>
        <v>0.33333333333333331</v>
      </c>
      <c r="AK118" s="11">
        <f t="shared" si="79"/>
        <v>0</v>
      </c>
      <c r="AL118" s="11">
        <f t="shared" si="80"/>
        <v>0</v>
      </c>
      <c r="AM118" s="11">
        <f t="shared" si="81"/>
        <v>0.16666666666666666</v>
      </c>
      <c r="AN118" s="11">
        <f t="shared" si="82"/>
        <v>0</v>
      </c>
      <c r="AO118" s="11">
        <f t="shared" si="83"/>
        <v>0.33333333333333331</v>
      </c>
      <c r="AP118" s="11">
        <f t="shared" si="84"/>
        <v>0</v>
      </c>
      <c r="AQ118" s="11">
        <f t="shared" si="85"/>
        <v>0.85964912280701755</v>
      </c>
    </row>
    <row r="119" spans="1:43" ht="15" customHeight="1" x14ac:dyDescent="0.2">
      <c r="A119" s="3" t="str">
        <f>MethodData!A116</f>
        <v>IShip: getBearing()</v>
      </c>
      <c r="B119" s="4">
        <f>MethodData!B116</f>
        <v>1</v>
      </c>
      <c r="C119" s="4">
        <f>MethodData!C116</f>
        <v>0</v>
      </c>
      <c r="D119" s="4">
        <f>MethodData!D116</f>
        <v>0</v>
      </c>
      <c r="E119" s="4">
        <f>MethodData!E116</f>
        <v>0</v>
      </c>
      <c r="F119" s="4">
        <f>MethodData!F116</f>
        <v>0</v>
      </c>
      <c r="G119" s="4">
        <f>MethodData!G116</f>
        <v>0</v>
      </c>
      <c r="H119" s="4">
        <f>MethodData!H116</f>
        <v>0</v>
      </c>
      <c r="I119" s="4">
        <f>MethodData!I116</f>
        <v>0</v>
      </c>
      <c r="J119" s="4">
        <f>MethodData!J116</f>
        <v>0</v>
      </c>
      <c r="K119" s="4">
        <f>MethodData!K116</f>
        <v>0</v>
      </c>
      <c r="L119" s="4">
        <f>MethodData!L116</f>
        <v>0</v>
      </c>
      <c r="M119" s="4">
        <f>MethodData!M116</f>
        <v>0</v>
      </c>
      <c r="N119" s="4">
        <f>MethodData!N116</f>
        <v>0</v>
      </c>
      <c r="O119" s="4">
        <f>MethodData!O116</f>
        <v>1</v>
      </c>
      <c r="P119" s="4">
        <f>MethodData!P116</f>
        <v>0</v>
      </c>
      <c r="Q119" s="4">
        <f>MethodData!Q116</f>
        <v>0</v>
      </c>
      <c r="R119" s="4">
        <f>MethodData!R116</f>
        <v>0</v>
      </c>
      <c r="S119" s="4">
        <f>MethodData!S116</f>
        <v>0</v>
      </c>
      <c r="T119" s="4">
        <f>MethodData!T116</f>
        <v>4</v>
      </c>
      <c r="U119" s="4">
        <f>MethodData!U116</f>
        <v>0</v>
      </c>
      <c r="W119" s="11">
        <f t="shared" si="65"/>
        <v>2.6315789473684209E-2</v>
      </c>
      <c r="X119" s="11">
        <f t="shared" si="66"/>
        <v>0</v>
      </c>
      <c r="Y119" s="11">
        <f t="shared" si="67"/>
        <v>0</v>
      </c>
      <c r="Z119" s="11">
        <f t="shared" si="68"/>
        <v>0</v>
      </c>
      <c r="AA119" s="11">
        <f t="shared" si="69"/>
        <v>0</v>
      </c>
      <c r="AB119" s="11">
        <f t="shared" si="70"/>
        <v>0</v>
      </c>
      <c r="AC119" s="11">
        <f t="shared" si="71"/>
        <v>0</v>
      </c>
      <c r="AD119" s="11">
        <f t="shared" si="72"/>
        <v>0</v>
      </c>
      <c r="AE119" s="11">
        <f t="shared" si="73"/>
        <v>0</v>
      </c>
      <c r="AF119" s="11">
        <f t="shared" si="74"/>
        <v>0</v>
      </c>
      <c r="AG119" s="11">
        <f t="shared" si="75"/>
        <v>0</v>
      </c>
      <c r="AH119" s="11">
        <f t="shared" si="76"/>
        <v>0</v>
      </c>
      <c r="AI119" s="11">
        <f t="shared" si="77"/>
        <v>0</v>
      </c>
      <c r="AJ119" s="11">
        <f t="shared" si="78"/>
        <v>0.33333333333333331</v>
      </c>
      <c r="AK119" s="11">
        <f t="shared" si="79"/>
        <v>0</v>
      </c>
      <c r="AL119" s="11">
        <f t="shared" si="80"/>
        <v>0</v>
      </c>
      <c r="AM119" s="11">
        <f t="shared" si="81"/>
        <v>0.16666666666666666</v>
      </c>
      <c r="AN119" s="11">
        <f t="shared" si="82"/>
        <v>0</v>
      </c>
      <c r="AO119" s="11">
        <f t="shared" si="83"/>
        <v>0.33333333333333331</v>
      </c>
      <c r="AP119" s="11">
        <f t="shared" si="84"/>
        <v>0</v>
      </c>
      <c r="AQ119" s="11">
        <f t="shared" si="85"/>
        <v>0.85964912280701755</v>
      </c>
    </row>
    <row r="120" spans="1:43" ht="15" customHeight="1" x14ac:dyDescent="0.2">
      <c r="A120" s="3" t="str">
        <f>MethodData!A117</f>
        <v>IShip: getBottomMostPos()</v>
      </c>
      <c r="B120" s="4">
        <f>MethodData!B117</f>
        <v>1</v>
      </c>
      <c r="C120" s="4">
        <f>MethodData!C117</f>
        <v>0</v>
      </c>
      <c r="D120" s="4">
        <f>MethodData!D117</f>
        <v>0</v>
      </c>
      <c r="E120" s="4">
        <f>MethodData!E117</f>
        <v>0</v>
      </c>
      <c r="F120" s="4">
        <f>MethodData!F117</f>
        <v>0</v>
      </c>
      <c r="G120" s="4">
        <f>MethodData!G117</f>
        <v>0</v>
      </c>
      <c r="H120" s="4">
        <f>MethodData!H117</f>
        <v>0</v>
      </c>
      <c r="I120" s="4">
        <f>MethodData!I117</f>
        <v>0</v>
      </c>
      <c r="J120" s="4">
        <f>MethodData!J117</f>
        <v>0</v>
      </c>
      <c r="K120" s="4">
        <f>MethodData!K117</f>
        <v>1</v>
      </c>
      <c r="L120" s="4">
        <f>MethodData!L117</f>
        <v>1</v>
      </c>
      <c r="M120" s="4">
        <f>MethodData!M117</f>
        <v>0</v>
      </c>
      <c r="N120" s="4">
        <f>MethodData!N117</f>
        <v>0</v>
      </c>
      <c r="O120" s="4">
        <f>MethodData!O117</f>
        <v>1</v>
      </c>
      <c r="P120" s="4">
        <f>MethodData!P117</f>
        <v>0</v>
      </c>
      <c r="Q120" s="4">
        <f>MethodData!Q117</f>
        <v>0</v>
      </c>
      <c r="R120" s="4">
        <f>MethodData!R117</f>
        <v>0</v>
      </c>
      <c r="S120" s="4">
        <f>MethodData!S117</f>
        <v>0</v>
      </c>
      <c r="T120" s="4">
        <f>MethodData!T117</f>
        <v>4</v>
      </c>
      <c r="U120" s="4">
        <f>MethodData!U117</f>
        <v>0</v>
      </c>
      <c r="W120" s="11">
        <f t="shared" si="65"/>
        <v>2.6315789473684209E-2</v>
      </c>
      <c r="X120" s="11">
        <f t="shared" si="66"/>
        <v>0</v>
      </c>
      <c r="Y120" s="11">
        <f t="shared" si="67"/>
        <v>0</v>
      </c>
      <c r="Z120" s="11">
        <f t="shared" si="68"/>
        <v>0</v>
      </c>
      <c r="AA120" s="11">
        <f t="shared" si="69"/>
        <v>0</v>
      </c>
      <c r="AB120" s="11">
        <f t="shared" si="70"/>
        <v>0</v>
      </c>
      <c r="AC120" s="11">
        <f t="shared" si="71"/>
        <v>0</v>
      </c>
      <c r="AD120" s="11">
        <f t="shared" si="72"/>
        <v>0</v>
      </c>
      <c r="AE120" s="11">
        <f t="shared" si="73"/>
        <v>0</v>
      </c>
      <c r="AF120" s="11">
        <f t="shared" si="74"/>
        <v>2.7027027027027029E-3</v>
      </c>
      <c r="AG120" s="11">
        <f t="shared" si="75"/>
        <v>1.020408163265306E-2</v>
      </c>
      <c r="AH120" s="11">
        <f t="shared" si="76"/>
        <v>0</v>
      </c>
      <c r="AI120" s="11">
        <f t="shared" si="77"/>
        <v>0</v>
      </c>
      <c r="AJ120" s="11">
        <f t="shared" si="78"/>
        <v>0.33333333333333331</v>
      </c>
      <c r="AK120" s="11">
        <f t="shared" si="79"/>
        <v>0</v>
      </c>
      <c r="AL120" s="11">
        <f t="shared" si="80"/>
        <v>0</v>
      </c>
      <c r="AM120" s="11">
        <f t="shared" si="81"/>
        <v>0.16666666666666666</v>
      </c>
      <c r="AN120" s="11">
        <f t="shared" si="82"/>
        <v>0</v>
      </c>
      <c r="AO120" s="11">
        <f t="shared" si="83"/>
        <v>0.33333333333333331</v>
      </c>
      <c r="AP120" s="11">
        <f t="shared" si="84"/>
        <v>0</v>
      </c>
      <c r="AQ120" s="11">
        <f t="shared" si="85"/>
        <v>0.87255590714237319</v>
      </c>
    </row>
    <row r="121" spans="1:43" ht="15" customHeight="1" x14ac:dyDescent="0.2">
      <c r="A121" s="3" t="str">
        <f>MethodData!A118</f>
        <v>IShip: getCategory()</v>
      </c>
      <c r="B121" s="4">
        <f>MethodData!B118</f>
        <v>1</v>
      </c>
      <c r="C121" s="4">
        <f>MethodData!C118</f>
        <v>0</v>
      </c>
      <c r="D121" s="4">
        <f>MethodData!D118</f>
        <v>0</v>
      </c>
      <c r="E121" s="4">
        <f>MethodData!E118</f>
        <v>0</v>
      </c>
      <c r="F121" s="4">
        <f>MethodData!F118</f>
        <v>0</v>
      </c>
      <c r="G121" s="4">
        <f>MethodData!G118</f>
        <v>0</v>
      </c>
      <c r="H121" s="4">
        <f>MethodData!H118</f>
        <v>0</v>
      </c>
      <c r="I121" s="4">
        <f>MethodData!I118</f>
        <v>0</v>
      </c>
      <c r="J121" s="4">
        <f>MethodData!J118</f>
        <v>0</v>
      </c>
      <c r="K121" s="4">
        <f>MethodData!K118</f>
        <v>0</v>
      </c>
      <c r="L121" s="4">
        <f>MethodData!L118</f>
        <v>0</v>
      </c>
      <c r="M121" s="4">
        <f>MethodData!M118</f>
        <v>0</v>
      </c>
      <c r="N121" s="4">
        <f>MethodData!N118</f>
        <v>0</v>
      </c>
      <c r="O121" s="4">
        <f>MethodData!O118</f>
        <v>1</v>
      </c>
      <c r="P121" s="4">
        <f>MethodData!P118</f>
        <v>0</v>
      </c>
      <c r="Q121" s="4">
        <f>MethodData!Q118</f>
        <v>0</v>
      </c>
      <c r="R121" s="4">
        <f>MethodData!R118</f>
        <v>0</v>
      </c>
      <c r="S121" s="4">
        <f>MethodData!S118</f>
        <v>0</v>
      </c>
      <c r="T121" s="4">
        <f>MethodData!T118</f>
        <v>4</v>
      </c>
      <c r="U121" s="4">
        <f>MethodData!U118</f>
        <v>0</v>
      </c>
      <c r="W121" s="11">
        <f t="shared" si="65"/>
        <v>2.6315789473684209E-2</v>
      </c>
      <c r="X121" s="11">
        <f t="shared" si="66"/>
        <v>0</v>
      </c>
      <c r="Y121" s="11">
        <f t="shared" si="67"/>
        <v>0</v>
      </c>
      <c r="Z121" s="11">
        <f t="shared" si="68"/>
        <v>0</v>
      </c>
      <c r="AA121" s="11">
        <f t="shared" si="69"/>
        <v>0</v>
      </c>
      <c r="AB121" s="11">
        <f t="shared" si="70"/>
        <v>0</v>
      </c>
      <c r="AC121" s="11">
        <f t="shared" si="71"/>
        <v>0</v>
      </c>
      <c r="AD121" s="11">
        <f t="shared" si="72"/>
        <v>0</v>
      </c>
      <c r="AE121" s="11">
        <f t="shared" si="73"/>
        <v>0</v>
      </c>
      <c r="AF121" s="11">
        <f t="shared" si="74"/>
        <v>0</v>
      </c>
      <c r="AG121" s="11">
        <f t="shared" si="75"/>
        <v>0</v>
      </c>
      <c r="AH121" s="11">
        <f t="shared" si="76"/>
        <v>0</v>
      </c>
      <c r="AI121" s="11">
        <f t="shared" si="77"/>
        <v>0</v>
      </c>
      <c r="AJ121" s="11">
        <f t="shared" si="78"/>
        <v>0.33333333333333331</v>
      </c>
      <c r="AK121" s="11">
        <f t="shared" si="79"/>
        <v>0</v>
      </c>
      <c r="AL121" s="11">
        <f t="shared" si="80"/>
        <v>0</v>
      </c>
      <c r="AM121" s="11">
        <f t="shared" si="81"/>
        <v>0.16666666666666666</v>
      </c>
      <c r="AN121" s="11">
        <f t="shared" si="82"/>
        <v>0</v>
      </c>
      <c r="AO121" s="11">
        <f t="shared" si="83"/>
        <v>0.33333333333333331</v>
      </c>
      <c r="AP121" s="11">
        <f t="shared" si="84"/>
        <v>0</v>
      </c>
      <c r="AQ121" s="11">
        <f t="shared" si="85"/>
        <v>0.85964912280701755</v>
      </c>
    </row>
    <row r="122" spans="1:43" ht="15" customHeight="1" x14ac:dyDescent="0.2">
      <c r="A122" s="3" t="str">
        <f>MethodData!A119</f>
        <v>IShip: getLeftMostPos()</v>
      </c>
      <c r="B122" s="4">
        <f>MethodData!B119</f>
        <v>1</v>
      </c>
      <c r="C122" s="4">
        <f>MethodData!C119</f>
        <v>0</v>
      </c>
      <c r="D122" s="4">
        <f>MethodData!D119</f>
        <v>0</v>
      </c>
      <c r="E122" s="4">
        <f>MethodData!E119</f>
        <v>0</v>
      </c>
      <c r="F122" s="4">
        <f>MethodData!F119</f>
        <v>0</v>
      </c>
      <c r="G122" s="4">
        <f>MethodData!G119</f>
        <v>0</v>
      </c>
      <c r="H122" s="4">
        <f>MethodData!H119</f>
        <v>0</v>
      </c>
      <c r="I122" s="4">
        <f>MethodData!I119</f>
        <v>0</v>
      </c>
      <c r="J122" s="4">
        <f>MethodData!J119</f>
        <v>0</v>
      </c>
      <c r="K122" s="4">
        <f>MethodData!K119</f>
        <v>1</v>
      </c>
      <c r="L122" s="4">
        <f>MethodData!L119</f>
        <v>1</v>
      </c>
      <c r="M122" s="4">
        <f>MethodData!M119</f>
        <v>0</v>
      </c>
      <c r="N122" s="4">
        <f>MethodData!N119</f>
        <v>0</v>
      </c>
      <c r="O122" s="4">
        <f>MethodData!O119</f>
        <v>1</v>
      </c>
      <c r="P122" s="4">
        <f>MethodData!P119</f>
        <v>0</v>
      </c>
      <c r="Q122" s="4">
        <f>MethodData!Q119</f>
        <v>0</v>
      </c>
      <c r="R122" s="4">
        <f>MethodData!R119</f>
        <v>0</v>
      </c>
      <c r="S122" s="4">
        <f>MethodData!S119</f>
        <v>0</v>
      </c>
      <c r="T122" s="4">
        <f>MethodData!T119</f>
        <v>4</v>
      </c>
      <c r="U122" s="4">
        <f>MethodData!U119</f>
        <v>0</v>
      </c>
      <c r="W122" s="11">
        <f t="shared" si="65"/>
        <v>2.6315789473684209E-2</v>
      </c>
      <c r="X122" s="11">
        <f t="shared" si="66"/>
        <v>0</v>
      </c>
      <c r="Y122" s="11">
        <f t="shared" si="67"/>
        <v>0</v>
      </c>
      <c r="Z122" s="11">
        <f t="shared" si="68"/>
        <v>0</v>
      </c>
      <c r="AA122" s="11">
        <f t="shared" si="69"/>
        <v>0</v>
      </c>
      <c r="AB122" s="11">
        <f t="shared" si="70"/>
        <v>0</v>
      </c>
      <c r="AC122" s="11">
        <f t="shared" si="71"/>
        <v>0</v>
      </c>
      <c r="AD122" s="11">
        <f t="shared" si="72"/>
        <v>0</v>
      </c>
      <c r="AE122" s="11">
        <f t="shared" si="73"/>
        <v>0</v>
      </c>
      <c r="AF122" s="11">
        <f t="shared" si="74"/>
        <v>2.7027027027027029E-3</v>
      </c>
      <c r="AG122" s="11">
        <f t="shared" si="75"/>
        <v>1.020408163265306E-2</v>
      </c>
      <c r="AH122" s="11">
        <f t="shared" si="76"/>
        <v>0</v>
      </c>
      <c r="AI122" s="11">
        <f t="shared" si="77"/>
        <v>0</v>
      </c>
      <c r="AJ122" s="11">
        <f t="shared" si="78"/>
        <v>0.33333333333333331</v>
      </c>
      <c r="AK122" s="11">
        <f t="shared" si="79"/>
        <v>0</v>
      </c>
      <c r="AL122" s="11">
        <f t="shared" si="80"/>
        <v>0</v>
      </c>
      <c r="AM122" s="11">
        <f t="shared" si="81"/>
        <v>0.16666666666666666</v>
      </c>
      <c r="AN122" s="11">
        <f t="shared" si="82"/>
        <v>0</v>
      </c>
      <c r="AO122" s="11">
        <f t="shared" si="83"/>
        <v>0.33333333333333331</v>
      </c>
      <c r="AP122" s="11">
        <f t="shared" si="84"/>
        <v>0</v>
      </c>
      <c r="AQ122" s="11">
        <f t="shared" si="85"/>
        <v>0.87255590714237319</v>
      </c>
    </row>
    <row r="123" spans="1:43" ht="15" customHeight="1" x14ac:dyDescent="0.2">
      <c r="A123" s="3" t="str">
        <f>MethodData!A120</f>
        <v>IShip: getPosition()</v>
      </c>
      <c r="B123" s="4">
        <f>MethodData!B120</f>
        <v>1</v>
      </c>
      <c r="C123" s="4">
        <f>MethodData!C120</f>
        <v>0</v>
      </c>
      <c r="D123" s="4">
        <f>MethodData!D120</f>
        <v>0</v>
      </c>
      <c r="E123" s="4">
        <f>MethodData!E120</f>
        <v>0</v>
      </c>
      <c r="F123" s="4">
        <f>MethodData!F120</f>
        <v>0</v>
      </c>
      <c r="G123" s="4">
        <f>MethodData!G120</f>
        <v>0</v>
      </c>
      <c r="H123" s="4">
        <f>MethodData!H120</f>
        <v>0</v>
      </c>
      <c r="I123" s="4">
        <f>MethodData!I120</f>
        <v>0</v>
      </c>
      <c r="J123" s="4">
        <f>MethodData!J120</f>
        <v>0</v>
      </c>
      <c r="K123" s="4">
        <f>MethodData!K120</f>
        <v>0</v>
      </c>
      <c r="L123" s="4">
        <f>MethodData!L120</f>
        <v>0</v>
      </c>
      <c r="M123" s="4">
        <f>MethodData!M120</f>
        <v>0</v>
      </c>
      <c r="N123" s="4">
        <f>MethodData!N120</f>
        <v>0</v>
      </c>
      <c r="O123" s="4">
        <f>MethodData!O120</f>
        <v>1</v>
      </c>
      <c r="P123" s="4">
        <f>MethodData!P120</f>
        <v>0</v>
      </c>
      <c r="Q123" s="4">
        <f>MethodData!Q120</f>
        <v>0</v>
      </c>
      <c r="R123" s="4">
        <f>MethodData!R120</f>
        <v>0</v>
      </c>
      <c r="S123" s="4">
        <f>MethodData!S120</f>
        <v>0</v>
      </c>
      <c r="T123" s="4">
        <f>MethodData!T120</f>
        <v>4</v>
      </c>
      <c r="U123" s="4">
        <f>MethodData!U120</f>
        <v>0</v>
      </c>
      <c r="W123" s="11">
        <f t="shared" si="65"/>
        <v>2.6315789473684209E-2</v>
      </c>
      <c r="X123" s="11">
        <f t="shared" si="66"/>
        <v>0</v>
      </c>
      <c r="Y123" s="11">
        <f t="shared" si="67"/>
        <v>0</v>
      </c>
      <c r="Z123" s="11">
        <f t="shared" si="68"/>
        <v>0</v>
      </c>
      <c r="AA123" s="11">
        <f t="shared" si="69"/>
        <v>0</v>
      </c>
      <c r="AB123" s="11">
        <f t="shared" si="70"/>
        <v>0</v>
      </c>
      <c r="AC123" s="11">
        <f t="shared" si="71"/>
        <v>0</v>
      </c>
      <c r="AD123" s="11">
        <f t="shared" si="72"/>
        <v>0</v>
      </c>
      <c r="AE123" s="11">
        <f t="shared" si="73"/>
        <v>0</v>
      </c>
      <c r="AF123" s="11">
        <f t="shared" si="74"/>
        <v>0</v>
      </c>
      <c r="AG123" s="11">
        <f t="shared" si="75"/>
        <v>0</v>
      </c>
      <c r="AH123" s="11">
        <f t="shared" si="76"/>
        <v>0</v>
      </c>
      <c r="AI123" s="11">
        <f t="shared" si="77"/>
        <v>0</v>
      </c>
      <c r="AJ123" s="11">
        <f t="shared" si="78"/>
        <v>0.33333333333333331</v>
      </c>
      <c r="AK123" s="11">
        <f t="shared" si="79"/>
        <v>0</v>
      </c>
      <c r="AL123" s="11">
        <f t="shared" si="80"/>
        <v>0</v>
      </c>
      <c r="AM123" s="11">
        <f t="shared" si="81"/>
        <v>0.16666666666666666</v>
      </c>
      <c r="AN123" s="11">
        <f t="shared" si="82"/>
        <v>0</v>
      </c>
      <c r="AO123" s="11">
        <f t="shared" si="83"/>
        <v>0.33333333333333331</v>
      </c>
      <c r="AP123" s="11">
        <f t="shared" si="84"/>
        <v>0</v>
      </c>
      <c r="AQ123" s="11">
        <f t="shared" si="85"/>
        <v>0.85964912280701755</v>
      </c>
    </row>
    <row r="124" spans="1:43" ht="15" customHeight="1" x14ac:dyDescent="0.2">
      <c r="A124" s="3" t="str">
        <f>MethodData!A121</f>
        <v>IShip: getPositions()</v>
      </c>
      <c r="B124" s="4">
        <f>MethodData!B121</f>
        <v>1</v>
      </c>
      <c r="C124" s="4">
        <f>MethodData!C121</f>
        <v>0</v>
      </c>
      <c r="D124" s="4">
        <f>MethodData!D121</f>
        <v>0</v>
      </c>
      <c r="E124" s="4">
        <f>MethodData!E121</f>
        <v>0</v>
      </c>
      <c r="F124" s="4">
        <f>MethodData!F121</f>
        <v>0</v>
      </c>
      <c r="G124" s="4">
        <f>MethodData!G121</f>
        <v>0</v>
      </c>
      <c r="H124" s="4">
        <f>MethodData!H121</f>
        <v>0</v>
      </c>
      <c r="I124" s="4">
        <f>MethodData!I121</f>
        <v>0</v>
      </c>
      <c r="J124" s="4">
        <f>MethodData!J121</f>
        <v>0</v>
      </c>
      <c r="K124" s="4">
        <f>MethodData!K121</f>
        <v>0</v>
      </c>
      <c r="L124" s="4">
        <f>MethodData!L121</f>
        <v>0</v>
      </c>
      <c r="M124" s="4">
        <f>MethodData!M121</f>
        <v>0</v>
      </c>
      <c r="N124" s="4">
        <f>MethodData!N121</f>
        <v>0</v>
      </c>
      <c r="O124" s="4">
        <f>MethodData!O121</f>
        <v>1</v>
      </c>
      <c r="P124" s="4">
        <f>MethodData!P121</f>
        <v>0</v>
      </c>
      <c r="Q124" s="4">
        <f>MethodData!Q121</f>
        <v>0</v>
      </c>
      <c r="R124" s="4">
        <f>MethodData!R121</f>
        <v>0</v>
      </c>
      <c r="S124" s="4">
        <f>MethodData!S121</f>
        <v>0</v>
      </c>
      <c r="T124" s="4">
        <f>MethodData!T121</f>
        <v>4</v>
      </c>
      <c r="U124" s="4">
        <f>MethodData!U121</f>
        <v>0</v>
      </c>
      <c r="W124" s="11">
        <f t="shared" si="65"/>
        <v>2.6315789473684209E-2</v>
      </c>
      <c r="X124" s="11">
        <f t="shared" si="66"/>
        <v>0</v>
      </c>
      <c r="Y124" s="11">
        <f t="shared" si="67"/>
        <v>0</v>
      </c>
      <c r="Z124" s="11">
        <f t="shared" si="68"/>
        <v>0</v>
      </c>
      <c r="AA124" s="11">
        <f t="shared" si="69"/>
        <v>0</v>
      </c>
      <c r="AB124" s="11">
        <f t="shared" si="70"/>
        <v>0</v>
      </c>
      <c r="AC124" s="11">
        <f t="shared" si="71"/>
        <v>0</v>
      </c>
      <c r="AD124" s="11">
        <f t="shared" si="72"/>
        <v>0</v>
      </c>
      <c r="AE124" s="11">
        <f t="shared" si="73"/>
        <v>0</v>
      </c>
      <c r="AF124" s="11">
        <f t="shared" si="74"/>
        <v>0</v>
      </c>
      <c r="AG124" s="11">
        <f t="shared" si="75"/>
        <v>0</v>
      </c>
      <c r="AH124" s="11">
        <f t="shared" si="76"/>
        <v>0</v>
      </c>
      <c r="AI124" s="11">
        <f t="shared" si="77"/>
        <v>0</v>
      </c>
      <c r="AJ124" s="11">
        <f t="shared" si="78"/>
        <v>0.33333333333333331</v>
      </c>
      <c r="AK124" s="11">
        <f t="shared" si="79"/>
        <v>0</v>
      </c>
      <c r="AL124" s="11">
        <f t="shared" si="80"/>
        <v>0</v>
      </c>
      <c r="AM124" s="11">
        <f t="shared" si="81"/>
        <v>0.16666666666666666</v>
      </c>
      <c r="AN124" s="11">
        <f t="shared" si="82"/>
        <v>0</v>
      </c>
      <c r="AO124" s="11">
        <f t="shared" si="83"/>
        <v>0.33333333333333331</v>
      </c>
      <c r="AP124" s="11">
        <f t="shared" si="84"/>
        <v>0</v>
      </c>
      <c r="AQ124" s="11">
        <f t="shared" si="85"/>
        <v>0.85964912280701755</v>
      </c>
    </row>
    <row r="125" spans="1:43" ht="15" customHeight="1" x14ac:dyDescent="0.2">
      <c r="A125" s="3" t="str">
        <f>MethodData!A122</f>
        <v>IShip: getRightMostPos()</v>
      </c>
      <c r="B125" s="4">
        <f>MethodData!B122</f>
        <v>1</v>
      </c>
      <c r="C125" s="4">
        <f>MethodData!C122</f>
        <v>0</v>
      </c>
      <c r="D125" s="4">
        <f>MethodData!D122</f>
        <v>0</v>
      </c>
      <c r="E125" s="4">
        <f>MethodData!E122</f>
        <v>0</v>
      </c>
      <c r="F125" s="4">
        <f>MethodData!F122</f>
        <v>0</v>
      </c>
      <c r="G125" s="4">
        <f>MethodData!G122</f>
        <v>0</v>
      </c>
      <c r="H125" s="4">
        <f>MethodData!H122</f>
        <v>0</v>
      </c>
      <c r="I125" s="4">
        <f>MethodData!I122</f>
        <v>0</v>
      </c>
      <c r="J125" s="4">
        <f>MethodData!J122</f>
        <v>0</v>
      </c>
      <c r="K125" s="4">
        <f>MethodData!K122</f>
        <v>1</v>
      </c>
      <c r="L125" s="4">
        <f>MethodData!L122</f>
        <v>1</v>
      </c>
      <c r="M125" s="4">
        <f>MethodData!M122</f>
        <v>0</v>
      </c>
      <c r="N125" s="4">
        <f>MethodData!N122</f>
        <v>0</v>
      </c>
      <c r="O125" s="4">
        <f>MethodData!O122</f>
        <v>1</v>
      </c>
      <c r="P125" s="4">
        <f>MethodData!P122</f>
        <v>0</v>
      </c>
      <c r="Q125" s="4">
        <f>MethodData!Q122</f>
        <v>0</v>
      </c>
      <c r="R125" s="4">
        <f>MethodData!R122</f>
        <v>0</v>
      </c>
      <c r="S125" s="4">
        <f>MethodData!S122</f>
        <v>0</v>
      </c>
      <c r="T125" s="4">
        <f>MethodData!T122</f>
        <v>4</v>
      </c>
      <c r="U125" s="4">
        <f>MethodData!U122</f>
        <v>0</v>
      </c>
      <c r="W125" s="11">
        <f t="shared" si="65"/>
        <v>2.6315789473684209E-2</v>
      </c>
      <c r="X125" s="11">
        <f t="shared" si="66"/>
        <v>0</v>
      </c>
      <c r="Y125" s="11">
        <f t="shared" si="67"/>
        <v>0</v>
      </c>
      <c r="Z125" s="11">
        <f t="shared" si="68"/>
        <v>0</v>
      </c>
      <c r="AA125" s="11">
        <f t="shared" si="69"/>
        <v>0</v>
      </c>
      <c r="AB125" s="11">
        <f t="shared" si="70"/>
        <v>0</v>
      </c>
      <c r="AC125" s="11">
        <f t="shared" si="71"/>
        <v>0</v>
      </c>
      <c r="AD125" s="11">
        <f t="shared" si="72"/>
        <v>0</v>
      </c>
      <c r="AE125" s="11">
        <f t="shared" si="73"/>
        <v>0</v>
      </c>
      <c r="AF125" s="11">
        <f t="shared" si="74"/>
        <v>2.7027027027027029E-3</v>
      </c>
      <c r="AG125" s="11">
        <f t="shared" si="75"/>
        <v>1.020408163265306E-2</v>
      </c>
      <c r="AH125" s="11">
        <f t="shared" si="76"/>
        <v>0</v>
      </c>
      <c r="AI125" s="11">
        <f t="shared" si="77"/>
        <v>0</v>
      </c>
      <c r="AJ125" s="11">
        <f t="shared" si="78"/>
        <v>0.33333333333333331</v>
      </c>
      <c r="AK125" s="11">
        <f t="shared" si="79"/>
        <v>0</v>
      </c>
      <c r="AL125" s="11">
        <f t="shared" si="80"/>
        <v>0</v>
      </c>
      <c r="AM125" s="11">
        <f t="shared" si="81"/>
        <v>0.16666666666666666</v>
      </c>
      <c r="AN125" s="11">
        <f t="shared" si="82"/>
        <v>0</v>
      </c>
      <c r="AO125" s="11">
        <f t="shared" si="83"/>
        <v>0.33333333333333331</v>
      </c>
      <c r="AP125" s="11">
        <f t="shared" si="84"/>
        <v>0</v>
      </c>
      <c r="AQ125" s="11">
        <f t="shared" si="85"/>
        <v>0.87255590714237319</v>
      </c>
    </row>
    <row r="126" spans="1:43" ht="15" customHeight="1" x14ac:dyDescent="0.2">
      <c r="A126" s="3" t="str">
        <f>MethodData!A123</f>
        <v>IShip: getSize()</v>
      </c>
      <c r="B126" s="4">
        <f>MethodData!B123</f>
        <v>1</v>
      </c>
      <c r="C126" s="4">
        <f>MethodData!C123</f>
        <v>0</v>
      </c>
      <c r="D126" s="4">
        <f>MethodData!D123</f>
        <v>0</v>
      </c>
      <c r="E126" s="4">
        <f>MethodData!E123</f>
        <v>0</v>
      </c>
      <c r="F126" s="4">
        <f>MethodData!F123</f>
        <v>0</v>
      </c>
      <c r="G126" s="4">
        <f>MethodData!G123</f>
        <v>0</v>
      </c>
      <c r="H126" s="4">
        <f>MethodData!H123</f>
        <v>0</v>
      </c>
      <c r="I126" s="4">
        <f>MethodData!I123</f>
        <v>0</v>
      </c>
      <c r="J126" s="4">
        <f>MethodData!J123</f>
        <v>0</v>
      </c>
      <c r="K126" s="4">
        <f>MethodData!K123</f>
        <v>0</v>
      </c>
      <c r="L126" s="4">
        <f>MethodData!L123</f>
        <v>0</v>
      </c>
      <c r="M126" s="4">
        <f>MethodData!M123</f>
        <v>0</v>
      </c>
      <c r="N126" s="4">
        <f>MethodData!N123</f>
        <v>0</v>
      </c>
      <c r="O126" s="4">
        <f>MethodData!O123</f>
        <v>1</v>
      </c>
      <c r="P126" s="4">
        <f>MethodData!P123</f>
        <v>0</v>
      </c>
      <c r="Q126" s="4">
        <f>MethodData!Q123</f>
        <v>0</v>
      </c>
      <c r="R126" s="4">
        <f>MethodData!R123</f>
        <v>0</v>
      </c>
      <c r="S126" s="4">
        <f>MethodData!S123</f>
        <v>0</v>
      </c>
      <c r="T126" s="4">
        <f>MethodData!T123</f>
        <v>4</v>
      </c>
      <c r="U126" s="4">
        <f>MethodData!U123</f>
        <v>0</v>
      </c>
      <c r="W126" s="11">
        <f t="shared" si="65"/>
        <v>2.6315789473684209E-2</v>
      </c>
      <c r="X126" s="11">
        <f t="shared" si="66"/>
        <v>0</v>
      </c>
      <c r="Y126" s="11">
        <f t="shared" si="67"/>
        <v>0</v>
      </c>
      <c r="Z126" s="11">
        <f t="shared" si="68"/>
        <v>0</v>
      </c>
      <c r="AA126" s="11">
        <f t="shared" si="69"/>
        <v>0</v>
      </c>
      <c r="AB126" s="11">
        <f t="shared" si="70"/>
        <v>0</v>
      </c>
      <c r="AC126" s="11">
        <f t="shared" si="71"/>
        <v>0</v>
      </c>
      <c r="AD126" s="11">
        <f t="shared" si="72"/>
        <v>0</v>
      </c>
      <c r="AE126" s="11">
        <f t="shared" si="73"/>
        <v>0</v>
      </c>
      <c r="AF126" s="11">
        <f t="shared" si="74"/>
        <v>0</v>
      </c>
      <c r="AG126" s="11">
        <f t="shared" si="75"/>
        <v>0</v>
      </c>
      <c r="AH126" s="11">
        <f t="shared" si="76"/>
        <v>0</v>
      </c>
      <c r="AI126" s="11">
        <f t="shared" si="77"/>
        <v>0</v>
      </c>
      <c r="AJ126" s="11">
        <f t="shared" si="78"/>
        <v>0.33333333333333331</v>
      </c>
      <c r="AK126" s="11">
        <f t="shared" si="79"/>
        <v>0</v>
      </c>
      <c r="AL126" s="11">
        <f t="shared" si="80"/>
        <v>0</v>
      </c>
      <c r="AM126" s="11">
        <f t="shared" si="81"/>
        <v>0.16666666666666666</v>
      </c>
      <c r="AN126" s="11">
        <f t="shared" si="82"/>
        <v>0</v>
      </c>
      <c r="AO126" s="11">
        <f t="shared" si="83"/>
        <v>0.33333333333333331</v>
      </c>
      <c r="AP126" s="11">
        <f t="shared" si="84"/>
        <v>0</v>
      </c>
      <c r="AQ126" s="11">
        <f t="shared" si="85"/>
        <v>0.85964912280701755</v>
      </c>
    </row>
    <row r="127" spans="1:43" ht="15" customHeight="1" x14ac:dyDescent="0.2">
      <c r="A127" s="3" t="str">
        <f>MethodData!A124</f>
        <v>IShip: getTopMostPos()</v>
      </c>
      <c r="B127" s="4">
        <f>MethodData!B124</f>
        <v>1</v>
      </c>
      <c r="C127" s="4">
        <f>MethodData!C124</f>
        <v>0</v>
      </c>
      <c r="D127" s="4">
        <f>MethodData!D124</f>
        <v>0</v>
      </c>
      <c r="E127" s="4">
        <f>MethodData!E124</f>
        <v>0</v>
      </c>
      <c r="F127" s="4">
        <f>MethodData!F124</f>
        <v>0</v>
      </c>
      <c r="G127" s="4">
        <f>MethodData!G124</f>
        <v>0</v>
      </c>
      <c r="H127" s="4">
        <f>MethodData!H124</f>
        <v>0</v>
      </c>
      <c r="I127" s="4">
        <f>MethodData!I124</f>
        <v>0</v>
      </c>
      <c r="J127" s="4">
        <f>MethodData!J124</f>
        <v>0</v>
      </c>
      <c r="K127" s="4">
        <f>MethodData!K124</f>
        <v>1</v>
      </c>
      <c r="L127" s="4">
        <f>MethodData!L124</f>
        <v>1</v>
      </c>
      <c r="M127" s="4">
        <f>MethodData!M124</f>
        <v>0</v>
      </c>
      <c r="N127" s="4">
        <f>MethodData!N124</f>
        <v>0</v>
      </c>
      <c r="O127" s="4">
        <f>MethodData!O124</f>
        <v>1</v>
      </c>
      <c r="P127" s="4">
        <f>MethodData!P124</f>
        <v>0</v>
      </c>
      <c r="Q127" s="4">
        <f>MethodData!Q124</f>
        <v>0</v>
      </c>
      <c r="R127" s="4">
        <f>MethodData!R124</f>
        <v>0</v>
      </c>
      <c r="S127" s="4">
        <f>MethodData!S124</f>
        <v>0</v>
      </c>
      <c r="T127" s="4">
        <f>MethodData!T124</f>
        <v>4</v>
      </c>
      <c r="U127" s="4">
        <f>MethodData!U124</f>
        <v>0</v>
      </c>
      <c r="W127" s="11">
        <f t="shared" si="65"/>
        <v>2.6315789473684209E-2</v>
      </c>
      <c r="X127" s="11">
        <f t="shared" si="66"/>
        <v>0</v>
      </c>
      <c r="Y127" s="11">
        <f t="shared" si="67"/>
        <v>0</v>
      </c>
      <c r="Z127" s="11">
        <f t="shared" si="68"/>
        <v>0</v>
      </c>
      <c r="AA127" s="11">
        <f t="shared" si="69"/>
        <v>0</v>
      </c>
      <c r="AB127" s="11">
        <f t="shared" si="70"/>
        <v>0</v>
      </c>
      <c r="AC127" s="11">
        <f t="shared" si="71"/>
        <v>0</v>
      </c>
      <c r="AD127" s="11">
        <f t="shared" si="72"/>
        <v>0</v>
      </c>
      <c r="AE127" s="11">
        <f t="shared" si="73"/>
        <v>0</v>
      </c>
      <c r="AF127" s="11">
        <f t="shared" si="74"/>
        <v>2.7027027027027029E-3</v>
      </c>
      <c r="AG127" s="11">
        <f t="shared" si="75"/>
        <v>1.020408163265306E-2</v>
      </c>
      <c r="AH127" s="11">
        <f t="shared" si="76"/>
        <v>0</v>
      </c>
      <c r="AI127" s="11">
        <f t="shared" si="77"/>
        <v>0</v>
      </c>
      <c r="AJ127" s="11">
        <f t="shared" si="78"/>
        <v>0.33333333333333331</v>
      </c>
      <c r="AK127" s="11">
        <f t="shared" si="79"/>
        <v>0</v>
      </c>
      <c r="AL127" s="11">
        <f t="shared" si="80"/>
        <v>0</v>
      </c>
      <c r="AM127" s="11">
        <f t="shared" si="81"/>
        <v>0.16666666666666666</v>
      </c>
      <c r="AN127" s="11">
        <f t="shared" si="82"/>
        <v>0</v>
      </c>
      <c r="AO127" s="11">
        <f t="shared" si="83"/>
        <v>0.33333333333333331</v>
      </c>
      <c r="AP127" s="11">
        <f t="shared" si="84"/>
        <v>0</v>
      </c>
      <c r="AQ127" s="11">
        <f t="shared" si="85"/>
        <v>0.87255590714237319</v>
      </c>
    </row>
    <row r="128" spans="1:43" ht="15" customHeight="1" x14ac:dyDescent="0.2">
      <c r="A128" s="3" t="str">
        <f>MethodData!A125</f>
        <v>IShip: occupies(IPosition)</v>
      </c>
      <c r="B128" s="4">
        <f>MethodData!B125</f>
        <v>1</v>
      </c>
      <c r="C128" s="4">
        <f>MethodData!C125</f>
        <v>0</v>
      </c>
      <c r="D128" s="4">
        <f>MethodData!D125</f>
        <v>0</v>
      </c>
      <c r="E128" s="4">
        <f>MethodData!E125</f>
        <v>0</v>
      </c>
      <c r="F128" s="4">
        <f>MethodData!F125</f>
        <v>0</v>
      </c>
      <c r="G128" s="4">
        <f>MethodData!G125</f>
        <v>0</v>
      </c>
      <c r="H128" s="4">
        <f>MethodData!H125</f>
        <v>0</v>
      </c>
      <c r="I128" s="4">
        <f>MethodData!I125</f>
        <v>0</v>
      </c>
      <c r="J128" s="4">
        <f>MethodData!J125</f>
        <v>0</v>
      </c>
      <c r="K128" s="4">
        <f>MethodData!K125</f>
        <v>1</v>
      </c>
      <c r="L128" s="4">
        <f>MethodData!L125</f>
        <v>1</v>
      </c>
      <c r="M128" s="4">
        <f>MethodData!M125</f>
        <v>0</v>
      </c>
      <c r="N128" s="4">
        <f>MethodData!N125</f>
        <v>0</v>
      </c>
      <c r="O128" s="4">
        <f>MethodData!O125</f>
        <v>1</v>
      </c>
      <c r="P128" s="4">
        <f>MethodData!P125</f>
        <v>0</v>
      </c>
      <c r="Q128" s="4">
        <f>MethodData!Q125</f>
        <v>0</v>
      </c>
      <c r="R128" s="4">
        <f>MethodData!R125</f>
        <v>0</v>
      </c>
      <c r="S128" s="4">
        <f>MethodData!S125</f>
        <v>0</v>
      </c>
      <c r="T128" s="4">
        <f>MethodData!T125</f>
        <v>4</v>
      </c>
      <c r="U128" s="4">
        <f>MethodData!U125</f>
        <v>1</v>
      </c>
      <c r="W128" s="11">
        <f t="shared" si="65"/>
        <v>2.6315789473684209E-2</v>
      </c>
      <c r="X128" s="11">
        <f t="shared" si="66"/>
        <v>0</v>
      </c>
      <c r="Y128" s="11">
        <f t="shared" si="67"/>
        <v>0</v>
      </c>
      <c r="Z128" s="11">
        <f t="shared" si="68"/>
        <v>0</v>
      </c>
      <c r="AA128" s="11">
        <f t="shared" si="69"/>
        <v>0</v>
      </c>
      <c r="AB128" s="11">
        <f t="shared" si="70"/>
        <v>0</v>
      </c>
      <c r="AC128" s="11">
        <f t="shared" si="71"/>
        <v>0</v>
      </c>
      <c r="AD128" s="11">
        <f t="shared" si="72"/>
        <v>0</v>
      </c>
      <c r="AE128" s="11">
        <f t="shared" si="73"/>
        <v>0</v>
      </c>
      <c r="AF128" s="11">
        <f t="shared" si="74"/>
        <v>2.7027027027027029E-3</v>
      </c>
      <c r="AG128" s="11">
        <f t="shared" si="75"/>
        <v>1.020408163265306E-2</v>
      </c>
      <c r="AH128" s="11">
        <f t="shared" si="76"/>
        <v>0</v>
      </c>
      <c r="AI128" s="11">
        <f t="shared" si="77"/>
        <v>0</v>
      </c>
      <c r="AJ128" s="11">
        <f t="shared" si="78"/>
        <v>0.33333333333333331</v>
      </c>
      <c r="AK128" s="11">
        <f t="shared" si="79"/>
        <v>0</v>
      </c>
      <c r="AL128" s="11">
        <f t="shared" si="80"/>
        <v>0</v>
      </c>
      <c r="AM128" s="11">
        <f t="shared" si="81"/>
        <v>0.16666666666666666</v>
      </c>
      <c r="AN128" s="11">
        <f t="shared" si="82"/>
        <v>0</v>
      </c>
      <c r="AO128" s="11">
        <f t="shared" si="83"/>
        <v>0.33333333333333331</v>
      </c>
      <c r="AP128" s="11">
        <f t="shared" si="84"/>
        <v>0.25</v>
      </c>
      <c r="AQ128" s="11">
        <f t="shared" si="85"/>
        <v>1.1225559071423732</v>
      </c>
    </row>
    <row r="129" spans="1:43" ht="15" customHeight="1" x14ac:dyDescent="0.2">
      <c r="A129" s="3" t="str">
        <f>MethodData!A126</f>
        <v>IShip: shoot(IPosition)</v>
      </c>
      <c r="B129" s="4">
        <f>MethodData!B126</f>
        <v>1</v>
      </c>
      <c r="C129" s="4">
        <f>MethodData!C126</f>
        <v>0</v>
      </c>
      <c r="D129" s="4">
        <f>MethodData!D126</f>
        <v>0</v>
      </c>
      <c r="E129" s="4">
        <f>MethodData!E126</f>
        <v>0</v>
      </c>
      <c r="F129" s="4">
        <f>MethodData!F126</f>
        <v>0</v>
      </c>
      <c r="G129" s="4">
        <f>MethodData!G126</f>
        <v>0</v>
      </c>
      <c r="H129" s="4">
        <f>MethodData!H126</f>
        <v>0</v>
      </c>
      <c r="I129" s="4">
        <f>MethodData!I126</f>
        <v>0</v>
      </c>
      <c r="J129" s="4">
        <f>MethodData!J126</f>
        <v>0</v>
      </c>
      <c r="K129" s="4">
        <f>MethodData!K126</f>
        <v>1</v>
      </c>
      <c r="L129" s="4">
        <f>MethodData!L126</f>
        <v>1</v>
      </c>
      <c r="M129" s="4">
        <f>MethodData!M126</f>
        <v>0</v>
      </c>
      <c r="N129" s="4">
        <f>MethodData!N126</f>
        <v>0</v>
      </c>
      <c r="O129" s="4">
        <f>MethodData!O126</f>
        <v>1</v>
      </c>
      <c r="P129" s="4">
        <f>MethodData!P126</f>
        <v>0</v>
      </c>
      <c r="Q129" s="4">
        <f>MethodData!Q126</f>
        <v>0</v>
      </c>
      <c r="R129" s="4">
        <f>MethodData!R126</f>
        <v>0</v>
      </c>
      <c r="S129" s="4">
        <f>MethodData!S126</f>
        <v>0</v>
      </c>
      <c r="T129" s="4">
        <f>MethodData!T126</f>
        <v>4</v>
      </c>
      <c r="U129" s="4">
        <f>MethodData!U126</f>
        <v>1</v>
      </c>
      <c r="W129" s="11">
        <f t="shared" si="65"/>
        <v>2.6315789473684209E-2</v>
      </c>
      <c r="X129" s="11">
        <f t="shared" si="66"/>
        <v>0</v>
      </c>
      <c r="Y129" s="11">
        <f t="shared" si="67"/>
        <v>0</v>
      </c>
      <c r="Z129" s="11">
        <f t="shared" si="68"/>
        <v>0</v>
      </c>
      <c r="AA129" s="11">
        <f t="shared" si="69"/>
        <v>0</v>
      </c>
      <c r="AB129" s="11">
        <f t="shared" si="70"/>
        <v>0</v>
      </c>
      <c r="AC129" s="11">
        <f t="shared" si="71"/>
        <v>0</v>
      </c>
      <c r="AD129" s="11">
        <f t="shared" si="72"/>
        <v>0</v>
      </c>
      <c r="AE129" s="11">
        <f t="shared" si="73"/>
        <v>0</v>
      </c>
      <c r="AF129" s="11">
        <f t="shared" si="74"/>
        <v>2.7027027027027029E-3</v>
      </c>
      <c r="AG129" s="11">
        <f t="shared" si="75"/>
        <v>1.020408163265306E-2</v>
      </c>
      <c r="AH129" s="11">
        <f t="shared" si="76"/>
        <v>0</v>
      </c>
      <c r="AI129" s="11">
        <f t="shared" si="77"/>
        <v>0</v>
      </c>
      <c r="AJ129" s="11">
        <f t="shared" si="78"/>
        <v>0.33333333333333331</v>
      </c>
      <c r="AK129" s="11">
        <f t="shared" si="79"/>
        <v>0</v>
      </c>
      <c r="AL129" s="11">
        <f t="shared" si="80"/>
        <v>0</v>
      </c>
      <c r="AM129" s="11">
        <f t="shared" si="81"/>
        <v>0.16666666666666666</v>
      </c>
      <c r="AN129" s="11">
        <f t="shared" si="82"/>
        <v>0</v>
      </c>
      <c r="AO129" s="11">
        <f t="shared" si="83"/>
        <v>0.33333333333333331</v>
      </c>
      <c r="AP129" s="11">
        <f t="shared" si="84"/>
        <v>0.25</v>
      </c>
      <c r="AQ129" s="11">
        <f t="shared" si="85"/>
        <v>1.1225559071423732</v>
      </c>
    </row>
    <row r="130" spans="1:43" ht="15" customHeight="1" x14ac:dyDescent="0.2">
      <c r="A130" s="3" t="str">
        <f>MethodData!A127</f>
        <v>IShip: sink()</v>
      </c>
      <c r="B130" s="4">
        <f>MethodData!B127</f>
        <v>1</v>
      </c>
      <c r="C130" s="4">
        <f>MethodData!C127</f>
        <v>0</v>
      </c>
      <c r="D130" s="4">
        <f>MethodData!D127</f>
        <v>0</v>
      </c>
      <c r="E130" s="4">
        <f>MethodData!E127</f>
        <v>0</v>
      </c>
      <c r="F130" s="4">
        <f>MethodData!F127</f>
        <v>0</v>
      </c>
      <c r="G130" s="4">
        <f>MethodData!G127</f>
        <v>0</v>
      </c>
      <c r="H130" s="4">
        <f>MethodData!H127</f>
        <v>0</v>
      </c>
      <c r="I130" s="4">
        <f>MethodData!I127</f>
        <v>0</v>
      </c>
      <c r="J130" s="4">
        <f>MethodData!J127</f>
        <v>0</v>
      </c>
      <c r="K130" s="4">
        <f>MethodData!K127</f>
        <v>1</v>
      </c>
      <c r="L130" s="4">
        <f>MethodData!L127</f>
        <v>1</v>
      </c>
      <c r="M130" s="4">
        <f>MethodData!M127</f>
        <v>0</v>
      </c>
      <c r="N130" s="4">
        <f>MethodData!N127</f>
        <v>0</v>
      </c>
      <c r="O130" s="4">
        <f>MethodData!O127</f>
        <v>1</v>
      </c>
      <c r="P130" s="4">
        <f>MethodData!P127</f>
        <v>0</v>
      </c>
      <c r="Q130" s="4">
        <f>MethodData!Q127</f>
        <v>0</v>
      </c>
      <c r="R130" s="4">
        <f>MethodData!R127</f>
        <v>0</v>
      </c>
      <c r="S130" s="4">
        <f>MethodData!S127</f>
        <v>0</v>
      </c>
      <c r="T130" s="4">
        <f>MethodData!T127</f>
        <v>4</v>
      </c>
      <c r="U130" s="4">
        <f>MethodData!U127</f>
        <v>0</v>
      </c>
      <c r="W130" s="11">
        <f t="shared" si="65"/>
        <v>2.6315789473684209E-2</v>
      </c>
      <c r="X130" s="11">
        <f t="shared" si="66"/>
        <v>0</v>
      </c>
      <c r="Y130" s="11">
        <f t="shared" si="67"/>
        <v>0</v>
      </c>
      <c r="Z130" s="11">
        <f t="shared" si="68"/>
        <v>0</v>
      </c>
      <c r="AA130" s="11">
        <f t="shared" si="69"/>
        <v>0</v>
      </c>
      <c r="AB130" s="11">
        <f t="shared" si="70"/>
        <v>0</v>
      </c>
      <c r="AC130" s="11">
        <f t="shared" si="71"/>
        <v>0</v>
      </c>
      <c r="AD130" s="11">
        <f t="shared" si="72"/>
        <v>0</v>
      </c>
      <c r="AE130" s="11">
        <f t="shared" si="73"/>
        <v>0</v>
      </c>
      <c r="AF130" s="11">
        <f t="shared" si="74"/>
        <v>2.7027027027027029E-3</v>
      </c>
      <c r="AG130" s="11">
        <f t="shared" si="75"/>
        <v>1.020408163265306E-2</v>
      </c>
      <c r="AH130" s="11">
        <f t="shared" si="76"/>
        <v>0</v>
      </c>
      <c r="AI130" s="11">
        <f t="shared" si="77"/>
        <v>0</v>
      </c>
      <c r="AJ130" s="11">
        <f t="shared" si="78"/>
        <v>0.33333333333333331</v>
      </c>
      <c r="AK130" s="11">
        <f t="shared" si="79"/>
        <v>0</v>
      </c>
      <c r="AL130" s="11">
        <f t="shared" si="80"/>
        <v>0</v>
      </c>
      <c r="AM130" s="11">
        <f t="shared" si="81"/>
        <v>0.16666666666666666</v>
      </c>
      <c r="AN130" s="11">
        <f t="shared" si="82"/>
        <v>0</v>
      </c>
      <c r="AO130" s="11">
        <f t="shared" si="83"/>
        <v>0.33333333333333331</v>
      </c>
      <c r="AP130" s="11">
        <f t="shared" si="84"/>
        <v>0</v>
      </c>
      <c r="AQ130" s="11">
        <f t="shared" si="85"/>
        <v>0.87255590714237319</v>
      </c>
    </row>
    <row r="131" spans="1:43" ht="15" customHeight="1" x14ac:dyDescent="0.2">
      <c r="A131" s="3" t="str">
        <f>MethodData!A128</f>
        <v>IShip: stillFloating()</v>
      </c>
      <c r="B131" s="4">
        <f>MethodData!B128</f>
        <v>1</v>
      </c>
      <c r="C131" s="4">
        <f>MethodData!C128</f>
        <v>0</v>
      </c>
      <c r="D131" s="4">
        <f>MethodData!D128</f>
        <v>0</v>
      </c>
      <c r="E131" s="4">
        <f>MethodData!E128</f>
        <v>0</v>
      </c>
      <c r="F131" s="4">
        <f>MethodData!F128</f>
        <v>0</v>
      </c>
      <c r="G131" s="4">
        <f>MethodData!G128</f>
        <v>0</v>
      </c>
      <c r="H131" s="4">
        <f>MethodData!H128</f>
        <v>0</v>
      </c>
      <c r="I131" s="4">
        <f>MethodData!I128</f>
        <v>0</v>
      </c>
      <c r="J131" s="4">
        <f>MethodData!J128</f>
        <v>0</v>
      </c>
      <c r="K131" s="4">
        <f>MethodData!K128</f>
        <v>1</v>
      </c>
      <c r="L131" s="4">
        <f>MethodData!L128</f>
        <v>1</v>
      </c>
      <c r="M131" s="4">
        <f>MethodData!M128</f>
        <v>0</v>
      </c>
      <c r="N131" s="4">
        <f>MethodData!N128</f>
        <v>0</v>
      </c>
      <c r="O131" s="4">
        <f>MethodData!O128</f>
        <v>1</v>
      </c>
      <c r="P131" s="4">
        <f>MethodData!P128</f>
        <v>0</v>
      </c>
      <c r="Q131" s="4">
        <f>MethodData!Q128</f>
        <v>0</v>
      </c>
      <c r="R131" s="4">
        <f>MethodData!R128</f>
        <v>0</v>
      </c>
      <c r="S131" s="4">
        <f>MethodData!S128</f>
        <v>0</v>
      </c>
      <c r="T131" s="4">
        <f>MethodData!T128</f>
        <v>4</v>
      </c>
      <c r="U131" s="4">
        <f>MethodData!U128</f>
        <v>0</v>
      </c>
      <c r="W131" s="11">
        <f t="shared" si="65"/>
        <v>2.6315789473684209E-2</v>
      </c>
      <c r="X131" s="11">
        <f t="shared" si="66"/>
        <v>0</v>
      </c>
      <c r="Y131" s="11">
        <f t="shared" si="67"/>
        <v>0</v>
      </c>
      <c r="Z131" s="11">
        <f t="shared" si="68"/>
        <v>0</v>
      </c>
      <c r="AA131" s="11">
        <f t="shared" si="69"/>
        <v>0</v>
      </c>
      <c r="AB131" s="11">
        <f t="shared" si="70"/>
        <v>0</v>
      </c>
      <c r="AC131" s="11">
        <f t="shared" si="71"/>
        <v>0</v>
      </c>
      <c r="AD131" s="11">
        <f t="shared" si="72"/>
        <v>0</v>
      </c>
      <c r="AE131" s="11">
        <f t="shared" si="73"/>
        <v>0</v>
      </c>
      <c r="AF131" s="11">
        <f t="shared" si="74"/>
        <v>2.7027027027027029E-3</v>
      </c>
      <c r="AG131" s="11">
        <f t="shared" si="75"/>
        <v>1.020408163265306E-2</v>
      </c>
      <c r="AH131" s="11">
        <f t="shared" si="76"/>
        <v>0</v>
      </c>
      <c r="AI131" s="11">
        <f t="shared" si="77"/>
        <v>0</v>
      </c>
      <c r="AJ131" s="11">
        <f t="shared" si="78"/>
        <v>0.33333333333333331</v>
      </c>
      <c r="AK131" s="11">
        <f t="shared" si="79"/>
        <v>0</v>
      </c>
      <c r="AL131" s="11">
        <f t="shared" si="80"/>
        <v>0</v>
      </c>
      <c r="AM131" s="11">
        <f t="shared" si="81"/>
        <v>0.16666666666666666</v>
      </c>
      <c r="AN131" s="11">
        <f t="shared" si="82"/>
        <v>0</v>
      </c>
      <c r="AO131" s="11">
        <f t="shared" si="83"/>
        <v>0.33333333333333331</v>
      </c>
      <c r="AP131" s="11">
        <f t="shared" si="84"/>
        <v>0</v>
      </c>
      <c r="AQ131" s="11">
        <f t="shared" si="85"/>
        <v>0.87255590714237319</v>
      </c>
    </row>
    <row r="132" spans="1:43" ht="15" customHeight="1" x14ac:dyDescent="0.2">
      <c r="A132" s="3" t="str">
        <f>MethodData!A129</f>
        <v>IShip: tooCloseTo(IPosition)</v>
      </c>
      <c r="B132" s="4">
        <f>MethodData!B129</f>
        <v>1</v>
      </c>
      <c r="C132" s="4">
        <f>MethodData!C129</f>
        <v>0</v>
      </c>
      <c r="D132" s="4">
        <f>MethodData!D129</f>
        <v>0</v>
      </c>
      <c r="E132" s="4">
        <f>MethodData!E129</f>
        <v>0</v>
      </c>
      <c r="F132" s="4">
        <f>MethodData!F129</f>
        <v>0</v>
      </c>
      <c r="G132" s="4">
        <f>MethodData!G129</f>
        <v>0</v>
      </c>
      <c r="H132" s="4">
        <f>MethodData!H129</f>
        <v>0</v>
      </c>
      <c r="I132" s="4">
        <f>MethodData!I129</f>
        <v>0</v>
      </c>
      <c r="J132" s="4">
        <f>MethodData!J129</f>
        <v>0</v>
      </c>
      <c r="K132" s="4">
        <f>MethodData!K129</f>
        <v>1</v>
      </c>
      <c r="L132" s="4">
        <f>MethodData!L129</f>
        <v>1</v>
      </c>
      <c r="M132" s="4">
        <f>MethodData!M129</f>
        <v>0</v>
      </c>
      <c r="N132" s="4">
        <f>MethodData!N129</f>
        <v>0</v>
      </c>
      <c r="O132" s="4">
        <f>MethodData!O129</f>
        <v>1</v>
      </c>
      <c r="P132" s="4">
        <f>MethodData!P129</f>
        <v>0</v>
      </c>
      <c r="Q132" s="4">
        <f>MethodData!Q129</f>
        <v>0</v>
      </c>
      <c r="R132" s="4">
        <f>MethodData!R129</f>
        <v>0</v>
      </c>
      <c r="S132" s="4">
        <f>MethodData!S129</f>
        <v>0</v>
      </c>
      <c r="T132" s="4">
        <f>MethodData!T129</f>
        <v>4</v>
      </c>
      <c r="U132" s="4">
        <f>MethodData!U129</f>
        <v>1</v>
      </c>
      <c r="W132" s="11">
        <f t="shared" si="65"/>
        <v>2.6315789473684209E-2</v>
      </c>
      <c r="X132" s="11">
        <f t="shared" si="66"/>
        <v>0</v>
      </c>
      <c r="Y132" s="11">
        <f t="shared" si="67"/>
        <v>0</v>
      </c>
      <c r="Z132" s="11">
        <f t="shared" si="68"/>
        <v>0</v>
      </c>
      <c r="AA132" s="11">
        <f t="shared" si="69"/>
        <v>0</v>
      </c>
      <c r="AB132" s="11">
        <f t="shared" si="70"/>
        <v>0</v>
      </c>
      <c r="AC132" s="11">
        <f t="shared" si="71"/>
        <v>0</v>
      </c>
      <c r="AD132" s="11">
        <f t="shared" si="72"/>
        <v>0</v>
      </c>
      <c r="AE132" s="11">
        <f t="shared" si="73"/>
        <v>0</v>
      </c>
      <c r="AF132" s="11">
        <f t="shared" si="74"/>
        <v>2.7027027027027029E-3</v>
      </c>
      <c r="AG132" s="11">
        <f t="shared" si="75"/>
        <v>1.020408163265306E-2</v>
      </c>
      <c r="AH132" s="11">
        <f t="shared" si="76"/>
        <v>0</v>
      </c>
      <c r="AI132" s="11">
        <f t="shared" si="77"/>
        <v>0</v>
      </c>
      <c r="AJ132" s="11">
        <f t="shared" si="78"/>
        <v>0.33333333333333331</v>
      </c>
      <c r="AK132" s="11">
        <f t="shared" si="79"/>
        <v>0</v>
      </c>
      <c r="AL132" s="11">
        <f t="shared" si="80"/>
        <v>0</v>
      </c>
      <c r="AM132" s="11">
        <f t="shared" si="81"/>
        <v>0.16666666666666666</v>
      </c>
      <c r="AN132" s="11">
        <f t="shared" si="82"/>
        <v>0</v>
      </c>
      <c r="AO132" s="11">
        <f t="shared" si="83"/>
        <v>0.33333333333333331</v>
      </c>
      <c r="AP132" s="11">
        <f t="shared" si="84"/>
        <v>0.25</v>
      </c>
      <c r="AQ132" s="11">
        <f t="shared" si="85"/>
        <v>1.1225559071423732</v>
      </c>
    </row>
    <row r="133" spans="1:43" ht="15" customHeight="1" x14ac:dyDescent="0.2">
      <c r="A133" s="3" t="str">
        <f>MethodData!A130</f>
        <v>IShip: tooCloseTo(IShip)</v>
      </c>
      <c r="B133" s="4">
        <f>MethodData!B130</f>
        <v>1</v>
      </c>
      <c r="C133" s="4">
        <f>MethodData!C130</f>
        <v>0</v>
      </c>
      <c r="D133" s="4">
        <f>MethodData!D130</f>
        <v>0</v>
      </c>
      <c r="E133" s="4">
        <f>MethodData!E130</f>
        <v>0</v>
      </c>
      <c r="F133" s="4">
        <f>MethodData!F130</f>
        <v>0</v>
      </c>
      <c r="G133" s="4">
        <f>MethodData!G130</f>
        <v>0</v>
      </c>
      <c r="H133" s="4">
        <f>MethodData!H130</f>
        <v>0</v>
      </c>
      <c r="I133" s="4">
        <f>MethodData!I130</f>
        <v>0</v>
      </c>
      <c r="J133" s="4">
        <f>MethodData!J130</f>
        <v>0</v>
      </c>
      <c r="K133" s="4">
        <f>MethodData!K130</f>
        <v>1</v>
      </c>
      <c r="L133" s="4">
        <f>MethodData!L130</f>
        <v>1</v>
      </c>
      <c r="M133" s="4">
        <f>MethodData!M130</f>
        <v>0</v>
      </c>
      <c r="N133" s="4">
        <f>MethodData!N130</f>
        <v>0</v>
      </c>
      <c r="O133" s="4">
        <f>MethodData!O130</f>
        <v>1</v>
      </c>
      <c r="P133" s="4">
        <f>MethodData!P130</f>
        <v>0</v>
      </c>
      <c r="Q133" s="4">
        <f>MethodData!Q130</f>
        <v>0</v>
      </c>
      <c r="R133" s="4">
        <f>MethodData!R130</f>
        <v>0</v>
      </c>
      <c r="S133" s="4">
        <f>MethodData!S130</f>
        <v>0</v>
      </c>
      <c r="T133" s="4">
        <f>MethodData!T130</f>
        <v>4</v>
      </c>
      <c r="U133" s="4">
        <f>MethodData!U130</f>
        <v>1</v>
      </c>
      <c r="W133" s="11">
        <f t="shared" ref="W133:W164" si="86">IF(B$3-B$2=0,0,(B133-B$2)/(B$3-B$2))</f>
        <v>2.6315789473684209E-2</v>
      </c>
      <c r="X133" s="11">
        <f t="shared" ref="X133:X164" si="87">IF(C$3-C$2=0,0,(C133-C$2)/(C$3-C$2))</f>
        <v>0</v>
      </c>
      <c r="Y133" s="11">
        <f t="shared" ref="Y133:Y164" si="88">IF(D$3-D$2=0,0,(D133-D$2)/(D$3-D$2))</f>
        <v>0</v>
      </c>
      <c r="Z133" s="11">
        <f t="shared" ref="Z133:Z164" si="89">IF(E$3-E$2=0,0,(E133-E$2)/(E$3-E$2))</f>
        <v>0</v>
      </c>
      <c r="AA133" s="11">
        <f t="shared" ref="AA133:AA164" si="90">IF(F$3-F$2=0,0,(F133-F$2)/(F$3-F$2))</f>
        <v>0</v>
      </c>
      <c r="AB133" s="11">
        <f t="shared" ref="AB133:AB164" si="91">IF(G$3-G$2=0,0,(G133-G$2)/(G$3-G$2))</f>
        <v>0</v>
      </c>
      <c r="AC133" s="11">
        <f t="shared" ref="AC133:AC164" si="92">IF(H$3-H$2=0,0,(H133-H$2)/(H$3-H$2))</f>
        <v>0</v>
      </c>
      <c r="AD133" s="11">
        <f t="shared" ref="AD133:AD164" si="93">IF(I$3-I$2=0,0,(I133-I$2)/(I$3-I$2))</f>
        <v>0</v>
      </c>
      <c r="AE133" s="11">
        <f t="shared" ref="AE133:AE164" si="94">IF(J$3-J$2=0,0,(J133-J$2)/(J$3-J$2))</f>
        <v>0</v>
      </c>
      <c r="AF133" s="11">
        <f t="shared" ref="AF133:AF164" si="95">IF(K$3-K$2=0,0,(K133-K$2)/(K$3-K$2))</f>
        <v>2.7027027027027029E-3</v>
      </c>
      <c r="AG133" s="11">
        <f t="shared" ref="AG133:AG164" si="96">IF(L$3-L$2=0,0,(L133-L$2)/(L$3-L$2))</f>
        <v>1.020408163265306E-2</v>
      </c>
      <c r="AH133" s="11">
        <f t="shared" ref="AH133:AH164" si="97">IF(M$3-M$2=0,0,(M133-M$2)/(M$3-M$2))</f>
        <v>0</v>
      </c>
      <c r="AI133" s="11">
        <f t="shared" ref="AI133:AI164" si="98">IF(N$3-N$2=0,0,(N133-N$2)/(N$3-N$2))</f>
        <v>0</v>
      </c>
      <c r="AJ133" s="11">
        <f t="shared" ref="AJ133:AJ164" si="99">IF(O$3-O$2=0,0,(O133-O$2)/(O$3-O$2))</f>
        <v>0.33333333333333331</v>
      </c>
      <c r="AK133" s="11">
        <f t="shared" ref="AK133:AK164" si="100">IF(P$3-P$2=0,0,(P133-P$2)/(P$3-P$2))</f>
        <v>0</v>
      </c>
      <c r="AL133" s="11">
        <f t="shared" ref="AL133:AL164" si="101">IF(Q$3-Q$2=0,0,(Q133-Q$2)/(Q$3-Q$2))</f>
        <v>0</v>
      </c>
      <c r="AM133" s="11">
        <f t="shared" ref="AM133:AM164" si="102">IF(R$3-R$2=0,0,(R133-R$2)/(R$3-R$2))</f>
        <v>0.16666666666666666</v>
      </c>
      <c r="AN133" s="11">
        <f t="shared" ref="AN133:AN164" si="103">IF(S$3-S$2=0,0,(S133-S$2)/(S$3-S$2))</f>
        <v>0</v>
      </c>
      <c r="AO133" s="11">
        <f t="shared" ref="AO133:AO164" si="104">IF(T$3-T$2=0,0,(T133-T$2)/(T$3-T$2))</f>
        <v>0.33333333333333331</v>
      </c>
      <c r="AP133" s="11">
        <f t="shared" ref="AP133:AP164" si="105">IF(U$3-U$2=0,0,(U133-U$2)/(U$3-U$2))</f>
        <v>0.25</v>
      </c>
      <c r="AQ133" s="11">
        <f t="shared" ref="AQ133:AQ164" si="106">SUM(W133:AP133)</f>
        <v>1.1225559071423732</v>
      </c>
    </row>
    <row r="134" spans="1:43" ht="15" customHeight="1" x14ac:dyDescent="0.2">
      <c r="A134" s="3" t="str">
        <f>MethodData!A131</f>
        <v>Main: main(String[])</v>
      </c>
      <c r="B134" s="4">
        <f>MethodData!B131</f>
        <v>1</v>
      </c>
      <c r="C134" s="4">
        <f>MethodData!C131</f>
        <v>0</v>
      </c>
      <c r="D134" s="4">
        <f>MethodData!D131</f>
        <v>1</v>
      </c>
      <c r="E134" s="4">
        <f>MethodData!E131</f>
        <v>1</v>
      </c>
      <c r="F134" s="4">
        <f>MethodData!F131</f>
        <v>0</v>
      </c>
      <c r="G134" s="4">
        <f>MethodData!G131</f>
        <v>0</v>
      </c>
      <c r="H134" s="4">
        <f>MethodData!H131</f>
        <v>0</v>
      </c>
      <c r="I134" s="4">
        <f>MethodData!I131</f>
        <v>0</v>
      </c>
      <c r="J134" s="4">
        <f>MethodData!J131</f>
        <v>0</v>
      </c>
      <c r="K134" s="4">
        <f>MethodData!K131</f>
        <v>4</v>
      </c>
      <c r="L134" s="4">
        <f>MethodData!L131</f>
        <v>4</v>
      </c>
      <c r="M134" s="4">
        <f>MethodData!M131</f>
        <v>8</v>
      </c>
      <c r="N134" s="4">
        <f>MethodData!N131</f>
        <v>0</v>
      </c>
      <c r="O134" s="4">
        <f>MethodData!O131</f>
        <v>0</v>
      </c>
      <c r="P134" s="4">
        <f>MethodData!P131</f>
        <v>10</v>
      </c>
      <c r="Q134" s="4">
        <f>MethodData!Q131</f>
        <v>71.8626</v>
      </c>
      <c r="R134" s="4">
        <f>MethodData!R131</f>
        <v>0</v>
      </c>
      <c r="S134" s="4">
        <f>MethodData!S131</f>
        <v>0</v>
      </c>
      <c r="T134" s="4">
        <f>MethodData!T131</f>
        <v>0</v>
      </c>
      <c r="U134" s="4">
        <f>MethodData!U131</f>
        <v>1</v>
      </c>
      <c r="W134" s="11">
        <f t="shared" si="86"/>
        <v>2.6315789473684209E-2</v>
      </c>
      <c r="X134" s="11">
        <f t="shared" si="87"/>
        <v>0</v>
      </c>
      <c r="Y134" s="11">
        <f t="shared" si="88"/>
        <v>1</v>
      </c>
      <c r="Z134" s="11">
        <f t="shared" si="89"/>
        <v>3.4482758620689655E-2</v>
      </c>
      <c r="AA134" s="11">
        <f t="shared" si="90"/>
        <v>0</v>
      </c>
      <c r="AB134" s="11">
        <f t="shared" si="91"/>
        <v>0</v>
      </c>
      <c r="AC134" s="11">
        <f t="shared" si="92"/>
        <v>0</v>
      </c>
      <c r="AD134" s="11">
        <f t="shared" si="93"/>
        <v>0</v>
      </c>
      <c r="AE134" s="11">
        <f t="shared" si="94"/>
        <v>0</v>
      </c>
      <c r="AF134" s="11">
        <f t="shared" si="95"/>
        <v>1.0810810810810811E-2</v>
      </c>
      <c r="AG134" s="11">
        <f t="shared" si="96"/>
        <v>4.0816326530612242E-2</v>
      </c>
      <c r="AH134" s="11">
        <f t="shared" si="97"/>
        <v>3.2687181305089651E-3</v>
      </c>
      <c r="AI134" s="11">
        <f t="shared" si="98"/>
        <v>0</v>
      </c>
      <c r="AJ134" s="11">
        <f t="shared" si="99"/>
        <v>0</v>
      </c>
      <c r="AK134" s="11">
        <f t="shared" si="100"/>
        <v>7.575757575757576E-2</v>
      </c>
      <c r="AL134" s="11">
        <f t="shared" si="101"/>
        <v>0.75025369475613979</v>
      </c>
      <c r="AM134" s="11">
        <f t="shared" si="102"/>
        <v>0.16666666666666666</v>
      </c>
      <c r="AN134" s="11">
        <f t="shared" si="103"/>
        <v>0</v>
      </c>
      <c r="AO134" s="11">
        <f t="shared" si="104"/>
        <v>0</v>
      </c>
      <c r="AP134" s="11">
        <f t="shared" si="105"/>
        <v>0.25</v>
      </c>
      <c r="AQ134" s="11">
        <f t="shared" si="106"/>
        <v>2.3583723407466879</v>
      </c>
    </row>
    <row r="135" spans="1:43" ht="15" customHeight="1" x14ac:dyDescent="0.2">
      <c r="A135" s="3" t="str">
        <f>MethodData!A132</f>
        <v>Move: Move(int, List&lt;IPosition&gt;, List&lt;ShotResult&gt;)</v>
      </c>
      <c r="B135" s="4">
        <f>MethodData!B132</f>
        <v>1</v>
      </c>
      <c r="C135" s="4">
        <f>MethodData!C132</f>
        <v>0</v>
      </c>
      <c r="D135" s="4">
        <f>MethodData!D132</f>
        <v>0</v>
      </c>
      <c r="E135" s="4">
        <f>MethodData!E132</f>
        <v>0</v>
      </c>
      <c r="F135" s="4">
        <f>MethodData!F132</f>
        <v>0</v>
      </c>
      <c r="G135" s="4">
        <f>MethodData!G132</f>
        <v>0</v>
      </c>
      <c r="H135" s="4">
        <f>MethodData!H132</f>
        <v>1.5</v>
      </c>
      <c r="I135" s="4">
        <f>MethodData!I132</f>
        <v>52.303800000000003</v>
      </c>
      <c r="J135" s="4">
        <f>MethodData!J132</f>
        <v>4.7000000000000002E-3</v>
      </c>
      <c r="K135" s="4">
        <f>MethodData!K132</f>
        <v>11</v>
      </c>
      <c r="L135" s="4">
        <f>MethodData!L132</f>
        <v>9</v>
      </c>
      <c r="M135" s="4">
        <f>MethodData!M132</f>
        <v>34.869199999999999</v>
      </c>
      <c r="N135" s="4">
        <f>MethodData!N132</f>
        <v>1</v>
      </c>
      <c r="O135" s="4">
        <f>MethodData!O132</f>
        <v>0</v>
      </c>
      <c r="P135" s="4">
        <f>MethodData!P132</f>
        <v>6</v>
      </c>
      <c r="Q135" s="4">
        <f>MethodData!Q132</f>
        <v>72.302000000000007</v>
      </c>
      <c r="R135" s="4">
        <f>MethodData!R132</f>
        <v>0</v>
      </c>
      <c r="S135" s="4">
        <f>MethodData!S132</f>
        <v>6</v>
      </c>
      <c r="T135" s="4">
        <f>MethodData!T132</f>
        <v>0</v>
      </c>
      <c r="U135" s="4">
        <f>MethodData!U132</f>
        <v>3</v>
      </c>
      <c r="W135" s="11">
        <f t="shared" si="86"/>
        <v>2.6315789473684209E-2</v>
      </c>
      <c r="X135" s="11">
        <f t="shared" si="87"/>
        <v>0</v>
      </c>
      <c r="Y135" s="11">
        <f t="shared" si="88"/>
        <v>0</v>
      </c>
      <c r="Z135" s="11">
        <f t="shared" si="89"/>
        <v>0</v>
      </c>
      <c r="AA135" s="11">
        <f t="shared" si="90"/>
        <v>0</v>
      </c>
      <c r="AB135" s="11">
        <f t="shared" si="91"/>
        <v>0</v>
      </c>
      <c r="AC135" s="11">
        <f t="shared" si="92"/>
        <v>1.4985014985014986E-2</v>
      </c>
      <c r="AD135" s="11">
        <f t="shared" si="93"/>
        <v>2.7524623346765069E-4</v>
      </c>
      <c r="AE135" s="11">
        <f t="shared" si="94"/>
        <v>4.2657469595207848E-3</v>
      </c>
      <c r="AF135" s="11">
        <f t="shared" si="95"/>
        <v>2.9729729729729731E-2</v>
      </c>
      <c r="AG135" s="11">
        <f t="shared" si="96"/>
        <v>9.1836734693877556E-2</v>
      </c>
      <c r="AH135" s="11">
        <f t="shared" si="97"/>
        <v>1.42471982795429E-2</v>
      </c>
      <c r="AI135" s="11">
        <f t="shared" si="98"/>
        <v>1</v>
      </c>
      <c r="AJ135" s="11">
        <f t="shared" si="99"/>
        <v>0</v>
      </c>
      <c r="AK135" s="11">
        <f t="shared" si="100"/>
        <v>4.5454545454545456E-2</v>
      </c>
      <c r="AL135" s="11">
        <f t="shared" si="101"/>
        <v>0.75484108059349964</v>
      </c>
      <c r="AM135" s="11">
        <f t="shared" si="102"/>
        <v>0.16666666666666666</v>
      </c>
      <c r="AN135" s="11">
        <f t="shared" si="103"/>
        <v>0.19354838709677419</v>
      </c>
      <c r="AO135" s="11">
        <f t="shared" si="104"/>
        <v>0</v>
      </c>
      <c r="AP135" s="11">
        <f t="shared" si="105"/>
        <v>0.75</v>
      </c>
      <c r="AQ135" s="11">
        <f t="shared" si="106"/>
        <v>3.0921661401663236</v>
      </c>
    </row>
    <row r="136" spans="1:43" ht="15" customHeight="1" x14ac:dyDescent="0.2">
      <c r="A136" s="3" t="str">
        <f>MethodData!A133</f>
        <v>Move: getNumber()</v>
      </c>
      <c r="B136" s="4">
        <f>MethodData!B133</f>
        <v>1</v>
      </c>
      <c r="C136" s="4">
        <f>MethodData!C133</f>
        <v>0</v>
      </c>
      <c r="D136" s="4">
        <f>MethodData!D133</f>
        <v>0</v>
      </c>
      <c r="E136" s="4">
        <f>MethodData!E133</f>
        <v>0</v>
      </c>
      <c r="F136" s="4">
        <f>MethodData!F133</f>
        <v>0</v>
      </c>
      <c r="G136" s="4">
        <f>MethodData!G133</f>
        <v>0</v>
      </c>
      <c r="H136" s="4">
        <f>MethodData!H133</f>
        <v>2</v>
      </c>
      <c r="I136" s="4">
        <f>MethodData!I133</f>
        <v>23.2193</v>
      </c>
      <c r="J136" s="4">
        <f>MethodData!J133</f>
        <v>2.7000000000000001E-3</v>
      </c>
      <c r="K136" s="4">
        <f>MethodData!K133</f>
        <v>5</v>
      </c>
      <c r="L136" s="4">
        <f>MethodData!L133</f>
        <v>5</v>
      </c>
      <c r="M136" s="4">
        <f>MethodData!M133</f>
        <v>11.6096</v>
      </c>
      <c r="N136" s="4">
        <f>MethodData!N133</f>
        <v>1</v>
      </c>
      <c r="O136" s="4">
        <f>MethodData!O133</f>
        <v>0</v>
      </c>
      <c r="P136" s="4">
        <f>MethodData!P133</f>
        <v>4</v>
      </c>
      <c r="Q136" s="4">
        <f>MethodData!Q133</f>
        <v>79.574799999999996</v>
      </c>
      <c r="R136" s="4">
        <f>MethodData!R133</f>
        <v>0</v>
      </c>
      <c r="S136" s="4">
        <f>MethodData!S133</f>
        <v>1</v>
      </c>
      <c r="T136" s="4">
        <f>MethodData!T133</f>
        <v>0</v>
      </c>
      <c r="U136" s="4">
        <f>MethodData!U133</f>
        <v>0</v>
      </c>
      <c r="W136" s="11">
        <f t="shared" si="86"/>
        <v>2.6315789473684209E-2</v>
      </c>
      <c r="X136" s="11">
        <f t="shared" si="87"/>
        <v>0</v>
      </c>
      <c r="Y136" s="11">
        <f t="shared" si="88"/>
        <v>0</v>
      </c>
      <c r="Z136" s="11">
        <f t="shared" si="89"/>
        <v>0</v>
      </c>
      <c r="AA136" s="11">
        <f t="shared" si="90"/>
        <v>0</v>
      </c>
      <c r="AB136" s="11">
        <f t="shared" si="91"/>
        <v>0</v>
      </c>
      <c r="AC136" s="11">
        <f t="shared" si="92"/>
        <v>1.998001998001998E-2</v>
      </c>
      <c r="AD136" s="11">
        <f t="shared" si="93"/>
        <v>1.2219045019205914E-4</v>
      </c>
      <c r="AE136" s="11">
        <f t="shared" si="94"/>
        <v>2.4505354873842807E-3</v>
      </c>
      <c r="AF136" s="11">
        <f t="shared" si="95"/>
        <v>1.3513513513513514E-2</v>
      </c>
      <c r="AG136" s="11">
        <f t="shared" si="96"/>
        <v>5.1020408163265307E-2</v>
      </c>
      <c r="AH136" s="11">
        <f t="shared" si="97"/>
        <v>4.7435637509946104E-3</v>
      </c>
      <c r="AI136" s="11">
        <f t="shared" si="98"/>
        <v>1</v>
      </c>
      <c r="AJ136" s="11">
        <f t="shared" si="99"/>
        <v>0</v>
      </c>
      <c r="AK136" s="11">
        <f t="shared" si="100"/>
        <v>3.0303030303030304E-2</v>
      </c>
      <c r="AL136" s="11">
        <f t="shared" si="101"/>
        <v>0.83076993748460071</v>
      </c>
      <c r="AM136" s="11">
        <f t="shared" si="102"/>
        <v>0.16666666666666666</v>
      </c>
      <c r="AN136" s="11">
        <f t="shared" si="103"/>
        <v>3.2258064516129031E-2</v>
      </c>
      <c r="AO136" s="11">
        <f t="shared" si="104"/>
        <v>0</v>
      </c>
      <c r="AP136" s="11">
        <f t="shared" si="105"/>
        <v>0</v>
      </c>
      <c r="AQ136" s="11">
        <f t="shared" si="106"/>
        <v>2.1781437197894804</v>
      </c>
    </row>
    <row r="137" spans="1:43" ht="15" customHeight="1" x14ac:dyDescent="0.2">
      <c r="A137" s="3" t="str">
        <f>MethodData!A134</f>
        <v>Move: getShotResults()</v>
      </c>
      <c r="B137" s="4">
        <f>MethodData!B134</f>
        <v>1</v>
      </c>
      <c r="C137" s="4">
        <f>MethodData!C134</f>
        <v>0</v>
      </c>
      <c r="D137" s="4">
        <f>MethodData!D134</f>
        <v>0</v>
      </c>
      <c r="E137" s="4">
        <f>MethodData!E134</f>
        <v>0</v>
      </c>
      <c r="F137" s="4">
        <f>MethodData!F134</f>
        <v>0</v>
      </c>
      <c r="G137" s="4">
        <f>MethodData!G134</f>
        <v>0</v>
      </c>
      <c r="H137" s="4">
        <f>MethodData!H134</f>
        <v>1.5</v>
      </c>
      <c r="I137" s="4">
        <f>MethodData!I134</f>
        <v>12</v>
      </c>
      <c r="J137" s="4">
        <f>MethodData!J134</f>
        <v>1.6999999999999999E-3</v>
      </c>
      <c r="K137" s="4">
        <f>MethodData!K134</f>
        <v>4</v>
      </c>
      <c r="L137" s="4">
        <f>MethodData!L134</f>
        <v>4</v>
      </c>
      <c r="M137" s="4">
        <f>MethodData!M134</f>
        <v>8</v>
      </c>
      <c r="N137" s="4">
        <f>MethodData!N134</f>
        <v>1</v>
      </c>
      <c r="O137" s="4">
        <f>MethodData!O134</f>
        <v>0</v>
      </c>
      <c r="P137" s="4">
        <f>MethodData!P134</f>
        <v>4</v>
      </c>
      <c r="Q137" s="4">
        <f>MethodData!Q134</f>
        <v>80.543199999999999</v>
      </c>
      <c r="R137" s="4">
        <f>MethodData!R134</f>
        <v>0</v>
      </c>
      <c r="S137" s="4">
        <f>MethodData!S134</f>
        <v>1</v>
      </c>
      <c r="T137" s="4">
        <f>MethodData!T134</f>
        <v>0</v>
      </c>
      <c r="U137" s="4">
        <f>MethodData!U134</f>
        <v>0</v>
      </c>
      <c r="W137" s="11">
        <f t="shared" si="86"/>
        <v>2.6315789473684209E-2</v>
      </c>
      <c r="X137" s="11">
        <f t="shared" si="87"/>
        <v>0</v>
      </c>
      <c r="Y137" s="11">
        <f t="shared" si="88"/>
        <v>0</v>
      </c>
      <c r="Z137" s="11">
        <f t="shared" si="89"/>
        <v>0</v>
      </c>
      <c r="AA137" s="11">
        <f t="shared" si="90"/>
        <v>0</v>
      </c>
      <c r="AB137" s="11">
        <f t="shared" si="91"/>
        <v>0</v>
      </c>
      <c r="AC137" s="11">
        <f t="shared" si="92"/>
        <v>1.4985014985014986E-2</v>
      </c>
      <c r="AD137" s="11">
        <f t="shared" si="93"/>
        <v>6.3149423208482149E-5</v>
      </c>
      <c r="AE137" s="11">
        <f t="shared" si="94"/>
        <v>1.5429297513160284E-3</v>
      </c>
      <c r="AF137" s="11">
        <f t="shared" si="95"/>
        <v>1.0810810810810811E-2</v>
      </c>
      <c r="AG137" s="11">
        <f t="shared" si="96"/>
        <v>4.0816326530612242E-2</v>
      </c>
      <c r="AH137" s="11">
        <f t="shared" si="97"/>
        <v>3.2687181305089651E-3</v>
      </c>
      <c r="AI137" s="11">
        <f t="shared" si="98"/>
        <v>1</v>
      </c>
      <c r="AJ137" s="11">
        <f t="shared" si="99"/>
        <v>0</v>
      </c>
      <c r="AK137" s="11">
        <f t="shared" si="100"/>
        <v>3.0303030303030304E-2</v>
      </c>
      <c r="AL137" s="11">
        <f t="shared" si="101"/>
        <v>0.84088014332187699</v>
      </c>
      <c r="AM137" s="11">
        <f t="shared" si="102"/>
        <v>0.16666666666666666</v>
      </c>
      <c r="AN137" s="11">
        <f t="shared" si="103"/>
        <v>3.2258064516129031E-2</v>
      </c>
      <c r="AO137" s="11">
        <f t="shared" si="104"/>
        <v>0</v>
      </c>
      <c r="AP137" s="11">
        <f t="shared" si="105"/>
        <v>0</v>
      </c>
      <c r="AQ137" s="11">
        <f t="shared" si="106"/>
        <v>2.1679106439128586</v>
      </c>
    </row>
    <row r="138" spans="1:43" ht="15" customHeight="1" x14ac:dyDescent="0.2">
      <c r="A138" s="3" t="str">
        <f>MethodData!A135</f>
        <v>Move: getShots()</v>
      </c>
      <c r="B138" s="4">
        <f>MethodData!B135</f>
        <v>1</v>
      </c>
      <c r="C138" s="4">
        <f>MethodData!C135</f>
        <v>0</v>
      </c>
      <c r="D138" s="4">
        <f>MethodData!D135</f>
        <v>0</v>
      </c>
      <c r="E138" s="4">
        <f>MethodData!E135</f>
        <v>0</v>
      </c>
      <c r="F138" s="4">
        <f>MethodData!F135</f>
        <v>0</v>
      </c>
      <c r="G138" s="4">
        <f>MethodData!G135</f>
        <v>0</v>
      </c>
      <c r="H138" s="4">
        <f>MethodData!H135</f>
        <v>1.5</v>
      </c>
      <c r="I138" s="4">
        <f>MethodData!I135</f>
        <v>12</v>
      </c>
      <c r="J138" s="4">
        <f>MethodData!J135</f>
        <v>1.6999999999999999E-3</v>
      </c>
      <c r="K138" s="4">
        <f>MethodData!K135</f>
        <v>4</v>
      </c>
      <c r="L138" s="4">
        <f>MethodData!L135</f>
        <v>4</v>
      </c>
      <c r="M138" s="4">
        <f>MethodData!M135</f>
        <v>8</v>
      </c>
      <c r="N138" s="4">
        <f>MethodData!N135</f>
        <v>1</v>
      </c>
      <c r="O138" s="4">
        <f>MethodData!O135</f>
        <v>0</v>
      </c>
      <c r="P138" s="4">
        <f>MethodData!P135</f>
        <v>4</v>
      </c>
      <c r="Q138" s="4">
        <f>MethodData!Q135</f>
        <v>80.543199999999999</v>
      </c>
      <c r="R138" s="4">
        <f>MethodData!R135</f>
        <v>0</v>
      </c>
      <c r="S138" s="4">
        <f>MethodData!S135</f>
        <v>1</v>
      </c>
      <c r="T138" s="4">
        <f>MethodData!T135</f>
        <v>0</v>
      </c>
      <c r="U138" s="4">
        <f>MethodData!U135</f>
        <v>0</v>
      </c>
      <c r="W138" s="11">
        <f t="shared" si="86"/>
        <v>2.6315789473684209E-2</v>
      </c>
      <c r="X138" s="11">
        <f t="shared" si="87"/>
        <v>0</v>
      </c>
      <c r="Y138" s="11">
        <f t="shared" si="88"/>
        <v>0</v>
      </c>
      <c r="Z138" s="11">
        <f t="shared" si="89"/>
        <v>0</v>
      </c>
      <c r="AA138" s="11">
        <f t="shared" si="90"/>
        <v>0</v>
      </c>
      <c r="AB138" s="11">
        <f t="shared" si="91"/>
        <v>0</v>
      </c>
      <c r="AC138" s="11">
        <f t="shared" si="92"/>
        <v>1.4985014985014986E-2</v>
      </c>
      <c r="AD138" s="11">
        <f t="shared" si="93"/>
        <v>6.3149423208482149E-5</v>
      </c>
      <c r="AE138" s="11">
        <f t="shared" si="94"/>
        <v>1.5429297513160284E-3</v>
      </c>
      <c r="AF138" s="11">
        <f t="shared" si="95"/>
        <v>1.0810810810810811E-2</v>
      </c>
      <c r="AG138" s="11">
        <f t="shared" si="96"/>
        <v>4.0816326530612242E-2</v>
      </c>
      <c r="AH138" s="11">
        <f t="shared" si="97"/>
        <v>3.2687181305089651E-3</v>
      </c>
      <c r="AI138" s="11">
        <f t="shared" si="98"/>
        <v>1</v>
      </c>
      <c r="AJ138" s="11">
        <f t="shared" si="99"/>
        <v>0</v>
      </c>
      <c r="AK138" s="11">
        <f t="shared" si="100"/>
        <v>3.0303030303030304E-2</v>
      </c>
      <c r="AL138" s="11">
        <f t="shared" si="101"/>
        <v>0.84088014332187699</v>
      </c>
      <c r="AM138" s="11">
        <f t="shared" si="102"/>
        <v>0.16666666666666666</v>
      </c>
      <c r="AN138" s="11">
        <f t="shared" si="103"/>
        <v>3.2258064516129031E-2</v>
      </c>
      <c r="AO138" s="11">
        <f t="shared" si="104"/>
        <v>0</v>
      </c>
      <c r="AP138" s="11">
        <f t="shared" si="105"/>
        <v>0</v>
      </c>
      <c r="AQ138" s="11">
        <f t="shared" si="106"/>
        <v>2.1679106439128586</v>
      </c>
    </row>
    <row r="139" spans="1:43" ht="15" customHeight="1" x14ac:dyDescent="0.2">
      <c r="A139" s="3" t="str">
        <f>MethodData!A136</f>
        <v>Move: processEnemyFire(boolean)</v>
      </c>
      <c r="B139" s="4">
        <f>MethodData!B136</f>
        <v>38</v>
      </c>
      <c r="C139" s="4">
        <f>MethodData!C136</f>
        <v>40</v>
      </c>
      <c r="D139" s="4">
        <f>MethodData!D136</f>
        <v>0.45450000000000002</v>
      </c>
      <c r="E139" s="4">
        <f>MethodData!E136</f>
        <v>22</v>
      </c>
      <c r="F139" s="4">
        <f>MethodData!F136</f>
        <v>4</v>
      </c>
      <c r="G139" s="4">
        <f>MethodData!G136</f>
        <v>5</v>
      </c>
      <c r="H139" s="4">
        <f>MethodData!H136</f>
        <v>76.2273</v>
      </c>
      <c r="I139" s="4">
        <f>MethodData!I136</f>
        <v>186561.87779999999</v>
      </c>
      <c r="J139" s="4">
        <f>MethodData!J136</f>
        <v>1.0883</v>
      </c>
      <c r="K139" s="4">
        <f>MethodData!K136</f>
        <v>370</v>
      </c>
      <c r="L139" s="4">
        <f>MethodData!L136</f>
        <v>98</v>
      </c>
      <c r="M139" s="4">
        <f>MethodData!M136</f>
        <v>2447.4425999999999</v>
      </c>
      <c r="N139" s="4">
        <f>MethodData!N136</f>
        <v>0.2</v>
      </c>
      <c r="O139" s="4">
        <f>MethodData!O136</f>
        <v>1</v>
      </c>
      <c r="P139" s="4">
        <f>MethodData!P136</f>
        <v>132</v>
      </c>
      <c r="Q139" s="4">
        <f>MethodData!Q136</f>
        <v>29.525400000000001</v>
      </c>
      <c r="R139" s="4">
        <f>MethodData!R136</f>
        <v>5</v>
      </c>
      <c r="S139" s="4">
        <f>MethodData!S136</f>
        <v>31</v>
      </c>
      <c r="T139" s="4">
        <f>MethodData!T136</f>
        <v>5</v>
      </c>
      <c r="U139" s="4">
        <f>MethodData!U136</f>
        <v>1</v>
      </c>
      <c r="W139" s="11">
        <f t="shared" si="86"/>
        <v>1</v>
      </c>
      <c r="X139" s="11">
        <f t="shared" si="87"/>
        <v>1</v>
      </c>
      <c r="Y139" s="11">
        <f t="shared" si="88"/>
        <v>0.45450000000000002</v>
      </c>
      <c r="Z139" s="11">
        <f t="shared" si="89"/>
        <v>0.75862068965517238</v>
      </c>
      <c r="AA139" s="11">
        <f t="shared" si="90"/>
        <v>1</v>
      </c>
      <c r="AB139" s="11">
        <f t="shared" si="91"/>
        <v>1</v>
      </c>
      <c r="AC139" s="11">
        <f t="shared" si="92"/>
        <v>0.76151148851148853</v>
      </c>
      <c r="AD139" s="11">
        <f t="shared" si="93"/>
        <v>0.98177291464677741</v>
      </c>
      <c r="AE139" s="11">
        <f t="shared" si="94"/>
        <v>0.98774732256307873</v>
      </c>
      <c r="AF139" s="11">
        <f t="shared" si="95"/>
        <v>1</v>
      </c>
      <c r="AG139" s="11">
        <f t="shared" si="96"/>
        <v>1</v>
      </c>
      <c r="AH139" s="11">
        <f t="shared" si="97"/>
        <v>1</v>
      </c>
      <c r="AI139" s="11">
        <f t="shared" si="98"/>
        <v>0.2</v>
      </c>
      <c r="AJ139" s="11">
        <f t="shared" si="99"/>
        <v>0.33333333333333331</v>
      </c>
      <c r="AK139" s="11">
        <f t="shared" si="100"/>
        <v>1</v>
      </c>
      <c r="AL139" s="11">
        <f t="shared" si="101"/>
        <v>0.30824852481197357</v>
      </c>
      <c r="AM139" s="11">
        <f t="shared" si="102"/>
        <v>1</v>
      </c>
      <c r="AN139" s="11">
        <f t="shared" si="103"/>
        <v>1</v>
      </c>
      <c r="AO139" s="11">
        <f t="shared" si="104"/>
        <v>0.41666666666666669</v>
      </c>
      <c r="AP139" s="11">
        <f t="shared" si="105"/>
        <v>0.25</v>
      </c>
      <c r="AQ139" s="11">
        <f t="shared" si="106"/>
        <v>15.452400940188491</v>
      </c>
    </row>
    <row r="140" spans="1:43" ht="15" customHeight="1" x14ac:dyDescent="0.2">
      <c r="A140" s="3" t="str">
        <f>MethodData!A137</f>
        <v>Move: toString()</v>
      </c>
      <c r="B140" s="4">
        <f>MethodData!B137</f>
        <v>1</v>
      </c>
      <c r="C140" s="4">
        <f>MethodData!C137</f>
        <v>0</v>
      </c>
      <c r="D140" s="4">
        <f>MethodData!D137</f>
        <v>1</v>
      </c>
      <c r="E140" s="4">
        <f>MethodData!E137</f>
        <v>1</v>
      </c>
      <c r="F140" s="4">
        <f>MethodData!F137</f>
        <v>0</v>
      </c>
      <c r="G140" s="4">
        <f>MethodData!G137</f>
        <v>0</v>
      </c>
      <c r="H140" s="4">
        <f>MethodData!H137</f>
        <v>1.5</v>
      </c>
      <c r="I140" s="4">
        <f>MethodData!I137</f>
        <v>62.269799999999996</v>
      </c>
      <c r="J140" s="4">
        <f>MethodData!J137</f>
        <v>5.1999999999999998E-3</v>
      </c>
      <c r="K140" s="4">
        <f>MethodData!K137</f>
        <v>12</v>
      </c>
      <c r="L140" s="4">
        <f>MethodData!L137</f>
        <v>11</v>
      </c>
      <c r="M140" s="4">
        <f>MethodData!M137</f>
        <v>41.513199999999998</v>
      </c>
      <c r="N140" s="4">
        <f>MethodData!N137</f>
        <v>1</v>
      </c>
      <c r="O140" s="4">
        <f>MethodData!O137</f>
        <v>0</v>
      </c>
      <c r="P140" s="4">
        <f>MethodData!P137</f>
        <v>8</v>
      </c>
      <c r="Q140" s="4">
        <f>MethodData!Q137</f>
        <v>69.007300000000001</v>
      </c>
      <c r="R140" s="4">
        <f>MethodData!R137</f>
        <v>0</v>
      </c>
      <c r="S140" s="4">
        <f>MethodData!S137</f>
        <v>3</v>
      </c>
      <c r="T140" s="4">
        <f>MethodData!T137</f>
        <v>0</v>
      </c>
      <c r="U140" s="4">
        <f>MethodData!U137</f>
        <v>0</v>
      </c>
      <c r="W140" s="11">
        <f t="shared" si="86"/>
        <v>2.6315789473684209E-2</v>
      </c>
      <c r="X140" s="11">
        <f t="shared" si="87"/>
        <v>0</v>
      </c>
      <c r="Y140" s="11">
        <f t="shared" si="88"/>
        <v>1</v>
      </c>
      <c r="Z140" s="11">
        <f t="shared" si="89"/>
        <v>3.4482758620689655E-2</v>
      </c>
      <c r="AA140" s="11">
        <f t="shared" si="90"/>
        <v>0</v>
      </c>
      <c r="AB140" s="11">
        <f t="shared" si="91"/>
        <v>0</v>
      </c>
      <c r="AC140" s="11">
        <f t="shared" si="92"/>
        <v>1.4985014985014986E-2</v>
      </c>
      <c r="AD140" s="11">
        <f t="shared" si="93"/>
        <v>3.2769182944229508E-4</v>
      </c>
      <c r="AE140" s="11">
        <f t="shared" si="94"/>
        <v>4.71954982755491E-3</v>
      </c>
      <c r="AF140" s="11">
        <f t="shared" si="95"/>
        <v>3.2432432432432434E-2</v>
      </c>
      <c r="AG140" s="11">
        <f t="shared" si="96"/>
        <v>0.11224489795918367</v>
      </c>
      <c r="AH140" s="11">
        <f t="shared" si="97"/>
        <v>1.6961868686930594E-2</v>
      </c>
      <c r="AI140" s="11">
        <f t="shared" si="98"/>
        <v>1</v>
      </c>
      <c r="AJ140" s="11">
        <f t="shared" si="99"/>
        <v>0</v>
      </c>
      <c r="AK140" s="11">
        <f t="shared" si="100"/>
        <v>6.0606060606060608E-2</v>
      </c>
      <c r="AL140" s="11">
        <f t="shared" si="101"/>
        <v>0.72044403890403863</v>
      </c>
      <c r="AM140" s="11">
        <f t="shared" si="102"/>
        <v>0.16666666666666666</v>
      </c>
      <c r="AN140" s="11">
        <f t="shared" si="103"/>
        <v>9.6774193548387094E-2</v>
      </c>
      <c r="AO140" s="11">
        <f t="shared" si="104"/>
        <v>0</v>
      </c>
      <c r="AP140" s="11">
        <f t="shared" si="105"/>
        <v>0</v>
      </c>
      <c r="AQ140" s="11">
        <f t="shared" si="106"/>
        <v>3.286960963540086</v>
      </c>
    </row>
    <row r="141" spans="1:43" ht="15" customHeight="1" x14ac:dyDescent="0.2">
      <c r="A141" s="3" t="str">
        <f>MethodData!A138</f>
        <v>PdfExporter: checkPagination(PDDocument, PdfState, float)</v>
      </c>
      <c r="B141" s="4">
        <f>MethodData!B138</f>
        <v>2</v>
      </c>
      <c r="C141" s="4">
        <f>MethodData!C138</f>
        <v>1</v>
      </c>
      <c r="D141" s="4">
        <f>MethodData!D138</f>
        <v>1</v>
      </c>
      <c r="E141" s="4">
        <f>MethodData!E138</f>
        <v>2</v>
      </c>
      <c r="F141" s="4">
        <f>MethodData!F138</f>
        <v>1</v>
      </c>
      <c r="G141" s="4">
        <f>MethodData!G138</f>
        <v>1</v>
      </c>
      <c r="H141" s="4">
        <f>MethodData!H138</f>
        <v>12.857100000000001</v>
      </c>
      <c r="I141" s="4">
        <f>MethodData!I138</f>
        <v>1524.0397</v>
      </c>
      <c r="J141" s="4">
        <f>MethodData!J138</f>
        <v>4.41E-2</v>
      </c>
      <c r="K141" s="4">
        <f>MethodData!K138</f>
        <v>29</v>
      </c>
      <c r="L141" s="4">
        <f>MethodData!L138</f>
        <v>17</v>
      </c>
      <c r="M141" s="4">
        <f>MethodData!M138</f>
        <v>118.5364</v>
      </c>
      <c r="N141" s="4">
        <f>MethodData!N138</f>
        <v>0</v>
      </c>
      <c r="O141" s="4">
        <f>MethodData!O138</f>
        <v>0</v>
      </c>
      <c r="P141" s="4">
        <f>MethodData!P138</f>
        <v>13</v>
      </c>
      <c r="Q141" s="4">
        <f>MethodData!Q138</f>
        <v>61.099899999999998</v>
      </c>
      <c r="R141" s="4">
        <f>MethodData!R138</f>
        <v>1</v>
      </c>
      <c r="S141" s="4">
        <f>MethodData!S138</f>
        <v>6</v>
      </c>
      <c r="T141" s="4">
        <f>MethodData!T138</f>
        <v>0</v>
      </c>
      <c r="U141" s="4">
        <f>MethodData!U138</f>
        <v>3</v>
      </c>
      <c r="W141" s="11">
        <f t="shared" si="86"/>
        <v>5.2631578947368418E-2</v>
      </c>
      <c r="X141" s="11">
        <f t="shared" si="87"/>
        <v>2.5000000000000001E-2</v>
      </c>
      <c r="Y141" s="11">
        <f t="shared" si="88"/>
        <v>1</v>
      </c>
      <c r="Z141" s="11">
        <f t="shared" si="89"/>
        <v>6.8965517241379309E-2</v>
      </c>
      <c r="AA141" s="11">
        <f t="shared" si="90"/>
        <v>0.25</v>
      </c>
      <c r="AB141" s="11">
        <f t="shared" si="91"/>
        <v>0.2</v>
      </c>
      <c r="AC141" s="11">
        <f t="shared" si="92"/>
        <v>0.12844255744255745</v>
      </c>
      <c r="AD141" s="11">
        <f t="shared" si="93"/>
        <v>8.0201856668190141E-3</v>
      </c>
      <c r="AE141" s="11">
        <f t="shared" si="94"/>
        <v>4.0025412960609914E-2</v>
      </c>
      <c r="AF141" s="11">
        <f t="shared" si="95"/>
        <v>7.8378378378378383E-2</v>
      </c>
      <c r="AG141" s="11">
        <f t="shared" si="96"/>
        <v>0.17346938775510204</v>
      </c>
      <c r="AH141" s="11">
        <f t="shared" si="97"/>
        <v>4.8432759975657859E-2</v>
      </c>
      <c r="AI141" s="11">
        <f t="shared" si="98"/>
        <v>0</v>
      </c>
      <c r="AJ141" s="11">
        <f t="shared" si="99"/>
        <v>0</v>
      </c>
      <c r="AK141" s="11">
        <f t="shared" si="100"/>
        <v>9.8484848484848481E-2</v>
      </c>
      <c r="AL141" s="11">
        <f t="shared" si="101"/>
        <v>0.63788988603572183</v>
      </c>
      <c r="AM141" s="11">
        <f t="shared" si="102"/>
        <v>0.33333333333333331</v>
      </c>
      <c r="AN141" s="11">
        <f t="shared" si="103"/>
        <v>0.19354838709677419</v>
      </c>
      <c r="AO141" s="11">
        <f t="shared" si="104"/>
        <v>0</v>
      </c>
      <c r="AP141" s="11">
        <f t="shared" si="105"/>
        <v>0.75</v>
      </c>
      <c r="AQ141" s="11">
        <f t="shared" si="106"/>
        <v>4.0866222333185505</v>
      </c>
    </row>
    <row r="142" spans="1:43" ht="15" customHeight="1" x14ac:dyDescent="0.2">
      <c r="A142" s="3" t="str">
        <f>MethodData!A139</f>
        <v>PdfExporter: exportGameReport(IGame, String)</v>
      </c>
      <c r="B142" s="4">
        <f>MethodData!B139</f>
        <v>2</v>
      </c>
      <c r="C142" s="4">
        <f>MethodData!C139</f>
        <v>1</v>
      </c>
      <c r="D142" s="4">
        <f>MethodData!D139</f>
        <v>0.26319999999999999</v>
      </c>
      <c r="E142" s="4">
        <f>MethodData!E139</f>
        <v>18</v>
      </c>
      <c r="F142" s="4">
        <f>MethodData!F139</f>
        <v>0</v>
      </c>
      <c r="G142" s="4">
        <f>MethodData!G139</f>
        <v>5</v>
      </c>
      <c r="H142" s="4">
        <f>MethodData!H139</f>
        <v>29</v>
      </c>
      <c r="I142" s="4">
        <f>MethodData!I139</f>
        <v>15830.8495</v>
      </c>
      <c r="J142" s="4">
        <f>MethodData!J139</f>
        <v>0.2102</v>
      </c>
      <c r="K142" s="4">
        <f>MethodData!K139</f>
        <v>94</v>
      </c>
      <c r="L142" s="4">
        <f>MethodData!L139</f>
        <v>56</v>
      </c>
      <c r="M142" s="4">
        <f>MethodData!M139</f>
        <v>545.89139999999998</v>
      </c>
      <c r="N142" s="4">
        <f>MethodData!N139</f>
        <v>0</v>
      </c>
      <c r="O142" s="4">
        <f>MethodData!O139</f>
        <v>0</v>
      </c>
      <c r="P142" s="4">
        <f>MethodData!P139</f>
        <v>34</v>
      </c>
      <c r="Q142" s="4">
        <f>MethodData!Q139</f>
        <v>47.338900000000002</v>
      </c>
      <c r="R142" s="4">
        <f>MethodData!R139</f>
        <v>1</v>
      </c>
      <c r="S142" s="4">
        <f>MethodData!S139</f>
        <v>14</v>
      </c>
      <c r="T142" s="4">
        <f>MethodData!T139</f>
        <v>0</v>
      </c>
      <c r="U142" s="4">
        <f>MethodData!U139</f>
        <v>2</v>
      </c>
      <c r="W142" s="11">
        <f t="shared" si="86"/>
        <v>5.2631578947368418E-2</v>
      </c>
      <c r="X142" s="11">
        <f t="shared" si="87"/>
        <v>2.5000000000000001E-2</v>
      </c>
      <c r="Y142" s="11">
        <f t="shared" si="88"/>
        <v>0.26319999999999999</v>
      </c>
      <c r="Z142" s="11">
        <f t="shared" si="89"/>
        <v>0.62068965517241381</v>
      </c>
      <c r="AA142" s="11">
        <f t="shared" si="90"/>
        <v>0</v>
      </c>
      <c r="AB142" s="11">
        <f t="shared" si="91"/>
        <v>1</v>
      </c>
      <c r="AC142" s="11">
        <f t="shared" si="92"/>
        <v>0.28971028971028973</v>
      </c>
      <c r="AD142" s="11">
        <f t="shared" si="93"/>
        <v>8.3309084568773992E-2</v>
      </c>
      <c r="AE142" s="11">
        <f t="shared" si="94"/>
        <v>0.19077872572154658</v>
      </c>
      <c r="AF142" s="11">
        <f t="shared" si="95"/>
        <v>0.25405405405405407</v>
      </c>
      <c r="AG142" s="11">
        <f t="shared" si="96"/>
        <v>0.5714285714285714</v>
      </c>
      <c r="AH142" s="11">
        <f t="shared" si="97"/>
        <v>0.2230456395586152</v>
      </c>
      <c r="AI142" s="11">
        <f t="shared" si="98"/>
        <v>0</v>
      </c>
      <c r="AJ142" s="11">
        <f t="shared" si="99"/>
        <v>0</v>
      </c>
      <c r="AK142" s="11">
        <f t="shared" si="100"/>
        <v>0.25757575757575757</v>
      </c>
      <c r="AL142" s="11">
        <f t="shared" si="101"/>
        <v>0.49422348524394372</v>
      </c>
      <c r="AM142" s="11">
        <f t="shared" si="102"/>
        <v>0.33333333333333331</v>
      </c>
      <c r="AN142" s="11">
        <f t="shared" si="103"/>
        <v>0.45161290322580644</v>
      </c>
      <c r="AO142" s="11">
        <f t="shared" si="104"/>
        <v>0</v>
      </c>
      <c r="AP142" s="11">
        <f t="shared" si="105"/>
        <v>0.5</v>
      </c>
      <c r="AQ142" s="11">
        <f t="shared" si="106"/>
        <v>5.6105930785404734</v>
      </c>
    </row>
    <row r="143" spans="1:43" ht="15" customHeight="1" x14ac:dyDescent="0.2">
      <c r="A143" s="3" t="str">
        <f>MethodData!A140</f>
        <v>PdfExporter: printMoveSection(PDDocument, PdfState, String, List&lt;IMove&gt;)</v>
      </c>
      <c r="B143" s="4">
        <f>MethodData!B140</f>
        <v>9</v>
      </c>
      <c r="C143" s="4">
        <f>MethodData!C140</f>
        <v>9</v>
      </c>
      <c r="D143" s="4">
        <f>MethodData!D140</f>
        <v>0.35</v>
      </c>
      <c r="E143" s="4">
        <f>MethodData!E140</f>
        <v>19</v>
      </c>
      <c r="F143" s="4">
        <f>MethodData!F140</f>
        <v>1</v>
      </c>
      <c r="G143" s="4">
        <f>MethodData!G140</f>
        <v>4</v>
      </c>
      <c r="H143" s="4">
        <f>MethodData!H140</f>
        <v>58.8</v>
      </c>
      <c r="I143" s="4">
        <f>MethodData!I140</f>
        <v>80893.950100000002</v>
      </c>
      <c r="J143" s="4">
        <f>MethodData!J140</f>
        <v>0.62350000000000005</v>
      </c>
      <c r="K143" s="4">
        <f>MethodData!K140</f>
        <v>217</v>
      </c>
      <c r="L143" s="4">
        <f>MethodData!L140</f>
        <v>81</v>
      </c>
      <c r="M143" s="4">
        <f>MethodData!M140</f>
        <v>1375.7474999999999</v>
      </c>
      <c r="N143" s="4">
        <f>MethodData!N140</f>
        <v>0</v>
      </c>
      <c r="O143" s="4">
        <f>MethodData!O140</f>
        <v>2</v>
      </c>
      <c r="P143" s="4">
        <f>MethodData!P140</f>
        <v>71</v>
      </c>
      <c r="Q143" s="4">
        <f>MethodData!Q140</f>
        <v>37.346699999999998</v>
      </c>
      <c r="R143" s="4">
        <f>MethodData!R140</f>
        <v>3</v>
      </c>
      <c r="S143" s="4">
        <f>MethodData!S140</f>
        <v>21</v>
      </c>
      <c r="T143" s="4">
        <f>MethodData!T140</f>
        <v>2</v>
      </c>
      <c r="U143" s="4">
        <f>MethodData!U140</f>
        <v>4</v>
      </c>
      <c r="W143" s="11">
        <f t="shared" si="86"/>
        <v>0.23684210526315788</v>
      </c>
      <c r="X143" s="11">
        <f t="shared" si="87"/>
        <v>0.22500000000000001</v>
      </c>
      <c r="Y143" s="11">
        <f t="shared" si="88"/>
        <v>0.35</v>
      </c>
      <c r="Z143" s="11">
        <f t="shared" si="89"/>
        <v>0.65517241379310343</v>
      </c>
      <c r="AA143" s="11">
        <f t="shared" si="90"/>
        <v>0.25</v>
      </c>
      <c r="AB143" s="11">
        <f t="shared" si="91"/>
        <v>0.8</v>
      </c>
      <c r="AC143" s="11">
        <f t="shared" si="92"/>
        <v>0.58741258741258739</v>
      </c>
      <c r="AD143" s="11">
        <f t="shared" si="93"/>
        <v>0.42570052415589471</v>
      </c>
      <c r="AE143" s="11">
        <f t="shared" si="94"/>
        <v>0.56589217643855516</v>
      </c>
      <c r="AF143" s="11">
        <f t="shared" si="95"/>
        <v>0.58648648648648649</v>
      </c>
      <c r="AG143" s="11">
        <f t="shared" si="96"/>
        <v>0.82653061224489799</v>
      </c>
      <c r="AH143" s="11">
        <f t="shared" si="97"/>
        <v>0.56211634953154777</v>
      </c>
      <c r="AI143" s="11">
        <f t="shared" si="98"/>
        <v>0</v>
      </c>
      <c r="AJ143" s="11">
        <f t="shared" si="99"/>
        <v>0.66666666666666663</v>
      </c>
      <c r="AK143" s="11">
        <f t="shared" si="100"/>
        <v>0.53787878787878785</v>
      </c>
      <c r="AL143" s="11">
        <f t="shared" si="101"/>
        <v>0.38990378391470842</v>
      </c>
      <c r="AM143" s="11">
        <f t="shared" si="102"/>
        <v>0.66666666666666663</v>
      </c>
      <c r="AN143" s="11">
        <f t="shared" si="103"/>
        <v>0.67741935483870963</v>
      </c>
      <c r="AO143" s="11">
        <f t="shared" si="104"/>
        <v>0.16666666666666666</v>
      </c>
      <c r="AP143" s="11">
        <f t="shared" si="105"/>
        <v>1</v>
      </c>
      <c r="AQ143" s="11">
        <f t="shared" si="106"/>
        <v>10.176355181958439</v>
      </c>
    </row>
    <row r="144" spans="1:43" ht="15" customHeight="1" x14ac:dyDescent="0.2">
      <c r="A144" s="3" t="str">
        <f>MethodData!A141</f>
        <v>Position: Position(char, int)</v>
      </c>
      <c r="B144" s="4">
        <f>MethodData!B141</f>
        <v>1</v>
      </c>
      <c r="C144" s="4">
        <f>MethodData!C141</f>
        <v>0</v>
      </c>
      <c r="D144" s="4">
        <f>MethodData!D141</f>
        <v>1</v>
      </c>
      <c r="E144" s="4">
        <f>MethodData!E141</f>
        <v>1</v>
      </c>
      <c r="F144" s="4">
        <f>MethodData!F141</f>
        <v>0</v>
      </c>
      <c r="G144" s="4">
        <f>MethodData!G141</f>
        <v>0</v>
      </c>
      <c r="H144" s="4">
        <f>MethodData!H141</f>
        <v>3.3332999999999999</v>
      </c>
      <c r="I144" s="4">
        <f>MethodData!I141</f>
        <v>260.45940000000002</v>
      </c>
      <c r="J144" s="4">
        <f>MethodData!J141</f>
        <v>1.3599999999999999E-2</v>
      </c>
      <c r="K144" s="4">
        <f>MethodData!K141</f>
        <v>20</v>
      </c>
      <c r="L144" s="4">
        <f>MethodData!L141</f>
        <v>15</v>
      </c>
      <c r="M144" s="4">
        <f>MethodData!M141</f>
        <v>78.137799999999999</v>
      </c>
      <c r="N144" s="4">
        <f>MethodData!N141</f>
        <v>1</v>
      </c>
      <c r="O144" s="4">
        <f>MethodData!O141</f>
        <v>0</v>
      </c>
      <c r="P144" s="4">
        <f>MethodData!P141</f>
        <v>13</v>
      </c>
      <c r="Q144" s="4">
        <f>MethodData!Q141</f>
        <v>62.451999999999998</v>
      </c>
      <c r="R144" s="4">
        <f>MethodData!R141</f>
        <v>0</v>
      </c>
      <c r="S144" s="4">
        <f>MethodData!S141</f>
        <v>6</v>
      </c>
      <c r="T144" s="4">
        <f>MethodData!T141</f>
        <v>0</v>
      </c>
      <c r="U144" s="4">
        <f>MethodData!U141</f>
        <v>2</v>
      </c>
      <c r="W144" s="11">
        <f t="shared" si="86"/>
        <v>2.6315789473684209E-2</v>
      </c>
      <c r="X144" s="11">
        <f t="shared" si="87"/>
        <v>0</v>
      </c>
      <c r="Y144" s="11">
        <f t="shared" si="88"/>
        <v>1</v>
      </c>
      <c r="Z144" s="11">
        <f t="shared" si="89"/>
        <v>3.4482758620689655E-2</v>
      </c>
      <c r="AA144" s="11">
        <f t="shared" si="90"/>
        <v>0</v>
      </c>
      <c r="AB144" s="11">
        <f t="shared" si="91"/>
        <v>0</v>
      </c>
      <c r="AC144" s="11">
        <f t="shared" si="92"/>
        <v>3.3299700299700301E-2</v>
      </c>
      <c r="AD144" s="11">
        <f t="shared" si="93"/>
        <v>1.3706550732689447E-3</v>
      </c>
      <c r="AE144" s="11">
        <f t="shared" si="94"/>
        <v>1.2343438010528228E-2</v>
      </c>
      <c r="AF144" s="11">
        <f t="shared" si="95"/>
        <v>5.4054054054054057E-2</v>
      </c>
      <c r="AG144" s="11">
        <f t="shared" si="96"/>
        <v>0.15306122448979592</v>
      </c>
      <c r="AH144" s="11">
        <f t="shared" si="97"/>
        <v>3.1926305442260425E-2</v>
      </c>
      <c r="AI144" s="11">
        <f t="shared" si="98"/>
        <v>1</v>
      </c>
      <c r="AJ144" s="11">
        <f t="shared" si="99"/>
        <v>0</v>
      </c>
      <c r="AK144" s="11">
        <f t="shared" si="100"/>
        <v>9.8484848484848481E-2</v>
      </c>
      <c r="AL144" s="11">
        <f t="shared" si="101"/>
        <v>0.65200596339278627</v>
      </c>
      <c r="AM144" s="11">
        <f t="shared" si="102"/>
        <v>0.16666666666666666</v>
      </c>
      <c r="AN144" s="11">
        <f t="shared" si="103"/>
        <v>0.19354838709677419</v>
      </c>
      <c r="AO144" s="11">
        <f t="shared" si="104"/>
        <v>0</v>
      </c>
      <c r="AP144" s="11">
        <f t="shared" si="105"/>
        <v>0.5</v>
      </c>
      <c r="AQ144" s="11">
        <f t="shared" si="106"/>
        <v>3.9575597911050573</v>
      </c>
    </row>
    <row r="145" spans="1:43" ht="15" customHeight="1" x14ac:dyDescent="0.2">
      <c r="A145" s="3" t="str">
        <f>MethodData!A142</f>
        <v>Position: Position(int, int)</v>
      </c>
      <c r="B145" s="4">
        <f>MethodData!B142</f>
        <v>1</v>
      </c>
      <c r="C145" s="4">
        <f>MethodData!C142</f>
        <v>0</v>
      </c>
      <c r="D145" s="4">
        <f>MethodData!D142</f>
        <v>0</v>
      </c>
      <c r="E145" s="4">
        <f>MethodData!E142</f>
        <v>0</v>
      </c>
      <c r="F145" s="4">
        <f>MethodData!F142</f>
        <v>0</v>
      </c>
      <c r="G145" s="4">
        <f>MethodData!G142</f>
        <v>0</v>
      </c>
      <c r="H145" s="4">
        <f>MethodData!H142</f>
        <v>1.7142999999999999</v>
      </c>
      <c r="I145" s="4">
        <f>MethodData!I142</f>
        <v>85.421000000000006</v>
      </c>
      <c r="J145" s="4">
        <f>MethodData!J142</f>
        <v>6.4999999999999997E-3</v>
      </c>
      <c r="K145" s="4">
        <f>MethodData!K142</f>
        <v>15</v>
      </c>
      <c r="L145" s="4">
        <f>MethodData!L142</f>
        <v>10</v>
      </c>
      <c r="M145" s="4">
        <f>MethodData!M142</f>
        <v>49.828899999999997</v>
      </c>
      <c r="N145" s="4">
        <f>MethodData!N142</f>
        <v>1</v>
      </c>
      <c r="O145" s="4">
        <f>MethodData!O142</f>
        <v>0</v>
      </c>
      <c r="P145" s="4">
        <f>MethodData!P142</f>
        <v>13</v>
      </c>
      <c r="Q145" s="4">
        <f>MethodData!Q142</f>
        <v>63.865699999999997</v>
      </c>
      <c r="R145" s="4">
        <f>MethodData!R142</f>
        <v>0</v>
      </c>
      <c r="S145" s="4">
        <f>MethodData!S142</f>
        <v>6</v>
      </c>
      <c r="T145" s="4">
        <f>MethodData!T142</f>
        <v>0</v>
      </c>
      <c r="U145" s="4">
        <f>MethodData!U142</f>
        <v>2</v>
      </c>
      <c r="W145" s="11">
        <f t="shared" si="86"/>
        <v>2.6315789473684209E-2</v>
      </c>
      <c r="X145" s="11">
        <f t="shared" si="87"/>
        <v>0</v>
      </c>
      <c r="Y145" s="11">
        <f t="shared" si="88"/>
        <v>0</v>
      </c>
      <c r="Z145" s="11">
        <f t="shared" si="89"/>
        <v>0</v>
      </c>
      <c r="AA145" s="11">
        <f t="shared" si="90"/>
        <v>0</v>
      </c>
      <c r="AB145" s="11">
        <f t="shared" si="91"/>
        <v>0</v>
      </c>
      <c r="AC145" s="11">
        <f t="shared" si="92"/>
        <v>1.7125874125874126E-2</v>
      </c>
      <c r="AD145" s="11">
        <f t="shared" si="93"/>
        <v>4.4952390665764616E-4</v>
      </c>
      <c r="AE145" s="11">
        <f t="shared" si="94"/>
        <v>5.8994372844436383E-3</v>
      </c>
      <c r="AF145" s="11">
        <f t="shared" si="95"/>
        <v>4.0540540540540543E-2</v>
      </c>
      <c r="AG145" s="11">
        <f t="shared" si="96"/>
        <v>0.10204081632653061</v>
      </c>
      <c r="AH145" s="11">
        <f t="shared" si="97"/>
        <v>2.035957860666477E-2</v>
      </c>
      <c r="AI145" s="11">
        <f t="shared" si="98"/>
        <v>1</v>
      </c>
      <c r="AJ145" s="11">
        <f t="shared" si="99"/>
        <v>0</v>
      </c>
      <c r="AK145" s="11">
        <f t="shared" si="100"/>
        <v>9.8484848484848481E-2</v>
      </c>
      <c r="AL145" s="11">
        <f t="shared" si="101"/>
        <v>0.66676515173660844</v>
      </c>
      <c r="AM145" s="11">
        <f t="shared" si="102"/>
        <v>0.16666666666666666</v>
      </c>
      <c r="AN145" s="11">
        <f t="shared" si="103"/>
        <v>0.19354838709677419</v>
      </c>
      <c r="AO145" s="11">
        <f t="shared" si="104"/>
        <v>0</v>
      </c>
      <c r="AP145" s="11">
        <f t="shared" si="105"/>
        <v>0.5</v>
      </c>
      <c r="AQ145" s="11">
        <f t="shared" si="106"/>
        <v>2.8381966142492931</v>
      </c>
    </row>
    <row r="146" spans="1:43" ht="15" customHeight="1" x14ac:dyDescent="0.2">
      <c r="A146" s="3" t="str">
        <f>MethodData!A143</f>
        <v>Position: adjacentPositions()</v>
      </c>
      <c r="B146" s="4">
        <f>MethodData!B143</f>
        <v>3</v>
      </c>
      <c r="C146" s="4">
        <f>MethodData!C143</f>
        <v>2</v>
      </c>
      <c r="D146" s="4">
        <f>MethodData!D143</f>
        <v>0.25</v>
      </c>
      <c r="E146" s="4">
        <f>MethodData!E143</f>
        <v>1</v>
      </c>
      <c r="F146" s="4">
        <f>MethodData!F143</f>
        <v>1</v>
      </c>
      <c r="G146" s="4">
        <f>MethodData!G143</f>
        <v>0</v>
      </c>
      <c r="H146" s="4">
        <f>MethodData!H143</f>
        <v>19.5</v>
      </c>
      <c r="I146" s="4">
        <f>MethodData!I143</f>
        <v>4434.9047</v>
      </c>
      <c r="J146" s="4">
        <f>MethodData!J143</f>
        <v>0.09</v>
      </c>
      <c r="K146" s="4">
        <f>MethodData!K143</f>
        <v>51</v>
      </c>
      <c r="L146" s="4">
        <f>MethodData!L143</f>
        <v>22</v>
      </c>
      <c r="M146" s="4">
        <f>MethodData!M143</f>
        <v>227.43100000000001</v>
      </c>
      <c r="N146" s="4">
        <f>MethodData!N143</f>
        <v>1</v>
      </c>
      <c r="O146" s="4">
        <f>MethodData!O143</f>
        <v>1</v>
      </c>
      <c r="P146" s="4">
        <f>MethodData!P143</f>
        <v>31</v>
      </c>
      <c r="Q146" s="4">
        <f>MethodData!Q143</f>
        <v>50.822800000000001</v>
      </c>
      <c r="R146" s="4">
        <f>MethodData!R143</f>
        <v>2</v>
      </c>
      <c r="S146" s="4">
        <f>MethodData!S143</f>
        <v>6</v>
      </c>
      <c r="T146" s="4">
        <f>MethodData!T143</f>
        <v>1</v>
      </c>
      <c r="U146" s="4">
        <f>MethodData!U143</f>
        <v>0</v>
      </c>
      <c r="W146" s="11">
        <f t="shared" si="86"/>
        <v>7.8947368421052627E-2</v>
      </c>
      <c r="X146" s="11">
        <f t="shared" si="87"/>
        <v>0.05</v>
      </c>
      <c r="Y146" s="11">
        <f t="shared" si="88"/>
        <v>0.25</v>
      </c>
      <c r="Z146" s="11">
        <f t="shared" si="89"/>
        <v>3.4482758620689655E-2</v>
      </c>
      <c r="AA146" s="11">
        <f t="shared" si="90"/>
        <v>0.25</v>
      </c>
      <c r="AB146" s="11">
        <f t="shared" si="91"/>
        <v>0</v>
      </c>
      <c r="AC146" s="11">
        <f t="shared" si="92"/>
        <v>0.19480519480519481</v>
      </c>
      <c r="AD146" s="11">
        <f t="shared" si="93"/>
        <v>2.3338472815798879E-2</v>
      </c>
      <c r="AE146" s="11">
        <f t="shared" si="94"/>
        <v>8.1684516246142674E-2</v>
      </c>
      <c r="AF146" s="11">
        <f t="shared" si="95"/>
        <v>0.13783783783783785</v>
      </c>
      <c r="AG146" s="11">
        <f t="shared" si="96"/>
        <v>0.22448979591836735</v>
      </c>
      <c r="AH146" s="11">
        <f t="shared" si="97"/>
        <v>9.2925979142473053E-2</v>
      </c>
      <c r="AI146" s="11">
        <f t="shared" si="98"/>
        <v>1</v>
      </c>
      <c r="AJ146" s="11">
        <f t="shared" si="99"/>
        <v>0.33333333333333331</v>
      </c>
      <c r="AK146" s="11">
        <f t="shared" si="100"/>
        <v>0.23484848484848486</v>
      </c>
      <c r="AL146" s="11">
        <f t="shared" si="101"/>
        <v>0.53059579639273202</v>
      </c>
      <c r="AM146" s="11">
        <f t="shared" si="102"/>
        <v>0.5</v>
      </c>
      <c r="AN146" s="11">
        <f t="shared" si="103"/>
        <v>0.19354838709677419</v>
      </c>
      <c r="AO146" s="11">
        <f t="shared" si="104"/>
        <v>8.3333333333333329E-2</v>
      </c>
      <c r="AP146" s="11">
        <f t="shared" si="105"/>
        <v>0</v>
      </c>
      <c r="AQ146" s="11">
        <f t="shared" si="106"/>
        <v>4.2941712588122147</v>
      </c>
    </row>
    <row r="147" spans="1:43" ht="15" customHeight="1" x14ac:dyDescent="0.2">
      <c r="A147" s="3" t="str">
        <f>MethodData!A144</f>
        <v>Position: equals(Object)</v>
      </c>
      <c r="B147" s="4">
        <f>MethodData!B144</f>
        <v>4</v>
      </c>
      <c r="C147" s="4">
        <f>MethodData!C144</f>
        <v>3</v>
      </c>
      <c r="D147" s="4">
        <f>MethodData!D144</f>
        <v>0.5</v>
      </c>
      <c r="E147" s="4">
        <f>MethodData!E144</f>
        <v>2</v>
      </c>
      <c r="F147" s="4">
        <f>MethodData!F144</f>
        <v>1</v>
      </c>
      <c r="G147" s="4">
        <f>MethodData!G144</f>
        <v>0</v>
      </c>
      <c r="H147" s="4">
        <f>MethodData!H144</f>
        <v>7.5</v>
      </c>
      <c r="I147" s="4">
        <f>MethodData!I144</f>
        <v>780</v>
      </c>
      <c r="J147" s="4">
        <f>MethodData!J144</f>
        <v>2.8199999999999999E-2</v>
      </c>
      <c r="K147" s="4">
        <f>MethodData!K144</f>
        <v>26</v>
      </c>
      <c r="L147" s="4">
        <f>MethodData!L144</f>
        <v>16</v>
      </c>
      <c r="M147" s="4">
        <f>MethodData!M144</f>
        <v>104</v>
      </c>
      <c r="N147" s="4">
        <f>MethodData!N144</f>
        <v>1</v>
      </c>
      <c r="O147" s="4">
        <f>MethodData!O144</f>
        <v>0</v>
      </c>
      <c r="P147" s="4">
        <f>MethodData!P144</f>
        <v>18</v>
      </c>
      <c r="Q147" s="4">
        <f>MethodData!Q144</f>
        <v>58.3078</v>
      </c>
      <c r="R147" s="4">
        <f>MethodData!R144</f>
        <v>1</v>
      </c>
      <c r="S147" s="4">
        <f>MethodData!S144</f>
        <v>4</v>
      </c>
      <c r="T147" s="4">
        <f>MethodData!T144</f>
        <v>0</v>
      </c>
      <c r="U147" s="4">
        <f>MethodData!U144</f>
        <v>1</v>
      </c>
      <c r="W147" s="11">
        <f t="shared" si="86"/>
        <v>0.10526315789473684</v>
      </c>
      <c r="X147" s="11">
        <f t="shared" si="87"/>
        <v>7.4999999999999997E-2</v>
      </c>
      <c r="Y147" s="11">
        <f t="shared" si="88"/>
        <v>0.5</v>
      </c>
      <c r="Z147" s="11">
        <f t="shared" si="89"/>
        <v>6.8965517241379309E-2</v>
      </c>
      <c r="AA147" s="11">
        <f t="shared" si="90"/>
        <v>0.25</v>
      </c>
      <c r="AB147" s="11">
        <f t="shared" si="91"/>
        <v>0</v>
      </c>
      <c r="AC147" s="11">
        <f t="shared" si="92"/>
        <v>7.4925074925074928E-2</v>
      </c>
      <c r="AD147" s="11">
        <f t="shared" si="93"/>
        <v>4.104712508551339E-3</v>
      </c>
      <c r="AE147" s="11">
        <f t="shared" si="94"/>
        <v>2.5594481757124705E-2</v>
      </c>
      <c r="AF147" s="11">
        <f t="shared" si="95"/>
        <v>7.0270270270270274E-2</v>
      </c>
      <c r="AG147" s="11">
        <f t="shared" si="96"/>
        <v>0.16326530612244897</v>
      </c>
      <c r="AH147" s="11">
        <f t="shared" si="97"/>
        <v>4.2493335696616542E-2</v>
      </c>
      <c r="AI147" s="11">
        <f t="shared" si="98"/>
        <v>1</v>
      </c>
      <c r="AJ147" s="11">
        <f t="shared" si="99"/>
        <v>0</v>
      </c>
      <c r="AK147" s="11">
        <f t="shared" si="100"/>
        <v>0.13636363636363635</v>
      </c>
      <c r="AL147" s="11">
        <f t="shared" si="101"/>
        <v>0.60874004535185267</v>
      </c>
      <c r="AM147" s="11">
        <f t="shared" si="102"/>
        <v>0.33333333333333331</v>
      </c>
      <c r="AN147" s="11">
        <f t="shared" si="103"/>
        <v>0.12903225806451613</v>
      </c>
      <c r="AO147" s="11">
        <f t="shared" si="104"/>
        <v>0</v>
      </c>
      <c r="AP147" s="11">
        <f t="shared" si="105"/>
        <v>0.25</v>
      </c>
      <c r="AQ147" s="11">
        <f t="shared" si="106"/>
        <v>3.8373511295295413</v>
      </c>
    </row>
    <row r="148" spans="1:43" ht="15" customHeight="1" x14ac:dyDescent="0.2">
      <c r="A148" s="3" t="str">
        <f>MethodData!A145</f>
        <v>Position: getClassicColumn()</v>
      </c>
      <c r="B148" s="4">
        <f>MethodData!B145</f>
        <v>1</v>
      </c>
      <c r="C148" s="4">
        <f>MethodData!C145</f>
        <v>0</v>
      </c>
      <c r="D148" s="4">
        <f>MethodData!D145</f>
        <v>0</v>
      </c>
      <c r="E148" s="4">
        <f>MethodData!E145</f>
        <v>0</v>
      </c>
      <c r="F148" s="4">
        <f>MethodData!F145</f>
        <v>0</v>
      </c>
      <c r="G148" s="4">
        <f>MethodData!G145</f>
        <v>0</v>
      </c>
      <c r="H148" s="4">
        <f>MethodData!H145</f>
        <v>2</v>
      </c>
      <c r="I148" s="4">
        <f>MethodData!I145</f>
        <v>31.019600000000001</v>
      </c>
      <c r="J148" s="4">
        <f>MethodData!J145</f>
        <v>3.3E-3</v>
      </c>
      <c r="K148" s="4">
        <f>MethodData!K145</f>
        <v>6</v>
      </c>
      <c r="L148" s="4">
        <f>MethodData!L145</f>
        <v>6</v>
      </c>
      <c r="M148" s="4">
        <f>MethodData!M145</f>
        <v>15.5098</v>
      </c>
      <c r="N148" s="4">
        <f>MethodData!N145</f>
        <v>1</v>
      </c>
      <c r="O148" s="4">
        <f>MethodData!O145</f>
        <v>0</v>
      </c>
      <c r="P148" s="4">
        <f>MethodData!P145</f>
        <v>8</v>
      </c>
      <c r="Q148" s="4">
        <f>MethodData!Q145</f>
        <v>72.064999999999998</v>
      </c>
      <c r="R148" s="4">
        <f>MethodData!R145</f>
        <v>0</v>
      </c>
      <c r="S148" s="4">
        <f>MethodData!S145</f>
        <v>1</v>
      </c>
      <c r="T148" s="4">
        <f>MethodData!T145</f>
        <v>0</v>
      </c>
      <c r="U148" s="4">
        <f>MethodData!U145</f>
        <v>0</v>
      </c>
      <c r="W148" s="11">
        <f t="shared" si="86"/>
        <v>2.6315789473684209E-2</v>
      </c>
      <c r="X148" s="11">
        <f t="shared" si="87"/>
        <v>0</v>
      </c>
      <c r="Y148" s="11">
        <f t="shared" si="88"/>
        <v>0</v>
      </c>
      <c r="Z148" s="11">
        <f t="shared" si="89"/>
        <v>0</v>
      </c>
      <c r="AA148" s="11">
        <f t="shared" si="90"/>
        <v>0</v>
      </c>
      <c r="AB148" s="11">
        <f t="shared" si="91"/>
        <v>0</v>
      </c>
      <c r="AC148" s="11">
        <f t="shared" si="92"/>
        <v>1.998001998001998E-2</v>
      </c>
      <c r="AD148" s="11">
        <f t="shared" si="93"/>
        <v>1.6323915401315274E-4</v>
      </c>
      <c r="AE148" s="11">
        <f t="shared" si="94"/>
        <v>2.9950989290252316E-3</v>
      </c>
      <c r="AF148" s="11">
        <f t="shared" si="95"/>
        <v>1.6216216216216217E-2</v>
      </c>
      <c r="AG148" s="11">
        <f t="shared" si="96"/>
        <v>6.1224489795918366E-2</v>
      </c>
      <c r="AH148" s="11">
        <f t="shared" si="97"/>
        <v>6.3371455575709935E-3</v>
      </c>
      <c r="AI148" s="11">
        <f t="shared" si="98"/>
        <v>1</v>
      </c>
      <c r="AJ148" s="11">
        <f t="shared" si="99"/>
        <v>0</v>
      </c>
      <c r="AK148" s="11">
        <f t="shared" si="100"/>
        <v>6.0606060606060608E-2</v>
      </c>
      <c r="AL148" s="11">
        <f t="shared" si="101"/>
        <v>0.7523667737126295</v>
      </c>
      <c r="AM148" s="11">
        <f t="shared" si="102"/>
        <v>0.16666666666666666</v>
      </c>
      <c r="AN148" s="11">
        <f t="shared" si="103"/>
        <v>3.2258064516129031E-2</v>
      </c>
      <c r="AO148" s="11">
        <f t="shared" si="104"/>
        <v>0</v>
      </c>
      <c r="AP148" s="11">
        <f t="shared" si="105"/>
        <v>0</v>
      </c>
      <c r="AQ148" s="11">
        <f t="shared" si="106"/>
        <v>2.1451295646079336</v>
      </c>
    </row>
    <row r="149" spans="1:43" ht="15" customHeight="1" x14ac:dyDescent="0.2">
      <c r="A149" s="3" t="str">
        <f>MethodData!A146</f>
        <v>Position: getClassicRow()</v>
      </c>
      <c r="B149" s="4">
        <f>MethodData!B146</f>
        <v>1</v>
      </c>
      <c r="C149" s="4">
        <f>MethodData!C146</f>
        <v>0</v>
      </c>
      <c r="D149" s="4">
        <f>MethodData!D146</f>
        <v>0</v>
      </c>
      <c r="E149" s="4">
        <f>MethodData!E146</f>
        <v>0</v>
      </c>
      <c r="F149" s="4">
        <f>MethodData!F146</f>
        <v>0</v>
      </c>
      <c r="G149" s="4">
        <f>MethodData!G146</f>
        <v>0</v>
      </c>
      <c r="H149" s="4">
        <f>MethodData!H146</f>
        <v>2</v>
      </c>
      <c r="I149" s="4">
        <f>MethodData!I146</f>
        <v>36.189500000000002</v>
      </c>
      <c r="J149" s="4">
        <f>MethodData!J146</f>
        <v>3.5999999999999999E-3</v>
      </c>
      <c r="K149" s="4">
        <f>MethodData!K146</f>
        <v>7</v>
      </c>
      <c r="L149" s="4">
        <f>MethodData!L146</f>
        <v>6</v>
      </c>
      <c r="M149" s="4">
        <f>MethodData!M146</f>
        <v>18.0947</v>
      </c>
      <c r="N149" s="4">
        <f>MethodData!N146</f>
        <v>1</v>
      </c>
      <c r="O149" s="4">
        <f>MethodData!O146</f>
        <v>0</v>
      </c>
      <c r="P149" s="4">
        <f>MethodData!P146</f>
        <v>8</v>
      </c>
      <c r="Q149" s="4">
        <f>MethodData!Q146</f>
        <v>71.510599999999997</v>
      </c>
      <c r="R149" s="4">
        <f>MethodData!R146</f>
        <v>0</v>
      </c>
      <c r="S149" s="4">
        <f>MethodData!S146</f>
        <v>1</v>
      </c>
      <c r="T149" s="4">
        <f>MethodData!T146</f>
        <v>0</v>
      </c>
      <c r="U149" s="4">
        <f>MethodData!U146</f>
        <v>0</v>
      </c>
      <c r="W149" s="11">
        <f t="shared" si="86"/>
        <v>2.6315789473684209E-2</v>
      </c>
      <c r="X149" s="11">
        <f t="shared" si="87"/>
        <v>0</v>
      </c>
      <c r="Y149" s="11">
        <f t="shared" si="88"/>
        <v>0</v>
      </c>
      <c r="Z149" s="11">
        <f t="shared" si="89"/>
        <v>0</v>
      </c>
      <c r="AA149" s="11">
        <f t="shared" si="90"/>
        <v>0</v>
      </c>
      <c r="AB149" s="11">
        <f t="shared" si="91"/>
        <v>0</v>
      </c>
      <c r="AC149" s="11">
        <f t="shared" si="92"/>
        <v>1.998001998001998E-2</v>
      </c>
      <c r="AD149" s="11">
        <f t="shared" si="93"/>
        <v>1.9044550426694707E-4</v>
      </c>
      <c r="AE149" s="11">
        <f t="shared" si="94"/>
        <v>3.267380649845707E-3</v>
      </c>
      <c r="AF149" s="11">
        <f t="shared" si="95"/>
        <v>1.891891891891892E-2</v>
      </c>
      <c r="AG149" s="11">
        <f t="shared" si="96"/>
        <v>6.1224489795918366E-2</v>
      </c>
      <c r="AH149" s="11">
        <f t="shared" si="97"/>
        <v>7.3933092445150712E-3</v>
      </c>
      <c r="AI149" s="11">
        <f t="shared" si="98"/>
        <v>1</v>
      </c>
      <c r="AJ149" s="11">
        <f t="shared" si="99"/>
        <v>0</v>
      </c>
      <c r="AK149" s="11">
        <f t="shared" si="100"/>
        <v>6.0606060606060608E-2</v>
      </c>
      <c r="AL149" s="11">
        <f t="shared" si="101"/>
        <v>0.74657877483180968</v>
      </c>
      <c r="AM149" s="11">
        <f t="shared" si="102"/>
        <v>0.16666666666666666</v>
      </c>
      <c r="AN149" s="11">
        <f t="shared" si="103"/>
        <v>3.2258064516129031E-2</v>
      </c>
      <c r="AO149" s="11">
        <f t="shared" si="104"/>
        <v>0</v>
      </c>
      <c r="AP149" s="11">
        <f t="shared" si="105"/>
        <v>0</v>
      </c>
      <c r="AQ149" s="11">
        <f t="shared" si="106"/>
        <v>2.1433999201878349</v>
      </c>
    </row>
    <row r="150" spans="1:43" ht="15" customHeight="1" x14ac:dyDescent="0.2">
      <c r="A150" s="3" t="str">
        <f>MethodData!A147</f>
        <v>Position: getColumn()</v>
      </c>
      <c r="B150" s="4">
        <f>MethodData!B147</f>
        <v>1</v>
      </c>
      <c r="C150" s="4">
        <f>MethodData!C147</f>
        <v>0</v>
      </c>
      <c r="D150" s="4">
        <f>MethodData!D147</f>
        <v>0</v>
      </c>
      <c r="E150" s="4">
        <f>MethodData!E147</f>
        <v>0</v>
      </c>
      <c r="F150" s="4">
        <f>MethodData!F147</f>
        <v>0</v>
      </c>
      <c r="G150" s="4">
        <f>MethodData!G147</f>
        <v>0</v>
      </c>
      <c r="H150" s="4">
        <f>MethodData!H147</f>
        <v>1.5</v>
      </c>
      <c r="I150" s="4">
        <f>MethodData!I147</f>
        <v>12</v>
      </c>
      <c r="J150" s="4">
        <f>MethodData!J147</f>
        <v>1.6999999999999999E-3</v>
      </c>
      <c r="K150" s="4">
        <f>MethodData!K147</f>
        <v>4</v>
      </c>
      <c r="L150" s="4">
        <f>MethodData!L147</f>
        <v>4</v>
      </c>
      <c r="M150" s="4">
        <f>MethodData!M147</f>
        <v>8</v>
      </c>
      <c r="N150" s="4">
        <f>MethodData!N147</f>
        <v>1</v>
      </c>
      <c r="O150" s="4">
        <f>MethodData!O147</f>
        <v>0</v>
      </c>
      <c r="P150" s="4">
        <f>MethodData!P147</f>
        <v>9</v>
      </c>
      <c r="Q150" s="4">
        <f>MethodData!Q147</f>
        <v>72.860699999999994</v>
      </c>
      <c r="R150" s="4">
        <f>MethodData!R147</f>
        <v>0</v>
      </c>
      <c r="S150" s="4">
        <f>MethodData!S147</f>
        <v>1</v>
      </c>
      <c r="T150" s="4">
        <f>MethodData!T147</f>
        <v>0</v>
      </c>
      <c r="U150" s="4">
        <f>MethodData!U147</f>
        <v>0</v>
      </c>
      <c r="W150" s="11">
        <f t="shared" si="86"/>
        <v>2.6315789473684209E-2</v>
      </c>
      <c r="X150" s="11">
        <f t="shared" si="87"/>
        <v>0</v>
      </c>
      <c r="Y150" s="11">
        <f t="shared" si="88"/>
        <v>0</v>
      </c>
      <c r="Z150" s="11">
        <f t="shared" si="89"/>
        <v>0</v>
      </c>
      <c r="AA150" s="11">
        <f t="shared" si="90"/>
        <v>0</v>
      </c>
      <c r="AB150" s="11">
        <f t="shared" si="91"/>
        <v>0</v>
      </c>
      <c r="AC150" s="11">
        <f t="shared" si="92"/>
        <v>1.4985014985014986E-2</v>
      </c>
      <c r="AD150" s="11">
        <f t="shared" si="93"/>
        <v>6.3149423208482149E-5</v>
      </c>
      <c r="AE150" s="11">
        <f t="shared" si="94"/>
        <v>1.5429297513160284E-3</v>
      </c>
      <c r="AF150" s="11">
        <f t="shared" si="95"/>
        <v>1.0810810810810811E-2</v>
      </c>
      <c r="AG150" s="11">
        <f t="shared" si="96"/>
        <v>4.0816326530612242E-2</v>
      </c>
      <c r="AH150" s="11">
        <f t="shared" si="97"/>
        <v>3.2687181305089651E-3</v>
      </c>
      <c r="AI150" s="11">
        <f t="shared" si="98"/>
        <v>1</v>
      </c>
      <c r="AJ150" s="11">
        <f t="shared" si="99"/>
        <v>0</v>
      </c>
      <c r="AK150" s="11">
        <f t="shared" si="100"/>
        <v>6.8181818181818177E-2</v>
      </c>
      <c r="AL150" s="11">
        <f t="shared" si="101"/>
        <v>0.76067397196203135</v>
      </c>
      <c r="AM150" s="11">
        <f t="shared" si="102"/>
        <v>0.16666666666666666</v>
      </c>
      <c r="AN150" s="11">
        <f t="shared" si="103"/>
        <v>3.2258064516129031E-2</v>
      </c>
      <c r="AO150" s="11">
        <f t="shared" si="104"/>
        <v>0</v>
      </c>
      <c r="AP150" s="11">
        <f t="shared" si="105"/>
        <v>0</v>
      </c>
      <c r="AQ150" s="11">
        <f t="shared" si="106"/>
        <v>2.1255832604318008</v>
      </c>
    </row>
    <row r="151" spans="1:43" ht="15" customHeight="1" x14ac:dyDescent="0.2">
      <c r="A151" s="3" t="str">
        <f>MethodData!A148</f>
        <v>Position: getRow()</v>
      </c>
      <c r="B151" s="4">
        <f>MethodData!B148</f>
        <v>1</v>
      </c>
      <c r="C151" s="4">
        <f>MethodData!C148</f>
        <v>0</v>
      </c>
      <c r="D151" s="4">
        <f>MethodData!D148</f>
        <v>0</v>
      </c>
      <c r="E151" s="4">
        <f>MethodData!E148</f>
        <v>0</v>
      </c>
      <c r="F151" s="4">
        <f>MethodData!F148</f>
        <v>0</v>
      </c>
      <c r="G151" s="4">
        <f>MethodData!G148</f>
        <v>0</v>
      </c>
      <c r="H151" s="4">
        <f>MethodData!H148</f>
        <v>1.5</v>
      </c>
      <c r="I151" s="4">
        <f>MethodData!I148</f>
        <v>12</v>
      </c>
      <c r="J151" s="4">
        <f>MethodData!J148</f>
        <v>1.6999999999999999E-3</v>
      </c>
      <c r="K151" s="4">
        <f>MethodData!K148</f>
        <v>4</v>
      </c>
      <c r="L151" s="4">
        <f>MethodData!L148</f>
        <v>4</v>
      </c>
      <c r="M151" s="4">
        <f>MethodData!M148</f>
        <v>8</v>
      </c>
      <c r="N151" s="4">
        <f>MethodData!N148</f>
        <v>1</v>
      </c>
      <c r="O151" s="4">
        <f>MethodData!O148</f>
        <v>0</v>
      </c>
      <c r="P151" s="4">
        <f>MethodData!P148</f>
        <v>9</v>
      </c>
      <c r="Q151" s="4">
        <f>MethodData!Q148</f>
        <v>72.860699999999994</v>
      </c>
      <c r="R151" s="4">
        <f>MethodData!R148</f>
        <v>0</v>
      </c>
      <c r="S151" s="4">
        <f>MethodData!S148</f>
        <v>1</v>
      </c>
      <c r="T151" s="4">
        <f>MethodData!T148</f>
        <v>0</v>
      </c>
      <c r="U151" s="4">
        <f>MethodData!U148</f>
        <v>0</v>
      </c>
      <c r="W151" s="11">
        <f t="shared" si="86"/>
        <v>2.6315789473684209E-2</v>
      </c>
      <c r="X151" s="11">
        <f t="shared" si="87"/>
        <v>0</v>
      </c>
      <c r="Y151" s="11">
        <f t="shared" si="88"/>
        <v>0</v>
      </c>
      <c r="Z151" s="11">
        <f t="shared" si="89"/>
        <v>0</v>
      </c>
      <c r="AA151" s="11">
        <f t="shared" si="90"/>
        <v>0</v>
      </c>
      <c r="AB151" s="11">
        <f t="shared" si="91"/>
        <v>0</v>
      </c>
      <c r="AC151" s="11">
        <f t="shared" si="92"/>
        <v>1.4985014985014986E-2</v>
      </c>
      <c r="AD151" s="11">
        <f t="shared" si="93"/>
        <v>6.3149423208482149E-5</v>
      </c>
      <c r="AE151" s="11">
        <f t="shared" si="94"/>
        <v>1.5429297513160284E-3</v>
      </c>
      <c r="AF151" s="11">
        <f t="shared" si="95"/>
        <v>1.0810810810810811E-2</v>
      </c>
      <c r="AG151" s="11">
        <f t="shared" si="96"/>
        <v>4.0816326530612242E-2</v>
      </c>
      <c r="AH151" s="11">
        <f t="shared" si="97"/>
        <v>3.2687181305089651E-3</v>
      </c>
      <c r="AI151" s="11">
        <f t="shared" si="98"/>
        <v>1</v>
      </c>
      <c r="AJ151" s="11">
        <f t="shared" si="99"/>
        <v>0</v>
      </c>
      <c r="AK151" s="11">
        <f t="shared" si="100"/>
        <v>6.8181818181818177E-2</v>
      </c>
      <c r="AL151" s="11">
        <f t="shared" si="101"/>
        <v>0.76067397196203135</v>
      </c>
      <c r="AM151" s="11">
        <f t="shared" si="102"/>
        <v>0.16666666666666666</v>
      </c>
      <c r="AN151" s="11">
        <f t="shared" si="103"/>
        <v>3.2258064516129031E-2</v>
      </c>
      <c r="AO151" s="11">
        <f t="shared" si="104"/>
        <v>0</v>
      </c>
      <c r="AP151" s="11">
        <f t="shared" si="105"/>
        <v>0</v>
      </c>
      <c r="AQ151" s="11">
        <f t="shared" si="106"/>
        <v>2.1255832604318008</v>
      </c>
    </row>
    <row r="152" spans="1:43" ht="15" customHeight="1" x14ac:dyDescent="0.2">
      <c r="A152" s="3" t="str">
        <f>MethodData!A149</f>
        <v>Position: hashCode()</v>
      </c>
      <c r="B152" s="4">
        <f>MethodData!B149</f>
        <v>1</v>
      </c>
      <c r="C152" s="4">
        <f>MethodData!C149</f>
        <v>0</v>
      </c>
      <c r="D152" s="4">
        <f>MethodData!D149</f>
        <v>1</v>
      </c>
      <c r="E152" s="4">
        <f>MethodData!E149</f>
        <v>1</v>
      </c>
      <c r="F152" s="4">
        <f>MethodData!F149</f>
        <v>0</v>
      </c>
      <c r="G152" s="4">
        <f>MethodData!G149</f>
        <v>0</v>
      </c>
      <c r="H152" s="4">
        <f>MethodData!H149</f>
        <v>2</v>
      </c>
      <c r="I152" s="4">
        <f>MethodData!I149</f>
        <v>48</v>
      </c>
      <c r="J152" s="4">
        <f>MethodData!J149</f>
        <v>4.4000000000000003E-3</v>
      </c>
      <c r="K152" s="4">
        <f>MethodData!K149</f>
        <v>8</v>
      </c>
      <c r="L152" s="4">
        <f>MethodData!L149</f>
        <v>8</v>
      </c>
      <c r="M152" s="4">
        <f>MethodData!M149</f>
        <v>24</v>
      </c>
      <c r="N152" s="4">
        <f>MethodData!N149</f>
        <v>1</v>
      </c>
      <c r="O152" s="4">
        <f>MethodData!O149</f>
        <v>0</v>
      </c>
      <c r="P152" s="4">
        <f>MethodData!P149</f>
        <v>9</v>
      </c>
      <c r="Q152" s="4">
        <f>MethodData!Q149</f>
        <v>69.519900000000007</v>
      </c>
      <c r="R152" s="4">
        <f>MethodData!R149</f>
        <v>0</v>
      </c>
      <c r="S152" s="4">
        <f>MethodData!S149</f>
        <v>4</v>
      </c>
      <c r="T152" s="4">
        <f>MethodData!T149</f>
        <v>0</v>
      </c>
      <c r="U152" s="4">
        <f>MethodData!U149</f>
        <v>0</v>
      </c>
      <c r="W152" s="11">
        <f t="shared" si="86"/>
        <v>2.6315789473684209E-2</v>
      </c>
      <c r="X152" s="11">
        <f t="shared" si="87"/>
        <v>0</v>
      </c>
      <c r="Y152" s="11">
        <f t="shared" si="88"/>
        <v>1</v>
      </c>
      <c r="Z152" s="11">
        <f t="shared" si="89"/>
        <v>3.4482758620689655E-2</v>
      </c>
      <c r="AA152" s="11">
        <f t="shared" si="90"/>
        <v>0</v>
      </c>
      <c r="AB152" s="11">
        <f t="shared" si="91"/>
        <v>0</v>
      </c>
      <c r="AC152" s="11">
        <f t="shared" si="92"/>
        <v>1.998001998001998E-2</v>
      </c>
      <c r="AD152" s="11">
        <f t="shared" si="93"/>
        <v>2.525976928339286E-4</v>
      </c>
      <c r="AE152" s="11">
        <f t="shared" si="94"/>
        <v>3.9934652387003094E-3</v>
      </c>
      <c r="AF152" s="11">
        <f t="shared" si="95"/>
        <v>2.1621621621621623E-2</v>
      </c>
      <c r="AG152" s="11">
        <f t="shared" si="96"/>
        <v>8.1632653061224483E-2</v>
      </c>
      <c r="AH152" s="11">
        <f t="shared" si="97"/>
        <v>9.8061543915268952E-3</v>
      </c>
      <c r="AI152" s="11">
        <f t="shared" si="98"/>
        <v>1</v>
      </c>
      <c r="AJ152" s="11">
        <f t="shared" si="99"/>
        <v>0</v>
      </c>
      <c r="AK152" s="11">
        <f t="shared" si="100"/>
        <v>6.8181818181818177E-2</v>
      </c>
      <c r="AL152" s="11">
        <f t="shared" si="101"/>
        <v>0.72579564104384431</v>
      </c>
      <c r="AM152" s="11">
        <f t="shared" si="102"/>
        <v>0.16666666666666666</v>
      </c>
      <c r="AN152" s="11">
        <f t="shared" si="103"/>
        <v>0.12903225806451613</v>
      </c>
      <c r="AO152" s="11">
        <f t="shared" si="104"/>
        <v>0</v>
      </c>
      <c r="AP152" s="11">
        <f t="shared" si="105"/>
        <v>0</v>
      </c>
      <c r="AQ152" s="11">
        <f t="shared" si="106"/>
        <v>3.2877614440371468</v>
      </c>
    </row>
    <row r="153" spans="1:43" ht="15" customHeight="1" x14ac:dyDescent="0.2">
      <c r="A153" s="3" t="str">
        <f>MethodData!A150</f>
        <v>Position: isAdjacentTo(IPosition)</v>
      </c>
      <c r="B153" s="4">
        <f>MethodData!B150</f>
        <v>2</v>
      </c>
      <c r="C153" s="4">
        <f>MethodData!C150</f>
        <v>1</v>
      </c>
      <c r="D153" s="4">
        <f>MethodData!D150</f>
        <v>0.66669999999999996</v>
      </c>
      <c r="E153" s="4">
        <f>MethodData!E150</f>
        <v>3</v>
      </c>
      <c r="F153" s="4">
        <f>MethodData!F150</f>
        <v>0</v>
      </c>
      <c r="G153" s="4">
        <f>MethodData!G150</f>
        <v>0</v>
      </c>
      <c r="H153" s="4">
        <f>MethodData!H150</f>
        <v>7.5</v>
      </c>
      <c r="I153" s="4">
        <f>MethodData!I150</f>
        <v>571.10320000000002</v>
      </c>
      <c r="J153" s="4">
        <f>MethodData!J150</f>
        <v>2.29E-2</v>
      </c>
      <c r="K153" s="4">
        <f>MethodData!K150</f>
        <v>20</v>
      </c>
      <c r="L153" s="4">
        <f>MethodData!L150</f>
        <v>14</v>
      </c>
      <c r="M153" s="4">
        <f>MethodData!M150</f>
        <v>76.147099999999995</v>
      </c>
      <c r="N153" s="4">
        <f>MethodData!N150</f>
        <v>1</v>
      </c>
      <c r="O153" s="4">
        <f>MethodData!O150</f>
        <v>0</v>
      </c>
      <c r="P153" s="4">
        <f>MethodData!P150</f>
        <v>11</v>
      </c>
      <c r="Q153" s="4">
        <f>MethodData!Q150</f>
        <v>64.020399999999995</v>
      </c>
      <c r="R153" s="4">
        <f>MethodData!R150</f>
        <v>0</v>
      </c>
      <c r="S153" s="4">
        <f>MethodData!S150</f>
        <v>3</v>
      </c>
      <c r="T153" s="4">
        <f>MethodData!T150</f>
        <v>0</v>
      </c>
      <c r="U153" s="4">
        <f>MethodData!U150</f>
        <v>1</v>
      </c>
      <c r="W153" s="11">
        <f t="shared" si="86"/>
        <v>5.2631578947368418E-2</v>
      </c>
      <c r="X153" s="11">
        <f t="shared" si="87"/>
        <v>2.5000000000000001E-2</v>
      </c>
      <c r="Y153" s="11">
        <f t="shared" si="88"/>
        <v>0.66669999999999996</v>
      </c>
      <c r="Z153" s="11">
        <f t="shared" si="89"/>
        <v>0.10344827586206896</v>
      </c>
      <c r="AA153" s="11">
        <f t="shared" si="90"/>
        <v>0</v>
      </c>
      <c r="AB153" s="11">
        <f t="shared" si="91"/>
        <v>0</v>
      </c>
      <c r="AC153" s="11">
        <f t="shared" si="92"/>
        <v>7.4925074925074928E-2</v>
      </c>
      <c r="AD153" s="11">
        <f t="shared" si="93"/>
        <v>3.0054031393765353E-3</v>
      </c>
      <c r="AE153" s="11">
        <f t="shared" si="94"/>
        <v>2.0784171355962971E-2</v>
      </c>
      <c r="AF153" s="11">
        <f t="shared" si="95"/>
        <v>5.4054054054054057E-2</v>
      </c>
      <c r="AG153" s="11">
        <f t="shared" si="96"/>
        <v>0.14285714285714285</v>
      </c>
      <c r="AH153" s="11">
        <f t="shared" si="97"/>
        <v>3.1112925794459897E-2</v>
      </c>
      <c r="AI153" s="11">
        <f t="shared" si="98"/>
        <v>1</v>
      </c>
      <c r="AJ153" s="11">
        <f t="shared" si="99"/>
        <v>0</v>
      </c>
      <c r="AK153" s="11">
        <f t="shared" si="100"/>
        <v>8.3333333333333329E-2</v>
      </c>
      <c r="AL153" s="11">
        <f t="shared" si="101"/>
        <v>0.66838023728289775</v>
      </c>
      <c r="AM153" s="11">
        <f t="shared" si="102"/>
        <v>0.16666666666666666</v>
      </c>
      <c r="AN153" s="11">
        <f t="shared" si="103"/>
        <v>9.6774193548387094E-2</v>
      </c>
      <c r="AO153" s="11">
        <f t="shared" si="104"/>
        <v>0</v>
      </c>
      <c r="AP153" s="11">
        <f t="shared" si="105"/>
        <v>0.25</v>
      </c>
      <c r="AQ153" s="11">
        <f t="shared" si="106"/>
        <v>3.4396730577667936</v>
      </c>
    </row>
    <row r="154" spans="1:43" ht="15" customHeight="1" x14ac:dyDescent="0.2">
      <c r="A154" s="3" t="str">
        <f>MethodData!A151</f>
        <v>Position: isHit()</v>
      </c>
      <c r="B154" s="4">
        <f>MethodData!B151</f>
        <v>1</v>
      </c>
      <c r="C154" s="4">
        <f>MethodData!C151</f>
        <v>0</v>
      </c>
      <c r="D154" s="4">
        <f>MethodData!D151</f>
        <v>0</v>
      </c>
      <c r="E154" s="4">
        <f>MethodData!E151</f>
        <v>0</v>
      </c>
      <c r="F154" s="4">
        <f>MethodData!F151</f>
        <v>0</v>
      </c>
      <c r="G154" s="4">
        <f>MethodData!G151</f>
        <v>0</v>
      </c>
      <c r="H154" s="4">
        <f>MethodData!H151</f>
        <v>1.5</v>
      </c>
      <c r="I154" s="4">
        <f>MethodData!I151</f>
        <v>12</v>
      </c>
      <c r="J154" s="4">
        <f>MethodData!J151</f>
        <v>1.6999999999999999E-3</v>
      </c>
      <c r="K154" s="4">
        <f>MethodData!K151</f>
        <v>4</v>
      </c>
      <c r="L154" s="4">
        <f>MethodData!L151</f>
        <v>4</v>
      </c>
      <c r="M154" s="4">
        <f>MethodData!M151</f>
        <v>8</v>
      </c>
      <c r="N154" s="4">
        <f>MethodData!N151</f>
        <v>1</v>
      </c>
      <c r="O154" s="4">
        <f>MethodData!O151</f>
        <v>0</v>
      </c>
      <c r="P154" s="4">
        <f>MethodData!P151</f>
        <v>9</v>
      </c>
      <c r="Q154" s="4">
        <f>MethodData!Q151</f>
        <v>72.860699999999994</v>
      </c>
      <c r="R154" s="4">
        <f>MethodData!R151</f>
        <v>0</v>
      </c>
      <c r="S154" s="4">
        <f>MethodData!S151</f>
        <v>1</v>
      </c>
      <c r="T154" s="4">
        <f>MethodData!T151</f>
        <v>0</v>
      </c>
      <c r="U154" s="4">
        <f>MethodData!U151</f>
        <v>0</v>
      </c>
      <c r="W154" s="11">
        <f t="shared" si="86"/>
        <v>2.6315789473684209E-2</v>
      </c>
      <c r="X154" s="11">
        <f t="shared" si="87"/>
        <v>0</v>
      </c>
      <c r="Y154" s="11">
        <f t="shared" si="88"/>
        <v>0</v>
      </c>
      <c r="Z154" s="11">
        <f t="shared" si="89"/>
        <v>0</v>
      </c>
      <c r="AA154" s="11">
        <f t="shared" si="90"/>
        <v>0</v>
      </c>
      <c r="AB154" s="11">
        <f t="shared" si="91"/>
        <v>0</v>
      </c>
      <c r="AC154" s="11">
        <f t="shared" si="92"/>
        <v>1.4985014985014986E-2</v>
      </c>
      <c r="AD154" s="11">
        <f t="shared" si="93"/>
        <v>6.3149423208482149E-5</v>
      </c>
      <c r="AE154" s="11">
        <f t="shared" si="94"/>
        <v>1.5429297513160284E-3</v>
      </c>
      <c r="AF154" s="11">
        <f t="shared" si="95"/>
        <v>1.0810810810810811E-2</v>
      </c>
      <c r="AG154" s="11">
        <f t="shared" si="96"/>
        <v>4.0816326530612242E-2</v>
      </c>
      <c r="AH154" s="11">
        <f t="shared" si="97"/>
        <v>3.2687181305089651E-3</v>
      </c>
      <c r="AI154" s="11">
        <f t="shared" si="98"/>
        <v>1</v>
      </c>
      <c r="AJ154" s="11">
        <f t="shared" si="99"/>
        <v>0</v>
      </c>
      <c r="AK154" s="11">
        <f t="shared" si="100"/>
        <v>6.8181818181818177E-2</v>
      </c>
      <c r="AL154" s="11">
        <f t="shared" si="101"/>
        <v>0.76067397196203135</v>
      </c>
      <c r="AM154" s="11">
        <f t="shared" si="102"/>
        <v>0.16666666666666666</v>
      </c>
      <c r="AN154" s="11">
        <f t="shared" si="103"/>
        <v>3.2258064516129031E-2</v>
      </c>
      <c r="AO154" s="11">
        <f t="shared" si="104"/>
        <v>0</v>
      </c>
      <c r="AP154" s="11">
        <f t="shared" si="105"/>
        <v>0</v>
      </c>
      <c r="AQ154" s="11">
        <f t="shared" si="106"/>
        <v>2.1255832604318008</v>
      </c>
    </row>
    <row r="155" spans="1:43" ht="15" customHeight="1" x14ac:dyDescent="0.2">
      <c r="A155" s="3" t="str">
        <f>MethodData!A152</f>
        <v>Position: isInside()</v>
      </c>
      <c r="B155" s="4">
        <f>MethodData!B152</f>
        <v>4</v>
      </c>
      <c r="C155" s="4">
        <f>MethodData!C152</f>
        <v>1</v>
      </c>
      <c r="D155" s="4">
        <f>MethodData!D152</f>
        <v>0</v>
      </c>
      <c r="E155" s="4">
        <f>MethodData!E152</f>
        <v>0</v>
      </c>
      <c r="F155" s="4">
        <f>MethodData!F152</f>
        <v>0</v>
      </c>
      <c r="G155" s="4">
        <f>MethodData!G152</f>
        <v>1</v>
      </c>
      <c r="H155" s="4">
        <f>MethodData!H152</f>
        <v>5</v>
      </c>
      <c r="I155" s="4">
        <f>MethodData!I152</f>
        <v>237.74440000000001</v>
      </c>
      <c r="J155" s="4">
        <f>MethodData!J152</f>
        <v>1.2800000000000001E-2</v>
      </c>
      <c r="K155" s="4">
        <f>MethodData!K152</f>
        <v>15</v>
      </c>
      <c r="L155" s="4">
        <f>MethodData!L152</f>
        <v>9</v>
      </c>
      <c r="M155" s="4">
        <f>MethodData!M152</f>
        <v>47.548900000000003</v>
      </c>
      <c r="N155" s="4">
        <f>MethodData!N152</f>
        <v>0.66669999999999996</v>
      </c>
      <c r="O155" s="4">
        <f>MethodData!O152</f>
        <v>0</v>
      </c>
      <c r="P155" s="4">
        <f>MethodData!P152</f>
        <v>10</v>
      </c>
      <c r="Q155" s="4">
        <f>MethodData!Q152</f>
        <v>66.291499999999999</v>
      </c>
      <c r="R155" s="4">
        <f>MethodData!R152</f>
        <v>0</v>
      </c>
      <c r="S155" s="4">
        <f>MethodData!S152</f>
        <v>3</v>
      </c>
      <c r="T155" s="4">
        <f>MethodData!T152</f>
        <v>0</v>
      </c>
      <c r="U155" s="4">
        <f>MethodData!U152</f>
        <v>0</v>
      </c>
      <c r="W155" s="11">
        <f t="shared" si="86"/>
        <v>0.10526315789473684</v>
      </c>
      <c r="X155" s="11">
        <f t="shared" si="87"/>
        <v>2.5000000000000001E-2</v>
      </c>
      <c r="Y155" s="11">
        <f t="shared" si="88"/>
        <v>0</v>
      </c>
      <c r="Z155" s="11">
        <f t="shared" si="89"/>
        <v>0</v>
      </c>
      <c r="AA155" s="11">
        <f t="shared" si="90"/>
        <v>0</v>
      </c>
      <c r="AB155" s="11">
        <f t="shared" si="91"/>
        <v>0.2</v>
      </c>
      <c r="AC155" s="11">
        <f t="shared" si="92"/>
        <v>4.9950049950049952E-2</v>
      </c>
      <c r="AD155" s="11">
        <f t="shared" si="93"/>
        <v>1.251118477587222E-3</v>
      </c>
      <c r="AE155" s="11">
        <f t="shared" si="94"/>
        <v>1.1617353421673627E-2</v>
      </c>
      <c r="AF155" s="11">
        <f t="shared" si="95"/>
        <v>4.0540540540540543E-2</v>
      </c>
      <c r="AG155" s="11">
        <f t="shared" si="96"/>
        <v>9.1836734693877556E-2</v>
      </c>
      <c r="AH155" s="11">
        <f t="shared" si="97"/>
        <v>1.9427993939469718E-2</v>
      </c>
      <c r="AI155" s="11">
        <f t="shared" si="98"/>
        <v>0.66669999999999996</v>
      </c>
      <c r="AJ155" s="11">
        <f t="shared" si="99"/>
        <v>0</v>
      </c>
      <c r="AK155" s="11">
        <f t="shared" si="100"/>
        <v>7.575757575757576E-2</v>
      </c>
      <c r="AL155" s="11">
        <f t="shared" si="101"/>
        <v>0.69209077887422166</v>
      </c>
      <c r="AM155" s="11">
        <f t="shared" si="102"/>
        <v>0.16666666666666666</v>
      </c>
      <c r="AN155" s="11">
        <f t="shared" si="103"/>
        <v>9.6774193548387094E-2</v>
      </c>
      <c r="AO155" s="11">
        <f t="shared" si="104"/>
        <v>0</v>
      </c>
      <c r="AP155" s="11">
        <f t="shared" si="105"/>
        <v>0</v>
      </c>
      <c r="AQ155" s="11">
        <f t="shared" si="106"/>
        <v>2.2428761637647865</v>
      </c>
    </row>
    <row r="156" spans="1:43" ht="15" customHeight="1" x14ac:dyDescent="0.2">
      <c r="A156" s="3" t="str">
        <f>MethodData!A153</f>
        <v>Position: isOccupied()</v>
      </c>
      <c r="B156" s="4">
        <f>MethodData!B153</f>
        <v>1</v>
      </c>
      <c r="C156" s="4">
        <f>MethodData!C153</f>
        <v>0</v>
      </c>
      <c r="D156" s="4">
        <f>MethodData!D153</f>
        <v>0</v>
      </c>
      <c r="E156" s="4">
        <f>MethodData!E153</f>
        <v>0</v>
      </c>
      <c r="F156" s="4">
        <f>MethodData!F153</f>
        <v>0</v>
      </c>
      <c r="G156" s="4">
        <f>MethodData!G153</f>
        <v>0</v>
      </c>
      <c r="H156" s="4">
        <f>MethodData!H153</f>
        <v>1.5</v>
      </c>
      <c r="I156" s="4">
        <f>MethodData!I153</f>
        <v>12</v>
      </c>
      <c r="J156" s="4">
        <f>MethodData!J153</f>
        <v>1.6999999999999999E-3</v>
      </c>
      <c r="K156" s="4">
        <f>MethodData!K153</f>
        <v>4</v>
      </c>
      <c r="L156" s="4">
        <f>MethodData!L153</f>
        <v>4</v>
      </c>
      <c r="M156" s="4">
        <f>MethodData!M153</f>
        <v>8</v>
      </c>
      <c r="N156" s="4">
        <f>MethodData!N153</f>
        <v>1</v>
      </c>
      <c r="O156" s="4">
        <f>MethodData!O153</f>
        <v>0</v>
      </c>
      <c r="P156" s="4">
        <f>MethodData!P153</f>
        <v>9</v>
      </c>
      <c r="Q156" s="4">
        <f>MethodData!Q153</f>
        <v>72.860699999999994</v>
      </c>
      <c r="R156" s="4">
        <f>MethodData!R153</f>
        <v>0</v>
      </c>
      <c r="S156" s="4">
        <f>MethodData!S153</f>
        <v>1</v>
      </c>
      <c r="T156" s="4">
        <f>MethodData!T153</f>
        <v>0</v>
      </c>
      <c r="U156" s="4">
        <f>MethodData!U153</f>
        <v>0</v>
      </c>
      <c r="W156" s="11">
        <f t="shared" si="86"/>
        <v>2.6315789473684209E-2</v>
      </c>
      <c r="X156" s="11">
        <f t="shared" si="87"/>
        <v>0</v>
      </c>
      <c r="Y156" s="11">
        <f t="shared" si="88"/>
        <v>0</v>
      </c>
      <c r="Z156" s="11">
        <f t="shared" si="89"/>
        <v>0</v>
      </c>
      <c r="AA156" s="11">
        <f t="shared" si="90"/>
        <v>0</v>
      </c>
      <c r="AB156" s="11">
        <f t="shared" si="91"/>
        <v>0</v>
      </c>
      <c r="AC156" s="11">
        <f t="shared" si="92"/>
        <v>1.4985014985014986E-2</v>
      </c>
      <c r="AD156" s="11">
        <f t="shared" si="93"/>
        <v>6.3149423208482149E-5</v>
      </c>
      <c r="AE156" s="11">
        <f t="shared" si="94"/>
        <v>1.5429297513160284E-3</v>
      </c>
      <c r="AF156" s="11">
        <f t="shared" si="95"/>
        <v>1.0810810810810811E-2</v>
      </c>
      <c r="AG156" s="11">
        <f t="shared" si="96"/>
        <v>4.0816326530612242E-2</v>
      </c>
      <c r="AH156" s="11">
        <f t="shared" si="97"/>
        <v>3.2687181305089651E-3</v>
      </c>
      <c r="AI156" s="11">
        <f t="shared" si="98"/>
        <v>1</v>
      </c>
      <c r="AJ156" s="11">
        <f t="shared" si="99"/>
        <v>0</v>
      </c>
      <c r="AK156" s="11">
        <f t="shared" si="100"/>
        <v>6.8181818181818177E-2</v>
      </c>
      <c r="AL156" s="11">
        <f t="shared" si="101"/>
        <v>0.76067397196203135</v>
      </c>
      <c r="AM156" s="11">
        <f t="shared" si="102"/>
        <v>0.16666666666666666</v>
      </c>
      <c r="AN156" s="11">
        <f t="shared" si="103"/>
        <v>3.2258064516129031E-2</v>
      </c>
      <c r="AO156" s="11">
        <f t="shared" si="104"/>
        <v>0</v>
      </c>
      <c r="AP156" s="11">
        <f t="shared" si="105"/>
        <v>0</v>
      </c>
      <c r="AQ156" s="11">
        <f t="shared" si="106"/>
        <v>2.1255832604318008</v>
      </c>
    </row>
    <row r="157" spans="1:43" ht="15" customHeight="1" x14ac:dyDescent="0.2">
      <c r="A157" s="3" t="str">
        <f>MethodData!A154</f>
        <v>Position: occupy()</v>
      </c>
      <c r="B157" s="4">
        <f>MethodData!B154</f>
        <v>1</v>
      </c>
      <c r="C157" s="4">
        <f>MethodData!C154</f>
        <v>0</v>
      </c>
      <c r="D157" s="4">
        <f>MethodData!D154</f>
        <v>0</v>
      </c>
      <c r="E157" s="4">
        <f>MethodData!E154</f>
        <v>0</v>
      </c>
      <c r="F157" s="4">
        <f>MethodData!F154</f>
        <v>0</v>
      </c>
      <c r="G157" s="4">
        <f>MethodData!G154</f>
        <v>0</v>
      </c>
      <c r="H157" s="4">
        <f>MethodData!H154</f>
        <v>1</v>
      </c>
      <c r="I157" s="4">
        <f>MethodData!I154</f>
        <v>8</v>
      </c>
      <c r="J157" s="4">
        <f>MethodData!J154</f>
        <v>1.2999999999999999E-3</v>
      </c>
      <c r="K157" s="4">
        <f>MethodData!K154</f>
        <v>4</v>
      </c>
      <c r="L157" s="4">
        <f>MethodData!L154</f>
        <v>4</v>
      </c>
      <c r="M157" s="4">
        <f>MethodData!M154</f>
        <v>8</v>
      </c>
      <c r="N157" s="4">
        <f>MethodData!N154</f>
        <v>1</v>
      </c>
      <c r="O157" s="4">
        <f>MethodData!O154</f>
        <v>0</v>
      </c>
      <c r="P157" s="4">
        <f>MethodData!P154</f>
        <v>7</v>
      </c>
      <c r="Q157" s="4">
        <f>MethodData!Q154</f>
        <v>75.241600000000005</v>
      </c>
      <c r="R157" s="4">
        <f>MethodData!R154</f>
        <v>0</v>
      </c>
      <c r="S157" s="4">
        <f>MethodData!S154</f>
        <v>1</v>
      </c>
      <c r="T157" s="4">
        <f>MethodData!T154</f>
        <v>0</v>
      </c>
      <c r="U157" s="4">
        <f>MethodData!U154</f>
        <v>0</v>
      </c>
      <c r="W157" s="11">
        <f t="shared" si="86"/>
        <v>2.6315789473684209E-2</v>
      </c>
      <c r="X157" s="11">
        <f t="shared" si="87"/>
        <v>0</v>
      </c>
      <c r="Y157" s="11">
        <f t="shared" si="88"/>
        <v>0</v>
      </c>
      <c r="Z157" s="11">
        <f t="shared" si="89"/>
        <v>0</v>
      </c>
      <c r="AA157" s="11">
        <f t="shared" si="90"/>
        <v>0</v>
      </c>
      <c r="AB157" s="11">
        <f t="shared" si="91"/>
        <v>0</v>
      </c>
      <c r="AC157" s="11">
        <f t="shared" si="92"/>
        <v>9.99000999000999E-3</v>
      </c>
      <c r="AD157" s="11">
        <f t="shared" si="93"/>
        <v>4.2099615472321428E-5</v>
      </c>
      <c r="AE157" s="11">
        <f t="shared" si="94"/>
        <v>1.1798874568887275E-3</v>
      </c>
      <c r="AF157" s="11">
        <f t="shared" si="95"/>
        <v>1.0810810810810811E-2</v>
      </c>
      <c r="AG157" s="11">
        <f t="shared" si="96"/>
        <v>4.0816326530612242E-2</v>
      </c>
      <c r="AH157" s="11">
        <f t="shared" si="97"/>
        <v>3.2687181305089651E-3</v>
      </c>
      <c r="AI157" s="11">
        <f t="shared" si="98"/>
        <v>1</v>
      </c>
      <c r="AJ157" s="11">
        <f t="shared" si="99"/>
        <v>0</v>
      </c>
      <c r="AK157" s="11">
        <f t="shared" si="100"/>
        <v>5.3030303030303032E-2</v>
      </c>
      <c r="AL157" s="11">
        <f t="shared" si="101"/>
        <v>0.78553083800702417</v>
      </c>
      <c r="AM157" s="11">
        <f t="shared" si="102"/>
        <v>0.16666666666666666</v>
      </c>
      <c r="AN157" s="11">
        <f t="shared" si="103"/>
        <v>3.2258064516129031E-2</v>
      </c>
      <c r="AO157" s="11">
        <f t="shared" si="104"/>
        <v>0</v>
      </c>
      <c r="AP157" s="11">
        <f t="shared" si="105"/>
        <v>0</v>
      </c>
      <c r="AQ157" s="11">
        <f t="shared" si="106"/>
        <v>2.1299095142281099</v>
      </c>
    </row>
    <row r="158" spans="1:43" ht="15" customHeight="1" x14ac:dyDescent="0.2">
      <c r="A158" s="3" t="str">
        <f>MethodData!A155</f>
        <v>Position: randomPosition()</v>
      </c>
      <c r="B158" s="4">
        <f>MethodData!B155</f>
        <v>1</v>
      </c>
      <c r="C158" s="4">
        <f>MethodData!C155</f>
        <v>0</v>
      </c>
      <c r="D158" s="4">
        <f>MethodData!D155</f>
        <v>1</v>
      </c>
      <c r="E158" s="4">
        <f>MethodData!E155</f>
        <v>1</v>
      </c>
      <c r="F158" s="4">
        <f>MethodData!F155</f>
        <v>0</v>
      </c>
      <c r="G158" s="4">
        <f>MethodData!G155</f>
        <v>1</v>
      </c>
      <c r="H158" s="4">
        <f>MethodData!H155</f>
        <v>4.6666999999999996</v>
      </c>
      <c r="I158" s="4">
        <f>MethodData!I155</f>
        <v>248.03729999999999</v>
      </c>
      <c r="J158" s="4">
        <f>MethodData!J155</f>
        <v>1.32E-2</v>
      </c>
      <c r="K158" s="4">
        <f>MethodData!K155</f>
        <v>16</v>
      </c>
      <c r="L158" s="4">
        <f>MethodData!L155</f>
        <v>10</v>
      </c>
      <c r="M158" s="4">
        <f>MethodData!M155</f>
        <v>53.150799999999997</v>
      </c>
      <c r="N158" s="4">
        <f>MethodData!N155</f>
        <v>0</v>
      </c>
      <c r="O158" s="4">
        <f>MethodData!O155</f>
        <v>0</v>
      </c>
      <c r="P158" s="4">
        <f>MethodData!P155</f>
        <v>7</v>
      </c>
      <c r="Q158" s="4">
        <f>MethodData!Q155</f>
        <v>69.491699999999994</v>
      </c>
      <c r="R158" s="4">
        <f>MethodData!R155</f>
        <v>0</v>
      </c>
      <c r="S158" s="4">
        <f>MethodData!S155</f>
        <v>3</v>
      </c>
      <c r="T158" s="4">
        <f>MethodData!T155</f>
        <v>0</v>
      </c>
      <c r="U158" s="4">
        <f>MethodData!U155</f>
        <v>0</v>
      </c>
      <c r="W158" s="11">
        <f t="shared" si="86"/>
        <v>2.6315789473684209E-2</v>
      </c>
      <c r="X158" s="11">
        <f t="shared" si="87"/>
        <v>0</v>
      </c>
      <c r="Y158" s="11">
        <f t="shared" si="88"/>
        <v>1</v>
      </c>
      <c r="Z158" s="11">
        <f t="shared" si="89"/>
        <v>3.4482758620689655E-2</v>
      </c>
      <c r="AA158" s="11">
        <f t="shared" si="90"/>
        <v>0</v>
      </c>
      <c r="AB158" s="11">
        <f t="shared" si="91"/>
        <v>0.2</v>
      </c>
      <c r="AC158" s="11">
        <f t="shared" si="92"/>
        <v>4.6620379620379619E-2</v>
      </c>
      <c r="AD158" s="11">
        <f t="shared" si="93"/>
        <v>1.305284369099104E-3</v>
      </c>
      <c r="AE158" s="11">
        <f t="shared" si="94"/>
        <v>1.1980395716100926E-2</v>
      </c>
      <c r="AF158" s="11">
        <f t="shared" si="95"/>
        <v>4.3243243243243246E-2</v>
      </c>
      <c r="AG158" s="11">
        <f t="shared" si="96"/>
        <v>0.10204081632653061</v>
      </c>
      <c r="AH158" s="11">
        <f t="shared" si="97"/>
        <v>2.1716872951381985E-2</v>
      </c>
      <c r="AI158" s="11">
        <f t="shared" si="98"/>
        <v>0</v>
      </c>
      <c r="AJ158" s="11">
        <f t="shared" si="99"/>
        <v>0</v>
      </c>
      <c r="AK158" s="11">
        <f t="shared" si="100"/>
        <v>5.3030303030303032E-2</v>
      </c>
      <c r="AL158" s="11">
        <f t="shared" si="101"/>
        <v>0.72550122984536092</v>
      </c>
      <c r="AM158" s="11">
        <f t="shared" si="102"/>
        <v>0.16666666666666666</v>
      </c>
      <c r="AN158" s="11">
        <f t="shared" si="103"/>
        <v>9.6774193548387094E-2</v>
      </c>
      <c r="AO158" s="11">
        <f t="shared" si="104"/>
        <v>0</v>
      </c>
      <c r="AP158" s="11">
        <f t="shared" si="105"/>
        <v>0</v>
      </c>
      <c r="AQ158" s="11">
        <f t="shared" si="106"/>
        <v>2.5296779334118269</v>
      </c>
    </row>
    <row r="159" spans="1:43" ht="15" customHeight="1" x14ac:dyDescent="0.2">
      <c r="A159" s="3" t="str">
        <f>MethodData!A156</f>
        <v>Position: shoot()</v>
      </c>
      <c r="B159" s="4">
        <f>MethodData!B156</f>
        <v>1</v>
      </c>
      <c r="C159" s="4">
        <f>MethodData!C156</f>
        <v>0</v>
      </c>
      <c r="D159" s="4">
        <f>MethodData!D156</f>
        <v>0</v>
      </c>
      <c r="E159" s="4">
        <f>MethodData!E156</f>
        <v>0</v>
      </c>
      <c r="F159" s="4">
        <f>MethodData!F156</f>
        <v>0</v>
      </c>
      <c r="G159" s="4">
        <f>MethodData!G156</f>
        <v>0</v>
      </c>
      <c r="H159" s="4">
        <f>MethodData!H156</f>
        <v>1</v>
      </c>
      <c r="I159" s="4">
        <f>MethodData!I156</f>
        <v>8</v>
      </c>
      <c r="J159" s="4">
        <f>MethodData!J156</f>
        <v>1.2999999999999999E-3</v>
      </c>
      <c r="K159" s="4">
        <f>MethodData!K156</f>
        <v>4</v>
      </c>
      <c r="L159" s="4">
        <f>MethodData!L156</f>
        <v>4</v>
      </c>
      <c r="M159" s="4">
        <f>MethodData!M156</f>
        <v>8</v>
      </c>
      <c r="N159" s="4">
        <f>MethodData!N156</f>
        <v>1</v>
      </c>
      <c r="O159" s="4">
        <f>MethodData!O156</f>
        <v>0</v>
      </c>
      <c r="P159" s="4">
        <f>MethodData!P156</f>
        <v>7</v>
      </c>
      <c r="Q159" s="4">
        <f>MethodData!Q156</f>
        <v>75.241600000000005</v>
      </c>
      <c r="R159" s="4">
        <f>MethodData!R156</f>
        <v>0</v>
      </c>
      <c r="S159" s="4">
        <f>MethodData!S156</f>
        <v>1</v>
      </c>
      <c r="T159" s="4">
        <f>MethodData!T156</f>
        <v>0</v>
      </c>
      <c r="U159" s="4">
        <f>MethodData!U156</f>
        <v>0</v>
      </c>
      <c r="W159" s="11">
        <f t="shared" si="86"/>
        <v>2.6315789473684209E-2</v>
      </c>
      <c r="X159" s="11">
        <f t="shared" si="87"/>
        <v>0</v>
      </c>
      <c r="Y159" s="11">
        <f t="shared" si="88"/>
        <v>0</v>
      </c>
      <c r="Z159" s="11">
        <f t="shared" si="89"/>
        <v>0</v>
      </c>
      <c r="AA159" s="11">
        <f t="shared" si="90"/>
        <v>0</v>
      </c>
      <c r="AB159" s="11">
        <f t="shared" si="91"/>
        <v>0</v>
      </c>
      <c r="AC159" s="11">
        <f t="shared" si="92"/>
        <v>9.99000999000999E-3</v>
      </c>
      <c r="AD159" s="11">
        <f t="shared" si="93"/>
        <v>4.2099615472321428E-5</v>
      </c>
      <c r="AE159" s="11">
        <f t="shared" si="94"/>
        <v>1.1798874568887275E-3</v>
      </c>
      <c r="AF159" s="11">
        <f t="shared" si="95"/>
        <v>1.0810810810810811E-2</v>
      </c>
      <c r="AG159" s="11">
        <f t="shared" si="96"/>
        <v>4.0816326530612242E-2</v>
      </c>
      <c r="AH159" s="11">
        <f t="shared" si="97"/>
        <v>3.2687181305089651E-3</v>
      </c>
      <c r="AI159" s="11">
        <f t="shared" si="98"/>
        <v>1</v>
      </c>
      <c r="AJ159" s="11">
        <f t="shared" si="99"/>
        <v>0</v>
      </c>
      <c r="AK159" s="11">
        <f t="shared" si="100"/>
        <v>5.3030303030303032E-2</v>
      </c>
      <c r="AL159" s="11">
        <f t="shared" si="101"/>
        <v>0.78553083800702417</v>
      </c>
      <c r="AM159" s="11">
        <f t="shared" si="102"/>
        <v>0.16666666666666666</v>
      </c>
      <c r="AN159" s="11">
        <f t="shared" si="103"/>
        <v>3.2258064516129031E-2</v>
      </c>
      <c r="AO159" s="11">
        <f t="shared" si="104"/>
        <v>0</v>
      </c>
      <c r="AP159" s="11">
        <f t="shared" si="105"/>
        <v>0</v>
      </c>
      <c r="AQ159" s="11">
        <f t="shared" si="106"/>
        <v>2.1299095142281099</v>
      </c>
    </row>
    <row r="160" spans="1:43" ht="15" customHeight="1" x14ac:dyDescent="0.2">
      <c r="A160" s="3" t="str">
        <f>MethodData!A157</f>
        <v>Position: toString()</v>
      </c>
      <c r="B160" s="4">
        <f>MethodData!B157</f>
        <v>1</v>
      </c>
      <c r="C160" s="4">
        <f>MethodData!C157</f>
        <v>0</v>
      </c>
      <c r="D160" s="4">
        <f>MethodData!D157</f>
        <v>0</v>
      </c>
      <c r="E160" s="4">
        <f>MethodData!E157</f>
        <v>0</v>
      </c>
      <c r="F160" s="4">
        <f>MethodData!F157</f>
        <v>0</v>
      </c>
      <c r="G160" s="4">
        <f>MethodData!G157</f>
        <v>0</v>
      </c>
      <c r="H160" s="4">
        <f>MethodData!H157</f>
        <v>2</v>
      </c>
      <c r="I160" s="4">
        <f>MethodData!I157</f>
        <v>63.398499999999999</v>
      </c>
      <c r="J160" s="4">
        <f>MethodData!J157</f>
        <v>5.3E-3</v>
      </c>
      <c r="K160" s="4">
        <f>MethodData!K157</f>
        <v>10</v>
      </c>
      <c r="L160" s="4">
        <f>MethodData!L157</f>
        <v>9</v>
      </c>
      <c r="M160" s="4">
        <f>MethodData!M157</f>
        <v>31.699300000000001</v>
      </c>
      <c r="N160" s="4">
        <f>MethodData!N157</f>
        <v>1</v>
      </c>
      <c r="O160" s="4">
        <f>MethodData!O157</f>
        <v>0</v>
      </c>
      <c r="P160" s="4">
        <f>MethodData!P157</f>
        <v>11</v>
      </c>
      <c r="Q160" s="4">
        <f>MethodData!Q157</f>
        <v>66.840599999999995</v>
      </c>
      <c r="R160" s="4">
        <f>MethodData!R157</f>
        <v>0</v>
      </c>
      <c r="S160" s="4">
        <f>MethodData!S157</f>
        <v>2</v>
      </c>
      <c r="T160" s="4">
        <f>MethodData!T157</f>
        <v>0</v>
      </c>
      <c r="U160" s="4">
        <f>MethodData!U157</f>
        <v>0</v>
      </c>
      <c r="W160" s="11">
        <f t="shared" si="86"/>
        <v>2.6315789473684209E-2</v>
      </c>
      <c r="X160" s="11">
        <f t="shared" si="87"/>
        <v>0</v>
      </c>
      <c r="Y160" s="11">
        <f t="shared" si="88"/>
        <v>0</v>
      </c>
      <c r="Z160" s="11">
        <f t="shared" si="89"/>
        <v>0</v>
      </c>
      <c r="AA160" s="11">
        <f t="shared" si="90"/>
        <v>0</v>
      </c>
      <c r="AB160" s="11">
        <f t="shared" si="91"/>
        <v>0</v>
      </c>
      <c r="AC160" s="11">
        <f t="shared" si="92"/>
        <v>1.998001998001998E-2</v>
      </c>
      <c r="AD160" s="11">
        <f t="shared" si="93"/>
        <v>3.3363155894024628E-4</v>
      </c>
      <c r="AE160" s="11">
        <f t="shared" si="94"/>
        <v>4.8103104011617357E-3</v>
      </c>
      <c r="AF160" s="11">
        <f t="shared" si="95"/>
        <v>2.7027027027027029E-2</v>
      </c>
      <c r="AG160" s="11">
        <f t="shared" si="96"/>
        <v>9.1836734693877556E-2</v>
      </c>
      <c r="AH160" s="11">
        <f t="shared" si="97"/>
        <v>1.2952009579305354E-2</v>
      </c>
      <c r="AI160" s="11">
        <f t="shared" si="98"/>
        <v>1</v>
      </c>
      <c r="AJ160" s="11">
        <f t="shared" si="99"/>
        <v>0</v>
      </c>
      <c r="AK160" s="11">
        <f t="shared" si="100"/>
        <v>8.3333333333333329E-2</v>
      </c>
      <c r="AL160" s="11">
        <f t="shared" si="101"/>
        <v>0.69782344515390804</v>
      </c>
      <c r="AM160" s="11">
        <f t="shared" si="102"/>
        <v>0.16666666666666666</v>
      </c>
      <c r="AN160" s="11">
        <f t="shared" si="103"/>
        <v>6.4516129032258063E-2</v>
      </c>
      <c r="AO160" s="11">
        <f t="shared" si="104"/>
        <v>0</v>
      </c>
      <c r="AP160" s="11">
        <f t="shared" si="105"/>
        <v>0</v>
      </c>
      <c r="AQ160" s="11">
        <f t="shared" si="106"/>
        <v>2.1955950969001821</v>
      </c>
    </row>
    <row r="161" spans="1:43" ht="15" customHeight="1" x14ac:dyDescent="0.2">
      <c r="A161" s="3" t="str">
        <f>MethodData!A158</f>
        <v>Scoreboard: displayScoreboard(int)</v>
      </c>
      <c r="B161" s="4">
        <f>MethodData!B158</f>
        <v>5</v>
      </c>
      <c r="C161" s="4">
        <f>MethodData!C158</f>
        <v>5</v>
      </c>
      <c r="D161" s="4">
        <f>MethodData!D158</f>
        <v>0.57140000000000002</v>
      </c>
      <c r="E161" s="4">
        <f>MethodData!E158</f>
        <v>13</v>
      </c>
      <c r="F161" s="4">
        <f>MethodData!F158</f>
        <v>1</v>
      </c>
      <c r="G161" s="4">
        <f>MethodData!G158</f>
        <v>2</v>
      </c>
      <c r="H161" s="4">
        <f>MethodData!H158</f>
        <v>20.16</v>
      </c>
      <c r="I161" s="4">
        <f>MethodData!I158</f>
        <v>9168.5966000000008</v>
      </c>
      <c r="J161" s="4">
        <f>MethodData!J158</f>
        <v>0.14599999999999999</v>
      </c>
      <c r="K161" s="4">
        <f>MethodData!K158</f>
        <v>81</v>
      </c>
      <c r="L161" s="4">
        <f>MethodData!L158</f>
        <v>49</v>
      </c>
      <c r="M161" s="4">
        <f>MethodData!M158</f>
        <v>454.79149999999998</v>
      </c>
      <c r="N161" s="4">
        <f>MethodData!N158</f>
        <v>0.33329999999999999</v>
      </c>
      <c r="O161" s="4">
        <f>MethodData!O158</f>
        <v>0</v>
      </c>
      <c r="P161" s="4">
        <f>MethodData!P158</f>
        <v>44</v>
      </c>
      <c r="Q161" s="4">
        <f>MethodData!Q158</f>
        <v>45.328600000000002</v>
      </c>
      <c r="R161" s="4">
        <f>MethodData!R158</f>
        <v>1</v>
      </c>
      <c r="S161" s="4">
        <f>MethodData!S158</f>
        <v>13</v>
      </c>
      <c r="T161" s="4">
        <f>MethodData!T158</f>
        <v>0</v>
      </c>
      <c r="U161" s="4">
        <f>MethodData!U158</f>
        <v>1</v>
      </c>
      <c r="W161" s="11">
        <f t="shared" si="86"/>
        <v>0.13157894736842105</v>
      </c>
      <c r="X161" s="11">
        <f t="shared" si="87"/>
        <v>0.125</v>
      </c>
      <c r="Y161" s="11">
        <f t="shared" si="88"/>
        <v>0.57140000000000002</v>
      </c>
      <c r="Z161" s="11">
        <f t="shared" si="89"/>
        <v>0.44827586206896552</v>
      </c>
      <c r="AA161" s="11">
        <f t="shared" si="90"/>
        <v>0.25</v>
      </c>
      <c r="AB161" s="11">
        <f t="shared" si="91"/>
        <v>0.4</v>
      </c>
      <c r="AC161" s="11">
        <f t="shared" si="92"/>
        <v>0.20139860139860141</v>
      </c>
      <c r="AD161" s="11">
        <f t="shared" si="93"/>
        <v>4.824929891010421E-2</v>
      </c>
      <c r="AE161" s="11">
        <f t="shared" si="94"/>
        <v>0.1325104374659648</v>
      </c>
      <c r="AF161" s="11">
        <f t="shared" si="95"/>
        <v>0.21891891891891893</v>
      </c>
      <c r="AG161" s="11">
        <f t="shared" si="96"/>
        <v>0.5</v>
      </c>
      <c r="AH161" s="11">
        <f t="shared" si="97"/>
        <v>0.185823152706421</v>
      </c>
      <c r="AI161" s="11">
        <f t="shared" si="98"/>
        <v>0.33329999999999999</v>
      </c>
      <c r="AJ161" s="11">
        <f t="shared" si="99"/>
        <v>0</v>
      </c>
      <c r="AK161" s="11">
        <f t="shared" si="100"/>
        <v>0.33333333333333331</v>
      </c>
      <c r="AL161" s="11">
        <f t="shared" si="101"/>
        <v>0.4732357252329189</v>
      </c>
      <c r="AM161" s="11">
        <f t="shared" si="102"/>
        <v>0.33333333333333331</v>
      </c>
      <c r="AN161" s="11">
        <f t="shared" si="103"/>
        <v>0.41935483870967744</v>
      </c>
      <c r="AO161" s="11">
        <f t="shared" si="104"/>
        <v>0</v>
      </c>
      <c r="AP161" s="11">
        <f t="shared" si="105"/>
        <v>0.25</v>
      </c>
      <c r="AQ161" s="11">
        <f t="shared" si="106"/>
        <v>5.355712449446659</v>
      </c>
    </row>
    <row r="162" spans="1:43" ht="15" customHeight="1" x14ac:dyDescent="0.2">
      <c r="A162" s="3" t="str">
        <f>MethodData!A159</f>
        <v>Scoreboard: interactiveDisplay(Scanner)</v>
      </c>
      <c r="B162" s="4">
        <f>MethodData!B159</f>
        <v>3</v>
      </c>
      <c r="C162" s="4">
        <f>MethodData!C159</f>
        <v>2</v>
      </c>
      <c r="D162" s="4">
        <f>MethodData!D159</f>
        <v>0.4</v>
      </c>
      <c r="E162" s="4">
        <f>MethodData!E159</f>
        <v>4</v>
      </c>
      <c r="F162" s="4">
        <f>MethodData!F159</f>
        <v>2</v>
      </c>
      <c r="G162" s="4">
        <f>MethodData!G159</f>
        <v>1</v>
      </c>
      <c r="H162" s="4">
        <f>MethodData!H159</f>
        <v>8.8000000000000007</v>
      </c>
      <c r="I162" s="4">
        <f>MethodData!I159</f>
        <v>1198.2242000000001</v>
      </c>
      <c r="J162" s="4">
        <f>MethodData!J159</f>
        <v>3.7600000000000001E-2</v>
      </c>
      <c r="K162" s="4">
        <f>MethodData!K159</f>
        <v>31</v>
      </c>
      <c r="L162" s="4">
        <f>MethodData!L159</f>
        <v>21</v>
      </c>
      <c r="M162" s="4">
        <f>MethodData!M159</f>
        <v>136.1618</v>
      </c>
      <c r="N162" s="4">
        <f>MethodData!N159</f>
        <v>0</v>
      </c>
      <c r="O162" s="4">
        <f>MethodData!O159</f>
        <v>0</v>
      </c>
      <c r="P162" s="4">
        <f>MethodData!P159</f>
        <v>17</v>
      </c>
      <c r="Q162" s="4">
        <f>MethodData!Q159</f>
        <v>58.072200000000002</v>
      </c>
      <c r="R162" s="4">
        <f>MethodData!R159</f>
        <v>1</v>
      </c>
      <c r="S162" s="4">
        <f>MethodData!S159</f>
        <v>4</v>
      </c>
      <c r="T162" s="4">
        <f>MethodData!T159</f>
        <v>0</v>
      </c>
      <c r="U162" s="4">
        <f>MethodData!U159</f>
        <v>1</v>
      </c>
      <c r="W162" s="11">
        <f t="shared" si="86"/>
        <v>7.8947368421052627E-2</v>
      </c>
      <c r="X162" s="11">
        <f t="shared" si="87"/>
        <v>0.05</v>
      </c>
      <c r="Y162" s="11">
        <f t="shared" si="88"/>
        <v>0.4</v>
      </c>
      <c r="Z162" s="11">
        <f t="shared" si="89"/>
        <v>0.13793103448275862</v>
      </c>
      <c r="AA162" s="11">
        <f t="shared" si="90"/>
        <v>0.5</v>
      </c>
      <c r="AB162" s="11">
        <f t="shared" si="91"/>
        <v>0.2</v>
      </c>
      <c r="AC162" s="11">
        <f t="shared" si="92"/>
        <v>8.7912087912087919E-2</v>
      </c>
      <c r="AD162" s="11">
        <f t="shared" si="93"/>
        <v>6.3055972587037464E-3</v>
      </c>
      <c r="AE162" s="11">
        <f t="shared" si="94"/>
        <v>3.4125975676166279E-2</v>
      </c>
      <c r="AF162" s="11">
        <f t="shared" si="95"/>
        <v>8.3783783783783788E-2</v>
      </c>
      <c r="AG162" s="11">
        <f t="shared" si="96"/>
        <v>0.21428571428571427</v>
      </c>
      <c r="AH162" s="11">
        <f t="shared" si="97"/>
        <v>5.5634318042841947E-2</v>
      </c>
      <c r="AI162" s="11">
        <f t="shared" si="98"/>
        <v>0</v>
      </c>
      <c r="AJ162" s="11">
        <f t="shared" si="99"/>
        <v>0</v>
      </c>
      <c r="AK162" s="11">
        <f t="shared" si="100"/>
        <v>0.12878787878787878</v>
      </c>
      <c r="AL162" s="11">
        <f t="shared" si="101"/>
        <v>0.6062803546297727</v>
      </c>
      <c r="AM162" s="11">
        <f t="shared" si="102"/>
        <v>0.33333333333333331</v>
      </c>
      <c r="AN162" s="11">
        <f t="shared" si="103"/>
        <v>0.12903225806451613</v>
      </c>
      <c r="AO162" s="11">
        <f t="shared" si="104"/>
        <v>0</v>
      </c>
      <c r="AP162" s="11">
        <f t="shared" si="105"/>
        <v>0.25</v>
      </c>
      <c r="AQ162" s="11">
        <f t="shared" si="106"/>
        <v>3.2963597046786099</v>
      </c>
    </row>
    <row r="163" spans="1:43" ht="15" customHeight="1" x14ac:dyDescent="0.2">
      <c r="A163" s="3" t="str">
        <f>MethodData!A160</f>
        <v>Scoreboard: loadResults()</v>
      </c>
      <c r="B163" s="4">
        <f>MethodData!B160</f>
        <v>3</v>
      </c>
      <c r="C163" s="4">
        <f>MethodData!C160</f>
        <v>2</v>
      </c>
      <c r="D163" s="4">
        <f>MethodData!D160</f>
        <v>1</v>
      </c>
      <c r="E163" s="4">
        <f>MethodData!E160</f>
        <v>4</v>
      </c>
      <c r="F163" s="4">
        <f>MethodData!F160</f>
        <v>1</v>
      </c>
      <c r="G163" s="4">
        <f>MethodData!G160</f>
        <v>2</v>
      </c>
      <c r="H163" s="4">
        <f>MethodData!H160</f>
        <v>7.5833000000000004</v>
      </c>
      <c r="I163" s="4">
        <f>MethodData!I160</f>
        <v>805.33630000000005</v>
      </c>
      <c r="J163" s="4">
        <f>MethodData!J160</f>
        <v>2.8899999999999999E-2</v>
      </c>
      <c r="K163" s="4">
        <f>MethodData!K160</f>
        <v>25</v>
      </c>
      <c r="L163" s="4">
        <f>MethodData!L160</f>
        <v>19</v>
      </c>
      <c r="M163" s="4">
        <f>MethodData!M160</f>
        <v>106.1982</v>
      </c>
      <c r="N163" s="4">
        <f>MethodData!N160</f>
        <v>0.5</v>
      </c>
      <c r="O163" s="4">
        <f>MethodData!O160</f>
        <v>0</v>
      </c>
      <c r="P163" s="4">
        <f>MethodData!P160</f>
        <v>15</v>
      </c>
      <c r="Q163" s="4">
        <f>MethodData!Q160</f>
        <v>60.015799999999999</v>
      </c>
      <c r="R163" s="4">
        <f>MethodData!R160</f>
        <v>2</v>
      </c>
      <c r="S163" s="4">
        <f>MethodData!S160</f>
        <v>5</v>
      </c>
      <c r="T163" s="4">
        <f>MethodData!T160</f>
        <v>0</v>
      </c>
      <c r="U163" s="4">
        <f>MethodData!U160</f>
        <v>0</v>
      </c>
      <c r="W163" s="11">
        <f t="shared" si="86"/>
        <v>7.8947368421052627E-2</v>
      </c>
      <c r="X163" s="11">
        <f t="shared" si="87"/>
        <v>0.05</v>
      </c>
      <c r="Y163" s="11">
        <f t="shared" si="88"/>
        <v>1</v>
      </c>
      <c r="Z163" s="11">
        <f t="shared" si="89"/>
        <v>0.13793103448275862</v>
      </c>
      <c r="AA163" s="11">
        <f t="shared" si="90"/>
        <v>0.25</v>
      </c>
      <c r="AB163" s="11">
        <f t="shared" si="91"/>
        <v>0.4</v>
      </c>
      <c r="AC163" s="11">
        <f t="shared" si="92"/>
        <v>7.5757242757242771E-2</v>
      </c>
      <c r="AD163" s="11">
        <f t="shared" si="93"/>
        <v>4.238043569487762E-3</v>
      </c>
      <c r="AE163" s="11">
        <f t="shared" si="94"/>
        <v>2.6229805772372484E-2</v>
      </c>
      <c r="AF163" s="11">
        <f t="shared" si="95"/>
        <v>6.7567567567567571E-2</v>
      </c>
      <c r="AG163" s="11">
        <f t="shared" si="96"/>
        <v>0.19387755102040816</v>
      </c>
      <c r="AH163" s="11">
        <f t="shared" si="97"/>
        <v>4.3391497720927145E-2</v>
      </c>
      <c r="AI163" s="11">
        <f t="shared" si="98"/>
        <v>0.5</v>
      </c>
      <c r="AJ163" s="11">
        <f t="shared" si="99"/>
        <v>0</v>
      </c>
      <c r="AK163" s="11">
        <f t="shared" si="100"/>
        <v>0.11363636363636363</v>
      </c>
      <c r="AL163" s="11">
        <f t="shared" si="101"/>
        <v>0.6265717590755906</v>
      </c>
      <c r="AM163" s="11">
        <f t="shared" si="102"/>
        <v>0.5</v>
      </c>
      <c r="AN163" s="11">
        <f t="shared" si="103"/>
        <v>0.16129032258064516</v>
      </c>
      <c r="AO163" s="11">
        <f t="shared" si="104"/>
        <v>0</v>
      </c>
      <c r="AP163" s="11">
        <f t="shared" si="105"/>
        <v>0</v>
      </c>
      <c r="AQ163" s="11">
        <f t="shared" si="106"/>
        <v>4.2294385566044168</v>
      </c>
    </row>
    <row r="164" spans="1:43" ht="15" customHeight="1" x14ac:dyDescent="0.2">
      <c r="A164" s="3" t="str">
        <f>MethodData!A161</f>
        <v>Scoreboard: saveResult(GameResult)</v>
      </c>
      <c r="B164" s="4">
        <f>MethodData!B161</f>
        <v>2</v>
      </c>
      <c r="C164" s="4">
        <f>MethodData!C161</f>
        <v>1</v>
      </c>
      <c r="D164" s="4">
        <f>MethodData!D161</f>
        <v>0.75</v>
      </c>
      <c r="E164" s="4">
        <f>MethodData!E161</f>
        <v>7</v>
      </c>
      <c r="F164" s="4">
        <f>MethodData!F161</f>
        <v>0</v>
      </c>
      <c r="G164" s="4">
        <f>MethodData!G161</f>
        <v>2</v>
      </c>
      <c r="H164" s="4">
        <f>MethodData!H161</f>
        <v>9</v>
      </c>
      <c r="I164" s="4">
        <f>MethodData!I161</f>
        <v>1170.2518</v>
      </c>
      <c r="J164" s="4">
        <f>MethodData!J161</f>
        <v>3.6999999999999998E-2</v>
      </c>
      <c r="K164" s="4">
        <f>MethodData!K161</f>
        <v>28</v>
      </c>
      <c r="L164" s="4">
        <f>MethodData!L161</f>
        <v>25</v>
      </c>
      <c r="M164" s="4">
        <f>MethodData!M161</f>
        <v>130.02799999999999</v>
      </c>
      <c r="N164" s="4">
        <f>MethodData!N161</f>
        <v>0.4</v>
      </c>
      <c r="O164" s="4">
        <f>MethodData!O161</f>
        <v>0</v>
      </c>
      <c r="P164" s="4">
        <f>MethodData!P161</f>
        <v>17</v>
      </c>
      <c r="Q164" s="4">
        <f>MethodData!Q161</f>
        <v>58.2639</v>
      </c>
      <c r="R164" s="4">
        <f>MethodData!R161</f>
        <v>1</v>
      </c>
      <c r="S164" s="4">
        <f>MethodData!S161</f>
        <v>8</v>
      </c>
      <c r="T164" s="4">
        <f>MethodData!T161</f>
        <v>0</v>
      </c>
      <c r="U164" s="4">
        <f>MethodData!U161</f>
        <v>1</v>
      </c>
      <c r="W164" s="11">
        <f t="shared" si="86"/>
        <v>5.2631578947368418E-2</v>
      </c>
      <c r="X164" s="11">
        <f t="shared" si="87"/>
        <v>2.5000000000000001E-2</v>
      </c>
      <c r="Y164" s="11">
        <f t="shared" si="88"/>
        <v>0.75</v>
      </c>
      <c r="Z164" s="11">
        <f t="shared" si="89"/>
        <v>0.2413793103448276</v>
      </c>
      <c r="AA164" s="11">
        <f t="shared" si="90"/>
        <v>0</v>
      </c>
      <c r="AB164" s="11">
        <f t="shared" si="91"/>
        <v>0.4</v>
      </c>
      <c r="AC164" s="11">
        <f t="shared" si="92"/>
        <v>8.9910089910089919E-2</v>
      </c>
      <c r="AD164" s="11">
        <f t="shared" si="93"/>
        <v>6.1583938482240004E-3</v>
      </c>
      <c r="AE164" s="11">
        <f t="shared" si="94"/>
        <v>3.3581412234525321E-2</v>
      </c>
      <c r="AF164" s="11">
        <f t="shared" si="95"/>
        <v>7.567567567567568E-2</v>
      </c>
      <c r="AG164" s="11">
        <f t="shared" si="96"/>
        <v>0.25510204081632654</v>
      </c>
      <c r="AH164" s="11">
        <f t="shared" si="97"/>
        <v>5.3128110134227455E-2</v>
      </c>
      <c r="AI164" s="11">
        <f t="shared" si="98"/>
        <v>0.4</v>
      </c>
      <c r="AJ164" s="11">
        <f t="shared" si="99"/>
        <v>0</v>
      </c>
      <c r="AK164" s="11">
        <f t="shared" si="100"/>
        <v>0.12878787878787878</v>
      </c>
      <c r="AL164" s="11">
        <f t="shared" si="101"/>
        <v>0.6082817243726536</v>
      </c>
      <c r="AM164" s="11">
        <f t="shared" si="102"/>
        <v>0.33333333333333331</v>
      </c>
      <c r="AN164" s="11">
        <f t="shared" si="103"/>
        <v>0.25806451612903225</v>
      </c>
      <c r="AO164" s="11">
        <f t="shared" si="104"/>
        <v>0</v>
      </c>
      <c r="AP164" s="11">
        <f t="shared" si="105"/>
        <v>0.25</v>
      </c>
      <c r="AQ164" s="11">
        <f t="shared" si="106"/>
        <v>3.9610340645341626</v>
      </c>
    </row>
    <row r="165" spans="1:43" ht="15" customHeight="1" x14ac:dyDescent="0.2">
      <c r="A165" s="3" t="str">
        <f>MethodData!A162</f>
        <v>Ship: Ship(String, Compass, IPosition, int)</v>
      </c>
      <c r="B165" s="4">
        <f>MethodData!B162</f>
        <v>1</v>
      </c>
      <c r="C165" s="4">
        <f>MethodData!C162</f>
        <v>0</v>
      </c>
      <c r="D165" s="4">
        <f>MethodData!D162</f>
        <v>1</v>
      </c>
      <c r="E165" s="4">
        <f>MethodData!E162</f>
        <v>1</v>
      </c>
      <c r="F165" s="4">
        <f>MethodData!F162</f>
        <v>0</v>
      </c>
      <c r="G165" s="4">
        <f>MethodData!G162</f>
        <v>0</v>
      </c>
      <c r="H165" s="4">
        <f>MethodData!H162</f>
        <v>3.75</v>
      </c>
      <c r="I165" s="4">
        <f>MethodData!I162</f>
        <v>475.16759999999999</v>
      </c>
      <c r="J165" s="4">
        <f>MethodData!J162</f>
        <v>2.0299999999999999E-2</v>
      </c>
      <c r="K165" s="4">
        <f>MethodData!K162</f>
        <v>31</v>
      </c>
      <c r="L165" s="4">
        <f>MethodData!L162</f>
        <v>17</v>
      </c>
      <c r="M165" s="4">
        <f>MethodData!M162</f>
        <v>126.71129999999999</v>
      </c>
      <c r="N165" s="4">
        <f>MethodData!N162</f>
        <v>1</v>
      </c>
      <c r="O165" s="4">
        <f>MethodData!O162</f>
        <v>0</v>
      </c>
      <c r="P165" s="4">
        <f>MethodData!P162</f>
        <v>19</v>
      </c>
      <c r="Q165" s="4">
        <f>MethodData!Q162</f>
        <v>57.398499999999999</v>
      </c>
      <c r="R165" s="4">
        <f>MethodData!R162</f>
        <v>0</v>
      </c>
      <c r="S165" s="4">
        <f>MethodData!S162</f>
        <v>9</v>
      </c>
      <c r="T165" s="4">
        <f>MethodData!T162</f>
        <v>0</v>
      </c>
      <c r="U165" s="4">
        <f>MethodData!U162</f>
        <v>4</v>
      </c>
      <c r="W165" s="11">
        <f t="shared" ref="W165:W190" si="107">IF(B$3-B$2=0,0,(B165-B$2)/(B$3-B$2))</f>
        <v>2.6315789473684209E-2</v>
      </c>
      <c r="X165" s="11">
        <f t="shared" ref="X165:X190" si="108">IF(C$3-C$2=0,0,(C165-C$2)/(C$3-C$2))</f>
        <v>0</v>
      </c>
      <c r="Y165" s="11">
        <f t="shared" ref="Y165:Y190" si="109">IF(D$3-D$2=0,0,(D165-D$2)/(D$3-D$2))</f>
        <v>1</v>
      </c>
      <c r="Z165" s="11">
        <f t="shared" ref="Z165:Z190" si="110">IF(E$3-E$2=0,0,(E165-E$2)/(E$3-E$2))</f>
        <v>3.4482758620689655E-2</v>
      </c>
      <c r="AA165" s="11">
        <f t="shared" ref="AA165:AA190" si="111">IF(F$3-F$2=0,0,(F165-F$2)/(F$3-F$2))</f>
        <v>0</v>
      </c>
      <c r="AB165" s="11">
        <f t="shared" ref="AB165:AB190" si="112">IF(G$3-G$2=0,0,(G165-G$2)/(G$3-G$2))</f>
        <v>0</v>
      </c>
      <c r="AC165" s="11">
        <f t="shared" ref="AC165:AC190" si="113">IF(H$3-H$2=0,0,(H165-H$2)/(H$3-H$2))</f>
        <v>3.7462537462537464E-2</v>
      </c>
      <c r="AD165" s="11">
        <f t="shared" ref="AD165:AD190" si="114">IF(I$3-I$2=0,0,(I165-I$2)/(I$3-I$2))</f>
        <v>2.5005466556132301E-3</v>
      </c>
      <c r="AE165" s="11">
        <f t="shared" ref="AE165:AE190" si="115">IF(J$3-J$2=0,0,(J165-J$2)/(J$3-J$2))</f>
        <v>1.8424396442185517E-2</v>
      </c>
      <c r="AF165" s="11">
        <f t="shared" ref="AF165:AF190" si="116">IF(K$3-K$2=0,0,(K165-K$2)/(K$3-K$2))</f>
        <v>8.3783783783783788E-2</v>
      </c>
      <c r="AG165" s="11">
        <f t="shared" ref="AG165:AG190" si="117">IF(L$3-L$2=0,0,(L165-L$2)/(L$3-L$2))</f>
        <v>0.17346938775510204</v>
      </c>
      <c r="AH165" s="11">
        <f t="shared" ref="AH165:AH190" si="118">IF(M$3-M$2=0,0,(M165-M$2)/(M$3-M$2))</f>
        <v>5.1772940456295075E-2</v>
      </c>
      <c r="AI165" s="11">
        <f t="shared" ref="AI165:AI190" si="119">IF(N$3-N$2=0,0,(N165-N$2)/(N$3-N$2))</f>
        <v>1</v>
      </c>
      <c r="AJ165" s="11">
        <f t="shared" ref="AJ165:AJ190" si="120">IF(O$3-O$2=0,0,(O165-O$2)/(O$3-O$2))</f>
        <v>0</v>
      </c>
      <c r="AK165" s="11">
        <f t="shared" ref="AK165:AK190" si="121">IF(P$3-P$2=0,0,(P165-P$2)/(P$3-P$2))</f>
        <v>0.14393939393939395</v>
      </c>
      <c r="AL165" s="11">
        <f t="shared" ref="AL165:AL190" si="122">IF(Q$3-Q$2=0,0,(Q165-Q$2)/(Q$3-Q$2))</f>
        <v>0.59924685021778068</v>
      </c>
      <c r="AM165" s="11">
        <f t="shared" ref="AM165:AM190" si="123">IF(R$3-R$2=0,0,(R165-R$2)/(R$3-R$2))</f>
        <v>0.16666666666666666</v>
      </c>
      <c r="AN165" s="11">
        <f t="shared" ref="AN165:AN190" si="124">IF(S$3-S$2=0,0,(S165-S$2)/(S$3-S$2))</f>
        <v>0.29032258064516131</v>
      </c>
      <c r="AO165" s="11">
        <f t="shared" ref="AO165:AO190" si="125">IF(T$3-T$2=0,0,(T165-T$2)/(T$3-T$2))</f>
        <v>0</v>
      </c>
      <c r="AP165" s="11">
        <f t="shared" ref="AP165:AP190" si="126">IF(U$3-U$2=0,0,(U165-U$2)/(U$3-U$2))</f>
        <v>1</v>
      </c>
      <c r="AQ165" s="11">
        <f t="shared" ref="AQ165:AQ196" si="127">SUM(W165:AP165)</f>
        <v>4.6283876321188941</v>
      </c>
    </row>
    <row r="166" spans="1:43" ht="15" customHeight="1" x14ac:dyDescent="0.2">
      <c r="A166" s="3" t="str">
        <f>MethodData!A163</f>
        <v>Ship: buildShip(String, Compass, Position)</v>
      </c>
      <c r="B166" s="4">
        <f>MethodData!B163</f>
        <v>7</v>
      </c>
      <c r="C166" s="4">
        <f>MethodData!C163</f>
        <v>1</v>
      </c>
      <c r="D166" s="4">
        <f>MethodData!D163</f>
        <v>0</v>
      </c>
      <c r="E166" s="4">
        <f>MethodData!E163</f>
        <v>0</v>
      </c>
      <c r="F166" s="4">
        <f>MethodData!F163</f>
        <v>0</v>
      </c>
      <c r="G166" s="4">
        <f>MethodData!G163</f>
        <v>0</v>
      </c>
      <c r="H166" s="4">
        <f>MethodData!H163</f>
        <v>13.5</v>
      </c>
      <c r="I166" s="4">
        <f>MethodData!I163</f>
        <v>3154.0862000000002</v>
      </c>
      <c r="J166" s="4">
        <f>MethodData!J163</f>
        <v>7.17E-2</v>
      </c>
      <c r="K166" s="4">
        <f>MethodData!K163</f>
        <v>55</v>
      </c>
      <c r="L166" s="4">
        <f>MethodData!L163</f>
        <v>19</v>
      </c>
      <c r="M166" s="4">
        <f>MethodData!M163</f>
        <v>233.636</v>
      </c>
      <c r="N166" s="4">
        <f>MethodData!N163</f>
        <v>1</v>
      </c>
      <c r="O166" s="4">
        <f>MethodData!O163</f>
        <v>0</v>
      </c>
      <c r="P166" s="4">
        <f>MethodData!P163</f>
        <v>36</v>
      </c>
      <c r="Q166" s="4">
        <f>MethodData!Q163</f>
        <v>49.212899999999998</v>
      </c>
      <c r="R166" s="4">
        <f>MethodData!R163</f>
        <v>1</v>
      </c>
      <c r="S166" s="4">
        <f>MethodData!S163</f>
        <v>9</v>
      </c>
      <c r="T166" s="4">
        <f>MethodData!T163</f>
        <v>0</v>
      </c>
      <c r="U166" s="4">
        <f>MethodData!U163</f>
        <v>3</v>
      </c>
      <c r="W166" s="11">
        <f t="shared" si="107"/>
        <v>0.18421052631578946</v>
      </c>
      <c r="X166" s="11">
        <f t="shared" si="108"/>
        <v>2.5000000000000001E-2</v>
      </c>
      <c r="Y166" s="11">
        <f t="shared" si="109"/>
        <v>0</v>
      </c>
      <c r="Z166" s="11">
        <f t="shared" si="110"/>
        <v>0</v>
      </c>
      <c r="AA166" s="11">
        <f t="shared" si="111"/>
        <v>0</v>
      </c>
      <c r="AB166" s="11">
        <f t="shared" si="112"/>
        <v>0</v>
      </c>
      <c r="AC166" s="11">
        <f t="shared" si="113"/>
        <v>0.13486513486513488</v>
      </c>
      <c r="AD166" s="11">
        <f t="shared" si="114"/>
        <v>1.659822702331944E-2</v>
      </c>
      <c r="AE166" s="11">
        <f t="shared" si="115"/>
        <v>6.5075331276093676E-2</v>
      </c>
      <c r="AF166" s="11">
        <f t="shared" si="116"/>
        <v>0.14864864864864866</v>
      </c>
      <c r="AG166" s="11">
        <f t="shared" si="117"/>
        <v>0.19387755102040816</v>
      </c>
      <c r="AH166" s="11">
        <f t="shared" si="118"/>
        <v>9.5461278642449063E-2</v>
      </c>
      <c r="AI166" s="11">
        <f t="shared" si="119"/>
        <v>1</v>
      </c>
      <c r="AJ166" s="11">
        <f t="shared" si="120"/>
        <v>0</v>
      </c>
      <c r="AK166" s="11">
        <f t="shared" si="121"/>
        <v>0.27272727272727271</v>
      </c>
      <c r="AL166" s="11">
        <f t="shared" si="122"/>
        <v>0.51378825779563264</v>
      </c>
      <c r="AM166" s="11">
        <f t="shared" si="123"/>
        <v>0.33333333333333331</v>
      </c>
      <c r="AN166" s="11">
        <f t="shared" si="124"/>
        <v>0.29032258064516131</v>
      </c>
      <c r="AO166" s="11">
        <f t="shared" si="125"/>
        <v>0</v>
      </c>
      <c r="AP166" s="11">
        <f t="shared" si="126"/>
        <v>0.75</v>
      </c>
      <c r="AQ166" s="11">
        <f t="shared" si="127"/>
        <v>4.0239081422932435</v>
      </c>
    </row>
    <row r="167" spans="1:43" ht="15" customHeight="1" x14ac:dyDescent="0.2">
      <c r="A167" s="3" t="str">
        <f>MethodData!A164</f>
        <v>Ship: getAdjacentPositions()</v>
      </c>
      <c r="B167" s="4">
        <f>MethodData!B164</f>
        <v>5</v>
      </c>
      <c r="C167" s="4">
        <f>MethodData!C164</f>
        <v>4</v>
      </c>
      <c r="D167" s="4">
        <f>MethodData!D164</f>
        <v>0.5</v>
      </c>
      <c r="E167" s="4">
        <f>MethodData!E164</f>
        <v>3</v>
      </c>
      <c r="F167" s="4">
        <f>MethodData!F164</f>
        <v>1</v>
      </c>
      <c r="G167" s="4">
        <f>MethodData!G164</f>
        <v>0</v>
      </c>
      <c r="H167" s="4">
        <f>MethodData!H164</f>
        <v>11</v>
      </c>
      <c r="I167" s="4">
        <f>MethodData!I164</f>
        <v>988.44330000000002</v>
      </c>
      <c r="J167" s="4">
        <f>MethodData!J164</f>
        <v>3.3099999999999997E-2</v>
      </c>
      <c r="K167" s="4">
        <f>MethodData!K164</f>
        <v>23</v>
      </c>
      <c r="L167" s="4">
        <f>MethodData!L164</f>
        <v>15</v>
      </c>
      <c r="M167" s="4">
        <f>MethodData!M164</f>
        <v>89.858500000000006</v>
      </c>
      <c r="N167" s="4">
        <f>MethodData!N164</f>
        <v>1</v>
      </c>
      <c r="O167" s="4">
        <f>MethodData!O164</f>
        <v>2</v>
      </c>
      <c r="P167" s="4">
        <f>MethodData!P164</f>
        <v>19</v>
      </c>
      <c r="Q167" s="4">
        <f>MethodData!Q164</f>
        <v>58.239199999999997</v>
      </c>
      <c r="R167" s="4">
        <f>MethodData!R164</f>
        <v>1</v>
      </c>
      <c r="S167" s="4">
        <f>MethodData!S164</f>
        <v>4</v>
      </c>
      <c r="T167" s="4">
        <f>MethodData!T164</f>
        <v>2</v>
      </c>
      <c r="U167" s="4">
        <f>MethodData!U164</f>
        <v>0</v>
      </c>
      <c r="W167" s="11">
        <f t="shared" si="107"/>
        <v>0.13157894736842105</v>
      </c>
      <c r="X167" s="11">
        <f t="shared" si="108"/>
        <v>0.1</v>
      </c>
      <c r="Y167" s="11">
        <f t="shared" si="109"/>
        <v>0.5</v>
      </c>
      <c r="Z167" s="11">
        <f t="shared" si="110"/>
        <v>0.10344827586206896</v>
      </c>
      <c r="AA167" s="11">
        <f t="shared" si="111"/>
        <v>0.25</v>
      </c>
      <c r="AB167" s="11">
        <f t="shared" si="112"/>
        <v>0</v>
      </c>
      <c r="AC167" s="11">
        <f t="shared" si="113"/>
        <v>0.1098901098901099</v>
      </c>
      <c r="AD167" s="11">
        <f t="shared" si="114"/>
        <v>5.2016353557740565E-3</v>
      </c>
      <c r="AE167" s="11">
        <f t="shared" si="115"/>
        <v>3.004174986385914E-2</v>
      </c>
      <c r="AF167" s="11">
        <f t="shared" si="116"/>
        <v>6.2162162162162166E-2</v>
      </c>
      <c r="AG167" s="11">
        <f t="shared" si="117"/>
        <v>0.15306122448979592</v>
      </c>
      <c r="AH167" s="11">
        <f t="shared" si="118"/>
        <v>3.6715263516292479E-2</v>
      </c>
      <c r="AI167" s="11">
        <f t="shared" si="119"/>
        <v>1</v>
      </c>
      <c r="AJ167" s="11">
        <f t="shared" si="120"/>
        <v>0.66666666666666663</v>
      </c>
      <c r="AK167" s="11">
        <f t="shared" si="121"/>
        <v>0.14393939393939395</v>
      </c>
      <c r="AL167" s="11">
        <f t="shared" si="122"/>
        <v>0.60802385357114508</v>
      </c>
      <c r="AM167" s="11">
        <f t="shared" si="123"/>
        <v>0.33333333333333331</v>
      </c>
      <c r="AN167" s="11">
        <f t="shared" si="124"/>
        <v>0.12903225806451613</v>
      </c>
      <c r="AO167" s="11">
        <f t="shared" si="125"/>
        <v>0.16666666666666666</v>
      </c>
      <c r="AP167" s="11">
        <f t="shared" si="126"/>
        <v>0</v>
      </c>
      <c r="AQ167" s="11">
        <f t="shared" si="127"/>
        <v>4.5297615407502061</v>
      </c>
    </row>
    <row r="168" spans="1:43" ht="15" customHeight="1" x14ac:dyDescent="0.2">
      <c r="A168" s="3" t="str">
        <f>MethodData!A165</f>
        <v>Ship: getBearing()</v>
      </c>
      <c r="B168" s="4">
        <f>MethodData!B165</f>
        <v>1</v>
      </c>
      <c r="C168" s="4">
        <f>MethodData!C165</f>
        <v>0</v>
      </c>
      <c r="D168" s="4">
        <f>MethodData!D165</f>
        <v>0</v>
      </c>
      <c r="E168" s="4">
        <f>MethodData!E165</f>
        <v>0</v>
      </c>
      <c r="F168" s="4">
        <f>MethodData!F165</f>
        <v>0</v>
      </c>
      <c r="G168" s="4">
        <f>MethodData!G165</f>
        <v>0</v>
      </c>
      <c r="H168" s="4">
        <f>MethodData!H165</f>
        <v>1</v>
      </c>
      <c r="I168" s="4">
        <f>MethodData!I165</f>
        <v>4.7549000000000001</v>
      </c>
      <c r="J168" s="4">
        <f>MethodData!J165</f>
        <v>8.9999999999999998E-4</v>
      </c>
      <c r="K168" s="4">
        <f>MethodData!K165</f>
        <v>3</v>
      </c>
      <c r="L168" s="4">
        <f>MethodData!L165</f>
        <v>3</v>
      </c>
      <c r="M168" s="4">
        <f>MethodData!M165</f>
        <v>4.7549000000000001</v>
      </c>
      <c r="N168" s="4">
        <f>MethodData!N165</f>
        <v>1</v>
      </c>
      <c r="O168" s="4">
        <f>MethodData!O165</f>
        <v>0</v>
      </c>
      <c r="P168" s="4">
        <f>MethodData!P165</f>
        <v>15</v>
      </c>
      <c r="Q168" s="4">
        <f>MethodData!Q165</f>
        <v>70.129199999999997</v>
      </c>
      <c r="R168" s="4">
        <f>MethodData!R165</f>
        <v>0</v>
      </c>
      <c r="S168" s="4">
        <f>MethodData!S165</f>
        <v>1</v>
      </c>
      <c r="T168" s="4">
        <f>MethodData!T165</f>
        <v>0</v>
      </c>
      <c r="U168" s="4">
        <f>MethodData!U165</f>
        <v>0</v>
      </c>
      <c r="W168" s="11">
        <f t="shared" si="107"/>
        <v>2.6315789473684209E-2</v>
      </c>
      <c r="X168" s="11">
        <f t="shared" si="108"/>
        <v>0</v>
      </c>
      <c r="Y168" s="11">
        <f t="shared" si="109"/>
        <v>0</v>
      </c>
      <c r="Z168" s="11">
        <f t="shared" si="110"/>
        <v>0</v>
      </c>
      <c r="AA168" s="11">
        <f t="shared" si="111"/>
        <v>0</v>
      </c>
      <c r="AB168" s="11">
        <f t="shared" si="112"/>
        <v>0</v>
      </c>
      <c r="AC168" s="11">
        <f t="shared" si="113"/>
        <v>9.99000999000999E-3</v>
      </c>
      <c r="AD168" s="11">
        <f t="shared" si="114"/>
        <v>2.5022432701167647E-5</v>
      </c>
      <c r="AE168" s="11">
        <f t="shared" si="115"/>
        <v>8.1684516246142676E-4</v>
      </c>
      <c r="AF168" s="11">
        <f t="shared" si="116"/>
        <v>8.1081081081081086E-3</v>
      </c>
      <c r="AG168" s="11">
        <f t="shared" si="117"/>
        <v>3.0612244897959183E-2</v>
      </c>
      <c r="AH168" s="11">
        <f t="shared" si="118"/>
        <v>1.9428034798446346E-3</v>
      </c>
      <c r="AI168" s="11">
        <f t="shared" si="119"/>
        <v>1</v>
      </c>
      <c r="AJ168" s="11">
        <f t="shared" si="120"/>
        <v>0</v>
      </c>
      <c r="AK168" s="11">
        <f t="shared" si="121"/>
        <v>0.11363636363636363</v>
      </c>
      <c r="AL168" s="11">
        <f t="shared" si="122"/>
        <v>0.73215680215149848</v>
      </c>
      <c r="AM168" s="11">
        <f t="shared" si="123"/>
        <v>0.16666666666666666</v>
      </c>
      <c r="AN168" s="11">
        <f t="shared" si="124"/>
        <v>3.2258064516129031E-2</v>
      </c>
      <c r="AO168" s="11">
        <f t="shared" si="125"/>
        <v>0</v>
      </c>
      <c r="AP168" s="11">
        <f t="shared" si="126"/>
        <v>0</v>
      </c>
      <c r="AQ168" s="11">
        <f t="shared" si="127"/>
        <v>2.1225287205154264</v>
      </c>
    </row>
    <row r="169" spans="1:43" ht="15" customHeight="1" x14ac:dyDescent="0.2">
      <c r="A169" s="3" t="str">
        <f>MethodData!A166</f>
        <v>Ship: getBottomMostPos()</v>
      </c>
      <c r="B169" s="4">
        <f>MethodData!B166</f>
        <v>3</v>
      </c>
      <c r="C169" s="4">
        <f>MethodData!C166</f>
        <v>2</v>
      </c>
      <c r="D169" s="4">
        <f>MethodData!D166</f>
        <v>0.5</v>
      </c>
      <c r="E169" s="4">
        <f>MethodData!E166</f>
        <v>2</v>
      </c>
      <c r="F169" s="4">
        <f>MethodData!F166</f>
        <v>1</v>
      </c>
      <c r="G169" s="4">
        <f>MethodData!G166</f>
        <v>0</v>
      </c>
      <c r="H169" s="4">
        <f>MethodData!H166</f>
        <v>13.5</v>
      </c>
      <c r="I169" s="4">
        <f>MethodData!I166</f>
        <v>1566</v>
      </c>
      <c r="J169" s="4">
        <f>MethodData!J166</f>
        <v>4.4999999999999998E-2</v>
      </c>
      <c r="K169" s="4">
        <f>MethodData!K166</f>
        <v>29</v>
      </c>
      <c r="L169" s="4">
        <f>MethodData!L166</f>
        <v>16</v>
      </c>
      <c r="M169" s="4">
        <f>MethodData!M166</f>
        <v>116</v>
      </c>
      <c r="N169" s="4">
        <f>MethodData!N166</f>
        <v>1</v>
      </c>
      <c r="O169" s="4">
        <f>MethodData!O166</f>
        <v>1</v>
      </c>
      <c r="P169" s="4">
        <f>MethodData!P166</f>
        <v>19</v>
      </c>
      <c r="Q169" s="4">
        <f>MethodData!Q166</f>
        <v>57.502200000000002</v>
      </c>
      <c r="R169" s="4">
        <f>MethodData!R166</f>
        <v>0</v>
      </c>
      <c r="S169" s="4">
        <f>MethodData!S166</f>
        <v>2</v>
      </c>
      <c r="T169" s="4">
        <f>MethodData!T166</f>
        <v>1</v>
      </c>
      <c r="U169" s="4">
        <f>MethodData!U166</f>
        <v>0</v>
      </c>
      <c r="W169" s="11">
        <f t="shared" si="107"/>
        <v>7.8947368421052627E-2</v>
      </c>
      <c r="X169" s="11">
        <f t="shared" si="108"/>
        <v>0.05</v>
      </c>
      <c r="Y169" s="11">
        <f t="shared" si="109"/>
        <v>0.5</v>
      </c>
      <c r="Z169" s="11">
        <f t="shared" si="110"/>
        <v>6.8965517241379309E-2</v>
      </c>
      <c r="AA169" s="11">
        <f t="shared" si="111"/>
        <v>0.25</v>
      </c>
      <c r="AB169" s="11">
        <f t="shared" si="112"/>
        <v>0</v>
      </c>
      <c r="AC169" s="11">
        <f t="shared" si="113"/>
        <v>0.13486513486513488</v>
      </c>
      <c r="AD169" s="11">
        <f t="shared" si="114"/>
        <v>8.24099972870692E-3</v>
      </c>
      <c r="AE169" s="11">
        <f t="shared" si="115"/>
        <v>4.0842258123071337E-2</v>
      </c>
      <c r="AF169" s="11">
        <f t="shared" si="116"/>
        <v>7.8378378378378383E-2</v>
      </c>
      <c r="AG169" s="11">
        <f t="shared" si="117"/>
        <v>0.16326530612244897</v>
      </c>
      <c r="AH169" s="11">
        <f t="shared" si="118"/>
        <v>4.7396412892379988E-2</v>
      </c>
      <c r="AI169" s="11">
        <f t="shared" si="119"/>
        <v>1</v>
      </c>
      <c r="AJ169" s="11">
        <f t="shared" si="120"/>
        <v>0.33333333333333331</v>
      </c>
      <c r="AK169" s="11">
        <f t="shared" si="121"/>
        <v>0.14393939393939395</v>
      </c>
      <c r="AL169" s="11">
        <f t="shared" si="122"/>
        <v>0.60032948997957913</v>
      </c>
      <c r="AM169" s="11">
        <f t="shared" si="123"/>
        <v>0.16666666666666666</v>
      </c>
      <c r="AN169" s="11">
        <f t="shared" si="124"/>
        <v>6.4516129032258063E-2</v>
      </c>
      <c r="AO169" s="11">
        <f t="shared" si="125"/>
        <v>8.3333333333333329E-2</v>
      </c>
      <c r="AP169" s="11">
        <f t="shared" si="126"/>
        <v>0</v>
      </c>
      <c r="AQ169" s="11">
        <f t="shared" si="127"/>
        <v>3.8130197220571174</v>
      </c>
    </row>
    <row r="170" spans="1:43" ht="15" customHeight="1" x14ac:dyDescent="0.2">
      <c r="A170" s="3" t="str">
        <f>MethodData!A167</f>
        <v>Ship: getCategory()</v>
      </c>
      <c r="B170" s="4">
        <f>MethodData!B167</f>
        <v>1</v>
      </c>
      <c r="C170" s="4">
        <f>MethodData!C167</f>
        <v>0</v>
      </c>
      <c r="D170" s="4">
        <f>MethodData!D167</f>
        <v>0</v>
      </c>
      <c r="E170" s="4">
        <f>MethodData!E167</f>
        <v>0</v>
      </c>
      <c r="F170" s="4">
        <f>MethodData!F167</f>
        <v>0</v>
      </c>
      <c r="G170" s="4">
        <f>MethodData!G167</f>
        <v>0</v>
      </c>
      <c r="H170" s="4">
        <f>MethodData!H167</f>
        <v>1</v>
      </c>
      <c r="I170" s="4">
        <f>MethodData!I167</f>
        <v>4.7549000000000001</v>
      </c>
      <c r="J170" s="4">
        <f>MethodData!J167</f>
        <v>8.9999999999999998E-4</v>
      </c>
      <c r="K170" s="4">
        <f>MethodData!K167</f>
        <v>3</v>
      </c>
      <c r="L170" s="4">
        <f>MethodData!L167</f>
        <v>3</v>
      </c>
      <c r="M170" s="4">
        <f>MethodData!M167</f>
        <v>4.7549000000000001</v>
      </c>
      <c r="N170" s="4">
        <f>MethodData!N167</f>
        <v>1</v>
      </c>
      <c r="O170" s="4">
        <f>MethodData!O167</f>
        <v>0</v>
      </c>
      <c r="P170" s="4">
        <f>MethodData!P167</f>
        <v>15</v>
      </c>
      <c r="Q170" s="4">
        <f>MethodData!Q167</f>
        <v>70.129199999999997</v>
      </c>
      <c r="R170" s="4">
        <f>MethodData!R167</f>
        <v>0</v>
      </c>
      <c r="S170" s="4">
        <f>MethodData!S167</f>
        <v>1</v>
      </c>
      <c r="T170" s="4">
        <f>MethodData!T167</f>
        <v>0</v>
      </c>
      <c r="U170" s="4">
        <f>MethodData!U167</f>
        <v>0</v>
      </c>
      <c r="W170" s="11">
        <f t="shared" si="107"/>
        <v>2.6315789473684209E-2</v>
      </c>
      <c r="X170" s="11">
        <f t="shared" si="108"/>
        <v>0</v>
      </c>
      <c r="Y170" s="11">
        <f t="shared" si="109"/>
        <v>0</v>
      </c>
      <c r="Z170" s="11">
        <f t="shared" si="110"/>
        <v>0</v>
      </c>
      <c r="AA170" s="11">
        <f t="shared" si="111"/>
        <v>0</v>
      </c>
      <c r="AB170" s="11">
        <f t="shared" si="112"/>
        <v>0</v>
      </c>
      <c r="AC170" s="11">
        <f t="shared" si="113"/>
        <v>9.99000999000999E-3</v>
      </c>
      <c r="AD170" s="11">
        <f t="shared" si="114"/>
        <v>2.5022432701167647E-5</v>
      </c>
      <c r="AE170" s="11">
        <f t="shared" si="115"/>
        <v>8.1684516246142676E-4</v>
      </c>
      <c r="AF170" s="11">
        <f t="shared" si="116"/>
        <v>8.1081081081081086E-3</v>
      </c>
      <c r="AG170" s="11">
        <f t="shared" si="117"/>
        <v>3.0612244897959183E-2</v>
      </c>
      <c r="AH170" s="11">
        <f t="shared" si="118"/>
        <v>1.9428034798446346E-3</v>
      </c>
      <c r="AI170" s="11">
        <f t="shared" si="119"/>
        <v>1</v>
      </c>
      <c r="AJ170" s="11">
        <f t="shared" si="120"/>
        <v>0</v>
      </c>
      <c r="AK170" s="11">
        <f t="shared" si="121"/>
        <v>0.11363636363636363</v>
      </c>
      <c r="AL170" s="11">
        <f t="shared" si="122"/>
        <v>0.73215680215149848</v>
      </c>
      <c r="AM170" s="11">
        <f t="shared" si="123"/>
        <v>0.16666666666666666</v>
      </c>
      <c r="AN170" s="11">
        <f t="shared" si="124"/>
        <v>3.2258064516129031E-2</v>
      </c>
      <c r="AO170" s="11">
        <f t="shared" si="125"/>
        <v>0</v>
      </c>
      <c r="AP170" s="11">
        <f t="shared" si="126"/>
        <v>0</v>
      </c>
      <c r="AQ170" s="11">
        <f t="shared" si="127"/>
        <v>2.1225287205154264</v>
      </c>
    </row>
    <row r="171" spans="1:43" ht="15" customHeight="1" x14ac:dyDescent="0.2">
      <c r="A171" s="3" t="str">
        <f>MethodData!A168</f>
        <v>Ship: getLeftMostPos()</v>
      </c>
      <c r="B171" s="4">
        <f>MethodData!B168</f>
        <v>3</v>
      </c>
      <c r="C171" s="4">
        <f>MethodData!C168</f>
        <v>2</v>
      </c>
      <c r="D171" s="4">
        <f>MethodData!D168</f>
        <v>0.5</v>
      </c>
      <c r="E171" s="4">
        <f>MethodData!E168</f>
        <v>2</v>
      </c>
      <c r="F171" s="4">
        <f>MethodData!F168</f>
        <v>1</v>
      </c>
      <c r="G171" s="4">
        <f>MethodData!G168</f>
        <v>0</v>
      </c>
      <c r="H171" s="4">
        <f>MethodData!H168</f>
        <v>12.375</v>
      </c>
      <c r="I171" s="4">
        <f>MethodData!I168</f>
        <v>1402.0853999999999</v>
      </c>
      <c r="J171" s="4">
        <f>MethodData!J168</f>
        <v>4.1799999999999997E-2</v>
      </c>
      <c r="K171" s="4">
        <f>MethodData!K168</f>
        <v>29</v>
      </c>
      <c r="L171" s="4">
        <f>MethodData!L168</f>
        <v>15</v>
      </c>
      <c r="M171" s="4">
        <f>MethodData!M168</f>
        <v>113.2998</v>
      </c>
      <c r="N171" s="4">
        <f>MethodData!N168</f>
        <v>1</v>
      </c>
      <c r="O171" s="4">
        <f>MethodData!O168</f>
        <v>1</v>
      </c>
      <c r="P171" s="4">
        <f>MethodData!P168</f>
        <v>19</v>
      </c>
      <c r="Q171" s="4">
        <f>MethodData!Q168</f>
        <v>57.581899999999997</v>
      </c>
      <c r="R171" s="4">
        <f>MethodData!R168</f>
        <v>0</v>
      </c>
      <c r="S171" s="4">
        <f>MethodData!S168</f>
        <v>2</v>
      </c>
      <c r="T171" s="4">
        <f>MethodData!T168</f>
        <v>1</v>
      </c>
      <c r="U171" s="4">
        <f>MethodData!U168</f>
        <v>0</v>
      </c>
      <c r="W171" s="11">
        <f t="shared" si="107"/>
        <v>7.8947368421052627E-2</v>
      </c>
      <c r="X171" s="11">
        <f t="shared" si="108"/>
        <v>0.05</v>
      </c>
      <c r="Y171" s="11">
        <f t="shared" si="109"/>
        <v>0.5</v>
      </c>
      <c r="Z171" s="11">
        <f t="shared" si="110"/>
        <v>6.8965517241379309E-2</v>
      </c>
      <c r="AA171" s="11">
        <f t="shared" si="111"/>
        <v>0.25</v>
      </c>
      <c r="AB171" s="11">
        <f t="shared" si="112"/>
        <v>0</v>
      </c>
      <c r="AC171" s="11">
        <f t="shared" si="113"/>
        <v>0.12362637362637363</v>
      </c>
      <c r="AD171" s="11">
        <f t="shared" si="114"/>
        <v>7.378407024919497E-3</v>
      </c>
      <c r="AE171" s="11">
        <f t="shared" si="115"/>
        <v>3.7937919767652935E-2</v>
      </c>
      <c r="AF171" s="11">
        <f t="shared" si="116"/>
        <v>7.8378378378378383E-2</v>
      </c>
      <c r="AG171" s="11">
        <f t="shared" si="117"/>
        <v>0.15306122448979592</v>
      </c>
      <c r="AH171" s="11">
        <f t="shared" si="118"/>
        <v>4.6293138805379955E-2</v>
      </c>
      <c r="AI171" s="11">
        <f t="shared" si="119"/>
        <v>1</v>
      </c>
      <c r="AJ171" s="11">
        <f t="shared" si="120"/>
        <v>0.33333333333333331</v>
      </c>
      <c r="AK171" s="11">
        <f t="shared" si="121"/>
        <v>0.14393939393939395</v>
      </c>
      <c r="AL171" s="11">
        <f t="shared" si="122"/>
        <v>0.60116156701926404</v>
      </c>
      <c r="AM171" s="11">
        <f t="shared" si="123"/>
        <v>0.16666666666666666</v>
      </c>
      <c r="AN171" s="11">
        <f t="shared" si="124"/>
        <v>6.4516129032258063E-2</v>
      </c>
      <c r="AO171" s="11">
        <f t="shared" si="125"/>
        <v>8.3333333333333329E-2</v>
      </c>
      <c r="AP171" s="11">
        <f t="shared" si="126"/>
        <v>0</v>
      </c>
      <c r="AQ171" s="11">
        <f t="shared" si="127"/>
        <v>3.7875387510791816</v>
      </c>
    </row>
    <row r="172" spans="1:43" ht="15" customHeight="1" x14ac:dyDescent="0.2">
      <c r="A172" s="3" t="str">
        <f>MethodData!A169</f>
        <v>Ship: getPosition()</v>
      </c>
      <c r="B172" s="4">
        <f>MethodData!B169</f>
        <v>1</v>
      </c>
      <c r="C172" s="4">
        <f>MethodData!C169</f>
        <v>0</v>
      </c>
      <c r="D172" s="4">
        <f>MethodData!D169</f>
        <v>0</v>
      </c>
      <c r="E172" s="4">
        <f>MethodData!E169</f>
        <v>0</v>
      </c>
      <c r="F172" s="4">
        <f>MethodData!F169</f>
        <v>0</v>
      </c>
      <c r="G172" s="4">
        <f>MethodData!G169</f>
        <v>0</v>
      </c>
      <c r="H172" s="4">
        <f>MethodData!H169</f>
        <v>1</v>
      </c>
      <c r="I172" s="4">
        <f>MethodData!I169</f>
        <v>4.7549000000000001</v>
      </c>
      <c r="J172" s="4">
        <f>MethodData!J169</f>
        <v>8.9999999999999998E-4</v>
      </c>
      <c r="K172" s="4">
        <f>MethodData!K169</f>
        <v>3</v>
      </c>
      <c r="L172" s="4">
        <f>MethodData!L169</f>
        <v>3</v>
      </c>
      <c r="M172" s="4">
        <f>MethodData!M169</f>
        <v>4.7549000000000001</v>
      </c>
      <c r="N172" s="4">
        <f>MethodData!N169</f>
        <v>1</v>
      </c>
      <c r="O172" s="4">
        <f>MethodData!O169</f>
        <v>0</v>
      </c>
      <c r="P172" s="4">
        <f>MethodData!P169</f>
        <v>15</v>
      </c>
      <c r="Q172" s="4">
        <f>MethodData!Q169</f>
        <v>70.129199999999997</v>
      </c>
      <c r="R172" s="4">
        <f>MethodData!R169</f>
        <v>0</v>
      </c>
      <c r="S172" s="4">
        <f>MethodData!S169</f>
        <v>1</v>
      </c>
      <c r="T172" s="4">
        <f>MethodData!T169</f>
        <v>0</v>
      </c>
      <c r="U172" s="4">
        <f>MethodData!U169</f>
        <v>0</v>
      </c>
      <c r="W172" s="11">
        <f t="shared" si="107"/>
        <v>2.6315789473684209E-2</v>
      </c>
      <c r="X172" s="11">
        <f t="shared" si="108"/>
        <v>0</v>
      </c>
      <c r="Y172" s="11">
        <f t="shared" si="109"/>
        <v>0</v>
      </c>
      <c r="Z172" s="11">
        <f t="shared" si="110"/>
        <v>0</v>
      </c>
      <c r="AA172" s="11">
        <f t="shared" si="111"/>
        <v>0</v>
      </c>
      <c r="AB172" s="11">
        <f t="shared" si="112"/>
        <v>0</v>
      </c>
      <c r="AC172" s="11">
        <f t="shared" si="113"/>
        <v>9.99000999000999E-3</v>
      </c>
      <c r="AD172" s="11">
        <f t="shared" si="114"/>
        <v>2.5022432701167647E-5</v>
      </c>
      <c r="AE172" s="11">
        <f t="shared" si="115"/>
        <v>8.1684516246142676E-4</v>
      </c>
      <c r="AF172" s="11">
        <f t="shared" si="116"/>
        <v>8.1081081081081086E-3</v>
      </c>
      <c r="AG172" s="11">
        <f t="shared" si="117"/>
        <v>3.0612244897959183E-2</v>
      </c>
      <c r="AH172" s="11">
        <f t="shared" si="118"/>
        <v>1.9428034798446346E-3</v>
      </c>
      <c r="AI172" s="11">
        <f t="shared" si="119"/>
        <v>1</v>
      </c>
      <c r="AJ172" s="11">
        <f t="shared" si="120"/>
        <v>0</v>
      </c>
      <c r="AK172" s="11">
        <f t="shared" si="121"/>
        <v>0.11363636363636363</v>
      </c>
      <c r="AL172" s="11">
        <f t="shared" si="122"/>
        <v>0.73215680215149848</v>
      </c>
      <c r="AM172" s="11">
        <f t="shared" si="123"/>
        <v>0.16666666666666666</v>
      </c>
      <c r="AN172" s="11">
        <f t="shared" si="124"/>
        <v>3.2258064516129031E-2</v>
      </c>
      <c r="AO172" s="11">
        <f t="shared" si="125"/>
        <v>0</v>
      </c>
      <c r="AP172" s="11">
        <f t="shared" si="126"/>
        <v>0</v>
      </c>
      <c r="AQ172" s="11">
        <f t="shared" si="127"/>
        <v>2.1225287205154264</v>
      </c>
    </row>
    <row r="173" spans="1:43" ht="15" customHeight="1" x14ac:dyDescent="0.2">
      <c r="A173" s="3" t="str">
        <f>MethodData!A170</f>
        <v>Ship: getPositions()</v>
      </c>
      <c r="B173" s="4">
        <f>MethodData!B170</f>
        <v>1</v>
      </c>
      <c r="C173" s="4">
        <f>MethodData!C170</f>
        <v>0</v>
      </c>
      <c r="D173" s="4">
        <f>MethodData!D170</f>
        <v>0</v>
      </c>
      <c r="E173" s="4">
        <f>MethodData!E170</f>
        <v>0</v>
      </c>
      <c r="F173" s="4">
        <f>MethodData!F170</f>
        <v>0</v>
      </c>
      <c r="G173" s="4">
        <f>MethodData!G170</f>
        <v>0</v>
      </c>
      <c r="H173" s="4">
        <f>MethodData!H170</f>
        <v>1</v>
      </c>
      <c r="I173" s="4">
        <f>MethodData!I170</f>
        <v>4.7549000000000001</v>
      </c>
      <c r="J173" s="4">
        <f>MethodData!J170</f>
        <v>8.9999999999999998E-4</v>
      </c>
      <c r="K173" s="4">
        <f>MethodData!K170</f>
        <v>3</v>
      </c>
      <c r="L173" s="4">
        <f>MethodData!L170</f>
        <v>3</v>
      </c>
      <c r="M173" s="4">
        <f>MethodData!M170</f>
        <v>4.7549000000000001</v>
      </c>
      <c r="N173" s="4">
        <f>MethodData!N170</f>
        <v>1</v>
      </c>
      <c r="O173" s="4">
        <f>MethodData!O170</f>
        <v>0</v>
      </c>
      <c r="P173" s="4">
        <f>MethodData!P170</f>
        <v>9</v>
      </c>
      <c r="Q173" s="4">
        <f>MethodData!Q170</f>
        <v>74.968599999999995</v>
      </c>
      <c r="R173" s="4">
        <f>MethodData!R170</f>
        <v>0</v>
      </c>
      <c r="S173" s="4">
        <f>MethodData!S170</f>
        <v>1</v>
      </c>
      <c r="T173" s="4">
        <f>MethodData!T170</f>
        <v>0</v>
      </c>
      <c r="U173" s="4">
        <f>MethodData!U170</f>
        <v>0</v>
      </c>
      <c r="W173" s="11">
        <f t="shared" si="107"/>
        <v>2.6315789473684209E-2</v>
      </c>
      <c r="X173" s="11">
        <f t="shared" si="108"/>
        <v>0</v>
      </c>
      <c r="Y173" s="11">
        <f t="shared" si="109"/>
        <v>0</v>
      </c>
      <c r="Z173" s="11">
        <f t="shared" si="110"/>
        <v>0</v>
      </c>
      <c r="AA173" s="11">
        <f t="shared" si="111"/>
        <v>0</v>
      </c>
      <c r="AB173" s="11">
        <f t="shared" si="112"/>
        <v>0</v>
      </c>
      <c r="AC173" s="11">
        <f t="shared" si="113"/>
        <v>9.99000999000999E-3</v>
      </c>
      <c r="AD173" s="11">
        <f t="shared" si="114"/>
        <v>2.5022432701167647E-5</v>
      </c>
      <c r="AE173" s="11">
        <f t="shared" si="115"/>
        <v>8.1684516246142676E-4</v>
      </c>
      <c r="AF173" s="11">
        <f t="shared" si="116"/>
        <v>8.1081081081081086E-3</v>
      </c>
      <c r="AG173" s="11">
        <f t="shared" si="117"/>
        <v>3.0612244897959183E-2</v>
      </c>
      <c r="AH173" s="11">
        <f t="shared" si="118"/>
        <v>1.9428034798446346E-3</v>
      </c>
      <c r="AI173" s="11">
        <f t="shared" si="119"/>
        <v>1</v>
      </c>
      <c r="AJ173" s="11">
        <f t="shared" si="120"/>
        <v>0</v>
      </c>
      <c r="AK173" s="11">
        <f t="shared" si="121"/>
        <v>6.8181818181818177E-2</v>
      </c>
      <c r="AL173" s="11">
        <f t="shared" si="122"/>
        <v>0.78268068704298399</v>
      </c>
      <c r="AM173" s="11">
        <f t="shared" si="123"/>
        <v>0.16666666666666666</v>
      </c>
      <c r="AN173" s="11">
        <f t="shared" si="124"/>
        <v>3.2258064516129031E-2</v>
      </c>
      <c r="AO173" s="11">
        <f t="shared" si="125"/>
        <v>0</v>
      </c>
      <c r="AP173" s="11">
        <f t="shared" si="126"/>
        <v>0</v>
      </c>
      <c r="AQ173" s="11">
        <f t="shared" si="127"/>
        <v>2.1275980599523665</v>
      </c>
    </row>
    <row r="174" spans="1:43" ht="15" customHeight="1" x14ac:dyDescent="0.2">
      <c r="A174" s="3" t="str">
        <f>MethodData!A171</f>
        <v>Ship: getRightMostPos()</v>
      </c>
      <c r="B174" s="4">
        <f>MethodData!B171</f>
        <v>3</v>
      </c>
      <c r="C174" s="4">
        <f>MethodData!C171</f>
        <v>2</v>
      </c>
      <c r="D174" s="4">
        <f>MethodData!D171</f>
        <v>0.5</v>
      </c>
      <c r="E174" s="4">
        <f>MethodData!E171</f>
        <v>2</v>
      </c>
      <c r="F174" s="4">
        <f>MethodData!F171</f>
        <v>1</v>
      </c>
      <c r="G174" s="4">
        <f>MethodData!G171</f>
        <v>0</v>
      </c>
      <c r="H174" s="4">
        <f>MethodData!H171</f>
        <v>13.5</v>
      </c>
      <c r="I174" s="4">
        <f>MethodData!I171</f>
        <v>1566</v>
      </c>
      <c r="J174" s="4">
        <f>MethodData!J171</f>
        <v>4.4999999999999998E-2</v>
      </c>
      <c r="K174" s="4">
        <f>MethodData!K171</f>
        <v>29</v>
      </c>
      <c r="L174" s="4">
        <f>MethodData!L171</f>
        <v>16</v>
      </c>
      <c r="M174" s="4">
        <f>MethodData!M171</f>
        <v>116</v>
      </c>
      <c r="N174" s="4">
        <f>MethodData!N171</f>
        <v>1</v>
      </c>
      <c r="O174" s="4">
        <f>MethodData!O171</f>
        <v>1</v>
      </c>
      <c r="P174" s="4">
        <f>MethodData!P171</f>
        <v>19</v>
      </c>
      <c r="Q174" s="4">
        <f>MethodData!Q171</f>
        <v>57.502200000000002</v>
      </c>
      <c r="R174" s="4">
        <f>MethodData!R171</f>
        <v>0</v>
      </c>
      <c r="S174" s="4">
        <f>MethodData!S171</f>
        <v>2</v>
      </c>
      <c r="T174" s="4">
        <f>MethodData!T171</f>
        <v>1</v>
      </c>
      <c r="U174" s="4">
        <f>MethodData!U171</f>
        <v>0</v>
      </c>
      <c r="W174" s="11">
        <f t="shared" si="107"/>
        <v>7.8947368421052627E-2</v>
      </c>
      <c r="X174" s="11">
        <f t="shared" si="108"/>
        <v>0.05</v>
      </c>
      <c r="Y174" s="11">
        <f t="shared" si="109"/>
        <v>0.5</v>
      </c>
      <c r="Z174" s="11">
        <f t="shared" si="110"/>
        <v>6.8965517241379309E-2</v>
      </c>
      <c r="AA174" s="11">
        <f t="shared" si="111"/>
        <v>0.25</v>
      </c>
      <c r="AB174" s="11">
        <f t="shared" si="112"/>
        <v>0</v>
      </c>
      <c r="AC174" s="11">
        <f t="shared" si="113"/>
        <v>0.13486513486513488</v>
      </c>
      <c r="AD174" s="11">
        <f t="shared" si="114"/>
        <v>8.24099972870692E-3</v>
      </c>
      <c r="AE174" s="11">
        <f t="shared" si="115"/>
        <v>4.0842258123071337E-2</v>
      </c>
      <c r="AF174" s="11">
        <f t="shared" si="116"/>
        <v>7.8378378378378383E-2</v>
      </c>
      <c r="AG174" s="11">
        <f t="shared" si="117"/>
        <v>0.16326530612244897</v>
      </c>
      <c r="AH174" s="11">
        <f t="shared" si="118"/>
        <v>4.7396412892379988E-2</v>
      </c>
      <c r="AI174" s="11">
        <f t="shared" si="119"/>
        <v>1</v>
      </c>
      <c r="AJ174" s="11">
        <f t="shared" si="120"/>
        <v>0.33333333333333331</v>
      </c>
      <c r="AK174" s="11">
        <f t="shared" si="121"/>
        <v>0.14393939393939395</v>
      </c>
      <c r="AL174" s="11">
        <f t="shared" si="122"/>
        <v>0.60032948997957913</v>
      </c>
      <c r="AM174" s="11">
        <f t="shared" si="123"/>
        <v>0.16666666666666666</v>
      </c>
      <c r="AN174" s="11">
        <f t="shared" si="124"/>
        <v>6.4516129032258063E-2</v>
      </c>
      <c r="AO174" s="11">
        <f t="shared" si="125"/>
        <v>8.3333333333333329E-2</v>
      </c>
      <c r="AP174" s="11">
        <f t="shared" si="126"/>
        <v>0</v>
      </c>
      <c r="AQ174" s="11">
        <f t="shared" si="127"/>
        <v>3.8130197220571174</v>
      </c>
    </row>
    <row r="175" spans="1:43" ht="15" customHeight="1" x14ac:dyDescent="0.2">
      <c r="A175" s="3" t="str">
        <f>MethodData!A172</f>
        <v>Ship: getSize()</v>
      </c>
      <c r="B175" s="4">
        <f>MethodData!B172</f>
        <v>1</v>
      </c>
      <c r="C175" s="4">
        <f>MethodData!C172</f>
        <v>0</v>
      </c>
      <c r="D175" s="4">
        <f>MethodData!D172</f>
        <v>0</v>
      </c>
      <c r="E175" s="4">
        <f>MethodData!E172</f>
        <v>0</v>
      </c>
      <c r="F175" s="4">
        <f>MethodData!F172</f>
        <v>0</v>
      </c>
      <c r="G175" s="4">
        <f>MethodData!G172</f>
        <v>0</v>
      </c>
      <c r="H175" s="4">
        <f>MethodData!H172</f>
        <v>1</v>
      </c>
      <c r="I175" s="4">
        <f>MethodData!I172</f>
        <v>4.7549000000000001</v>
      </c>
      <c r="J175" s="4">
        <f>MethodData!J172</f>
        <v>8.9999999999999998E-4</v>
      </c>
      <c r="K175" s="4">
        <f>MethodData!K172</f>
        <v>3</v>
      </c>
      <c r="L175" s="4">
        <f>MethodData!L172</f>
        <v>3</v>
      </c>
      <c r="M175" s="4">
        <f>MethodData!M172</f>
        <v>4.7549000000000001</v>
      </c>
      <c r="N175" s="4">
        <f>MethodData!N172</f>
        <v>1</v>
      </c>
      <c r="O175" s="4">
        <f>MethodData!O172</f>
        <v>0</v>
      </c>
      <c r="P175" s="4">
        <f>MethodData!P172</f>
        <v>9</v>
      </c>
      <c r="Q175" s="4">
        <f>MethodData!Q172</f>
        <v>74.968599999999995</v>
      </c>
      <c r="R175" s="4">
        <f>MethodData!R172</f>
        <v>0</v>
      </c>
      <c r="S175" s="4">
        <f>MethodData!S172</f>
        <v>1</v>
      </c>
      <c r="T175" s="4">
        <f>MethodData!T172</f>
        <v>0</v>
      </c>
      <c r="U175" s="4">
        <f>MethodData!U172</f>
        <v>0</v>
      </c>
      <c r="W175" s="11">
        <f t="shared" si="107"/>
        <v>2.6315789473684209E-2</v>
      </c>
      <c r="X175" s="11">
        <f t="shared" si="108"/>
        <v>0</v>
      </c>
      <c r="Y175" s="11">
        <f t="shared" si="109"/>
        <v>0</v>
      </c>
      <c r="Z175" s="11">
        <f t="shared" si="110"/>
        <v>0</v>
      </c>
      <c r="AA175" s="11">
        <f t="shared" si="111"/>
        <v>0</v>
      </c>
      <c r="AB175" s="11">
        <f t="shared" si="112"/>
        <v>0</v>
      </c>
      <c r="AC175" s="11">
        <f t="shared" si="113"/>
        <v>9.99000999000999E-3</v>
      </c>
      <c r="AD175" s="11">
        <f t="shared" si="114"/>
        <v>2.5022432701167647E-5</v>
      </c>
      <c r="AE175" s="11">
        <f t="shared" si="115"/>
        <v>8.1684516246142676E-4</v>
      </c>
      <c r="AF175" s="11">
        <f t="shared" si="116"/>
        <v>8.1081081081081086E-3</v>
      </c>
      <c r="AG175" s="11">
        <f t="shared" si="117"/>
        <v>3.0612244897959183E-2</v>
      </c>
      <c r="AH175" s="11">
        <f t="shared" si="118"/>
        <v>1.9428034798446346E-3</v>
      </c>
      <c r="AI175" s="11">
        <f t="shared" si="119"/>
        <v>1</v>
      </c>
      <c r="AJ175" s="11">
        <f t="shared" si="120"/>
        <v>0</v>
      </c>
      <c r="AK175" s="11">
        <f t="shared" si="121"/>
        <v>6.8181818181818177E-2</v>
      </c>
      <c r="AL175" s="11">
        <f t="shared" si="122"/>
        <v>0.78268068704298399</v>
      </c>
      <c r="AM175" s="11">
        <f t="shared" si="123"/>
        <v>0.16666666666666666</v>
      </c>
      <c r="AN175" s="11">
        <f t="shared" si="124"/>
        <v>3.2258064516129031E-2</v>
      </c>
      <c r="AO175" s="11">
        <f t="shared" si="125"/>
        <v>0</v>
      </c>
      <c r="AP175" s="11">
        <f t="shared" si="126"/>
        <v>0</v>
      </c>
      <c r="AQ175" s="11">
        <f t="shared" si="127"/>
        <v>2.1275980599523665</v>
      </c>
    </row>
    <row r="176" spans="1:43" ht="15" customHeight="1" x14ac:dyDescent="0.2">
      <c r="A176" s="3" t="str">
        <f>MethodData!A173</f>
        <v>Ship: getTopMostPos()</v>
      </c>
      <c r="B176" s="4">
        <f>MethodData!B173</f>
        <v>3</v>
      </c>
      <c r="C176" s="4">
        <f>MethodData!C173</f>
        <v>2</v>
      </c>
      <c r="D176" s="4">
        <f>MethodData!D173</f>
        <v>0.5</v>
      </c>
      <c r="E176" s="4">
        <f>MethodData!E173</f>
        <v>2</v>
      </c>
      <c r="F176" s="4">
        <f>MethodData!F173</f>
        <v>1</v>
      </c>
      <c r="G176" s="4">
        <f>MethodData!G173</f>
        <v>0</v>
      </c>
      <c r="H176" s="4">
        <f>MethodData!H173</f>
        <v>12.375</v>
      </c>
      <c r="I176" s="4">
        <f>MethodData!I173</f>
        <v>1402.0853999999999</v>
      </c>
      <c r="J176" s="4">
        <f>MethodData!J173</f>
        <v>4.1799999999999997E-2</v>
      </c>
      <c r="K176" s="4">
        <f>MethodData!K173</f>
        <v>29</v>
      </c>
      <c r="L176" s="4">
        <f>MethodData!L173</f>
        <v>15</v>
      </c>
      <c r="M176" s="4">
        <f>MethodData!M173</f>
        <v>113.2998</v>
      </c>
      <c r="N176" s="4">
        <f>MethodData!N173</f>
        <v>1</v>
      </c>
      <c r="O176" s="4">
        <f>MethodData!O173</f>
        <v>1</v>
      </c>
      <c r="P176" s="4">
        <f>MethodData!P173</f>
        <v>19</v>
      </c>
      <c r="Q176" s="4">
        <f>MethodData!Q173</f>
        <v>57.581899999999997</v>
      </c>
      <c r="R176" s="4">
        <f>MethodData!R173</f>
        <v>0</v>
      </c>
      <c r="S176" s="4">
        <f>MethodData!S173</f>
        <v>2</v>
      </c>
      <c r="T176" s="4">
        <f>MethodData!T173</f>
        <v>1</v>
      </c>
      <c r="U176" s="4">
        <f>MethodData!U173</f>
        <v>0</v>
      </c>
      <c r="W176" s="11">
        <f t="shared" si="107"/>
        <v>7.8947368421052627E-2</v>
      </c>
      <c r="X176" s="11">
        <f t="shared" si="108"/>
        <v>0.05</v>
      </c>
      <c r="Y176" s="11">
        <f t="shared" si="109"/>
        <v>0.5</v>
      </c>
      <c r="Z176" s="11">
        <f t="shared" si="110"/>
        <v>6.8965517241379309E-2</v>
      </c>
      <c r="AA176" s="11">
        <f t="shared" si="111"/>
        <v>0.25</v>
      </c>
      <c r="AB176" s="11">
        <f t="shared" si="112"/>
        <v>0</v>
      </c>
      <c r="AC176" s="11">
        <f t="shared" si="113"/>
        <v>0.12362637362637363</v>
      </c>
      <c r="AD176" s="11">
        <f t="shared" si="114"/>
        <v>7.378407024919497E-3</v>
      </c>
      <c r="AE176" s="11">
        <f t="shared" si="115"/>
        <v>3.7937919767652935E-2</v>
      </c>
      <c r="AF176" s="11">
        <f t="shared" si="116"/>
        <v>7.8378378378378383E-2</v>
      </c>
      <c r="AG176" s="11">
        <f t="shared" si="117"/>
        <v>0.15306122448979592</v>
      </c>
      <c r="AH176" s="11">
        <f t="shared" si="118"/>
        <v>4.6293138805379955E-2</v>
      </c>
      <c r="AI176" s="11">
        <f t="shared" si="119"/>
        <v>1</v>
      </c>
      <c r="AJ176" s="11">
        <f t="shared" si="120"/>
        <v>0.33333333333333331</v>
      </c>
      <c r="AK176" s="11">
        <f t="shared" si="121"/>
        <v>0.14393939393939395</v>
      </c>
      <c r="AL176" s="11">
        <f t="shared" si="122"/>
        <v>0.60116156701926404</v>
      </c>
      <c r="AM176" s="11">
        <f t="shared" si="123"/>
        <v>0.16666666666666666</v>
      </c>
      <c r="AN176" s="11">
        <f t="shared" si="124"/>
        <v>6.4516129032258063E-2</v>
      </c>
      <c r="AO176" s="11">
        <f t="shared" si="125"/>
        <v>8.3333333333333329E-2</v>
      </c>
      <c r="AP176" s="11">
        <f t="shared" si="126"/>
        <v>0</v>
      </c>
      <c r="AQ176" s="11">
        <f t="shared" si="127"/>
        <v>3.7875387510791816</v>
      </c>
    </row>
    <row r="177" spans="1:43" ht="15" customHeight="1" x14ac:dyDescent="0.2">
      <c r="A177" s="3" t="str">
        <f>MethodData!A174</f>
        <v>Ship: occupies(IPosition)</v>
      </c>
      <c r="B177" s="4">
        <f>MethodData!B174</f>
        <v>3</v>
      </c>
      <c r="C177" s="4">
        <f>MethodData!C174</f>
        <v>2</v>
      </c>
      <c r="D177" s="4">
        <f>MethodData!D174</f>
        <v>0.5</v>
      </c>
      <c r="E177" s="4">
        <f>MethodData!E174</f>
        <v>2</v>
      </c>
      <c r="F177" s="4">
        <f>MethodData!F174</f>
        <v>1</v>
      </c>
      <c r="G177" s="4">
        <f>MethodData!G174</f>
        <v>0</v>
      </c>
      <c r="H177" s="4">
        <f>MethodData!H174</f>
        <v>10.5</v>
      </c>
      <c r="I177" s="4">
        <f>MethodData!I174</f>
        <v>1089.1259</v>
      </c>
      <c r="J177" s="4">
        <f>MethodData!J174</f>
        <v>3.5299999999999998E-2</v>
      </c>
      <c r="K177" s="4">
        <f>MethodData!K174</f>
        <v>24</v>
      </c>
      <c r="L177" s="4">
        <f>MethodData!L174</f>
        <v>20</v>
      </c>
      <c r="M177" s="4">
        <f>MethodData!M174</f>
        <v>103.72629999999999</v>
      </c>
      <c r="N177" s="4">
        <f>MethodData!N174</f>
        <v>1</v>
      </c>
      <c r="O177" s="4">
        <f>MethodData!O174</f>
        <v>1</v>
      </c>
      <c r="P177" s="4">
        <f>MethodData!P174</f>
        <v>20</v>
      </c>
      <c r="Q177" s="4">
        <f>MethodData!Q174</f>
        <v>57.377699999999997</v>
      </c>
      <c r="R177" s="4">
        <f>MethodData!R174</f>
        <v>0</v>
      </c>
      <c r="S177" s="4">
        <f>MethodData!S174</f>
        <v>2</v>
      </c>
      <c r="T177" s="4">
        <f>MethodData!T174</f>
        <v>1</v>
      </c>
      <c r="U177" s="4">
        <f>MethodData!U174</f>
        <v>1</v>
      </c>
      <c r="W177" s="11">
        <f t="shared" si="107"/>
        <v>7.8947368421052627E-2</v>
      </c>
      <c r="X177" s="11">
        <f t="shared" si="108"/>
        <v>0.05</v>
      </c>
      <c r="Y177" s="11">
        <f t="shared" si="109"/>
        <v>0.5</v>
      </c>
      <c r="Z177" s="11">
        <f t="shared" si="110"/>
        <v>6.8965517241379309E-2</v>
      </c>
      <c r="AA177" s="11">
        <f t="shared" si="111"/>
        <v>0.25</v>
      </c>
      <c r="AB177" s="11">
        <f t="shared" si="112"/>
        <v>0</v>
      </c>
      <c r="AC177" s="11">
        <f t="shared" si="113"/>
        <v>0.1048951048951049</v>
      </c>
      <c r="AD177" s="11">
        <f t="shared" si="114"/>
        <v>5.7314726988682502E-3</v>
      </c>
      <c r="AE177" s="11">
        <f t="shared" si="115"/>
        <v>3.2038482483209292E-2</v>
      </c>
      <c r="AF177" s="11">
        <f t="shared" si="116"/>
        <v>6.4864864864864868E-2</v>
      </c>
      <c r="AG177" s="11">
        <f t="shared" si="117"/>
        <v>0.20408163265306123</v>
      </c>
      <c r="AH177" s="11">
        <f t="shared" si="118"/>
        <v>4.2381504677576502E-2</v>
      </c>
      <c r="AI177" s="11">
        <f t="shared" si="119"/>
        <v>1</v>
      </c>
      <c r="AJ177" s="11">
        <f t="shared" si="120"/>
        <v>0.33333333333333331</v>
      </c>
      <c r="AK177" s="11">
        <f t="shared" si="121"/>
        <v>0.15151515151515152</v>
      </c>
      <c r="AL177" s="11">
        <f t="shared" si="122"/>
        <v>0.59902969585861576</v>
      </c>
      <c r="AM177" s="11">
        <f t="shared" si="123"/>
        <v>0.16666666666666666</v>
      </c>
      <c r="AN177" s="11">
        <f t="shared" si="124"/>
        <v>6.4516129032258063E-2</v>
      </c>
      <c r="AO177" s="11">
        <f t="shared" si="125"/>
        <v>8.3333333333333329E-2</v>
      </c>
      <c r="AP177" s="11">
        <f t="shared" si="126"/>
        <v>0.25</v>
      </c>
      <c r="AQ177" s="11">
        <f t="shared" si="127"/>
        <v>4.0503002576744755</v>
      </c>
    </row>
    <row r="178" spans="1:43" ht="15" customHeight="1" x14ac:dyDescent="0.2">
      <c r="A178" s="3" t="str">
        <f>MethodData!A175</f>
        <v>Ship: shoot(IPosition)</v>
      </c>
      <c r="B178" s="4">
        <f>MethodData!B175</f>
        <v>3</v>
      </c>
      <c r="C178" s="4">
        <f>MethodData!C175</f>
        <v>2</v>
      </c>
      <c r="D178" s="4">
        <f>MethodData!D175</f>
        <v>0.25</v>
      </c>
      <c r="E178" s="4">
        <f>MethodData!E175</f>
        <v>3</v>
      </c>
      <c r="F178" s="4">
        <f>MethodData!F175</f>
        <v>1</v>
      </c>
      <c r="G178" s="4">
        <f>MethodData!G175</f>
        <v>0</v>
      </c>
      <c r="H178" s="4">
        <f>MethodData!H175</f>
        <v>10</v>
      </c>
      <c r="I178" s="4">
        <f>MethodData!I175</f>
        <v>629.07479999999998</v>
      </c>
      <c r="J178" s="4">
        <f>MethodData!J175</f>
        <v>2.4500000000000001E-2</v>
      </c>
      <c r="K178" s="4">
        <f>MethodData!K175</f>
        <v>17</v>
      </c>
      <c r="L178" s="4">
        <f>MethodData!L175</f>
        <v>13</v>
      </c>
      <c r="M178" s="4">
        <f>MethodData!M175</f>
        <v>62.907499999999999</v>
      </c>
      <c r="N178" s="4">
        <f>MethodData!N175</f>
        <v>1</v>
      </c>
      <c r="O178" s="4">
        <f>MethodData!O175</f>
        <v>1</v>
      </c>
      <c r="P178" s="4">
        <f>MethodData!P175</f>
        <v>21</v>
      </c>
      <c r="Q178" s="4">
        <f>MethodData!Q175</f>
        <v>58.459000000000003</v>
      </c>
      <c r="R178" s="4">
        <f>MethodData!R175</f>
        <v>1</v>
      </c>
      <c r="S178" s="4">
        <f>MethodData!S175</f>
        <v>2</v>
      </c>
      <c r="T178" s="4">
        <f>MethodData!T175</f>
        <v>1</v>
      </c>
      <c r="U178" s="4">
        <f>MethodData!U175</f>
        <v>1</v>
      </c>
      <c r="W178" s="11">
        <f t="shared" si="107"/>
        <v>7.8947368421052627E-2</v>
      </c>
      <c r="X178" s="11">
        <f t="shared" si="108"/>
        <v>0.05</v>
      </c>
      <c r="Y178" s="11">
        <f t="shared" si="109"/>
        <v>0.25</v>
      </c>
      <c r="Z178" s="11">
        <f t="shared" si="110"/>
        <v>0.10344827586206896</v>
      </c>
      <c r="AA178" s="11">
        <f t="shared" si="111"/>
        <v>0.25</v>
      </c>
      <c r="AB178" s="11">
        <f t="shared" si="112"/>
        <v>0</v>
      </c>
      <c r="AC178" s="11">
        <f t="shared" si="113"/>
        <v>9.9900099900099903E-2</v>
      </c>
      <c r="AD178" s="11">
        <f t="shared" si="114"/>
        <v>3.3104758979159384E-3</v>
      </c>
      <c r="AE178" s="11">
        <f t="shared" si="115"/>
        <v>2.2236340533672176E-2</v>
      </c>
      <c r="AF178" s="11">
        <f t="shared" si="116"/>
        <v>4.5945945945945948E-2</v>
      </c>
      <c r="AG178" s="11">
        <f t="shared" si="117"/>
        <v>0.1326530612244898</v>
      </c>
      <c r="AH178" s="11">
        <f t="shared" si="118"/>
        <v>2.570336072437409E-2</v>
      </c>
      <c r="AI178" s="11">
        <f t="shared" si="119"/>
        <v>1</v>
      </c>
      <c r="AJ178" s="11">
        <f t="shared" si="120"/>
        <v>0.33333333333333331</v>
      </c>
      <c r="AK178" s="11">
        <f t="shared" si="121"/>
        <v>0.15909090909090909</v>
      </c>
      <c r="AL178" s="11">
        <f t="shared" si="122"/>
        <v>0.61031859050116721</v>
      </c>
      <c r="AM178" s="11">
        <f t="shared" si="123"/>
        <v>0.33333333333333331</v>
      </c>
      <c r="AN178" s="11">
        <f t="shared" si="124"/>
        <v>6.4516129032258063E-2</v>
      </c>
      <c r="AO178" s="11">
        <f t="shared" si="125"/>
        <v>8.3333333333333329E-2</v>
      </c>
      <c r="AP178" s="11">
        <f t="shared" si="126"/>
        <v>0.25</v>
      </c>
      <c r="AQ178" s="11">
        <f t="shared" si="127"/>
        <v>3.896070557133954</v>
      </c>
    </row>
    <row r="179" spans="1:43" ht="15" customHeight="1" x14ac:dyDescent="0.2">
      <c r="A179" s="3" t="str">
        <f>MethodData!A176</f>
        <v>Ship: sink()</v>
      </c>
      <c r="B179" s="4">
        <f>MethodData!B176</f>
        <v>2</v>
      </c>
      <c r="C179" s="4">
        <f>MethodData!C176</f>
        <v>1</v>
      </c>
      <c r="D179" s="4">
        <f>MethodData!D176</f>
        <v>0.5</v>
      </c>
      <c r="E179" s="4">
        <f>MethodData!E176</f>
        <v>1</v>
      </c>
      <c r="F179" s="4">
        <f>MethodData!F176</f>
        <v>0</v>
      </c>
      <c r="G179" s="4">
        <f>MethodData!G176</f>
        <v>0</v>
      </c>
      <c r="H179" s="4">
        <f>MethodData!H176</f>
        <v>2.5</v>
      </c>
      <c r="I179" s="4">
        <f>MethodData!I176</f>
        <v>38.7744</v>
      </c>
      <c r="J179" s="4">
        <f>MethodData!J176</f>
        <v>3.8E-3</v>
      </c>
      <c r="K179" s="4">
        <f>MethodData!K176</f>
        <v>6</v>
      </c>
      <c r="L179" s="4">
        <f>MethodData!L176</f>
        <v>6</v>
      </c>
      <c r="M179" s="4">
        <f>MethodData!M176</f>
        <v>15.5098</v>
      </c>
      <c r="N179" s="4">
        <f>MethodData!N176</f>
        <v>1</v>
      </c>
      <c r="O179" s="4">
        <f>MethodData!O176</f>
        <v>1</v>
      </c>
      <c r="P179" s="4">
        <f>MethodData!P176</f>
        <v>13</v>
      </c>
      <c r="Q179" s="4">
        <f>MethodData!Q176</f>
        <v>67.372200000000007</v>
      </c>
      <c r="R179" s="4">
        <f>MethodData!R176</f>
        <v>0</v>
      </c>
      <c r="S179" s="4">
        <f>MethodData!S176</f>
        <v>1</v>
      </c>
      <c r="T179" s="4">
        <f>MethodData!T176</f>
        <v>1</v>
      </c>
      <c r="U179" s="4">
        <f>MethodData!U176</f>
        <v>0</v>
      </c>
      <c r="W179" s="11">
        <f t="shared" si="107"/>
        <v>5.2631578947368418E-2</v>
      </c>
      <c r="X179" s="11">
        <f t="shared" si="108"/>
        <v>2.5000000000000001E-2</v>
      </c>
      <c r="Y179" s="11">
        <f t="shared" si="109"/>
        <v>0.5</v>
      </c>
      <c r="Z179" s="11">
        <f t="shared" si="110"/>
        <v>3.4482758620689655E-2</v>
      </c>
      <c r="AA179" s="11">
        <f t="shared" si="111"/>
        <v>0</v>
      </c>
      <c r="AB179" s="11">
        <f t="shared" si="112"/>
        <v>0</v>
      </c>
      <c r="AC179" s="11">
        <f t="shared" si="113"/>
        <v>2.4975024975024976E-2</v>
      </c>
      <c r="AD179" s="11">
        <f t="shared" si="114"/>
        <v>2.040484162712475E-4</v>
      </c>
      <c r="AE179" s="11">
        <f t="shared" si="115"/>
        <v>3.4489017970593576E-3</v>
      </c>
      <c r="AF179" s="11">
        <f t="shared" si="116"/>
        <v>1.6216216216216217E-2</v>
      </c>
      <c r="AG179" s="11">
        <f t="shared" si="117"/>
        <v>6.1224489795918366E-2</v>
      </c>
      <c r="AH179" s="11">
        <f t="shared" si="118"/>
        <v>6.3371455575709935E-3</v>
      </c>
      <c r="AI179" s="11">
        <f t="shared" si="119"/>
        <v>1</v>
      </c>
      <c r="AJ179" s="11">
        <f t="shared" si="120"/>
        <v>0.33333333333333331</v>
      </c>
      <c r="AK179" s="11">
        <f t="shared" si="121"/>
        <v>9.8484848484848481E-2</v>
      </c>
      <c r="AL179" s="11">
        <f t="shared" si="122"/>
        <v>0.70337340944872029</v>
      </c>
      <c r="AM179" s="11">
        <f t="shared" si="123"/>
        <v>0.16666666666666666</v>
      </c>
      <c r="AN179" s="11">
        <f t="shared" si="124"/>
        <v>3.2258064516129031E-2</v>
      </c>
      <c r="AO179" s="11">
        <f t="shared" si="125"/>
        <v>8.3333333333333329E-2</v>
      </c>
      <c r="AP179" s="11">
        <f t="shared" si="126"/>
        <v>0</v>
      </c>
      <c r="AQ179" s="11">
        <f t="shared" si="127"/>
        <v>3.1419698201091504</v>
      </c>
    </row>
    <row r="180" spans="1:43" ht="15" customHeight="1" x14ac:dyDescent="0.2">
      <c r="A180" s="3" t="str">
        <f>MethodData!A177</f>
        <v>Ship: stillFloating()</v>
      </c>
      <c r="B180" s="4">
        <f>MethodData!B177</f>
        <v>3</v>
      </c>
      <c r="C180" s="4">
        <f>MethodData!C177</f>
        <v>2</v>
      </c>
      <c r="D180" s="4">
        <f>MethodData!D177</f>
        <v>0.5</v>
      </c>
      <c r="E180" s="4">
        <f>MethodData!E177</f>
        <v>2</v>
      </c>
      <c r="F180" s="4">
        <f>MethodData!F177</f>
        <v>1</v>
      </c>
      <c r="G180" s="4">
        <f>MethodData!G177</f>
        <v>0</v>
      </c>
      <c r="H180" s="4">
        <f>MethodData!H177</f>
        <v>9.75</v>
      </c>
      <c r="I180" s="4">
        <f>MethodData!I177</f>
        <v>797.05529999999999</v>
      </c>
      <c r="J180" s="4">
        <f>MethodData!J177</f>
        <v>2.87E-2</v>
      </c>
      <c r="K180" s="4">
        <f>MethodData!K177</f>
        <v>20</v>
      </c>
      <c r="L180" s="4">
        <f>MethodData!L177</f>
        <v>17</v>
      </c>
      <c r="M180" s="4">
        <f>MethodData!M177</f>
        <v>81.749300000000005</v>
      </c>
      <c r="N180" s="4">
        <f>MethodData!N177</f>
        <v>1</v>
      </c>
      <c r="O180" s="4">
        <f>MethodData!O177</f>
        <v>1</v>
      </c>
      <c r="P180" s="4">
        <f>MethodData!P177</f>
        <v>18</v>
      </c>
      <c r="Q180" s="4">
        <f>MethodData!Q177</f>
        <v>59.106499999999997</v>
      </c>
      <c r="R180" s="4">
        <f>MethodData!R177</f>
        <v>0</v>
      </c>
      <c r="S180" s="4">
        <f>MethodData!S177</f>
        <v>1</v>
      </c>
      <c r="T180" s="4">
        <f>MethodData!T177</f>
        <v>1</v>
      </c>
      <c r="U180" s="4">
        <f>MethodData!U177</f>
        <v>0</v>
      </c>
      <c r="W180" s="11">
        <f t="shared" si="107"/>
        <v>7.8947368421052627E-2</v>
      </c>
      <c r="X180" s="11">
        <f t="shared" si="108"/>
        <v>0.05</v>
      </c>
      <c r="Y180" s="11">
        <f t="shared" si="109"/>
        <v>0.5</v>
      </c>
      <c r="Z180" s="11">
        <f t="shared" si="110"/>
        <v>6.8965517241379309E-2</v>
      </c>
      <c r="AA180" s="11">
        <f t="shared" si="111"/>
        <v>0.25</v>
      </c>
      <c r="AB180" s="11">
        <f t="shared" si="112"/>
        <v>0</v>
      </c>
      <c r="AC180" s="11">
        <f t="shared" si="113"/>
        <v>9.7402597402597407E-2</v>
      </c>
      <c r="AD180" s="11">
        <f t="shared" si="114"/>
        <v>4.1944652050219747E-3</v>
      </c>
      <c r="AE180" s="11">
        <f t="shared" si="115"/>
        <v>2.6048284625158832E-2</v>
      </c>
      <c r="AF180" s="11">
        <f t="shared" si="116"/>
        <v>5.4054054054054057E-2</v>
      </c>
      <c r="AG180" s="11">
        <f t="shared" si="117"/>
        <v>0.17346938775510204</v>
      </c>
      <c r="AH180" s="11">
        <f t="shared" si="118"/>
        <v>3.3401927383302069E-2</v>
      </c>
      <c r="AI180" s="11">
        <f t="shared" si="119"/>
        <v>1</v>
      </c>
      <c r="AJ180" s="11">
        <f t="shared" si="120"/>
        <v>0.33333333333333331</v>
      </c>
      <c r="AK180" s="11">
        <f t="shared" si="121"/>
        <v>0.13636363636363635</v>
      </c>
      <c r="AL180" s="11">
        <f t="shared" si="122"/>
        <v>0.61707856394151861</v>
      </c>
      <c r="AM180" s="11">
        <f t="shared" si="123"/>
        <v>0.16666666666666666</v>
      </c>
      <c r="AN180" s="11">
        <f t="shared" si="124"/>
        <v>3.2258064516129031E-2</v>
      </c>
      <c r="AO180" s="11">
        <f t="shared" si="125"/>
        <v>8.3333333333333329E-2</v>
      </c>
      <c r="AP180" s="11">
        <f t="shared" si="126"/>
        <v>0</v>
      </c>
      <c r="AQ180" s="11">
        <f t="shared" si="127"/>
        <v>3.7055172002422858</v>
      </c>
    </row>
    <row r="181" spans="1:43" ht="15" customHeight="1" x14ac:dyDescent="0.2">
      <c r="A181" s="3" t="str">
        <f>MethodData!A178</f>
        <v>Ship: toString()</v>
      </c>
      <c r="B181" s="4">
        <f>MethodData!B178</f>
        <v>1</v>
      </c>
      <c r="C181" s="4">
        <f>MethodData!C178</f>
        <v>0</v>
      </c>
      <c r="D181" s="4">
        <f>MethodData!D178</f>
        <v>0</v>
      </c>
      <c r="E181" s="4">
        <f>MethodData!E178</f>
        <v>0</v>
      </c>
      <c r="F181" s="4">
        <f>MethodData!F178</f>
        <v>0</v>
      </c>
      <c r="G181" s="4">
        <f>MethodData!G178</f>
        <v>0</v>
      </c>
      <c r="H181" s="4">
        <f>MethodData!H178</f>
        <v>1.1667000000000001</v>
      </c>
      <c r="I181" s="4">
        <f>MethodData!I178</f>
        <v>31.5</v>
      </c>
      <c r="J181" s="4">
        <f>MethodData!J178</f>
        <v>3.3E-3</v>
      </c>
      <c r="K181" s="4">
        <f>MethodData!K178</f>
        <v>9</v>
      </c>
      <c r="L181" s="4">
        <f>MethodData!L178</f>
        <v>8</v>
      </c>
      <c r="M181" s="4">
        <f>MethodData!M178</f>
        <v>27</v>
      </c>
      <c r="N181" s="4">
        <f>MethodData!N178</f>
        <v>1</v>
      </c>
      <c r="O181" s="4">
        <f>MethodData!O178</f>
        <v>0</v>
      </c>
      <c r="P181" s="4">
        <f>MethodData!P178</f>
        <v>10</v>
      </c>
      <c r="Q181" s="4">
        <f>MethodData!Q178</f>
        <v>68.278400000000005</v>
      </c>
      <c r="R181" s="4">
        <f>MethodData!R178</f>
        <v>0</v>
      </c>
      <c r="S181" s="4">
        <f>MethodData!S178</f>
        <v>3</v>
      </c>
      <c r="T181" s="4">
        <f>MethodData!T178</f>
        <v>0</v>
      </c>
      <c r="U181" s="4">
        <f>MethodData!U178</f>
        <v>0</v>
      </c>
      <c r="W181" s="11">
        <f t="shared" si="107"/>
        <v>2.6315789473684209E-2</v>
      </c>
      <c r="X181" s="11">
        <f t="shared" si="108"/>
        <v>0</v>
      </c>
      <c r="Y181" s="11">
        <f t="shared" si="109"/>
        <v>0</v>
      </c>
      <c r="Z181" s="11">
        <f t="shared" si="110"/>
        <v>0</v>
      </c>
      <c r="AA181" s="11">
        <f t="shared" si="111"/>
        <v>0</v>
      </c>
      <c r="AB181" s="11">
        <f t="shared" si="112"/>
        <v>0</v>
      </c>
      <c r="AC181" s="11">
        <f t="shared" si="113"/>
        <v>1.1655344655344657E-2</v>
      </c>
      <c r="AD181" s="11">
        <f t="shared" si="114"/>
        <v>1.6576723592226562E-4</v>
      </c>
      <c r="AE181" s="11">
        <f t="shared" si="115"/>
        <v>2.9950989290252316E-3</v>
      </c>
      <c r="AF181" s="11">
        <f t="shared" si="116"/>
        <v>2.4324324324324326E-2</v>
      </c>
      <c r="AG181" s="11">
        <f t="shared" si="117"/>
        <v>8.1632653061224483E-2</v>
      </c>
      <c r="AH181" s="11">
        <f t="shared" si="118"/>
        <v>1.1031923690467757E-2</v>
      </c>
      <c r="AI181" s="11">
        <f t="shared" si="119"/>
        <v>1</v>
      </c>
      <c r="AJ181" s="11">
        <f t="shared" si="120"/>
        <v>0</v>
      </c>
      <c r="AK181" s="11">
        <f t="shared" si="121"/>
        <v>7.575757575757576E-2</v>
      </c>
      <c r="AL181" s="11">
        <f t="shared" si="122"/>
        <v>0.71283424023118591</v>
      </c>
      <c r="AM181" s="11">
        <f t="shared" si="123"/>
        <v>0.16666666666666666</v>
      </c>
      <c r="AN181" s="11">
        <f t="shared" si="124"/>
        <v>9.6774193548387094E-2</v>
      </c>
      <c r="AO181" s="11">
        <f t="shared" si="125"/>
        <v>0</v>
      </c>
      <c r="AP181" s="11">
        <f t="shared" si="126"/>
        <v>0</v>
      </c>
      <c r="AQ181" s="11">
        <f t="shared" si="127"/>
        <v>2.2101535775738079</v>
      </c>
    </row>
    <row r="182" spans="1:43" ht="15" customHeight="1" x14ac:dyDescent="0.2">
      <c r="A182" s="3" t="str">
        <f>MethodData!A179</f>
        <v>Ship: tooCloseTo(IPosition)</v>
      </c>
      <c r="B182" s="4">
        <f>MethodData!B179</f>
        <v>3</v>
      </c>
      <c r="C182" s="4">
        <f>MethodData!C179</f>
        <v>2</v>
      </c>
      <c r="D182" s="4">
        <f>MethodData!D179</f>
        <v>0.5</v>
      </c>
      <c r="E182" s="4">
        <f>MethodData!E179</f>
        <v>2</v>
      </c>
      <c r="F182" s="4">
        <f>MethodData!F179</f>
        <v>1</v>
      </c>
      <c r="G182" s="4">
        <f>MethodData!G179</f>
        <v>0</v>
      </c>
      <c r="H182" s="4">
        <f>MethodData!H179</f>
        <v>11.25</v>
      </c>
      <c r="I182" s="4">
        <f>MethodData!I179</f>
        <v>1235.3393000000001</v>
      </c>
      <c r="J182" s="4">
        <f>MethodData!J179</f>
        <v>3.8399999999999997E-2</v>
      </c>
      <c r="K182" s="4">
        <f>MethodData!K179</f>
        <v>25</v>
      </c>
      <c r="L182" s="4">
        <f>MethodData!L179</f>
        <v>21</v>
      </c>
      <c r="M182" s="4">
        <f>MethodData!M179</f>
        <v>109.8079</v>
      </c>
      <c r="N182" s="4">
        <f>MethodData!N179</f>
        <v>1</v>
      </c>
      <c r="O182" s="4">
        <f>MethodData!O179</f>
        <v>1</v>
      </c>
      <c r="P182" s="4">
        <f>MethodData!P179</f>
        <v>20</v>
      </c>
      <c r="Q182" s="4">
        <f>MethodData!Q179</f>
        <v>57.205500000000001</v>
      </c>
      <c r="R182" s="4">
        <f>MethodData!R179</f>
        <v>0</v>
      </c>
      <c r="S182" s="4">
        <f>MethodData!S179</f>
        <v>2</v>
      </c>
      <c r="T182" s="4">
        <f>MethodData!T179</f>
        <v>1</v>
      </c>
      <c r="U182" s="4">
        <f>MethodData!U179</f>
        <v>1</v>
      </c>
      <c r="W182" s="11">
        <f t="shared" si="107"/>
        <v>7.8947368421052627E-2</v>
      </c>
      <c r="X182" s="11">
        <f t="shared" si="108"/>
        <v>0.05</v>
      </c>
      <c r="Y182" s="11">
        <f t="shared" si="109"/>
        <v>0.5</v>
      </c>
      <c r="Z182" s="11">
        <f t="shared" si="110"/>
        <v>6.8965517241379309E-2</v>
      </c>
      <c r="AA182" s="11">
        <f t="shared" si="111"/>
        <v>0.25</v>
      </c>
      <c r="AB182" s="11">
        <f t="shared" si="112"/>
        <v>0</v>
      </c>
      <c r="AC182" s="11">
        <f t="shared" si="113"/>
        <v>0.1123876123876124</v>
      </c>
      <c r="AD182" s="11">
        <f t="shared" si="114"/>
        <v>6.5009136884808414E-3</v>
      </c>
      <c r="AE182" s="11">
        <f t="shared" si="115"/>
        <v>3.4852060265020877E-2</v>
      </c>
      <c r="AF182" s="11">
        <f t="shared" si="116"/>
        <v>6.7567567567567571E-2</v>
      </c>
      <c r="AG182" s="11">
        <f t="shared" si="117"/>
        <v>0.21428571428571427</v>
      </c>
      <c r="AH182" s="11">
        <f t="shared" si="118"/>
        <v>4.4866384200389423E-2</v>
      </c>
      <c r="AI182" s="11">
        <f t="shared" si="119"/>
        <v>1</v>
      </c>
      <c r="AJ182" s="11">
        <f t="shared" si="120"/>
        <v>0.33333333333333331</v>
      </c>
      <c r="AK182" s="11">
        <f t="shared" si="121"/>
        <v>0.15151515151515152</v>
      </c>
      <c r="AL182" s="11">
        <f t="shared" si="122"/>
        <v>0.5972319083274521</v>
      </c>
      <c r="AM182" s="11">
        <f t="shared" si="123"/>
        <v>0.16666666666666666</v>
      </c>
      <c r="AN182" s="11">
        <f t="shared" si="124"/>
        <v>6.4516129032258063E-2</v>
      </c>
      <c r="AO182" s="11">
        <f t="shared" si="125"/>
        <v>8.3333333333333329E-2</v>
      </c>
      <c r="AP182" s="11">
        <f t="shared" si="126"/>
        <v>0.25</v>
      </c>
      <c r="AQ182" s="11">
        <f t="shared" si="127"/>
        <v>4.0749696602654115</v>
      </c>
    </row>
    <row r="183" spans="1:43" ht="15" customHeight="1" x14ac:dyDescent="0.2">
      <c r="A183" s="3" t="str">
        <f>MethodData!A180</f>
        <v>Ship: tooCloseTo(IShip)</v>
      </c>
      <c r="B183" s="4">
        <f>MethodData!B180</f>
        <v>3</v>
      </c>
      <c r="C183" s="4">
        <f>MethodData!C180</f>
        <v>3</v>
      </c>
      <c r="D183" s="4">
        <f>MethodData!D180</f>
        <v>0.6</v>
      </c>
      <c r="E183" s="4">
        <f>MethodData!E180</f>
        <v>4</v>
      </c>
      <c r="F183" s="4">
        <f>MethodData!F180</f>
        <v>1</v>
      </c>
      <c r="G183" s="4">
        <f>MethodData!G180</f>
        <v>0</v>
      </c>
      <c r="H183" s="4">
        <f>MethodData!H180</f>
        <v>8.4</v>
      </c>
      <c r="I183" s="4">
        <f>MethodData!I180</f>
        <v>686.69380000000001</v>
      </c>
      <c r="J183" s="4">
        <f>MethodData!J180</f>
        <v>2.5899999999999999E-2</v>
      </c>
      <c r="K183" s="4">
        <f>MethodData!K180</f>
        <v>20</v>
      </c>
      <c r="L183" s="4">
        <f>MethodData!L180</f>
        <v>17</v>
      </c>
      <c r="M183" s="4">
        <f>MethodData!M180</f>
        <v>81.749300000000005</v>
      </c>
      <c r="N183" s="4">
        <f>MethodData!N180</f>
        <v>0</v>
      </c>
      <c r="O183" s="4">
        <f>MethodData!O180</f>
        <v>1</v>
      </c>
      <c r="P183" s="4">
        <f>MethodData!P180</f>
        <v>21</v>
      </c>
      <c r="Q183" s="4">
        <f>MethodData!Q180</f>
        <v>57.6462</v>
      </c>
      <c r="R183" s="4">
        <f>MethodData!R180</f>
        <v>0</v>
      </c>
      <c r="S183" s="4">
        <f>MethodData!S180</f>
        <v>2</v>
      </c>
      <c r="T183" s="4">
        <f>MethodData!T180</f>
        <v>1</v>
      </c>
      <c r="U183" s="4">
        <f>MethodData!U180</f>
        <v>1</v>
      </c>
      <c r="W183" s="11">
        <f t="shared" si="107"/>
        <v>7.8947368421052627E-2</v>
      </c>
      <c r="X183" s="11">
        <f t="shared" si="108"/>
        <v>7.4999999999999997E-2</v>
      </c>
      <c r="Y183" s="11">
        <f t="shared" si="109"/>
        <v>0.6</v>
      </c>
      <c r="Z183" s="11">
        <f t="shared" si="110"/>
        <v>0.13793103448275862</v>
      </c>
      <c r="AA183" s="11">
        <f t="shared" si="111"/>
        <v>0.25</v>
      </c>
      <c r="AB183" s="11">
        <f t="shared" si="112"/>
        <v>0</v>
      </c>
      <c r="AC183" s="11">
        <f t="shared" si="113"/>
        <v>8.3916083916083919E-2</v>
      </c>
      <c r="AD183" s="11">
        <f t="shared" si="114"/>
        <v>3.6136931159033996E-3</v>
      </c>
      <c r="AE183" s="11">
        <f t="shared" si="115"/>
        <v>2.3506988564167726E-2</v>
      </c>
      <c r="AF183" s="11">
        <f t="shared" si="116"/>
        <v>5.4054054054054057E-2</v>
      </c>
      <c r="AG183" s="11">
        <f t="shared" si="117"/>
        <v>0.17346938775510204</v>
      </c>
      <c r="AH183" s="11">
        <f t="shared" si="118"/>
        <v>3.3401927383302069E-2</v>
      </c>
      <c r="AI183" s="11">
        <f t="shared" si="119"/>
        <v>0</v>
      </c>
      <c r="AJ183" s="11">
        <f t="shared" si="120"/>
        <v>0.33333333333333331</v>
      </c>
      <c r="AK183" s="11">
        <f t="shared" si="121"/>
        <v>0.15909090909090909</v>
      </c>
      <c r="AL183" s="11">
        <f t="shared" si="122"/>
        <v>0.60183286631225963</v>
      </c>
      <c r="AM183" s="11">
        <f t="shared" si="123"/>
        <v>0.16666666666666666</v>
      </c>
      <c r="AN183" s="11">
        <f t="shared" si="124"/>
        <v>6.4516129032258063E-2</v>
      </c>
      <c r="AO183" s="11">
        <f t="shared" si="125"/>
        <v>8.3333333333333329E-2</v>
      </c>
      <c r="AP183" s="11">
        <f t="shared" si="126"/>
        <v>0.25</v>
      </c>
      <c r="AQ183" s="11">
        <f t="shared" si="127"/>
        <v>3.1726137754611843</v>
      </c>
    </row>
    <row r="184" spans="1:43" ht="15" customHeight="1" x14ac:dyDescent="0.2">
      <c r="A184" s="3" t="str">
        <f>MethodData!A181</f>
        <v>Tasks: askPlayerName(Scanner)</v>
      </c>
      <c r="B184" s="4">
        <f>MethodData!B181</f>
        <v>3</v>
      </c>
      <c r="C184" s="4">
        <f>MethodData!C181</f>
        <v>2</v>
      </c>
      <c r="D184" s="4">
        <f>MethodData!D181</f>
        <v>0.5</v>
      </c>
      <c r="E184" s="4">
        <f>MethodData!E181</f>
        <v>6</v>
      </c>
      <c r="F184" s="4">
        <f>MethodData!F181</f>
        <v>1</v>
      </c>
      <c r="G184" s="4">
        <f>MethodData!G181</f>
        <v>1</v>
      </c>
      <c r="H184" s="4">
        <f>MethodData!H181</f>
        <v>9.5</v>
      </c>
      <c r="I184" s="4">
        <f>MethodData!I181</f>
        <v>1398.0318</v>
      </c>
      <c r="J184" s="4">
        <f>MethodData!J181</f>
        <v>4.1700000000000001E-2</v>
      </c>
      <c r="K184" s="4">
        <f>MethodData!K181</f>
        <v>33</v>
      </c>
      <c r="L184" s="4">
        <f>MethodData!L181</f>
        <v>22</v>
      </c>
      <c r="M184" s="4">
        <f>MethodData!M181</f>
        <v>147.16120000000001</v>
      </c>
      <c r="N184" s="4">
        <f>MethodData!N181</f>
        <v>0.5</v>
      </c>
      <c r="O184" s="4">
        <f>MethodData!O181</f>
        <v>1</v>
      </c>
      <c r="P184" s="4">
        <f>MethodData!P181</f>
        <v>19</v>
      </c>
      <c r="Q184" s="4">
        <f>MethodData!Q181</f>
        <v>56.781999999999996</v>
      </c>
      <c r="R184" s="4">
        <f>MethodData!R181</f>
        <v>1</v>
      </c>
      <c r="S184" s="4">
        <f>MethodData!S181</f>
        <v>4</v>
      </c>
      <c r="T184" s="4">
        <f>MethodData!T181</f>
        <v>1</v>
      </c>
      <c r="U184" s="4">
        <f>MethodData!U181</f>
        <v>1</v>
      </c>
      <c r="W184" s="11">
        <f t="shared" si="107"/>
        <v>7.8947368421052627E-2</v>
      </c>
      <c r="X184" s="11">
        <f t="shared" si="108"/>
        <v>0.05</v>
      </c>
      <c r="Y184" s="11">
        <f t="shared" si="109"/>
        <v>0.5</v>
      </c>
      <c r="Z184" s="11">
        <f t="shared" si="110"/>
        <v>0.20689655172413793</v>
      </c>
      <c r="AA184" s="11">
        <f t="shared" si="111"/>
        <v>0.25</v>
      </c>
      <c r="AB184" s="11">
        <f t="shared" si="112"/>
        <v>0.2</v>
      </c>
      <c r="AC184" s="11">
        <f t="shared" si="113"/>
        <v>9.4905094905094911E-2</v>
      </c>
      <c r="AD184" s="11">
        <f t="shared" si="114"/>
        <v>7.3570751497596719E-3</v>
      </c>
      <c r="AE184" s="11">
        <f t="shared" si="115"/>
        <v>3.7847159194046111E-2</v>
      </c>
      <c r="AF184" s="11">
        <f t="shared" si="116"/>
        <v>8.9189189189189194E-2</v>
      </c>
      <c r="AG184" s="11">
        <f t="shared" si="117"/>
        <v>0.22448979591836735</v>
      </c>
      <c r="AH184" s="11">
        <f t="shared" si="118"/>
        <v>6.0128560318431987E-2</v>
      </c>
      <c r="AI184" s="11">
        <f t="shared" si="119"/>
        <v>0.5</v>
      </c>
      <c r="AJ184" s="11">
        <f t="shared" si="120"/>
        <v>0.33333333333333331</v>
      </c>
      <c r="AK184" s="11">
        <f t="shared" si="121"/>
        <v>0.14393939393939395</v>
      </c>
      <c r="AL184" s="11">
        <f t="shared" si="122"/>
        <v>0.59281052029349235</v>
      </c>
      <c r="AM184" s="11">
        <f t="shared" si="123"/>
        <v>0.33333333333333331</v>
      </c>
      <c r="AN184" s="11">
        <f t="shared" si="124"/>
        <v>0.12903225806451613</v>
      </c>
      <c r="AO184" s="11">
        <f t="shared" si="125"/>
        <v>8.3333333333333329E-2</v>
      </c>
      <c r="AP184" s="11">
        <f t="shared" si="126"/>
        <v>0.25</v>
      </c>
      <c r="AQ184" s="11">
        <f t="shared" si="127"/>
        <v>4.1655429671174833</v>
      </c>
    </row>
    <row r="185" spans="1:43" ht="15" customHeight="1" x14ac:dyDescent="0.2">
      <c r="A185" s="3" t="str">
        <f>MethodData!A182</f>
        <v>Tasks: buildFleet(Scanner)</v>
      </c>
      <c r="B185" s="4">
        <f>MethodData!B182</f>
        <v>4</v>
      </c>
      <c r="C185" s="4">
        <f>MethodData!C182</f>
        <v>5</v>
      </c>
      <c r="D185" s="4">
        <f>MethodData!D182</f>
        <v>0.375</v>
      </c>
      <c r="E185" s="4">
        <f>MethodData!E182</f>
        <v>7</v>
      </c>
      <c r="F185" s="4">
        <f>MethodData!F182</f>
        <v>2</v>
      </c>
      <c r="G185" s="4">
        <f>MethodData!G182</f>
        <v>1</v>
      </c>
      <c r="H185" s="4">
        <f>MethodData!H182</f>
        <v>20.125</v>
      </c>
      <c r="I185" s="4">
        <f>MethodData!I182</f>
        <v>4771.3662999999997</v>
      </c>
      <c r="J185" s="4">
        <f>MethodData!J182</f>
        <v>9.4500000000000001E-2</v>
      </c>
      <c r="K185" s="4">
        <f>MethodData!K182</f>
        <v>47</v>
      </c>
      <c r="L185" s="4">
        <f>MethodData!L182</f>
        <v>33</v>
      </c>
      <c r="M185" s="4">
        <f>MethodData!M182</f>
        <v>237.0865</v>
      </c>
      <c r="N185" s="4">
        <f>MethodData!N182</f>
        <v>0.5</v>
      </c>
      <c r="O185" s="4">
        <f>MethodData!O182</f>
        <v>1</v>
      </c>
      <c r="P185" s="4">
        <f>MethodData!P182</f>
        <v>25</v>
      </c>
      <c r="Q185" s="4">
        <f>MethodData!Q182</f>
        <v>52.690899999999999</v>
      </c>
      <c r="R185" s="4">
        <f>MethodData!R182</f>
        <v>2</v>
      </c>
      <c r="S185" s="4">
        <f>MethodData!S182</f>
        <v>7</v>
      </c>
      <c r="T185" s="4">
        <f>MethodData!T182</f>
        <v>1</v>
      </c>
      <c r="U185" s="4">
        <f>MethodData!U182</f>
        <v>1</v>
      </c>
      <c r="W185" s="11">
        <f t="shared" si="107"/>
        <v>0.10526315789473684</v>
      </c>
      <c r="X185" s="11">
        <f t="shared" si="108"/>
        <v>0.125</v>
      </c>
      <c r="Y185" s="11">
        <f t="shared" si="109"/>
        <v>0.375</v>
      </c>
      <c r="Z185" s="11">
        <f t="shared" si="110"/>
        <v>0.2413793103448276</v>
      </c>
      <c r="AA185" s="11">
        <f t="shared" si="111"/>
        <v>0.5</v>
      </c>
      <c r="AB185" s="11">
        <f t="shared" si="112"/>
        <v>0.2</v>
      </c>
      <c r="AC185" s="11">
        <f t="shared" si="113"/>
        <v>0.20104895104895107</v>
      </c>
      <c r="AD185" s="11">
        <f t="shared" si="114"/>
        <v>2.5109085813449131E-2</v>
      </c>
      <c r="AE185" s="11">
        <f t="shared" si="115"/>
        <v>8.5768742058449823E-2</v>
      </c>
      <c r="AF185" s="11">
        <f t="shared" si="116"/>
        <v>0.12702702702702703</v>
      </c>
      <c r="AG185" s="11">
        <f t="shared" si="117"/>
        <v>0.33673469387755101</v>
      </c>
      <c r="AH185" s="11">
        <f t="shared" si="118"/>
        <v>9.6871117631114209E-2</v>
      </c>
      <c r="AI185" s="11">
        <f t="shared" si="119"/>
        <v>0.5</v>
      </c>
      <c r="AJ185" s="11">
        <f t="shared" si="120"/>
        <v>0.33333333333333331</v>
      </c>
      <c r="AK185" s="11">
        <f t="shared" si="121"/>
        <v>0.18939393939393939</v>
      </c>
      <c r="AL185" s="11">
        <f t="shared" si="122"/>
        <v>0.55009897227523474</v>
      </c>
      <c r="AM185" s="11">
        <f t="shared" si="123"/>
        <v>0.5</v>
      </c>
      <c r="AN185" s="11">
        <f t="shared" si="124"/>
        <v>0.22580645161290322</v>
      </c>
      <c r="AO185" s="11">
        <f t="shared" si="125"/>
        <v>8.3333333333333329E-2</v>
      </c>
      <c r="AP185" s="11">
        <f t="shared" si="126"/>
        <v>0.25</v>
      </c>
      <c r="AQ185" s="11">
        <f t="shared" si="127"/>
        <v>5.0511681156448507</v>
      </c>
    </row>
    <row r="186" spans="1:43" ht="15" customHeight="1" x14ac:dyDescent="0.2">
      <c r="A186" s="3" t="str">
        <f>MethodData!A183</f>
        <v>Tasks: menu()</v>
      </c>
      <c r="B186" s="4">
        <f>MethodData!B183</f>
        <v>29</v>
      </c>
      <c r="C186" s="4">
        <f>MethodData!C183</f>
        <v>19</v>
      </c>
      <c r="D186" s="4">
        <f>MethodData!D183</f>
        <v>0.3125</v>
      </c>
      <c r="E186" s="4">
        <f>MethodData!E183</f>
        <v>29</v>
      </c>
      <c r="F186" s="4">
        <f>MethodData!F183</f>
        <v>2</v>
      </c>
      <c r="G186" s="4">
        <f>MethodData!G183</f>
        <v>2</v>
      </c>
      <c r="H186" s="4">
        <f>MethodData!H183</f>
        <v>100.1</v>
      </c>
      <c r="I186" s="4">
        <f>MethodData!I183</f>
        <v>190025.48860000001</v>
      </c>
      <c r="J186" s="4">
        <f>MethodData!J183</f>
        <v>1.1017999999999999</v>
      </c>
      <c r="K186" s="4">
        <f>MethodData!K183</f>
        <v>291</v>
      </c>
      <c r="L186" s="4">
        <f>MethodData!L183</f>
        <v>92</v>
      </c>
      <c r="M186" s="4">
        <f>MethodData!M183</f>
        <v>1898.3565000000001</v>
      </c>
      <c r="N186" s="4">
        <f>MethodData!N183</f>
        <v>0.77780000000000005</v>
      </c>
      <c r="O186" s="4">
        <f>MethodData!O183</f>
        <v>2</v>
      </c>
      <c r="P186" s="4">
        <f>MethodData!P183</f>
        <v>122</v>
      </c>
      <c r="Q186" s="4">
        <f>MethodData!Q183</f>
        <v>31.0806</v>
      </c>
      <c r="R186" s="4">
        <f>MethodData!R183</f>
        <v>5</v>
      </c>
      <c r="S186" s="4">
        <f>MethodData!S183</f>
        <v>24</v>
      </c>
      <c r="T186" s="4">
        <f>MethodData!T183</f>
        <v>2</v>
      </c>
      <c r="U186" s="4">
        <f>MethodData!U183</f>
        <v>0</v>
      </c>
      <c r="W186" s="11">
        <f t="shared" si="107"/>
        <v>0.76315789473684215</v>
      </c>
      <c r="X186" s="11">
        <f t="shared" si="108"/>
        <v>0.47499999999999998</v>
      </c>
      <c r="Y186" s="11">
        <f t="shared" si="109"/>
        <v>0.3125</v>
      </c>
      <c r="Z186" s="11">
        <f t="shared" si="110"/>
        <v>1</v>
      </c>
      <c r="AA186" s="11">
        <f t="shared" si="111"/>
        <v>0.5</v>
      </c>
      <c r="AB186" s="11">
        <f t="shared" si="112"/>
        <v>0.4</v>
      </c>
      <c r="AC186" s="11">
        <f t="shared" si="113"/>
        <v>1</v>
      </c>
      <c r="AD186" s="11">
        <f t="shared" si="114"/>
        <v>1</v>
      </c>
      <c r="AE186" s="11">
        <f t="shared" si="115"/>
        <v>1</v>
      </c>
      <c r="AF186" s="11">
        <f t="shared" si="116"/>
        <v>0.78648648648648645</v>
      </c>
      <c r="AG186" s="11">
        <f t="shared" si="117"/>
        <v>0.93877551020408168</v>
      </c>
      <c r="AH186" s="11">
        <f t="shared" si="118"/>
        <v>0.77564903871494273</v>
      </c>
      <c r="AI186" s="11">
        <f t="shared" si="119"/>
        <v>0.77780000000000005</v>
      </c>
      <c r="AJ186" s="11">
        <f t="shared" si="120"/>
        <v>0.66666666666666663</v>
      </c>
      <c r="AK186" s="11">
        <f t="shared" si="121"/>
        <v>0.9242424242424242</v>
      </c>
      <c r="AL186" s="11">
        <f t="shared" si="122"/>
        <v>0.32448498920492269</v>
      </c>
      <c r="AM186" s="11">
        <f t="shared" si="123"/>
        <v>1</v>
      </c>
      <c r="AN186" s="11">
        <f t="shared" si="124"/>
        <v>0.77419354838709675</v>
      </c>
      <c r="AO186" s="11">
        <f t="shared" si="125"/>
        <v>0.16666666666666666</v>
      </c>
      <c r="AP186" s="11">
        <f t="shared" si="126"/>
        <v>0</v>
      </c>
      <c r="AQ186" s="11">
        <f t="shared" si="127"/>
        <v>13.585623225310128</v>
      </c>
    </row>
    <row r="187" spans="1:43" ht="15" customHeight="1" x14ac:dyDescent="0.2">
      <c r="A187" s="3" t="str">
        <f>MethodData!A184</f>
        <v>Tasks: menuHelp()</v>
      </c>
      <c r="B187" s="4">
        <f>MethodData!B184</f>
        <v>1</v>
      </c>
      <c r="C187" s="4">
        <f>MethodData!C184</f>
        <v>0</v>
      </c>
      <c r="D187" s="4">
        <f>MethodData!D184</f>
        <v>1</v>
      </c>
      <c r="E187" s="4">
        <f>MethodData!E184</f>
        <v>1</v>
      </c>
      <c r="F187" s="4">
        <f>MethodData!F184</f>
        <v>0</v>
      </c>
      <c r="G187" s="4">
        <f>MethodData!G184</f>
        <v>1</v>
      </c>
      <c r="H187" s="4">
        <f>MethodData!H184</f>
        <v>3.7037</v>
      </c>
      <c r="I187" s="4">
        <f>MethodData!I184</f>
        <v>1229.3746000000001</v>
      </c>
      <c r="J187" s="4">
        <f>MethodData!J184</f>
        <v>3.8300000000000001E-2</v>
      </c>
      <c r="K187" s="4">
        <f>MethodData!K184</f>
        <v>67</v>
      </c>
      <c r="L187" s="4">
        <f>MethodData!L184</f>
        <v>31</v>
      </c>
      <c r="M187" s="4">
        <f>MethodData!M184</f>
        <v>331.93119999999999</v>
      </c>
      <c r="N187" s="4">
        <f>MethodData!N184</f>
        <v>0.91669999999999996</v>
      </c>
      <c r="O187" s="4">
        <f>MethodData!O184</f>
        <v>0</v>
      </c>
      <c r="P187" s="4">
        <f>MethodData!P184</f>
        <v>19</v>
      </c>
      <c r="Q187" s="4">
        <f>MethodData!Q184</f>
        <v>54.461399999999998</v>
      </c>
      <c r="R187" s="4">
        <f>MethodData!R184</f>
        <v>0</v>
      </c>
      <c r="S187" s="4">
        <f>MethodData!S184</f>
        <v>12</v>
      </c>
      <c r="T187" s="4">
        <f>MethodData!T184</f>
        <v>0</v>
      </c>
      <c r="U187" s="4">
        <f>MethodData!U184</f>
        <v>0</v>
      </c>
      <c r="W187" s="11">
        <f t="shared" si="107"/>
        <v>2.6315789473684209E-2</v>
      </c>
      <c r="X187" s="11">
        <f t="shared" si="108"/>
        <v>0</v>
      </c>
      <c r="Y187" s="11">
        <f t="shared" si="109"/>
        <v>1</v>
      </c>
      <c r="Z187" s="11">
        <f t="shared" si="110"/>
        <v>3.4482758620689655E-2</v>
      </c>
      <c r="AA187" s="11">
        <f t="shared" si="111"/>
        <v>0</v>
      </c>
      <c r="AB187" s="11">
        <f t="shared" si="112"/>
        <v>0.2</v>
      </c>
      <c r="AC187" s="11">
        <f t="shared" si="113"/>
        <v>3.7000000000000005E-2</v>
      </c>
      <c r="AD187" s="11">
        <f t="shared" si="114"/>
        <v>6.4695247414298714E-3</v>
      </c>
      <c r="AE187" s="11">
        <f t="shared" si="115"/>
        <v>3.4761299691414053E-2</v>
      </c>
      <c r="AF187" s="11">
        <f t="shared" si="116"/>
        <v>0.18108108108108109</v>
      </c>
      <c r="AG187" s="11">
        <f t="shared" si="117"/>
        <v>0.31632653061224492</v>
      </c>
      <c r="AH187" s="11">
        <f t="shared" si="118"/>
        <v>0.13562369144019967</v>
      </c>
      <c r="AI187" s="11">
        <f t="shared" si="119"/>
        <v>0.91669999999999996</v>
      </c>
      <c r="AJ187" s="11">
        <f t="shared" si="120"/>
        <v>0</v>
      </c>
      <c r="AK187" s="11">
        <f t="shared" si="121"/>
        <v>0.14393939393939395</v>
      </c>
      <c r="AL187" s="11">
        <f t="shared" si="122"/>
        <v>0.56858319308780969</v>
      </c>
      <c r="AM187" s="11">
        <f t="shared" si="123"/>
        <v>0.16666666666666666</v>
      </c>
      <c r="AN187" s="11">
        <f t="shared" si="124"/>
        <v>0.38709677419354838</v>
      </c>
      <c r="AO187" s="11">
        <f t="shared" si="125"/>
        <v>0</v>
      </c>
      <c r="AP187" s="11">
        <f t="shared" si="126"/>
        <v>0</v>
      </c>
      <c r="AQ187" s="11">
        <f t="shared" si="127"/>
        <v>4.1550467035481615</v>
      </c>
    </row>
    <row r="188" spans="1:43" ht="15" customHeight="1" x14ac:dyDescent="0.2">
      <c r="A188" s="3" t="str">
        <f>MethodData!A185</f>
        <v>Tasks: readClassicPosition(Scanner)</v>
      </c>
      <c r="B188" s="4">
        <f>MethodData!B185</f>
        <v>8</v>
      </c>
      <c r="C188" s="4">
        <f>MethodData!C185</f>
        <v>7</v>
      </c>
      <c r="D188" s="4">
        <f>MethodData!D185</f>
        <v>0.375</v>
      </c>
      <c r="E188" s="4">
        <f>MethodData!E185</f>
        <v>8</v>
      </c>
      <c r="F188" s="4">
        <f>MethodData!F185</f>
        <v>1</v>
      </c>
      <c r="G188" s="4">
        <f>MethodData!G185</f>
        <v>0</v>
      </c>
      <c r="H188" s="4">
        <f>MethodData!H185</f>
        <v>24.285699999999999</v>
      </c>
      <c r="I188" s="4">
        <f>MethodData!I185</f>
        <v>8772.2394999999997</v>
      </c>
      <c r="J188" s="4">
        <f>MethodData!J185</f>
        <v>0.14180000000000001</v>
      </c>
      <c r="K188" s="4">
        <f>MethodData!K185</f>
        <v>71</v>
      </c>
      <c r="L188" s="4">
        <f>MethodData!L185</f>
        <v>34</v>
      </c>
      <c r="M188" s="4">
        <f>MethodData!M185</f>
        <v>361.2099</v>
      </c>
      <c r="N188" s="4">
        <f>MethodData!N185</f>
        <v>0</v>
      </c>
      <c r="O188" s="4">
        <f>MethodData!O185</f>
        <v>0</v>
      </c>
      <c r="P188" s="4">
        <f>MethodData!P185</f>
        <v>28</v>
      </c>
      <c r="Q188" s="4">
        <f>MethodData!Q185</f>
        <v>50.244399999999999</v>
      </c>
      <c r="R188" s="4">
        <f>MethodData!R185</f>
        <v>1</v>
      </c>
      <c r="S188" s="4">
        <f>MethodData!S185</f>
        <v>8</v>
      </c>
      <c r="T188" s="4">
        <f>MethodData!T185</f>
        <v>0</v>
      </c>
      <c r="U188" s="4">
        <f>MethodData!U185</f>
        <v>1</v>
      </c>
      <c r="W188" s="11">
        <f t="shared" si="107"/>
        <v>0.21052631578947367</v>
      </c>
      <c r="X188" s="11">
        <f t="shared" si="108"/>
        <v>0.17499999999999999</v>
      </c>
      <c r="Y188" s="11">
        <f t="shared" si="109"/>
        <v>0.375</v>
      </c>
      <c r="Z188" s="11">
        <f t="shared" si="110"/>
        <v>0.27586206896551724</v>
      </c>
      <c r="AA188" s="11">
        <f t="shared" si="111"/>
        <v>0.25</v>
      </c>
      <c r="AB188" s="11">
        <f t="shared" si="112"/>
        <v>0</v>
      </c>
      <c r="AC188" s="11">
        <f t="shared" si="113"/>
        <v>0.24261438561438561</v>
      </c>
      <c r="AD188" s="11">
        <f t="shared" si="114"/>
        <v>4.6163488722638646E-2</v>
      </c>
      <c r="AE188" s="11">
        <f t="shared" si="115"/>
        <v>0.12869849337447814</v>
      </c>
      <c r="AF188" s="11">
        <f t="shared" si="116"/>
        <v>0.1918918918918919</v>
      </c>
      <c r="AG188" s="11">
        <f t="shared" si="117"/>
        <v>0.34693877551020408</v>
      </c>
      <c r="AH188" s="11">
        <f t="shared" si="118"/>
        <v>0.14758666863116626</v>
      </c>
      <c r="AI188" s="11">
        <f t="shared" si="119"/>
        <v>0</v>
      </c>
      <c r="AJ188" s="11">
        <f t="shared" si="120"/>
        <v>0</v>
      </c>
      <c r="AK188" s="11">
        <f t="shared" si="121"/>
        <v>0.21212121212121213</v>
      </c>
      <c r="AL188" s="11">
        <f t="shared" si="122"/>
        <v>0.52455723478979877</v>
      </c>
      <c r="AM188" s="11">
        <f t="shared" si="123"/>
        <v>0.33333333333333331</v>
      </c>
      <c r="AN188" s="11">
        <f t="shared" si="124"/>
        <v>0.25806451612903225</v>
      </c>
      <c r="AO188" s="11">
        <f t="shared" si="125"/>
        <v>0</v>
      </c>
      <c r="AP188" s="11">
        <f t="shared" si="126"/>
        <v>0.25</v>
      </c>
      <c r="AQ188" s="11">
        <f t="shared" si="127"/>
        <v>3.9683583848731327</v>
      </c>
    </row>
    <row r="189" spans="1:43" ht="15" customHeight="1" x14ac:dyDescent="0.2">
      <c r="A189" s="3" t="str">
        <f>MethodData!A186</f>
        <v>Tasks: readPosition(Scanner)</v>
      </c>
      <c r="B189" s="4">
        <f>MethodData!B186</f>
        <v>1</v>
      </c>
      <c r="C189" s="4">
        <f>MethodData!C186</f>
        <v>0</v>
      </c>
      <c r="D189" s="4">
        <f>MethodData!D186</f>
        <v>1</v>
      </c>
      <c r="E189" s="4">
        <f>MethodData!E186</f>
        <v>1</v>
      </c>
      <c r="F189" s="4">
        <f>MethodData!F186</f>
        <v>0</v>
      </c>
      <c r="G189" s="4">
        <f>MethodData!G186</f>
        <v>0</v>
      </c>
      <c r="H189" s="4">
        <f>MethodData!H186</f>
        <v>6</v>
      </c>
      <c r="I189" s="4">
        <f>MethodData!I186</f>
        <v>344.15640000000002</v>
      </c>
      <c r="J189" s="4">
        <f>MethodData!J186</f>
        <v>1.6400000000000001E-2</v>
      </c>
      <c r="K189" s="4">
        <f>MethodData!K186</f>
        <v>16</v>
      </c>
      <c r="L189" s="4">
        <f>MethodData!L186</f>
        <v>12</v>
      </c>
      <c r="M189" s="4">
        <f>MethodData!M186</f>
        <v>57.359400000000001</v>
      </c>
      <c r="N189" s="4">
        <f>MethodData!N186</f>
        <v>0</v>
      </c>
      <c r="O189" s="4">
        <f>MethodData!O186</f>
        <v>0</v>
      </c>
      <c r="P189" s="4">
        <f>MethodData!P186</f>
        <v>12</v>
      </c>
      <c r="Q189" s="4">
        <f>MethodData!Q186</f>
        <v>64.164100000000005</v>
      </c>
      <c r="R189" s="4">
        <f>MethodData!R186</f>
        <v>0</v>
      </c>
      <c r="S189" s="4">
        <f>MethodData!S186</f>
        <v>3</v>
      </c>
      <c r="T189" s="4">
        <f>MethodData!T186</f>
        <v>0</v>
      </c>
      <c r="U189" s="4">
        <f>MethodData!U186</f>
        <v>1</v>
      </c>
      <c r="W189" s="11">
        <f t="shared" si="107"/>
        <v>2.6315789473684209E-2</v>
      </c>
      <c r="X189" s="11">
        <f t="shared" si="108"/>
        <v>0</v>
      </c>
      <c r="Y189" s="11">
        <f t="shared" si="109"/>
        <v>1</v>
      </c>
      <c r="Z189" s="11">
        <f t="shared" si="110"/>
        <v>3.4482758620689655E-2</v>
      </c>
      <c r="AA189" s="11">
        <f t="shared" si="111"/>
        <v>0</v>
      </c>
      <c r="AB189" s="11">
        <f t="shared" si="112"/>
        <v>0</v>
      </c>
      <c r="AC189" s="11">
        <f t="shared" si="113"/>
        <v>5.9940059940059943E-2</v>
      </c>
      <c r="AD189" s="11">
        <f t="shared" si="114"/>
        <v>1.8111065127923054E-3</v>
      </c>
      <c r="AE189" s="11">
        <f t="shared" si="115"/>
        <v>1.4884734071519334E-2</v>
      </c>
      <c r="AF189" s="11">
        <f t="shared" si="116"/>
        <v>4.3243243243243246E-2</v>
      </c>
      <c r="AG189" s="11">
        <f t="shared" si="117"/>
        <v>0.12244897959183673</v>
      </c>
      <c r="AH189" s="11">
        <f t="shared" si="118"/>
        <v>2.343646384188949E-2</v>
      </c>
      <c r="AI189" s="11">
        <f t="shared" si="119"/>
        <v>0</v>
      </c>
      <c r="AJ189" s="11">
        <f t="shared" si="120"/>
        <v>0</v>
      </c>
      <c r="AK189" s="11">
        <f t="shared" si="121"/>
        <v>9.0909090909090912E-2</v>
      </c>
      <c r="AL189" s="11">
        <f t="shared" si="122"/>
        <v>0.66988048158155189</v>
      </c>
      <c r="AM189" s="11">
        <f t="shared" si="123"/>
        <v>0.16666666666666666</v>
      </c>
      <c r="AN189" s="11">
        <f t="shared" si="124"/>
        <v>9.6774193548387094E-2</v>
      </c>
      <c r="AO189" s="11">
        <f t="shared" si="125"/>
        <v>0</v>
      </c>
      <c r="AP189" s="11">
        <f t="shared" si="126"/>
        <v>0.25</v>
      </c>
      <c r="AQ189" s="11">
        <f t="shared" si="127"/>
        <v>2.6007935680014111</v>
      </c>
    </row>
    <row r="190" spans="1:43" ht="15" customHeight="1" x14ac:dyDescent="0.2">
      <c r="A190" s="3" t="str">
        <f>MethodData!A187</f>
        <v>Tasks: readShip(Scanner)</v>
      </c>
      <c r="B190" s="4">
        <f>MethodData!B187</f>
        <v>1</v>
      </c>
      <c r="C190" s="4">
        <f>MethodData!C187</f>
        <v>0</v>
      </c>
      <c r="D190" s="4">
        <f>MethodData!D187</f>
        <v>0.8</v>
      </c>
      <c r="E190" s="4">
        <f>MethodData!E187</f>
        <v>4</v>
      </c>
      <c r="F190" s="4">
        <f>MethodData!F187</f>
        <v>0</v>
      </c>
      <c r="G190" s="4">
        <f>MethodData!G187</f>
        <v>0</v>
      </c>
      <c r="H190" s="4">
        <f>MethodData!H187</f>
        <v>7.8571</v>
      </c>
      <c r="I190" s="4">
        <f>MethodData!I187</f>
        <v>720.80129999999997</v>
      </c>
      <c r="J190" s="4">
        <f>MethodData!J187</f>
        <v>2.6800000000000001E-2</v>
      </c>
      <c r="K190" s="4">
        <f>MethodData!K187</f>
        <v>22</v>
      </c>
      <c r="L190" s="4">
        <f>MethodData!L187</f>
        <v>18</v>
      </c>
      <c r="M190" s="4">
        <f>MethodData!M187</f>
        <v>91.738399999999999</v>
      </c>
      <c r="N190" s="4">
        <f>MethodData!N187</f>
        <v>0</v>
      </c>
      <c r="O190" s="4">
        <f>MethodData!O187</f>
        <v>0</v>
      </c>
      <c r="P190" s="4">
        <f>MethodData!P187</f>
        <v>14</v>
      </c>
      <c r="Q190" s="4">
        <f>MethodData!Q187</f>
        <v>61.281199999999998</v>
      </c>
      <c r="R190" s="4">
        <f>MethodData!R187</f>
        <v>0</v>
      </c>
      <c r="S190" s="4">
        <f>MethodData!S187</f>
        <v>5</v>
      </c>
      <c r="T190" s="4">
        <f>MethodData!T187</f>
        <v>0</v>
      </c>
      <c r="U190" s="4">
        <f>MethodData!U187</f>
        <v>1</v>
      </c>
      <c r="W190" s="11">
        <f t="shared" si="107"/>
        <v>2.6315789473684209E-2</v>
      </c>
      <c r="X190" s="11">
        <f t="shared" si="108"/>
        <v>0</v>
      </c>
      <c r="Y190" s="11">
        <f t="shared" si="109"/>
        <v>0.8</v>
      </c>
      <c r="Z190" s="11">
        <f t="shared" si="110"/>
        <v>0.13793103448275862</v>
      </c>
      <c r="AA190" s="11">
        <f t="shared" si="111"/>
        <v>0</v>
      </c>
      <c r="AB190" s="11">
        <f t="shared" si="112"/>
        <v>0</v>
      </c>
      <c r="AC190" s="11">
        <f t="shared" si="113"/>
        <v>7.8492507492507496E-2</v>
      </c>
      <c r="AD190" s="11">
        <f t="shared" si="114"/>
        <v>3.7931821952436749E-3</v>
      </c>
      <c r="AE190" s="11">
        <f t="shared" si="115"/>
        <v>2.4323833726629156E-2</v>
      </c>
      <c r="AF190" s="11">
        <f t="shared" si="116"/>
        <v>5.9459459459459463E-2</v>
      </c>
      <c r="AG190" s="11">
        <f t="shared" si="117"/>
        <v>0.18367346938775511</v>
      </c>
      <c r="AH190" s="11">
        <f t="shared" si="118"/>
        <v>3.7483371417985453E-2</v>
      </c>
      <c r="AI190" s="11">
        <f t="shared" si="119"/>
        <v>0</v>
      </c>
      <c r="AJ190" s="11">
        <f t="shared" si="120"/>
        <v>0</v>
      </c>
      <c r="AK190" s="11">
        <f t="shared" si="121"/>
        <v>0.10606060606060606</v>
      </c>
      <c r="AL190" s="11">
        <f t="shared" si="122"/>
        <v>0.63978267859902027</v>
      </c>
      <c r="AM190" s="11">
        <f t="shared" si="123"/>
        <v>0.16666666666666666</v>
      </c>
      <c r="AN190" s="11">
        <f t="shared" si="124"/>
        <v>0.16129032258064516</v>
      </c>
      <c r="AO190" s="11">
        <f t="shared" si="125"/>
        <v>0</v>
      </c>
      <c r="AP190" s="11">
        <f t="shared" si="126"/>
        <v>0.25</v>
      </c>
      <c r="AQ190" s="11">
        <f t="shared" si="127"/>
        <v>2.6752729215429611</v>
      </c>
    </row>
    <row r="193" spans="1:22" ht="15" customHeight="1" x14ac:dyDescent="0.2">
      <c r="A193" s="6" t="s">
        <v>548</v>
      </c>
    </row>
    <row r="194" spans="1:22" ht="15" customHeight="1" x14ac:dyDescent="0.2">
      <c r="A194" s="1" t="s">
        <v>549</v>
      </c>
      <c r="B194" s="1" t="s">
        <v>0</v>
      </c>
      <c r="C194" s="9" t="s">
        <v>523</v>
      </c>
      <c r="D194" s="9" t="s">
        <v>524</v>
      </c>
      <c r="E194" s="9" t="s">
        <v>525</v>
      </c>
      <c r="F194" s="9" t="s">
        <v>526</v>
      </c>
      <c r="G194" s="9" t="s">
        <v>527</v>
      </c>
      <c r="H194" s="9" t="s">
        <v>528</v>
      </c>
      <c r="I194" s="9" t="s">
        <v>529</v>
      </c>
      <c r="J194" s="9" t="s">
        <v>530</v>
      </c>
      <c r="K194" s="9" t="s">
        <v>531</v>
      </c>
      <c r="L194" s="9" t="s">
        <v>532</v>
      </c>
      <c r="M194" s="9" t="s">
        <v>533</v>
      </c>
      <c r="N194" s="9" t="s">
        <v>534</v>
      </c>
      <c r="O194" s="9" t="s">
        <v>535</v>
      </c>
      <c r="P194" s="9" t="s">
        <v>536</v>
      </c>
      <c r="Q194" s="9" t="s">
        <v>537</v>
      </c>
      <c r="R194" s="9" t="s">
        <v>538</v>
      </c>
      <c r="S194" s="9" t="s">
        <v>539</v>
      </c>
      <c r="T194" s="9" t="s">
        <v>540</v>
      </c>
      <c r="U194" s="9" t="s">
        <v>541</v>
      </c>
      <c r="V194" s="9" t="s">
        <v>542</v>
      </c>
    </row>
    <row r="195" spans="1:22" ht="15" customHeight="1" x14ac:dyDescent="0.2">
      <c r="A195" s="3">
        <v>1</v>
      </c>
      <c r="B195" s="3" t="str">
        <f>INDEX($A$5:$A$190,MATCH(LARGE(AQ$5:AQ$190,1),AQ$5:AQ$190,0))</f>
        <v>Move: processEnemyFire(boolean)</v>
      </c>
      <c r="C195" s="11">
        <f>INDEX(W$5:W$190,MATCH(LARGE(AQ$5:AQ$190,1),AQ$5:AQ$190,0))</f>
        <v>1</v>
      </c>
      <c r="D195" s="11">
        <f>INDEX(X$5:X$190,MATCH(LARGE(AQ$5:AQ$190,1),AQ$5:AQ$190,0))</f>
        <v>1</v>
      </c>
      <c r="E195" s="11">
        <f>INDEX(Y$5:Y$190,MATCH(LARGE(AQ$5:AQ$190,1),AQ$5:AQ$190,0))</f>
        <v>0.45450000000000002</v>
      </c>
      <c r="F195" s="11">
        <f>INDEX(Z$5:Z$190,MATCH(LARGE(AQ$5:AQ$190,1),AQ$5:AQ$190,0))</f>
        <v>0.75862068965517238</v>
      </c>
      <c r="G195" s="11">
        <f>INDEX(AA$5:AA$190,MATCH(LARGE(AQ$5:AQ$190,1),AQ$5:AQ$190,0))</f>
        <v>1</v>
      </c>
      <c r="H195" s="11">
        <f>INDEX(AB$5:AB$190,MATCH(LARGE(AQ$5:AQ$190,1),AQ$5:AQ$190,0))</f>
        <v>1</v>
      </c>
      <c r="I195" s="11">
        <f>INDEX(AC$5:AC$190,MATCH(LARGE(AQ$5:AQ$190,1),AQ$5:AQ$190,0))</f>
        <v>0.76151148851148853</v>
      </c>
      <c r="J195" s="11">
        <f>INDEX(AD$5:AD$190,MATCH(LARGE(AQ$5:AQ$190,1),AQ$5:AQ$190,0))</f>
        <v>0.98177291464677741</v>
      </c>
      <c r="K195" s="11">
        <f>INDEX(AE$5:AE$190,MATCH(LARGE(AQ$5:AQ$190,1),AQ$5:AQ$190,0))</f>
        <v>0.98774732256307873</v>
      </c>
      <c r="L195" s="11">
        <f>INDEX(AF$5:AF$190,MATCH(LARGE(AQ$5:AQ$190,1),AQ$5:AQ$190,0))</f>
        <v>1</v>
      </c>
      <c r="M195" s="11">
        <f>INDEX(AG$5:AG$190,MATCH(LARGE(AQ$5:AQ$190,1),AQ$5:AQ$190,0))</f>
        <v>1</v>
      </c>
      <c r="N195" s="11">
        <f>INDEX(AH$5:AH$190,MATCH(LARGE(AQ$5:AQ$190,1),AQ$5:AQ$190,0))</f>
        <v>1</v>
      </c>
      <c r="O195" s="11">
        <f>INDEX(AI$5:AI$190,MATCH(LARGE(AQ$5:AQ$190,1),AQ$5:AQ$190,0))</f>
        <v>0.2</v>
      </c>
      <c r="P195" s="11">
        <f>INDEX(AJ$5:AJ$190,MATCH(LARGE(AQ$5:AQ$190,1),AQ$5:AQ$190,0))</f>
        <v>0.33333333333333331</v>
      </c>
      <c r="Q195" s="11">
        <f>INDEX(AK$5:AK$190,MATCH(LARGE(AQ$5:AQ$190,1),AQ$5:AQ$190,0))</f>
        <v>1</v>
      </c>
      <c r="R195" s="11">
        <f>INDEX(AL$5:AL$190,MATCH(LARGE(AQ$5:AQ$190,1),AQ$5:AQ$190,0))</f>
        <v>0.30824852481197357</v>
      </c>
      <c r="S195" s="11">
        <f>INDEX(AM$5:AM$190,MATCH(LARGE(AQ$5:AQ$190,1),AQ$5:AQ$190,0))</f>
        <v>1</v>
      </c>
      <c r="T195" s="11">
        <f>INDEX(AN$5:AN$190,MATCH(LARGE(AQ$5:AQ$190,1),AQ$5:AQ$190,0))</f>
        <v>1</v>
      </c>
      <c r="U195" s="11">
        <f>INDEX(AO$5:AO$190,MATCH(LARGE(AQ$5:AQ$190,1),AQ$5:AQ$190,0))</f>
        <v>0.41666666666666669</v>
      </c>
      <c r="V195" s="11">
        <f>INDEX(AP$5:AP$190,MATCH(LARGE(AQ$5:AQ$190,1),AQ$5:AQ$190,0))</f>
        <v>0.25</v>
      </c>
    </row>
    <row r="196" spans="1:22" ht="15" customHeight="1" x14ac:dyDescent="0.2">
      <c r="A196" s="3">
        <v>2</v>
      </c>
      <c r="B196" s="3" t="str">
        <f>INDEX($A$5:$A$190,MATCH(LARGE(AQ$5:AQ$190,2),AQ$5:AQ$190,0))</f>
        <v>Tasks: menu()</v>
      </c>
      <c r="C196" s="11">
        <f>INDEX(W$5:W$190,MATCH(LARGE(AQ$5:AQ$190,2),AQ$5:AQ$190,0))</f>
        <v>0.76315789473684215</v>
      </c>
      <c r="D196" s="11">
        <f>INDEX(X$5:X$190,MATCH(LARGE(AQ$5:AQ$190,2),AQ$5:AQ$190,0))</f>
        <v>0.47499999999999998</v>
      </c>
      <c r="E196" s="11">
        <f>INDEX(Y$5:Y$190,MATCH(LARGE(AQ$5:AQ$190,2),AQ$5:AQ$190,0))</f>
        <v>0.3125</v>
      </c>
      <c r="F196" s="11">
        <f>INDEX(Z$5:Z$190,MATCH(LARGE(AQ$5:AQ$190,2),AQ$5:AQ$190,0))</f>
        <v>1</v>
      </c>
      <c r="G196" s="11">
        <f>INDEX(AA$5:AA$190,MATCH(LARGE(AQ$5:AQ$190,2),AQ$5:AQ$190,0))</f>
        <v>0.5</v>
      </c>
      <c r="H196" s="11">
        <f>INDEX(AB$5:AB$190,MATCH(LARGE(AQ$5:AQ$190,2),AQ$5:AQ$190,0))</f>
        <v>0.4</v>
      </c>
      <c r="I196" s="11">
        <f>INDEX(AC$5:AC$190,MATCH(LARGE(AQ$5:AQ$190,2),AQ$5:AQ$190,0))</f>
        <v>1</v>
      </c>
      <c r="J196" s="11">
        <f>INDEX(AD$5:AD$190,MATCH(LARGE(AQ$5:AQ$190,2),AQ$5:AQ$190,0))</f>
        <v>1</v>
      </c>
      <c r="K196" s="11">
        <f>INDEX(AE$5:AE$190,MATCH(LARGE(AQ$5:AQ$190,2),AQ$5:AQ$190,0))</f>
        <v>1</v>
      </c>
      <c r="L196" s="11">
        <f>INDEX(AF$5:AF$190,MATCH(LARGE(AQ$5:AQ$190,2),AQ$5:AQ$190,0))</f>
        <v>0.78648648648648645</v>
      </c>
      <c r="M196" s="11">
        <f>INDEX(AG$5:AG$190,MATCH(LARGE(AQ$5:AQ$190,2),AQ$5:AQ$190,0))</f>
        <v>0.93877551020408168</v>
      </c>
      <c r="N196" s="11">
        <f>INDEX(AH$5:AH$190,MATCH(LARGE(AQ$5:AQ$190,2),AQ$5:AQ$190,0))</f>
        <v>0.77564903871494273</v>
      </c>
      <c r="O196" s="11">
        <f>INDEX(AI$5:AI$190,MATCH(LARGE(AQ$5:AQ$190,2),AQ$5:AQ$190,0))</f>
        <v>0.77780000000000005</v>
      </c>
      <c r="P196" s="11">
        <f>INDEX(AJ$5:AJ$190,MATCH(LARGE(AQ$5:AQ$190,2),AQ$5:AQ$190,0))</f>
        <v>0.66666666666666663</v>
      </c>
      <c r="Q196" s="11">
        <f>INDEX(AK$5:AK$190,MATCH(LARGE(AQ$5:AQ$190,2),AQ$5:AQ$190,0))</f>
        <v>0.9242424242424242</v>
      </c>
      <c r="R196" s="11">
        <f>INDEX(AL$5:AL$190,MATCH(LARGE(AQ$5:AQ$190,2),AQ$5:AQ$190,0))</f>
        <v>0.32448498920492269</v>
      </c>
      <c r="S196" s="11">
        <f>INDEX(AM$5:AM$190,MATCH(LARGE(AQ$5:AQ$190,2),AQ$5:AQ$190,0))</f>
        <v>1</v>
      </c>
      <c r="T196" s="11">
        <f>INDEX(AN$5:AN$190,MATCH(LARGE(AQ$5:AQ$190,2),AQ$5:AQ$190,0))</f>
        <v>0.77419354838709675</v>
      </c>
      <c r="U196" s="11">
        <f>INDEX(AO$5:AO$190,MATCH(LARGE(AQ$5:AQ$190,2),AQ$5:AQ$190,0))</f>
        <v>0.16666666666666666</v>
      </c>
      <c r="V196" s="11">
        <f>INDEX(AP$5:AP$190,MATCH(LARGE(AQ$5:AQ$190,2),AQ$5:AQ$190,0))</f>
        <v>0</v>
      </c>
    </row>
    <row r="197" spans="1:22" ht="15" customHeight="1" x14ac:dyDescent="0.2">
      <c r="A197" s="3">
        <v>3</v>
      </c>
      <c r="B197" s="3" t="str">
        <f>INDEX($A$5:$A$190,MATCH(LARGE(AQ$5:AQ$190,3),AQ$5:AQ$190,0))</f>
        <v>Game: printBoard(IFleet, List&lt;IMove&gt;, boolean, boolean)</v>
      </c>
      <c r="C197" s="11">
        <f>INDEX(W$5:W$190,MATCH(LARGE(AQ$5:AQ$190,3),AQ$5:AQ$190,0))</f>
        <v>0</v>
      </c>
      <c r="D197" s="11">
        <f>INDEX(X$5:X$190,MATCH(LARGE(AQ$5:AQ$190,3),AQ$5:AQ$190,0))</f>
        <v>0.47499999999999998</v>
      </c>
      <c r="E197" s="11">
        <f>INDEX(Y$5:Y$190,MATCH(LARGE(AQ$5:AQ$190,3),AQ$5:AQ$190,0))</f>
        <v>0.5</v>
      </c>
      <c r="F197" s="11">
        <f>INDEX(Z$5:Z$190,MATCH(LARGE(AQ$5:AQ$190,3),AQ$5:AQ$190,0))</f>
        <v>0.41379310344827586</v>
      </c>
      <c r="G197" s="11">
        <f>INDEX(AA$5:AA$190,MATCH(LARGE(AQ$5:AQ$190,3),AQ$5:AQ$190,0))</f>
        <v>0.75</v>
      </c>
      <c r="H197" s="11">
        <f>INDEX(AB$5:AB$190,MATCH(LARGE(AQ$5:AQ$190,3),AQ$5:AQ$190,0))</f>
        <v>0.2</v>
      </c>
      <c r="I197" s="11">
        <f>INDEX(AC$5:AC$190,MATCH(LARGE(AQ$5:AQ$190,3),AQ$5:AQ$190,0))</f>
        <v>0.45223076923076927</v>
      </c>
      <c r="J197" s="11">
        <f>INDEX(AD$5:AD$190,MATCH(LARGE(AQ$5:AQ$190,3),AQ$5:AQ$190,0))</f>
        <v>0.32268903320162279</v>
      </c>
      <c r="K197" s="11">
        <f>INDEX(AE$5:AE$190,MATCH(LARGE(AQ$5:AQ$190,3),AQ$5:AQ$190,0))</f>
        <v>0.47041205300417499</v>
      </c>
      <c r="L197" s="11">
        <f>INDEX(AF$5:AF$190,MATCH(LARGE(AQ$5:AQ$190,3),AQ$5:AQ$190,0))</f>
        <v>0.5972972972972973</v>
      </c>
      <c r="M197" s="11">
        <f>INDEX(AG$5:AG$190,MATCH(LARGE(AQ$5:AQ$190,3),AQ$5:AQ$190,0))</f>
        <v>0.7142857142857143</v>
      </c>
      <c r="N197" s="11">
        <f>INDEX(AH$5:AH$190,MATCH(LARGE(AQ$5:AQ$190,3),AQ$5:AQ$190,0))</f>
        <v>0.55346405264009058</v>
      </c>
      <c r="O197" s="11">
        <f>INDEX(AI$5:AI$190,MATCH(LARGE(AQ$5:AQ$190,3),AQ$5:AQ$190,0))</f>
        <v>0.85709999999999997</v>
      </c>
      <c r="P197" s="11">
        <f>INDEX(AJ$5:AJ$190,MATCH(LARGE(AQ$5:AQ$190,3),AQ$5:AQ$190,0))</f>
        <v>0.66666666666666663</v>
      </c>
      <c r="Q197" s="11">
        <f>INDEX(AK$5:AK$190,MATCH(LARGE(AQ$5:AQ$190,3),AQ$5:AQ$190,0))</f>
        <v>0.53030303030303028</v>
      </c>
      <c r="R197" s="11">
        <f>INDEX(AL$5:AL$190,MATCH(LARGE(AQ$5:AQ$190,3),AQ$5:AQ$190,0))</f>
        <v>0.39067426428520713</v>
      </c>
      <c r="S197" s="11">
        <f>INDEX(AM$5:AM$190,MATCH(LARGE(AQ$5:AQ$190,3),AQ$5:AQ$190,0))</f>
        <v>0.5</v>
      </c>
      <c r="T197" s="11">
        <f>INDEX(AN$5:AN$190,MATCH(LARGE(AQ$5:AQ$190,3),AQ$5:AQ$190,0))</f>
        <v>0.90322580645161288</v>
      </c>
      <c r="U197" s="11">
        <f>INDEX(AO$5:AO$190,MATCH(LARGE(AQ$5:AQ$190,3),AQ$5:AQ$190,0))</f>
        <v>1</v>
      </c>
      <c r="V197" s="11">
        <f>INDEX(AP$5:AP$190,MATCH(LARGE(AQ$5:AQ$190,3),AQ$5:AQ$190,0))</f>
        <v>1</v>
      </c>
    </row>
    <row r="198" spans="1:22" ht="15" customHeight="1" x14ac:dyDescent="0.2">
      <c r="A198" s="3">
        <v>4</v>
      </c>
      <c r="B198" s="3" t="str">
        <f>INDEX($A$5:$A$190,MATCH(LARGE(AQ$5:AQ$190,4),AQ$5:AQ$190,0))</f>
        <v>PdfExporter: printMoveSection(PDDocument, PdfState, String, List&lt;IMove&gt;)</v>
      </c>
      <c r="C198" s="11">
        <f>INDEX(W$5:W$190,MATCH(LARGE(AQ$5:AQ$190,4),AQ$5:AQ$190,0))</f>
        <v>0.23684210526315788</v>
      </c>
      <c r="D198" s="11">
        <f>INDEX(X$5:X$190,MATCH(LARGE(AQ$5:AQ$190,4),AQ$5:AQ$190,0))</f>
        <v>0.22500000000000001</v>
      </c>
      <c r="E198" s="11">
        <f>INDEX(Y$5:Y$190,MATCH(LARGE(AQ$5:AQ$190,4),AQ$5:AQ$190,0))</f>
        <v>0.35</v>
      </c>
      <c r="F198" s="11">
        <f>INDEX(Z$5:Z$190,MATCH(LARGE(AQ$5:AQ$190,4),AQ$5:AQ$190,0))</f>
        <v>0.65517241379310343</v>
      </c>
      <c r="G198" s="11">
        <f>INDEX(AA$5:AA$190,MATCH(LARGE(AQ$5:AQ$190,4),AQ$5:AQ$190,0))</f>
        <v>0.25</v>
      </c>
      <c r="H198" s="11">
        <f>INDEX(AB$5:AB$190,MATCH(LARGE(AQ$5:AQ$190,4),AQ$5:AQ$190,0))</f>
        <v>0.8</v>
      </c>
      <c r="I198" s="11">
        <f>INDEX(AC$5:AC$190,MATCH(LARGE(AQ$5:AQ$190,4),AQ$5:AQ$190,0))</f>
        <v>0.58741258741258739</v>
      </c>
      <c r="J198" s="11">
        <f>INDEX(AD$5:AD$190,MATCH(LARGE(AQ$5:AQ$190,4),AQ$5:AQ$190,0))</f>
        <v>0.42570052415589471</v>
      </c>
      <c r="K198" s="11">
        <f>INDEX(AE$5:AE$190,MATCH(LARGE(AQ$5:AQ$190,4),AQ$5:AQ$190,0))</f>
        <v>0.56589217643855516</v>
      </c>
      <c r="L198" s="11">
        <f>INDEX(AF$5:AF$190,MATCH(LARGE(AQ$5:AQ$190,4),AQ$5:AQ$190,0))</f>
        <v>0.58648648648648649</v>
      </c>
      <c r="M198" s="11">
        <f>INDEX(AG$5:AG$190,MATCH(LARGE(AQ$5:AQ$190,4),AQ$5:AQ$190,0))</f>
        <v>0.82653061224489799</v>
      </c>
      <c r="N198" s="11">
        <f>INDEX(AH$5:AH$190,MATCH(LARGE(AQ$5:AQ$190,4),AQ$5:AQ$190,0))</f>
        <v>0.56211634953154777</v>
      </c>
      <c r="O198" s="11">
        <f>INDEX(AI$5:AI$190,MATCH(LARGE(AQ$5:AQ$190,4),AQ$5:AQ$190,0))</f>
        <v>0</v>
      </c>
      <c r="P198" s="11">
        <f>INDEX(AJ$5:AJ$190,MATCH(LARGE(AQ$5:AQ$190,4),AQ$5:AQ$190,0))</f>
        <v>0.66666666666666663</v>
      </c>
      <c r="Q198" s="11">
        <f>INDEX(AK$5:AK$190,MATCH(LARGE(AQ$5:AQ$190,4),AQ$5:AQ$190,0))</f>
        <v>0.53787878787878785</v>
      </c>
      <c r="R198" s="11">
        <f>INDEX(AL$5:AL$190,MATCH(LARGE(AQ$5:AQ$190,4),AQ$5:AQ$190,0))</f>
        <v>0.38990378391470842</v>
      </c>
      <c r="S198" s="11">
        <f>INDEX(AM$5:AM$190,MATCH(LARGE(AQ$5:AQ$190,4),AQ$5:AQ$190,0))</f>
        <v>0.66666666666666663</v>
      </c>
      <c r="T198" s="11">
        <f>INDEX(AN$5:AN$190,MATCH(LARGE(AQ$5:AQ$190,4),AQ$5:AQ$190,0))</f>
        <v>0.67741935483870963</v>
      </c>
      <c r="U198" s="11">
        <f>INDEX(AO$5:AO$190,MATCH(LARGE(AQ$5:AQ$190,4),AQ$5:AQ$190,0))</f>
        <v>0.16666666666666666</v>
      </c>
      <c r="V198" s="11">
        <f>INDEX(AP$5:AP$190,MATCH(LARGE(AQ$5:AQ$190,4),AQ$5:AQ$190,0))</f>
        <v>1</v>
      </c>
    </row>
    <row r="199" spans="1:22" ht="15" customHeight="1" x14ac:dyDescent="0.2">
      <c r="A199" s="3">
        <v>5</v>
      </c>
      <c r="B199" s="3" t="str">
        <f>INDEX($A$5:$A$190,MATCH(LARGE(AQ$5:AQ$190,5),AQ$5:AQ$190,0))</f>
        <v>Game: buildMap(IFleet, List&lt;IMove&gt;, boolean, boolean)</v>
      </c>
      <c r="C199" s="11">
        <f>INDEX(W$5:W$190,MATCH(LARGE(AQ$5:AQ$190,5),AQ$5:AQ$190,0))</f>
        <v>0.47368421052631576</v>
      </c>
      <c r="D199" s="11">
        <f>INDEX(X$5:X$190,MATCH(LARGE(AQ$5:AQ$190,5),AQ$5:AQ$190,0))</f>
        <v>0.42499999999999999</v>
      </c>
      <c r="E199" s="11">
        <f>INDEX(Y$5:Y$190,MATCH(LARGE(AQ$5:AQ$190,5),AQ$5:AQ$190,0))</f>
        <v>0.5</v>
      </c>
      <c r="F199" s="11">
        <f>INDEX(Z$5:Z$190,MATCH(LARGE(AQ$5:AQ$190,5),AQ$5:AQ$190,0))</f>
        <v>0.27586206896551724</v>
      </c>
      <c r="G199" s="11">
        <f>INDEX(AA$5:AA$190,MATCH(LARGE(AQ$5:AQ$190,5),AQ$5:AQ$190,0))</f>
        <v>0.75</v>
      </c>
      <c r="H199" s="11">
        <f>INDEX(AB$5:AB$190,MATCH(LARGE(AQ$5:AQ$190,5),AQ$5:AQ$190,0))</f>
        <v>0</v>
      </c>
      <c r="I199" s="11">
        <f>INDEX(AC$5:AC$190,MATCH(LARGE(AQ$5:AQ$190,5),AQ$5:AQ$190,0))</f>
        <v>0.40323276723276724</v>
      </c>
      <c r="J199" s="11">
        <f>INDEX(AD$5:AD$190,MATCH(LARGE(AQ$5:AQ$190,5),AQ$5:AQ$190,0))</f>
        <v>0.15839133698193789</v>
      </c>
      <c r="K199" s="11">
        <f>INDEX(AE$5:AE$190,MATCH(LARGE(AQ$5:AQ$190,5),AQ$5:AQ$190,0))</f>
        <v>0.29270284988201128</v>
      </c>
      <c r="L199" s="11">
        <f>INDEX(AF$5:AF$190,MATCH(LARGE(AQ$5:AQ$190,5),AQ$5:AQ$190,0))</f>
        <v>0.36486486486486486</v>
      </c>
      <c r="M199" s="11">
        <f>INDEX(AG$5:AG$190,MATCH(LARGE(AQ$5:AQ$190,5),AQ$5:AQ$190,0))</f>
        <v>0.46938775510204084</v>
      </c>
      <c r="N199" s="11">
        <f>INDEX(AH$5:AH$190,MATCH(LARGE(AQ$5:AQ$190,5),AQ$5:AQ$190,0))</f>
        <v>0.3046775846755303</v>
      </c>
      <c r="O199" s="11">
        <f>INDEX(AI$5:AI$190,MATCH(LARGE(AQ$5:AQ$190,5),AQ$5:AQ$190,0))</f>
        <v>1</v>
      </c>
      <c r="P199" s="11">
        <f>INDEX(AJ$5:AJ$190,MATCH(LARGE(AQ$5:AQ$190,5),AQ$5:AQ$190,0))</f>
        <v>0.66666666666666663</v>
      </c>
      <c r="Q199" s="11">
        <f>INDEX(AK$5:AK$190,MATCH(LARGE(AQ$5:AQ$190,5),AQ$5:AQ$190,0))</f>
        <v>0.32575757575757575</v>
      </c>
      <c r="R199" s="11">
        <f>INDEX(AL$5:AL$190,MATCH(LARGE(AQ$5:AQ$190,5),AQ$5:AQ$190,0))</f>
        <v>0.4579858515582913</v>
      </c>
      <c r="S199" s="11">
        <f>INDEX(AM$5:AM$190,MATCH(LARGE(AQ$5:AQ$190,5),AQ$5:AQ$190,0))</f>
        <v>0.83333333333333337</v>
      </c>
      <c r="T199" s="11">
        <f>INDEX(AN$5:AN$190,MATCH(LARGE(AQ$5:AQ$190,5),AQ$5:AQ$190,0))</f>
        <v>0.70967741935483875</v>
      </c>
      <c r="U199" s="11">
        <f>INDEX(AO$5:AO$190,MATCH(LARGE(AQ$5:AQ$190,5),AQ$5:AQ$190,0))</f>
        <v>0.75</v>
      </c>
      <c r="V199" s="11">
        <f>INDEX(AP$5:AP$190,MATCH(LARGE(AQ$5:AQ$190,5),AQ$5:AQ$190,0))</f>
        <v>1</v>
      </c>
    </row>
    <row r="200" spans="1:22" ht="15" customHeight="1" x14ac:dyDescent="0.2">
      <c r="A200" s="3">
        <v>6</v>
      </c>
      <c r="B200" s="3" t="str">
        <f>INDEX($A$5:$A$190,MATCH(LARGE(AQ$5:AQ$190,6),AQ$5:AQ$190,0))</f>
        <v>BoardWindow: createBoardPanel(char[][], List&lt;IPosition&gt;)</v>
      </c>
      <c r="C200" s="11">
        <f>INDEX(W$5:W$190,MATCH(LARGE(AQ$5:AQ$190,6),AQ$5:AQ$190,0))</f>
        <v>0.26315789473684209</v>
      </c>
      <c r="D200" s="11">
        <f>INDEX(X$5:X$190,MATCH(LARGE(AQ$5:AQ$190,6),AQ$5:AQ$190,0))</f>
        <v>0.25</v>
      </c>
      <c r="E200" s="11">
        <f>INDEX(Y$5:Y$190,MATCH(LARGE(AQ$5:AQ$190,6),AQ$5:AQ$190,0))</f>
        <v>0.5</v>
      </c>
      <c r="F200" s="11">
        <f>INDEX(Z$5:Z$190,MATCH(LARGE(AQ$5:AQ$190,6),AQ$5:AQ$190,0))</f>
        <v>0.34482758620689657</v>
      </c>
      <c r="G200" s="11">
        <f>INDEX(AA$5:AA$190,MATCH(LARGE(AQ$5:AQ$190,6),AQ$5:AQ$190,0))</f>
        <v>0.5</v>
      </c>
      <c r="H200" s="11">
        <f>INDEX(AB$5:AB$190,MATCH(LARGE(AQ$5:AQ$190,6),AQ$5:AQ$190,0))</f>
        <v>0.8</v>
      </c>
      <c r="I200" s="11">
        <f>INDEX(AC$5:AC$190,MATCH(LARGE(AQ$5:AQ$190,6),AQ$5:AQ$190,0))</f>
        <v>0.27472527472527475</v>
      </c>
      <c r="J200" s="11">
        <f>INDEX(AD$5:AD$190,MATCH(LARGE(AQ$5:AQ$190,6),AQ$5:AQ$190,0))</f>
        <v>9.9562957787337578E-2</v>
      </c>
      <c r="K200" s="11">
        <f>INDEX(AE$5:AE$190,MATCH(LARGE(AQ$5:AQ$190,6),AQ$5:AQ$190,0))</f>
        <v>0.21483027772735525</v>
      </c>
      <c r="L200" s="11">
        <f>INDEX(AF$5:AF$190,MATCH(LARGE(AQ$5:AQ$190,6),AQ$5:AQ$190,0))</f>
        <v>0.32162162162162161</v>
      </c>
      <c r="M200" s="11">
        <f>INDEX(AG$5:AG$190,MATCH(LARGE(AQ$5:AQ$190,6),AQ$5:AQ$190,0))</f>
        <v>0.56122448979591832</v>
      </c>
      <c r="N200" s="11">
        <f>INDEX(AH$5:AH$190,MATCH(LARGE(AQ$5:AQ$190,6),AQ$5:AQ$190,0))</f>
        <v>0.28110232289002407</v>
      </c>
      <c r="O200" s="11">
        <f>INDEX(AI$5:AI$190,MATCH(LARGE(AQ$5:AQ$190,6),AQ$5:AQ$190,0))</f>
        <v>0</v>
      </c>
      <c r="P200" s="11">
        <f>INDEX(AJ$5:AJ$190,MATCH(LARGE(AQ$5:AQ$190,6),AQ$5:AQ$190,0))</f>
        <v>1</v>
      </c>
      <c r="Q200" s="11">
        <f>INDEX(AK$5:AK$190,MATCH(LARGE(AQ$5:AQ$190,6),AQ$5:AQ$190,0))</f>
        <v>0.32575757575757575</v>
      </c>
      <c r="R200" s="11">
        <f>INDEX(AL$5:AL$190,MATCH(LARGE(AQ$5:AQ$190,6),AQ$5:AQ$190,0))</f>
        <v>0.46138515248829659</v>
      </c>
      <c r="S200" s="11">
        <f>INDEX(AM$5:AM$190,MATCH(LARGE(AQ$5:AQ$190,6),AQ$5:AQ$190,0))</f>
        <v>1</v>
      </c>
      <c r="T200" s="11">
        <f>INDEX(AN$5:AN$190,MATCH(LARGE(AQ$5:AQ$190,6),AQ$5:AQ$190,0))</f>
        <v>0.61290322580645162</v>
      </c>
      <c r="U200" s="11">
        <f>INDEX(AO$5:AO$190,MATCH(LARGE(AQ$5:AQ$190,6),AQ$5:AQ$190,0))</f>
        <v>0.25</v>
      </c>
      <c r="V200" s="11">
        <f>INDEX(AP$5:AP$190,MATCH(LARGE(AQ$5:AQ$190,6),AQ$5:AQ$190,0))</f>
        <v>0.5</v>
      </c>
    </row>
    <row r="201" spans="1:22" ht="15" customHeight="1" x14ac:dyDescent="0.2">
      <c r="A201" s="3">
        <v>7</v>
      </c>
      <c r="B201" s="3" t="str">
        <f>INDEX($A$5:$A$190,MATCH(LARGE(AQ$5:AQ$190,7),AQ$5:AQ$190,0))</f>
        <v>Game: randomEnemyFire()</v>
      </c>
      <c r="C201" s="11">
        <f>INDEX(W$5:W$190,MATCH(LARGE(AQ$5:AQ$190,7),AQ$5:AQ$190,0))</f>
        <v>0.26315789473684209</v>
      </c>
      <c r="D201" s="11">
        <f>INDEX(X$5:X$190,MATCH(LARGE(AQ$5:AQ$190,7),AQ$5:AQ$190,0))</f>
        <v>0.25</v>
      </c>
      <c r="E201" s="11">
        <f>INDEX(Y$5:Y$190,MATCH(LARGE(AQ$5:AQ$190,7),AQ$5:AQ$190,0))</f>
        <v>0.5625</v>
      </c>
      <c r="F201" s="11">
        <f>INDEX(Z$5:Z$190,MATCH(LARGE(AQ$5:AQ$190,7),AQ$5:AQ$190,0))</f>
        <v>0.48275862068965519</v>
      </c>
      <c r="G201" s="11">
        <f>INDEX(AA$5:AA$190,MATCH(LARGE(AQ$5:AQ$190,7),AQ$5:AQ$190,0))</f>
        <v>0.5</v>
      </c>
      <c r="H201" s="11">
        <f>INDEX(AB$5:AB$190,MATCH(LARGE(AQ$5:AQ$190,7),AQ$5:AQ$190,0))</f>
        <v>0.2</v>
      </c>
      <c r="I201" s="11">
        <f>INDEX(AC$5:AC$190,MATCH(LARGE(AQ$5:AQ$190,7),AQ$5:AQ$190,0))</f>
        <v>0.4337772227772228</v>
      </c>
      <c r="J201" s="11">
        <f>INDEX(AD$5:AD$190,MATCH(LARGE(AQ$5:AQ$190,7),AQ$5:AQ$190,0))</f>
        <v>0.15267318618014067</v>
      </c>
      <c r="K201" s="11">
        <f>INDEX(AE$5:AE$190,MATCH(LARGE(AQ$5:AQ$190,7),AQ$5:AQ$190,0))</f>
        <v>0.2856235251406789</v>
      </c>
      <c r="L201" s="11">
        <f>INDEX(AF$5:AF$190,MATCH(LARGE(AQ$5:AQ$190,7),AQ$5:AQ$190,0))</f>
        <v>0.32162162162162161</v>
      </c>
      <c r="M201" s="11">
        <f>INDEX(AG$5:AG$190,MATCH(LARGE(AQ$5:AQ$190,7),AQ$5:AQ$190,0))</f>
        <v>0.5</v>
      </c>
      <c r="N201" s="11">
        <f>INDEX(AH$5:AH$190,MATCH(LARGE(AQ$5:AQ$190,7),AQ$5:AQ$190,0))</f>
        <v>0.27299945665732878</v>
      </c>
      <c r="O201" s="11">
        <f>INDEX(AI$5:AI$190,MATCH(LARGE(AQ$5:AQ$190,7),AQ$5:AQ$190,0))</f>
        <v>0.8</v>
      </c>
      <c r="P201" s="11">
        <f>INDEX(AJ$5:AJ$190,MATCH(LARGE(AQ$5:AQ$190,7),AQ$5:AQ$190,0))</f>
        <v>0.66666666666666663</v>
      </c>
      <c r="Q201" s="11">
        <f>INDEX(AK$5:AK$190,MATCH(LARGE(AQ$5:AQ$190,7),AQ$5:AQ$190,0))</f>
        <v>0.34848484848484851</v>
      </c>
      <c r="R201" s="11">
        <f>INDEX(AL$5:AL$190,MATCH(LARGE(AQ$5:AQ$190,7),AQ$5:AQ$190,0))</f>
        <v>0.45560446168687174</v>
      </c>
      <c r="S201" s="11">
        <f>INDEX(AM$5:AM$190,MATCH(LARGE(AQ$5:AQ$190,7),AQ$5:AQ$190,0))</f>
        <v>0.5</v>
      </c>
      <c r="T201" s="11">
        <f>INDEX(AN$5:AN$190,MATCH(LARGE(AQ$5:AQ$190,7),AQ$5:AQ$190,0))</f>
        <v>0.4838709677419355</v>
      </c>
      <c r="U201" s="11">
        <f>INDEX(AO$5:AO$190,MATCH(LARGE(AQ$5:AQ$190,7),AQ$5:AQ$190,0))</f>
        <v>0.5</v>
      </c>
      <c r="V201" s="11">
        <f>INDEX(AP$5:AP$190,MATCH(LARGE(AQ$5:AQ$190,7),AQ$5:AQ$190,0))</f>
        <v>0</v>
      </c>
    </row>
    <row r="202" spans="1:22" ht="15" customHeight="1" x14ac:dyDescent="0.2">
      <c r="A202" s="3">
        <v>8</v>
      </c>
      <c r="B202" s="3" t="str">
        <f>INDEX($A$5:$A$190,MATCH(LARGE(AQ$5:AQ$190,8),AQ$5:AQ$190,0))</f>
        <v>Game: randomPlayerFire()</v>
      </c>
      <c r="C202" s="11">
        <f>INDEX(W$5:W$190,MATCH(LARGE(AQ$5:AQ$190,8),AQ$5:AQ$190,0))</f>
        <v>0.26315789473684209</v>
      </c>
      <c r="D202" s="11">
        <f>INDEX(X$5:X$190,MATCH(LARGE(AQ$5:AQ$190,8),AQ$5:AQ$190,0))</f>
        <v>0.25</v>
      </c>
      <c r="E202" s="11">
        <f>INDEX(Y$5:Y$190,MATCH(LARGE(AQ$5:AQ$190,8),AQ$5:AQ$190,0))</f>
        <v>0.5625</v>
      </c>
      <c r="F202" s="11">
        <f>INDEX(Z$5:Z$190,MATCH(LARGE(AQ$5:AQ$190,8),AQ$5:AQ$190,0))</f>
        <v>0.48275862068965519</v>
      </c>
      <c r="G202" s="11">
        <f>INDEX(AA$5:AA$190,MATCH(LARGE(AQ$5:AQ$190,8),AQ$5:AQ$190,0))</f>
        <v>0.5</v>
      </c>
      <c r="H202" s="11">
        <f>INDEX(AB$5:AB$190,MATCH(LARGE(AQ$5:AQ$190,8),AQ$5:AQ$190,0))</f>
        <v>0.2</v>
      </c>
      <c r="I202" s="11">
        <f>INDEX(AC$5:AC$190,MATCH(LARGE(AQ$5:AQ$190,8),AQ$5:AQ$190,0))</f>
        <v>0.4337772227772228</v>
      </c>
      <c r="J202" s="11">
        <f>INDEX(AD$5:AD$190,MATCH(LARGE(AQ$5:AQ$190,8),AQ$5:AQ$190,0))</f>
        <v>0.15267318618014067</v>
      </c>
      <c r="K202" s="11">
        <f>INDEX(AE$5:AE$190,MATCH(LARGE(AQ$5:AQ$190,8),AQ$5:AQ$190,0))</f>
        <v>0.2856235251406789</v>
      </c>
      <c r="L202" s="11">
        <f>INDEX(AF$5:AF$190,MATCH(LARGE(AQ$5:AQ$190,8),AQ$5:AQ$190,0))</f>
        <v>0.32162162162162161</v>
      </c>
      <c r="M202" s="11">
        <f>INDEX(AG$5:AG$190,MATCH(LARGE(AQ$5:AQ$190,8),AQ$5:AQ$190,0))</f>
        <v>0.5</v>
      </c>
      <c r="N202" s="11">
        <f>INDEX(AH$5:AH$190,MATCH(LARGE(AQ$5:AQ$190,8),AQ$5:AQ$190,0))</f>
        <v>0.27299945665732878</v>
      </c>
      <c r="O202" s="11">
        <f>INDEX(AI$5:AI$190,MATCH(LARGE(AQ$5:AQ$190,8),AQ$5:AQ$190,0))</f>
        <v>0.8</v>
      </c>
      <c r="P202" s="11">
        <f>INDEX(AJ$5:AJ$190,MATCH(LARGE(AQ$5:AQ$190,8),AQ$5:AQ$190,0))</f>
        <v>0.66666666666666663</v>
      </c>
      <c r="Q202" s="11">
        <f>INDEX(AK$5:AK$190,MATCH(LARGE(AQ$5:AQ$190,8),AQ$5:AQ$190,0))</f>
        <v>0.31818181818181818</v>
      </c>
      <c r="R202" s="11">
        <f>INDEX(AL$5:AL$190,MATCH(LARGE(AQ$5:AQ$190,8),AQ$5:AQ$190,0))</f>
        <v>0.46460279544476968</v>
      </c>
      <c r="S202" s="11">
        <f>INDEX(AM$5:AM$190,MATCH(LARGE(AQ$5:AQ$190,8),AQ$5:AQ$190,0))</f>
        <v>0.5</v>
      </c>
      <c r="T202" s="11">
        <f>INDEX(AN$5:AN$190,MATCH(LARGE(AQ$5:AQ$190,8),AQ$5:AQ$190,0))</f>
        <v>0.4838709677419355</v>
      </c>
      <c r="U202" s="11">
        <f>INDEX(AO$5:AO$190,MATCH(LARGE(AQ$5:AQ$190,8),AQ$5:AQ$190,0))</f>
        <v>0.5</v>
      </c>
      <c r="V202" s="11">
        <f>INDEX(AP$5:AP$190,MATCH(LARGE(AQ$5:AQ$190,8),AQ$5:AQ$190,0))</f>
        <v>0</v>
      </c>
    </row>
    <row r="203" spans="1:22" ht="15" customHeight="1" x14ac:dyDescent="0.2">
      <c r="A203" s="3">
        <v>9</v>
      </c>
      <c r="B203" s="3" t="str">
        <f>INDEX($A$5:$A$190,MATCH(LARGE(AQ$5:AQ$190,9),AQ$5:AQ$190,0))</f>
        <v>Game: readEnemyFire(Scanner)</v>
      </c>
      <c r="C203" s="11">
        <f>INDEX(W$5:W$190,MATCH(LARGE(AQ$5:AQ$190,9),AQ$5:AQ$190,0))</f>
        <v>0.31578947368421051</v>
      </c>
      <c r="D203" s="11">
        <f>INDEX(X$5:X$190,MATCH(LARGE(AQ$5:AQ$190,9),AQ$5:AQ$190,0))</f>
        <v>0.32500000000000001</v>
      </c>
      <c r="E203" s="11">
        <f>INDEX(Y$5:Y$190,MATCH(LARGE(AQ$5:AQ$190,9),AQ$5:AQ$190,0))</f>
        <v>0.1905</v>
      </c>
      <c r="F203" s="11">
        <f>INDEX(Z$5:Z$190,MATCH(LARGE(AQ$5:AQ$190,9),AQ$5:AQ$190,0))</f>
        <v>0.62068965517241381</v>
      </c>
      <c r="G203" s="11">
        <f>INDEX(AA$5:AA$190,MATCH(LARGE(AQ$5:AQ$190,9),AQ$5:AQ$190,0))</f>
        <v>0.5</v>
      </c>
      <c r="H203" s="11">
        <f>INDEX(AB$5:AB$190,MATCH(LARGE(AQ$5:AQ$190,9),AQ$5:AQ$190,0))</f>
        <v>0</v>
      </c>
      <c r="I203" s="11">
        <f>INDEX(AC$5:AC$190,MATCH(LARGE(AQ$5:AQ$190,9),AQ$5:AQ$190,0))</f>
        <v>0.45854145854145856</v>
      </c>
      <c r="J203" s="11">
        <f>INDEX(AD$5:AD$190,MATCH(LARGE(AQ$5:AQ$190,9),AQ$5:AQ$190,0))</f>
        <v>0.16552408801436966</v>
      </c>
      <c r="K203" s="11">
        <f>INDEX(AE$5:AE$190,MATCH(LARGE(AQ$5:AQ$190,9),AQ$5:AQ$190,0))</f>
        <v>0.3014158649482665</v>
      </c>
      <c r="L203" s="11">
        <f>INDEX(AF$5:AF$190,MATCH(LARGE(AQ$5:AQ$190,9),AQ$5:AQ$190,0))</f>
        <v>0.31891891891891894</v>
      </c>
      <c r="M203" s="11">
        <f>INDEX(AG$5:AG$190,MATCH(LARGE(AQ$5:AQ$190,9),AQ$5:AQ$190,0))</f>
        <v>0.5714285714285714</v>
      </c>
      <c r="N203" s="11">
        <f>INDEX(AH$5:AH$190,MATCH(LARGE(AQ$5:AQ$190,9),AQ$5:AQ$190,0))</f>
        <v>0.27999345112322555</v>
      </c>
      <c r="O203" s="11">
        <f>INDEX(AI$5:AI$190,MATCH(LARGE(AQ$5:AQ$190,9),AQ$5:AQ$190,0))</f>
        <v>1</v>
      </c>
      <c r="P203" s="11">
        <f>INDEX(AJ$5:AJ$190,MATCH(LARGE(AQ$5:AQ$190,9),AQ$5:AQ$190,0))</f>
        <v>0.33333333333333331</v>
      </c>
      <c r="Q203" s="11">
        <f>INDEX(AK$5:AK$190,MATCH(LARGE(AQ$5:AQ$190,9),AQ$5:AQ$190,0))</f>
        <v>0.39393939393939392</v>
      </c>
      <c r="R203" s="11">
        <f>INDEX(AL$5:AL$190,MATCH(LARGE(AQ$5:AQ$190,9),AQ$5:AQ$190,0))</f>
        <v>0.44242486250370622</v>
      </c>
      <c r="S203" s="11">
        <f>INDEX(AM$5:AM$190,MATCH(LARGE(AQ$5:AQ$190,9),AQ$5:AQ$190,0))</f>
        <v>0.83333333333333337</v>
      </c>
      <c r="T203" s="11">
        <f>INDEX(AN$5:AN$190,MATCH(LARGE(AQ$5:AQ$190,9),AQ$5:AQ$190,0))</f>
        <v>0.25806451612903225</v>
      </c>
      <c r="U203" s="11">
        <f>INDEX(AO$5:AO$190,MATCH(LARGE(AQ$5:AQ$190,9),AQ$5:AQ$190,0))</f>
        <v>0.16666666666666666</v>
      </c>
      <c r="V203" s="11">
        <f>INDEX(AP$5:AP$190,MATCH(LARGE(AQ$5:AQ$190,9),AQ$5:AQ$190,0))</f>
        <v>0.25</v>
      </c>
    </row>
    <row r="204" spans="1:22" ht="15" customHeight="1" x14ac:dyDescent="0.2">
      <c r="A204" s="3">
        <v>10</v>
      </c>
      <c r="B204" s="3" t="str">
        <f>INDEX($A$5:$A$190,MATCH(LARGE(AQ$5:AQ$190,10),AQ$5:AQ$190,0))</f>
        <v>Game: readAlienFire(Scanner)</v>
      </c>
      <c r="C204" s="11">
        <f>INDEX(W$5:W$190,MATCH(LARGE(AQ$5:AQ$190,10),AQ$5:AQ$190,0))</f>
        <v>0.31578947368421051</v>
      </c>
      <c r="D204" s="11">
        <f>INDEX(X$5:X$190,MATCH(LARGE(AQ$5:AQ$190,10),AQ$5:AQ$190,0))</f>
        <v>0.32500000000000001</v>
      </c>
      <c r="E204" s="11">
        <f>INDEX(Y$5:Y$190,MATCH(LARGE(AQ$5:AQ$190,10),AQ$5:AQ$190,0))</f>
        <v>0.1905</v>
      </c>
      <c r="F204" s="11">
        <f>INDEX(Z$5:Z$190,MATCH(LARGE(AQ$5:AQ$190,10),AQ$5:AQ$190,0))</f>
        <v>0.62068965517241381</v>
      </c>
      <c r="G204" s="11">
        <f>INDEX(AA$5:AA$190,MATCH(LARGE(AQ$5:AQ$190,10),AQ$5:AQ$190,0))</f>
        <v>0.5</v>
      </c>
      <c r="H204" s="11">
        <f>INDEX(AB$5:AB$190,MATCH(LARGE(AQ$5:AQ$190,10),AQ$5:AQ$190,0))</f>
        <v>0</v>
      </c>
      <c r="I204" s="11">
        <f>INDEX(AC$5:AC$190,MATCH(LARGE(AQ$5:AQ$190,10),AQ$5:AQ$190,0))</f>
        <v>0.45854145854145856</v>
      </c>
      <c r="J204" s="11">
        <f>INDEX(AD$5:AD$190,MATCH(LARGE(AQ$5:AQ$190,10),AQ$5:AQ$190,0))</f>
        <v>0.16552408801436966</v>
      </c>
      <c r="K204" s="11">
        <f>INDEX(AE$5:AE$190,MATCH(LARGE(AQ$5:AQ$190,10),AQ$5:AQ$190,0))</f>
        <v>0.3014158649482665</v>
      </c>
      <c r="L204" s="11">
        <f>INDEX(AF$5:AF$190,MATCH(LARGE(AQ$5:AQ$190,10),AQ$5:AQ$190,0))</f>
        <v>0.31891891891891894</v>
      </c>
      <c r="M204" s="11">
        <f>INDEX(AG$5:AG$190,MATCH(LARGE(AQ$5:AQ$190,10),AQ$5:AQ$190,0))</f>
        <v>0.5714285714285714</v>
      </c>
      <c r="N204" s="11">
        <f>INDEX(AH$5:AH$190,MATCH(LARGE(AQ$5:AQ$190,10),AQ$5:AQ$190,0))</f>
        <v>0.27999345112322555</v>
      </c>
      <c r="O204" s="11">
        <f>INDEX(AI$5:AI$190,MATCH(LARGE(AQ$5:AQ$190,10),AQ$5:AQ$190,0))</f>
        <v>1</v>
      </c>
      <c r="P204" s="11">
        <f>INDEX(AJ$5:AJ$190,MATCH(LARGE(AQ$5:AQ$190,10),AQ$5:AQ$190,0))</f>
        <v>0.33333333333333331</v>
      </c>
      <c r="Q204" s="11">
        <f>INDEX(AK$5:AK$190,MATCH(LARGE(AQ$5:AQ$190,10),AQ$5:AQ$190,0))</f>
        <v>0.37878787878787878</v>
      </c>
      <c r="R204" s="11">
        <f>INDEX(AL$5:AL$190,MATCH(LARGE(AQ$5:AQ$190,10),AQ$5:AQ$190,0))</f>
        <v>0.44630440865109561</v>
      </c>
      <c r="S204" s="11">
        <f>INDEX(AM$5:AM$190,MATCH(LARGE(AQ$5:AQ$190,10),AQ$5:AQ$190,0))</f>
        <v>0.83333333333333337</v>
      </c>
      <c r="T204" s="11">
        <f>INDEX(AN$5:AN$190,MATCH(LARGE(AQ$5:AQ$190,10),AQ$5:AQ$190,0))</f>
        <v>0.25806451612903225</v>
      </c>
      <c r="U204" s="11">
        <f>INDEX(AO$5:AO$190,MATCH(LARGE(AQ$5:AQ$190,10),AQ$5:AQ$190,0))</f>
        <v>0.16666666666666666</v>
      </c>
      <c r="V204" s="11">
        <f>INDEX(AP$5:AP$190,MATCH(LARGE(AQ$5:AQ$190,10),AQ$5:AQ$190,0))</f>
        <v>0.25</v>
      </c>
    </row>
    <row r="205" spans="1:22" ht="15" customHeight="1" x14ac:dyDescent="0.2">
      <c r="A205" s="3">
        <v>11</v>
      </c>
      <c r="B205" s="3" t="str">
        <f>INDEX($A$5:$A$190,MATCH(LARGE(AQ$5:AQ$190,11),AQ$5:AQ$190,0))</f>
        <v>BoardWindow: show(char[][], char[][], List&lt;IPosition&gt;, List&lt;IPosition&gt;)</v>
      </c>
      <c r="C205" s="11">
        <f>INDEX(W$5:W$190,MATCH(LARGE(AQ$5:AQ$190,11),AQ$5:AQ$190,0))</f>
        <v>5.2631578947368418E-2</v>
      </c>
      <c r="D205" s="11">
        <f>INDEX(X$5:X$190,MATCH(LARGE(AQ$5:AQ$190,11),AQ$5:AQ$190,0))</f>
        <v>2.5000000000000001E-2</v>
      </c>
      <c r="E205" s="11">
        <f>INDEX(Y$5:Y$190,MATCH(LARGE(AQ$5:AQ$190,11),AQ$5:AQ$190,0))</f>
        <v>0.45450000000000002</v>
      </c>
      <c r="F205" s="11">
        <f>INDEX(Z$5:Z$190,MATCH(LARGE(AQ$5:AQ$190,11),AQ$5:AQ$190,0))</f>
        <v>0.34482758620689657</v>
      </c>
      <c r="G205" s="11">
        <f>INDEX(AA$5:AA$190,MATCH(LARGE(AQ$5:AQ$190,11),AQ$5:AQ$190,0))</f>
        <v>0.25</v>
      </c>
      <c r="H205" s="11">
        <f>INDEX(AB$5:AB$190,MATCH(LARGE(AQ$5:AQ$190,11),AQ$5:AQ$190,0))</f>
        <v>0.8</v>
      </c>
      <c r="I205" s="11">
        <f>INDEX(AC$5:AC$190,MATCH(LARGE(AQ$5:AQ$190,11),AQ$5:AQ$190,0))</f>
        <v>0.16697602397602401</v>
      </c>
      <c r="J205" s="11">
        <f>INDEX(AD$5:AD$190,MATCH(LARGE(AQ$5:AQ$190,11),AQ$5:AQ$190,0))</f>
        <v>4.2754109776829169E-2</v>
      </c>
      <c r="K205" s="11">
        <f>INDEX(AE$5:AE$190,MATCH(LARGE(AQ$5:AQ$190,11),AQ$5:AQ$190,0))</f>
        <v>0.12225449264839354</v>
      </c>
      <c r="L205" s="11">
        <f>INDEX(AF$5:AF$190,MATCH(LARGE(AQ$5:AQ$190,11),AQ$5:AQ$190,0))</f>
        <v>0.23783783783783785</v>
      </c>
      <c r="M205" s="11">
        <f>INDEX(AG$5:AG$190,MATCH(LARGE(AQ$5:AQ$190,11),AQ$5:AQ$190,0))</f>
        <v>0.46938775510204084</v>
      </c>
      <c r="N205" s="11">
        <f>INDEX(AH$5:AH$190,MATCH(LARGE(AQ$5:AQ$190,11),AQ$5:AQ$190,0))</f>
        <v>0.19860465777624367</v>
      </c>
      <c r="O205" s="11">
        <f>INDEX(AI$5:AI$190,MATCH(LARGE(AQ$5:AQ$190,11),AQ$5:AQ$190,0))</f>
        <v>0.28570000000000001</v>
      </c>
      <c r="P205" s="11">
        <f>INDEX(AJ$5:AJ$190,MATCH(LARGE(AQ$5:AQ$190,11),AQ$5:AQ$190,0))</f>
        <v>0</v>
      </c>
      <c r="Q205" s="11">
        <f>INDEX(AK$5:AK$190,MATCH(LARGE(AQ$5:AQ$190,11),AQ$5:AQ$190,0))</f>
        <v>0.22727272727272727</v>
      </c>
      <c r="R205" s="11">
        <f>INDEX(AL$5:AL$190,MATCH(LARGE(AQ$5:AQ$190,11),AQ$5:AQ$190,0))</f>
        <v>0.5102396632437014</v>
      </c>
      <c r="S205" s="11">
        <f>INDEX(AM$5:AM$190,MATCH(LARGE(AQ$5:AQ$190,11),AQ$5:AQ$190,0))</f>
        <v>0.33333333333333331</v>
      </c>
      <c r="T205" s="11">
        <f>INDEX(AN$5:AN$190,MATCH(LARGE(AQ$5:AQ$190,11),AQ$5:AQ$190,0))</f>
        <v>0.54838709677419351</v>
      </c>
      <c r="U205" s="11">
        <f>INDEX(AO$5:AO$190,MATCH(LARGE(AQ$5:AQ$190,11),AQ$5:AQ$190,0))</f>
        <v>0</v>
      </c>
      <c r="V205" s="11">
        <f>INDEX(AP$5:AP$190,MATCH(LARGE(AQ$5:AQ$190,11),AQ$5:AQ$190,0))</f>
        <v>1</v>
      </c>
    </row>
    <row r="206" spans="1:22" ht="15" customHeight="1" x14ac:dyDescent="0.2">
      <c r="A206" s="3">
        <v>12</v>
      </c>
      <c r="B206" s="3" t="str">
        <f>INDEX($A$5:$A$190,MATCH(LARGE(AQ$5:AQ$190,12),AQ$5:AQ$190,0))</f>
        <v>PdfExporter: exportGameReport(IGame, String)</v>
      </c>
      <c r="C206" s="11">
        <f>INDEX(W$5:W$190,MATCH(LARGE(AQ$5:AQ$190,12),AQ$5:AQ$190,0))</f>
        <v>5.2631578947368418E-2</v>
      </c>
      <c r="D206" s="11">
        <f>INDEX(X$5:X$190,MATCH(LARGE(AQ$5:AQ$190,12),AQ$5:AQ$190,0))</f>
        <v>2.5000000000000001E-2</v>
      </c>
      <c r="E206" s="11">
        <f>INDEX(Y$5:Y$190,MATCH(LARGE(AQ$5:AQ$190,12),AQ$5:AQ$190,0))</f>
        <v>0.26319999999999999</v>
      </c>
      <c r="F206" s="11">
        <f>INDEX(Z$5:Z$190,MATCH(LARGE(AQ$5:AQ$190,12),AQ$5:AQ$190,0))</f>
        <v>0.62068965517241381</v>
      </c>
      <c r="G206" s="11">
        <f>INDEX(AA$5:AA$190,MATCH(LARGE(AQ$5:AQ$190,12),AQ$5:AQ$190,0))</f>
        <v>0</v>
      </c>
      <c r="H206" s="11">
        <f>INDEX(AB$5:AB$190,MATCH(LARGE(AQ$5:AQ$190,12),AQ$5:AQ$190,0))</f>
        <v>1</v>
      </c>
      <c r="I206" s="11">
        <f>INDEX(AC$5:AC$190,MATCH(LARGE(AQ$5:AQ$190,12),AQ$5:AQ$190,0))</f>
        <v>0.28971028971028973</v>
      </c>
      <c r="J206" s="11">
        <f>INDEX(AD$5:AD$190,MATCH(LARGE(AQ$5:AQ$190,12),AQ$5:AQ$190,0))</f>
        <v>8.3309084568773992E-2</v>
      </c>
      <c r="K206" s="11">
        <f>INDEX(AE$5:AE$190,MATCH(LARGE(AQ$5:AQ$190,12),AQ$5:AQ$190,0))</f>
        <v>0.19077872572154658</v>
      </c>
      <c r="L206" s="11">
        <f>INDEX(AF$5:AF$190,MATCH(LARGE(AQ$5:AQ$190,12),AQ$5:AQ$190,0))</f>
        <v>0.25405405405405407</v>
      </c>
      <c r="M206" s="11">
        <f>INDEX(AG$5:AG$190,MATCH(LARGE(AQ$5:AQ$190,12),AQ$5:AQ$190,0))</f>
        <v>0.5714285714285714</v>
      </c>
      <c r="N206" s="11">
        <f>INDEX(AH$5:AH$190,MATCH(LARGE(AQ$5:AQ$190,12),AQ$5:AQ$190,0))</f>
        <v>0.2230456395586152</v>
      </c>
      <c r="O206" s="11">
        <f>INDEX(AI$5:AI$190,MATCH(LARGE(AQ$5:AQ$190,12),AQ$5:AQ$190,0))</f>
        <v>0</v>
      </c>
      <c r="P206" s="11">
        <f>INDEX(AJ$5:AJ$190,MATCH(LARGE(AQ$5:AQ$190,12),AQ$5:AQ$190,0))</f>
        <v>0</v>
      </c>
      <c r="Q206" s="11">
        <f>INDEX(AK$5:AK$190,MATCH(LARGE(AQ$5:AQ$190,12),AQ$5:AQ$190,0))</f>
        <v>0.25757575757575757</v>
      </c>
      <c r="R206" s="11">
        <f>INDEX(AL$5:AL$190,MATCH(LARGE(AQ$5:AQ$190,12),AQ$5:AQ$190,0))</f>
        <v>0.49422348524394372</v>
      </c>
      <c r="S206" s="11">
        <f>INDEX(AM$5:AM$190,MATCH(LARGE(AQ$5:AQ$190,12),AQ$5:AQ$190,0))</f>
        <v>0.33333333333333331</v>
      </c>
      <c r="T206" s="11">
        <f>INDEX(AN$5:AN$190,MATCH(LARGE(AQ$5:AQ$190,12),AQ$5:AQ$190,0))</f>
        <v>0.45161290322580644</v>
      </c>
      <c r="U206" s="11">
        <f>INDEX(AO$5:AO$190,MATCH(LARGE(AQ$5:AQ$190,12),AQ$5:AQ$190,0))</f>
        <v>0</v>
      </c>
      <c r="V206" s="11">
        <f>INDEX(AP$5:AP$190,MATCH(LARGE(AQ$5:AQ$190,12),AQ$5:AQ$190,0))</f>
        <v>0.5</v>
      </c>
    </row>
    <row r="207" spans="1:22" ht="15" customHeight="1" x14ac:dyDescent="0.2">
      <c r="A207" s="3">
        <v>13</v>
      </c>
      <c r="B207" s="3" t="str">
        <f>INDEX($A$5:$A$190,MATCH(LARGE(AQ$5:AQ$190,13),AQ$5:AQ$190,0))</f>
        <v>Game: fireSingleShot(IPosition, boolean)</v>
      </c>
      <c r="C207" s="11">
        <f>INDEX(W$5:W$190,MATCH(LARGE(AQ$5:AQ$190,13),AQ$5:AQ$190,0))</f>
        <v>0.15789473684210525</v>
      </c>
      <c r="D207" s="11">
        <f>INDEX(X$5:X$190,MATCH(LARGE(AQ$5:AQ$190,13),AQ$5:AQ$190,0))</f>
        <v>0.15</v>
      </c>
      <c r="E207" s="11">
        <f>INDEX(Y$5:Y$190,MATCH(LARGE(AQ$5:AQ$190,13),AQ$5:AQ$190,0))</f>
        <v>0.6</v>
      </c>
      <c r="F207" s="11">
        <f>INDEX(Z$5:Z$190,MATCH(LARGE(AQ$5:AQ$190,13),AQ$5:AQ$190,0))</f>
        <v>0.13793103448275862</v>
      </c>
      <c r="G207" s="11">
        <f>INDEX(AA$5:AA$190,MATCH(LARGE(AQ$5:AQ$190,13),AQ$5:AQ$190,0))</f>
        <v>0.5</v>
      </c>
      <c r="H207" s="11">
        <f>INDEX(AB$5:AB$190,MATCH(LARGE(AQ$5:AQ$190,13),AQ$5:AQ$190,0))</f>
        <v>0</v>
      </c>
      <c r="I207" s="11">
        <f>INDEX(AC$5:AC$190,MATCH(LARGE(AQ$5:AQ$190,13),AQ$5:AQ$190,0))</f>
        <v>0.24702597402597404</v>
      </c>
      <c r="J207" s="11">
        <f>INDEX(AD$5:AD$190,MATCH(LARGE(AQ$5:AQ$190,13),AQ$5:AQ$190,0))</f>
        <v>4.0035985467267464E-2</v>
      </c>
      <c r="K207" s="11">
        <f>INDEX(AE$5:AE$190,MATCH(LARGE(AQ$5:AQ$190,13),AQ$5:AQ$190,0))</f>
        <v>0.11699037937919768</v>
      </c>
      <c r="L207" s="11">
        <f>INDEX(AF$5:AF$190,MATCH(LARGE(AQ$5:AQ$190,13),AQ$5:AQ$190,0))</f>
        <v>0.17297297297297298</v>
      </c>
      <c r="M207" s="11">
        <f>INDEX(AG$5:AG$190,MATCH(LARGE(AQ$5:AQ$190,13),AQ$5:AQ$190,0))</f>
        <v>0.2857142857142857</v>
      </c>
      <c r="N207" s="11">
        <f>INDEX(AH$5:AH$190,MATCH(LARGE(AQ$5:AQ$190,13),AQ$5:AQ$190,0))</f>
        <v>0.12571109941454808</v>
      </c>
      <c r="O207" s="11">
        <f>INDEX(AI$5:AI$190,MATCH(LARGE(AQ$5:AQ$190,13),AQ$5:AQ$190,0))</f>
        <v>1</v>
      </c>
      <c r="P207" s="11">
        <f>INDEX(AJ$5:AJ$190,MATCH(LARGE(AQ$5:AQ$190,13),AQ$5:AQ$190,0))</f>
        <v>0</v>
      </c>
      <c r="Q207" s="11">
        <f>INDEX(AK$5:AK$190,MATCH(LARGE(AQ$5:AQ$190,13),AQ$5:AQ$190,0))</f>
        <v>0.25</v>
      </c>
      <c r="R207" s="11">
        <f>INDEX(AL$5:AL$190,MATCH(LARGE(AQ$5:AQ$190,13),AQ$5:AQ$190,0))</f>
        <v>0.51385403051018741</v>
      </c>
      <c r="S207" s="11">
        <f>INDEX(AM$5:AM$190,MATCH(LARGE(AQ$5:AQ$190,13),AQ$5:AQ$190,0))</f>
        <v>0.5</v>
      </c>
      <c r="T207" s="11">
        <f>INDEX(AN$5:AN$190,MATCH(LARGE(AQ$5:AQ$190,13),AQ$5:AQ$190,0))</f>
        <v>0.25806451612903225</v>
      </c>
      <c r="U207" s="11">
        <f>INDEX(AO$5:AO$190,MATCH(LARGE(AQ$5:AQ$190,13),AQ$5:AQ$190,0))</f>
        <v>0</v>
      </c>
      <c r="V207" s="11">
        <f>INDEX(AP$5:AP$190,MATCH(LARGE(AQ$5:AQ$190,13),AQ$5:AQ$190,0))</f>
        <v>0.5</v>
      </c>
    </row>
    <row r="208" spans="1:22" ht="15" customHeight="1" x14ac:dyDescent="0.2">
      <c r="A208" s="3">
        <v>14</v>
      </c>
      <c r="B208" s="3" t="str">
        <f>INDEX($A$5:$A$190,MATCH(LARGE(AQ$5:AQ$190,14),AQ$5:AQ$190,0))</f>
        <v>Scoreboard: displayScoreboard(int)</v>
      </c>
      <c r="C208" s="11">
        <f>INDEX(W$5:W$190,MATCH(LARGE(AQ$5:AQ$190,14),AQ$5:AQ$190,0))</f>
        <v>0.13157894736842105</v>
      </c>
      <c r="D208" s="11">
        <f>INDEX(X$5:X$190,MATCH(LARGE(AQ$5:AQ$190,14),AQ$5:AQ$190,0))</f>
        <v>0.125</v>
      </c>
      <c r="E208" s="11">
        <f>INDEX(Y$5:Y$190,MATCH(LARGE(AQ$5:AQ$190,14),AQ$5:AQ$190,0))</f>
        <v>0.57140000000000002</v>
      </c>
      <c r="F208" s="11">
        <f>INDEX(Z$5:Z$190,MATCH(LARGE(AQ$5:AQ$190,14),AQ$5:AQ$190,0))</f>
        <v>0.44827586206896552</v>
      </c>
      <c r="G208" s="11">
        <f>INDEX(AA$5:AA$190,MATCH(LARGE(AQ$5:AQ$190,14),AQ$5:AQ$190,0))</f>
        <v>0.25</v>
      </c>
      <c r="H208" s="11">
        <f>INDEX(AB$5:AB$190,MATCH(LARGE(AQ$5:AQ$190,14),AQ$5:AQ$190,0))</f>
        <v>0.4</v>
      </c>
      <c r="I208" s="11">
        <f>INDEX(AC$5:AC$190,MATCH(LARGE(AQ$5:AQ$190,14),AQ$5:AQ$190,0))</f>
        <v>0.20139860139860141</v>
      </c>
      <c r="J208" s="11">
        <f>INDEX(AD$5:AD$190,MATCH(LARGE(AQ$5:AQ$190,14),AQ$5:AQ$190,0))</f>
        <v>4.824929891010421E-2</v>
      </c>
      <c r="K208" s="11">
        <f>INDEX(AE$5:AE$190,MATCH(LARGE(AQ$5:AQ$190,14),AQ$5:AQ$190,0))</f>
        <v>0.1325104374659648</v>
      </c>
      <c r="L208" s="11">
        <f>INDEX(AF$5:AF$190,MATCH(LARGE(AQ$5:AQ$190,14),AQ$5:AQ$190,0))</f>
        <v>0.21891891891891893</v>
      </c>
      <c r="M208" s="11">
        <f>INDEX(AG$5:AG$190,MATCH(LARGE(AQ$5:AQ$190,14),AQ$5:AQ$190,0))</f>
        <v>0.5</v>
      </c>
      <c r="N208" s="11">
        <f>INDEX(AH$5:AH$190,MATCH(LARGE(AQ$5:AQ$190,14),AQ$5:AQ$190,0))</f>
        <v>0.185823152706421</v>
      </c>
      <c r="O208" s="11">
        <f>INDEX(AI$5:AI$190,MATCH(LARGE(AQ$5:AQ$190,14),AQ$5:AQ$190,0))</f>
        <v>0.33329999999999999</v>
      </c>
      <c r="P208" s="11">
        <f>INDEX(AJ$5:AJ$190,MATCH(LARGE(AQ$5:AQ$190,14),AQ$5:AQ$190,0))</f>
        <v>0</v>
      </c>
      <c r="Q208" s="11">
        <f>INDEX(AK$5:AK$190,MATCH(LARGE(AQ$5:AQ$190,14),AQ$5:AQ$190,0))</f>
        <v>0.33333333333333331</v>
      </c>
      <c r="R208" s="11">
        <f>INDEX(AL$5:AL$190,MATCH(LARGE(AQ$5:AQ$190,14),AQ$5:AQ$190,0))</f>
        <v>0.4732357252329189</v>
      </c>
      <c r="S208" s="11">
        <f>INDEX(AM$5:AM$190,MATCH(LARGE(AQ$5:AQ$190,14),AQ$5:AQ$190,0))</f>
        <v>0.33333333333333331</v>
      </c>
      <c r="T208" s="11">
        <f>INDEX(AN$5:AN$190,MATCH(LARGE(AQ$5:AQ$190,14),AQ$5:AQ$190,0))</f>
        <v>0.41935483870967744</v>
      </c>
      <c r="U208" s="11">
        <f>INDEX(AO$5:AO$190,MATCH(LARGE(AQ$5:AQ$190,14),AQ$5:AQ$190,0))</f>
        <v>0</v>
      </c>
      <c r="V208" s="11">
        <f>INDEX(AP$5:AP$190,MATCH(LARGE(AQ$5:AQ$190,14),AQ$5:AQ$190,0))</f>
        <v>0.25</v>
      </c>
    </row>
    <row r="209" spans="1:22" ht="15" customHeight="1" x14ac:dyDescent="0.2">
      <c r="A209" s="3">
        <v>15</v>
      </c>
      <c r="B209" s="3" t="str">
        <f>INDEX($A$5:$A$190,MATCH(LARGE(AQ$5:AQ$190,15),AQ$5:AQ$190,0))</f>
        <v>Tasks: buildFleet(Scanner)</v>
      </c>
      <c r="C209" s="11">
        <f>INDEX(W$5:W$190,MATCH(LARGE(AQ$5:AQ$190,15),AQ$5:AQ$190,0))</f>
        <v>0.10526315789473684</v>
      </c>
      <c r="D209" s="11">
        <f>INDEX(X$5:X$190,MATCH(LARGE(AQ$5:AQ$190,15),AQ$5:AQ$190,0))</f>
        <v>0.125</v>
      </c>
      <c r="E209" s="11">
        <f>INDEX(Y$5:Y$190,MATCH(LARGE(AQ$5:AQ$190,15),AQ$5:AQ$190,0))</f>
        <v>0.375</v>
      </c>
      <c r="F209" s="11">
        <f>INDEX(Z$5:Z$190,MATCH(LARGE(AQ$5:AQ$190,15),AQ$5:AQ$190,0))</f>
        <v>0.2413793103448276</v>
      </c>
      <c r="G209" s="11">
        <f>INDEX(AA$5:AA$190,MATCH(LARGE(AQ$5:AQ$190,15),AQ$5:AQ$190,0))</f>
        <v>0.5</v>
      </c>
      <c r="H209" s="11">
        <f>INDEX(AB$5:AB$190,MATCH(LARGE(AQ$5:AQ$190,15),AQ$5:AQ$190,0))</f>
        <v>0.2</v>
      </c>
      <c r="I209" s="11">
        <f>INDEX(AC$5:AC$190,MATCH(LARGE(AQ$5:AQ$190,15),AQ$5:AQ$190,0))</f>
        <v>0.20104895104895107</v>
      </c>
      <c r="J209" s="11">
        <f>INDEX(AD$5:AD$190,MATCH(LARGE(AQ$5:AQ$190,15),AQ$5:AQ$190,0))</f>
        <v>2.5109085813449131E-2</v>
      </c>
      <c r="K209" s="11">
        <f>INDEX(AE$5:AE$190,MATCH(LARGE(AQ$5:AQ$190,15),AQ$5:AQ$190,0))</f>
        <v>8.5768742058449823E-2</v>
      </c>
      <c r="L209" s="11">
        <f>INDEX(AF$5:AF$190,MATCH(LARGE(AQ$5:AQ$190,15),AQ$5:AQ$190,0))</f>
        <v>0.12702702702702703</v>
      </c>
      <c r="M209" s="11">
        <f>INDEX(AG$5:AG$190,MATCH(LARGE(AQ$5:AQ$190,15),AQ$5:AQ$190,0))</f>
        <v>0.33673469387755101</v>
      </c>
      <c r="N209" s="11">
        <f>INDEX(AH$5:AH$190,MATCH(LARGE(AQ$5:AQ$190,15),AQ$5:AQ$190,0))</f>
        <v>9.6871117631114209E-2</v>
      </c>
      <c r="O209" s="11">
        <f>INDEX(AI$5:AI$190,MATCH(LARGE(AQ$5:AQ$190,15),AQ$5:AQ$190,0))</f>
        <v>0.5</v>
      </c>
      <c r="P209" s="11">
        <f>INDEX(AJ$5:AJ$190,MATCH(LARGE(AQ$5:AQ$190,15),AQ$5:AQ$190,0))</f>
        <v>0.33333333333333331</v>
      </c>
      <c r="Q209" s="11">
        <f>INDEX(AK$5:AK$190,MATCH(LARGE(AQ$5:AQ$190,15),AQ$5:AQ$190,0))</f>
        <v>0.18939393939393939</v>
      </c>
      <c r="R209" s="11">
        <f>INDEX(AL$5:AL$190,MATCH(LARGE(AQ$5:AQ$190,15),AQ$5:AQ$190,0))</f>
        <v>0.55009897227523474</v>
      </c>
      <c r="S209" s="11">
        <f>INDEX(AM$5:AM$190,MATCH(LARGE(AQ$5:AQ$190,15),AQ$5:AQ$190,0))</f>
        <v>0.5</v>
      </c>
      <c r="T209" s="11">
        <f>INDEX(AN$5:AN$190,MATCH(LARGE(AQ$5:AQ$190,15),AQ$5:AQ$190,0))</f>
        <v>0.22580645161290322</v>
      </c>
      <c r="U209" s="11">
        <f>INDEX(AO$5:AO$190,MATCH(LARGE(AQ$5:AQ$190,15),AQ$5:AQ$190,0))</f>
        <v>8.3333333333333329E-2</v>
      </c>
      <c r="V209" s="11">
        <f>INDEX(AP$5:AP$190,MATCH(LARGE(AQ$5:AQ$190,15),AQ$5:AQ$190,0))</f>
        <v>0.25</v>
      </c>
    </row>
    <row r="210" spans="1:22" ht="15" customHeight="1" x14ac:dyDescent="0.2">
      <c r="A210" s="3">
        <v>16</v>
      </c>
      <c r="B210" s="3" t="str">
        <f>INDEX($A$5:$A$190,MATCH(LARGE(AQ$5:AQ$190,16),AQ$5:AQ$190,0))</f>
        <v>Caravel: Caravel(Compass, IPosition)</v>
      </c>
      <c r="C210" s="11">
        <f>INDEX(W$5:W$190,MATCH(LARGE(AQ$5:AQ$190,16),AQ$5:AQ$190,0))</f>
        <v>0.23684210526315788</v>
      </c>
      <c r="D210" s="11">
        <f>INDEX(X$5:X$190,MATCH(LARGE(AQ$5:AQ$190,16),AQ$5:AQ$190,0))</f>
        <v>0.125</v>
      </c>
      <c r="E210" s="11">
        <f>INDEX(Y$5:Y$190,MATCH(LARGE(AQ$5:AQ$190,16),AQ$5:AQ$190,0))</f>
        <v>0.5</v>
      </c>
      <c r="F210" s="11">
        <f>INDEX(Z$5:Z$190,MATCH(LARGE(AQ$5:AQ$190,16),AQ$5:AQ$190,0))</f>
        <v>0.20689655172413793</v>
      </c>
      <c r="G210" s="11">
        <f>INDEX(AA$5:AA$190,MATCH(LARGE(AQ$5:AQ$190,16),AQ$5:AQ$190,0))</f>
        <v>0</v>
      </c>
      <c r="H210" s="11">
        <f>INDEX(AB$5:AB$190,MATCH(LARGE(AQ$5:AQ$190,16),AQ$5:AQ$190,0))</f>
        <v>0.2</v>
      </c>
      <c r="I210" s="11">
        <f>INDEX(AC$5:AC$190,MATCH(LARGE(AQ$5:AQ$190,16),AQ$5:AQ$190,0))</f>
        <v>0.26973026973026976</v>
      </c>
      <c r="J210" s="11">
        <f>INDEX(AD$5:AD$190,MATCH(LARGE(AQ$5:AQ$190,16),AQ$5:AQ$190,0))</f>
        <v>6.4193442626411953E-2</v>
      </c>
      <c r="K210" s="11">
        <f>INDEX(AE$5:AE$190,MATCH(LARGE(AQ$5:AQ$190,16),AQ$5:AQ$190,0))</f>
        <v>0.16028317298965331</v>
      </c>
      <c r="L210" s="11">
        <f>INDEX(AF$5:AF$190,MATCH(LARGE(AQ$5:AQ$190,16),AQ$5:AQ$190,0))</f>
        <v>0.25135135135135134</v>
      </c>
      <c r="M210" s="11">
        <f>INDEX(AG$5:AG$190,MATCH(LARGE(AQ$5:AQ$190,16),AQ$5:AQ$190,0))</f>
        <v>0.29591836734693877</v>
      </c>
      <c r="N210" s="11">
        <f>INDEX(AH$5:AH$190,MATCH(LARGE(AQ$5:AQ$190,16),AQ$5:AQ$190,0))</f>
        <v>0.18459766942031655</v>
      </c>
      <c r="O210" s="11">
        <f>INDEX(AI$5:AI$190,MATCH(LARGE(AQ$5:AQ$190,16),AQ$5:AQ$190,0))</f>
        <v>0</v>
      </c>
      <c r="P210" s="11">
        <f>INDEX(AJ$5:AJ$190,MATCH(LARGE(AQ$5:AQ$190,16),AQ$5:AQ$190,0))</f>
        <v>0.33333333333333331</v>
      </c>
      <c r="Q210" s="11">
        <f>INDEX(AK$5:AK$190,MATCH(LARGE(AQ$5:AQ$190,16),AQ$5:AQ$190,0))</f>
        <v>0.20454545454545456</v>
      </c>
      <c r="R210" s="11">
        <f>INDEX(AL$5:AL$190,MATCH(LARGE(AQ$5:AQ$190,16),AQ$5:AQ$190,0))</f>
        <v>0.52092198729646999</v>
      </c>
      <c r="S210" s="11">
        <f>INDEX(AM$5:AM$190,MATCH(LARGE(AQ$5:AQ$190,16),AQ$5:AQ$190,0))</f>
        <v>0.33333333333333331</v>
      </c>
      <c r="T210" s="11">
        <f>INDEX(AN$5:AN$190,MATCH(LARGE(AQ$5:AQ$190,16),AQ$5:AQ$190,0))</f>
        <v>0.32258064516129031</v>
      </c>
      <c r="U210" s="11">
        <f>INDEX(AO$5:AO$190,MATCH(LARGE(AQ$5:AQ$190,16),AQ$5:AQ$190,0))</f>
        <v>0.33333333333333331</v>
      </c>
      <c r="V210" s="11">
        <f>INDEX(AP$5:AP$190,MATCH(LARGE(AQ$5:AQ$190,16),AQ$5:AQ$190,0))</f>
        <v>0.5</v>
      </c>
    </row>
    <row r="211" spans="1:22" ht="15" customHeight="1" x14ac:dyDescent="0.2">
      <c r="A211" s="3">
        <v>17</v>
      </c>
      <c r="B211" s="3" t="str">
        <f>INDEX($A$5:$A$190,MATCH(LARGE(AQ$5:AQ$190,17),AQ$5:AQ$190,0))</f>
        <v>Caravel: Caravel(Compass, IPosition)</v>
      </c>
      <c r="C211" s="11">
        <f>INDEX(W$5:W$190,MATCH(LARGE(AQ$5:AQ$190,17),AQ$5:AQ$190,0))</f>
        <v>0.23684210526315788</v>
      </c>
      <c r="D211" s="11">
        <f>INDEX(X$5:X$190,MATCH(LARGE(AQ$5:AQ$190,17),AQ$5:AQ$190,0))</f>
        <v>0.125</v>
      </c>
      <c r="E211" s="11">
        <f>INDEX(Y$5:Y$190,MATCH(LARGE(AQ$5:AQ$190,17),AQ$5:AQ$190,0))</f>
        <v>0.5</v>
      </c>
      <c r="F211" s="11">
        <f>INDEX(Z$5:Z$190,MATCH(LARGE(AQ$5:AQ$190,17),AQ$5:AQ$190,0))</f>
        <v>0.20689655172413793</v>
      </c>
      <c r="G211" s="11">
        <f>INDEX(AA$5:AA$190,MATCH(LARGE(AQ$5:AQ$190,17),AQ$5:AQ$190,0))</f>
        <v>0</v>
      </c>
      <c r="H211" s="11">
        <f>INDEX(AB$5:AB$190,MATCH(LARGE(AQ$5:AQ$190,17),AQ$5:AQ$190,0))</f>
        <v>0.2</v>
      </c>
      <c r="I211" s="11">
        <f>INDEX(AC$5:AC$190,MATCH(LARGE(AQ$5:AQ$190,17),AQ$5:AQ$190,0))</f>
        <v>0.26973026973026976</v>
      </c>
      <c r="J211" s="11">
        <f>INDEX(AD$5:AD$190,MATCH(LARGE(AQ$5:AQ$190,17),AQ$5:AQ$190,0))</f>
        <v>6.4193442626411953E-2</v>
      </c>
      <c r="K211" s="11">
        <f>INDEX(AE$5:AE$190,MATCH(LARGE(AQ$5:AQ$190,17),AQ$5:AQ$190,0))</f>
        <v>0.16028317298965331</v>
      </c>
      <c r="L211" s="11">
        <f>INDEX(AF$5:AF$190,MATCH(LARGE(AQ$5:AQ$190,17),AQ$5:AQ$190,0))</f>
        <v>0.25135135135135134</v>
      </c>
      <c r="M211" s="11">
        <f>INDEX(AG$5:AG$190,MATCH(LARGE(AQ$5:AQ$190,17),AQ$5:AQ$190,0))</f>
        <v>0.29591836734693877</v>
      </c>
      <c r="N211" s="11">
        <f>INDEX(AH$5:AH$190,MATCH(LARGE(AQ$5:AQ$190,17),AQ$5:AQ$190,0))</f>
        <v>0.18459766942031655</v>
      </c>
      <c r="O211" s="11">
        <f>INDEX(AI$5:AI$190,MATCH(LARGE(AQ$5:AQ$190,17),AQ$5:AQ$190,0))</f>
        <v>0</v>
      </c>
      <c r="P211" s="11">
        <f>INDEX(AJ$5:AJ$190,MATCH(LARGE(AQ$5:AQ$190,17),AQ$5:AQ$190,0))</f>
        <v>0.33333333333333331</v>
      </c>
      <c r="Q211" s="11">
        <f>INDEX(AK$5:AK$190,MATCH(LARGE(AQ$5:AQ$190,17),AQ$5:AQ$190,0))</f>
        <v>0.20454545454545456</v>
      </c>
      <c r="R211" s="11">
        <f>INDEX(AL$5:AL$190,MATCH(LARGE(AQ$5:AQ$190,17),AQ$5:AQ$190,0))</f>
        <v>0.52092198729646999</v>
      </c>
      <c r="S211" s="11">
        <f>INDEX(AM$5:AM$190,MATCH(LARGE(AQ$5:AQ$190,17),AQ$5:AQ$190,0))</f>
        <v>0.33333333333333331</v>
      </c>
      <c r="T211" s="11">
        <f>INDEX(AN$5:AN$190,MATCH(LARGE(AQ$5:AQ$190,17),AQ$5:AQ$190,0))</f>
        <v>0.32258064516129031</v>
      </c>
      <c r="U211" s="11">
        <f>INDEX(AO$5:AO$190,MATCH(LARGE(AQ$5:AQ$190,17),AQ$5:AQ$190,0))</f>
        <v>0.33333333333333331</v>
      </c>
      <c r="V211" s="11">
        <f>INDEX(AP$5:AP$190,MATCH(LARGE(AQ$5:AQ$190,17),AQ$5:AQ$190,0))</f>
        <v>0.5</v>
      </c>
    </row>
    <row r="212" spans="1:22" ht="15" customHeight="1" x14ac:dyDescent="0.2">
      <c r="A212" s="3">
        <v>18</v>
      </c>
      <c r="B212" s="3" t="str">
        <f>INDEX($A$5:$A$190,MATCH(LARGE(AQ$5:AQ$190,18),AQ$5:AQ$190,0))</f>
        <v>Caravel: Caravel(Compass, IPosition)</v>
      </c>
      <c r="C212" s="11">
        <f>INDEX(W$5:W$190,MATCH(LARGE(AQ$5:AQ$190,18),AQ$5:AQ$190,0))</f>
        <v>0.23684210526315788</v>
      </c>
      <c r="D212" s="11">
        <f>INDEX(X$5:X$190,MATCH(LARGE(AQ$5:AQ$190,18),AQ$5:AQ$190,0))</f>
        <v>0.125</v>
      </c>
      <c r="E212" s="11">
        <f>INDEX(Y$5:Y$190,MATCH(LARGE(AQ$5:AQ$190,18),AQ$5:AQ$190,0))</f>
        <v>0.5</v>
      </c>
      <c r="F212" s="11">
        <f>INDEX(Z$5:Z$190,MATCH(LARGE(AQ$5:AQ$190,18),AQ$5:AQ$190,0))</f>
        <v>0.20689655172413793</v>
      </c>
      <c r="G212" s="11">
        <f>INDEX(AA$5:AA$190,MATCH(LARGE(AQ$5:AQ$190,18),AQ$5:AQ$190,0))</f>
        <v>0</v>
      </c>
      <c r="H212" s="11">
        <f>INDEX(AB$5:AB$190,MATCH(LARGE(AQ$5:AQ$190,18),AQ$5:AQ$190,0))</f>
        <v>0.2</v>
      </c>
      <c r="I212" s="11">
        <f>INDEX(AC$5:AC$190,MATCH(LARGE(AQ$5:AQ$190,18),AQ$5:AQ$190,0))</f>
        <v>0.26973026973026976</v>
      </c>
      <c r="J212" s="11">
        <f>INDEX(AD$5:AD$190,MATCH(LARGE(AQ$5:AQ$190,18),AQ$5:AQ$190,0))</f>
        <v>6.4193442626411953E-2</v>
      </c>
      <c r="K212" s="11">
        <f>INDEX(AE$5:AE$190,MATCH(LARGE(AQ$5:AQ$190,18),AQ$5:AQ$190,0))</f>
        <v>0.16028317298965331</v>
      </c>
      <c r="L212" s="11">
        <f>INDEX(AF$5:AF$190,MATCH(LARGE(AQ$5:AQ$190,18),AQ$5:AQ$190,0))</f>
        <v>0.25135135135135134</v>
      </c>
      <c r="M212" s="11">
        <f>INDEX(AG$5:AG$190,MATCH(LARGE(AQ$5:AQ$190,18),AQ$5:AQ$190,0))</f>
        <v>0.29591836734693877</v>
      </c>
      <c r="N212" s="11">
        <f>INDEX(AH$5:AH$190,MATCH(LARGE(AQ$5:AQ$190,18),AQ$5:AQ$190,0))</f>
        <v>0.18459766942031655</v>
      </c>
      <c r="O212" s="11">
        <f>INDEX(AI$5:AI$190,MATCH(LARGE(AQ$5:AQ$190,18),AQ$5:AQ$190,0))</f>
        <v>0</v>
      </c>
      <c r="P212" s="11">
        <f>INDEX(AJ$5:AJ$190,MATCH(LARGE(AQ$5:AQ$190,18),AQ$5:AQ$190,0))</f>
        <v>0.33333333333333331</v>
      </c>
      <c r="Q212" s="11">
        <f>INDEX(AK$5:AK$190,MATCH(LARGE(AQ$5:AQ$190,18),AQ$5:AQ$190,0))</f>
        <v>0.20454545454545456</v>
      </c>
      <c r="R212" s="11">
        <f>INDEX(AL$5:AL$190,MATCH(LARGE(AQ$5:AQ$190,18),AQ$5:AQ$190,0))</f>
        <v>0.52092198729646999</v>
      </c>
      <c r="S212" s="11">
        <f>INDEX(AM$5:AM$190,MATCH(LARGE(AQ$5:AQ$190,18),AQ$5:AQ$190,0))</f>
        <v>0.33333333333333331</v>
      </c>
      <c r="T212" s="11">
        <f>INDEX(AN$5:AN$190,MATCH(LARGE(AQ$5:AQ$190,18),AQ$5:AQ$190,0))</f>
        <v>0.32258064516129031</v>
      </c>
      <c r="U212" s="11">
        <f>INDEX(AO$5:AO$190,MATCH(LARGE(AQ$5:AQ$190,18),AQ$5:AQ$190,0))</f>
        <v>0.33333333333333331</v>
      </c>
      <c r="V212" s="11">
        <f>INDEX(AP$5:AP$190,MATCH(LARGE(AQ$5:AQ$190,18),AQ$5:AQ$190,0))</f>
        <v>0.5</v>
      </c>
    </row>
    <row r="213" spans="1:22" ht="15" customHeight="1" x14ac:dyDescent="0.2">
      <c r="A213" s="3">
        <v>19</v>
      </c>
      <c r="B213" s="3" t="str">
        <f>INDEX($A$5:$A$190,MATCH(LARGE(AQ$5:AQ$190,19),AQ$5:AQ$190,0))</f>
        <v>Ship: Ship(String, Compass, IPosition, int)</v>
      </c>
      <c r="C213" s="11">
        <f>INDEX(W$5:W$190,MATCH(LARGE(AQ$5:AQ$190,19),AQ$5:AQ$190,0))</f>
        <v>2.6315789473684209E-2</v>
      </c>
      <c r="D213" s="11">
        <f>INDEX(X$5:X$190,MATCH(LARGE(AQ$5:AQ$190,19),AQ$5:AQ$190,0))</f>
        <v>0</v>
      </c>
      <c r="E213" s="11">
        <f>INDEX(Y$5:Y$190,MATCH(LARGE(AQ$5:AQ$190,19),AQ$5:AQ$190,0))</f>
        <v>1</v>
      </c>
      <c r="F213" s="11">
        <f>INDEX(Z$5:Z$190,MATCH(LARGE(AQ$5:AQ$190,19),AQ$5:AQ$190,0))</f>
        <v>3.4482758620689655E-2</v>
      </c>
      <c r="G213" s="11">
        <f>INDEX(AA$5:AA$190,MATCH(LARGE(AQ$5:AQ$190,19),AQ$5:AQ$190,0))</f>
        <v>0</v>
      </c>
      <c r="H213" s="11">
        <f>INDEX(AB$5:AB$190,MATCH(LARGE(AQ$5:AQ$190,19),AQ$5:AQ$190,0))</f>
        <v>0</v>
      </c>
      <c r="I213" s="11">
        <f>INDEX(AC$5:AC$190,MATCH(LARGE(AQ$5:AQ$190,19),AQ$5:AQ$190,0))</f>
        <v>3.7462537462537464E-2</v>
      </c>
      <c r="J213" s="11">
        <f>INDEX(AD$5:AD$190,MATCH(LARGE(AQ$5:AQ$190,19),AQ$5:AQ$190,0))</f>
        <v>2.5005466556132301E-3</v>
      </c>
      <c r="K213" s="11">
        <f>INDEX(AE$5:AE$190,MATCH(LARGE(AQ$5:AQ$190,19),AQ$5:AQ$190,0))</f>
        <v>1.8424396442185517E-2</v>
      </c>
      <c r="L213" s="11">
        <f>INDEX(AF$5:AF$190,MATCH(LARGE(AQ$5:AQ$190,19),AQ$5:AQ$190,0))</f>
        <v>8.3783783783783788E-2</v>
      </c>
      <c r="M213" s="11">
        <f>INDEX(AG$5:AG$190,MATCH(LARGE(AQ$5:AQ$190,19),AQ$5:AQ$190,0))</f>
        <v>0.17346938775510204</v>
      </c>
      <c r="N213" s="11">
        <f>INDEX(AH$5:AH$190,MATCH(LARGE(AQ$5:AQ$190,19),AQ$5:AQ$190,0))</f>
        <v>5.1772940456295075E-2</v>
      </c>
      <c r="O213" s="11">
        <f>INDEX(AI$5:AI$190,MATCH(LARGE(AQ$5:AQ$190,19),AQ$5:AQ$190,0))</f>
        <v>1</v>
      </c>
      <c r="P213" s="11">
        <f>INDEX(AJ$5:AJ$190,MATCH(LARGE(AQ$5:AQ$190,19),AQ$5:AQ$190,0))</f>
        <v>0</v>
      </c>
      <c r="Q213" s="11">
        <f>INDEX(AK$5:AK$190,MATCH(LARGE(AQ$5:AQ$190,19),AQ$5:AQ$190,0))</f>
        <v>0.14393939393939395</v>
      </c>
      <c r="R213" s="11">
        <f>INDEX(AL$5:AL$190,MATCH(LARGE(AQ$5:AQ$190,19),AQ$5:AQ$190,0))</f>
        <v>0.59924685021778068</v>
      </c>
      <c r="S213" s="11">
        <f>INDEX(AM$5:AM$190,MATCH(LARGE(AQ$5:AQ$190,19),AQ$5:AQ$190,0))</f>
        <v>0.16666666666666666</v>
      </c>
      <c r="T213" s="11">
        <f>INDEX(AN$5:AN$190,MATCH(LARGE(AQ$5:AQ$190,19),AQ$5:AQ$190,0))</f>
        <v>0.29032258064516131</v>
      </c>
      <c r="U213" s="11">
        <f>INDEX(AO$5:AO$190,MATCH(LARGE(AQ$5:AQ$190,19),AQ$5:AQ$190,0))</f>
        <v>0</v>
      </c>
      <c r="V213" s="11">
        <f>INDEX(AP$5:AP$190,MATCH(LARGE(AQ$5:AQ$190,19),AQ$5:AQ$190,0))</f>
        <v>1</v>
      </c>
    </row>
    <row r="214" spans="1:22" ht="15" customHeight="1" x14ac:dyDescent="0.2">
      <c r="A214" s="3">
        <v>20</v>
      </c>
      <c r="B214" s="3" t="str">
        <f>INDEX($A$5:$A$190,MATCH(LARGE(AQ$5:AQ$190,20),AQ$5:AQ$190,0))</f>
        <v>Game: fireSingleShotAtAlien(IPosition, boolean)</v>
      </c>
      <c r="C214" s="11">
        <f>INDEX(W$5:W$190,MATCH(LARGE(AQ$5:AQ$190,20),AQ$5:AQ$190,0))</f>
        <v>0.13157894736842105</v>
      </c>
      <c r="D214" s="11">
        <f>INDEX(X$5:X$190,MATCH(LARGE(AQ$5:AQ$190,20),AQ$5:AQ$190,0))</f>
        <v>0.1</v>
      </c>
      <c r="E214" s="11">
        <f>INDEX(Y$5:Y$190,MATCH(LARGE(AQ$5:AQ$190,20),AQ$5:AQ$190,0))</f>
        <v>0.6</v>
      </c>
      <c r="F214" s="11">
        <f>INDEX(Z$5:Z$190,MATCH(LARGE(AQ$5:AQ$190,20),AQ$5:AQ$190,0))</f>
        <v>0.13793103448275862</v>
      </c>
      <c r="G214" s="11">
        <f>INDEX(AA$5:AA$190,MATCH(LARGE(AQ$5:AQ$190,20),AQ$5:AQ$190,0))</f>
        <v>0.25</v>
      </c>
      <c r="H214" s="11">
        <f>INDEX(AB$5:AB$190,MATCH(LARGE(AQ$5:AQ$190,20),AQ$5:AQ$190,0))</f>
        <v>0</v>
      </c>
      <c r="I214" s="11">
        <f>INDEX(AC$5:AC$190,MATCH(LARGE(AQ$5:AQ$190,20),AQ$5:AQ$190,0))</f>
        <v>0.28899700299700298</v>
      </c>
      <c r="J214" s="11">
        <f>INDEX(AD$5:AD$190,MATCH(LARGE(AQ$5:AQ$190,20),AQ$5:AQ$190,0))</f>
        <v>3.4623009515577161E-2</v>
      </c>
      <c r="K214" s="11">
        <f>INDEX(AE$5:AE$190,MATCH(LARGE(AQ$5:AQ$190,20),AQ$5:AQ$190,0))</f>
        <v>0.1061898711199855</v>
      </c>
      <c r="L214" s="11">
        <f>INDEX(AF$5:AF$190,MATCH(LARGE(AQ$5:AQ$190,20),AQ$5:AQ$190,0))</f>
        <v>0.13783783783783785</v>
      </c>
      <c r="M214" s="11">
        <f>INDEX(AG$5:AG$190,MATCH(LARGE(AQ$5:AQ$190,20),AQ$5:AQ$190,0))</f>
        <v>0.22448979591836735</v>
      </c>
      <c r="N214" s="11">
        <f>INDEX(AH$5:AH$190,MATCH(LARGE(AQ$5:AQ$190,20),AQ$5:AQ$190,0))</f>
        <v>9.2925979142473053E-2</v>
      </c>
      <c r="O214" s="11">
        <f>INDEX(AI$5:AI$190,MATCH(LARGE(AQ$5:AQ$190,20),AQ$5:AQ$190,0))</f>
        <v>1</v>
      </c>
      <c r="P214" s="11">
        <f>INDEX(AJ$5:AJ$190,MATCH(LARGE(AQ$5:AQ$190,20),AQ$5:AQ$190,0))</f>
        <v>0</v>
      </c>
      <c r="Q214" s="11">
        <f>INDEX(AK$5:AK$190,MATCH(LARGE(AQ$5:AQ$190,20),AQ$5:AQ$190,0))</f>
        <v>0.14393939393939395</v>
      </c>
      <c r="R214" s="11">
        <f>INDEX(AL$5:AL$190,MATCH(LARGE(AQ$5:AQ$190,20),AQ$5:AQ$190,0))</f>
        <v>0.5782977186264151</v>
      </c>
      <c r="S214" s="11">
        <f>INDEX(AM$5:AM$190,MATCH(LARGE(AQ$5:AQ$190,20),AQ$5:AQ$190,0))</f>
        <v>0.16666666666666666</v>
      </c>
      <c r="T214" s="11">
        <f>INDEX(AN$5:AN$190,MATCH(LARGE(AQ$5:AQ$190,20),AQ$5:AQ$190,0))</f>
        <v>0.12903225806451613</v>
      </c>
      <c r="U214" s="11">
        <f>INDEX(AO$5:AO$190,MATCH(LARGE(AQ$5:AQ$190,20),AQ$5:AQ$190,0))</f>
        <v>0</v>
      </c>
      <c r="V214" s="11">
        <f>INDEX(AP$5:AP$190,MATCH(LARGE(AQ$5:AQ$190,20),AQ$5:AQ$190,0))</f>
        <v>0.5</v>
      </c>
    </row>
    <row r="215" spans="1:22" ht="15" customHeight="1" x14ac:dyDescent="0.2">
      <c r="A215" s="3">
        <v>21</v>
      </c>
      <c r="B215" s="3" t="str">
        <f>INDEX($A$5:$A$190,MATCH(LARGE(AQ$5:AQ$190,21),AQ$5:AQ$190,0))</f>
        <v>Game: fireShots(List&lt;IPosition&gt;)</v>
      </c>
      <c r="C215" s="11">
        <f>INDEX(W$5:W$190,MATCH(LARGE(AQ$5:AQ$190,21),AQ$5:AQ$190,0))</f>
        <v>7.8947368421052627E-2</v>
      </c>
      <c r="D215" s="11">
        <f>INDEX(X$5:X$190,MATCH(LARGE(AQ$5:AQ$190,21),AQ$5:AQ$190,0))</f>
        <v>0.05</v>
      </c>
      <c r="E215" s="11">
        <f>INDEX(Y$5:Y$190,MATCH(LARGE(AQ$5:AQ$190,21),AQ$5:AQ$190,0))</f>
        <v>0.4</v>
      </c>
      <c r="F215" s="11">
        <f>INDEX(Z$5:Z$190,MATCH(LARGE(AQ$5:AQ$190,21),AQ$5:AQ$190,0))</f>
        <v>0.13793103448275862</v>
      </c>
      <c r="G215" s="11">
        <f>INDEX(AA$5:AA$190,MATCH(LARGE(AQ$5:AQ$190,21),AQ$5:AQ$190,0))</f>
        <v>0.25</v>
      </c>
      <c r="H215" s="11">
        <f>INDEX(AB$5:AB$190,MATCH(LARGE(AQ$5:AQ$190,21),AQ$5:AQ$190,0))</f>
        <v>0</v>
      </c>
      <c r="I215" s="11">
        <f>INDEX(AC$5:AC$190,MATCH(LARGE(AQ$5:AQ$190,21),AQ$5:AQ$190,0))</f>
        <v>0.12820479520479522</v>
      </c>
      <c r="J215" s="11">
        <f>INDEX(AD$5:AD$190,MATCH(LARGE(AQ$5:AQ$190,21),AQ$5:AQ$190,0))</f>
        <v>1.3332616685612352E-2</v>
      </c>
      <c r="K215" s="11">
        <f>INDEX(AE$5:AE$190,MATCH(LARGE(AQ$5:AQ$190,21),AQ$5:AQ$190,0))</f>
        <v>5.61807950626248E-2</v>
      </c>
      <c r="L215" s="11">
        <f>INDEX(AF$5:AF$190,MATCH(LARGE(AQ$5:AQ$190,21),AQ$5:AQ$190,0))</f>
        <v>0.11351351351351352</v>
      </c>
      <c r="M215" s="11">
        <f>INDEX(AG$5:AG$190,MATCH(LARGE(AQ$5:AQ$190,21),AQ$5:AQ$190,0))</f>
        <v>0.26530612244897961</v>
      </c>
      <c r="N215" s="11">
        <f>INDEX(AH$5:AH$190,MATCH(LARGE(AQ$5:AQ$190,21),AQ$5:AQ$190,0))</f>
        <v>8.0663178780985514E-2</v>
      </c>
      <c r="O215" s="11">
        <f>INDEX(AI$5:AI$190,MATCH(LARGE(AQ$5:AQ$190,21),AQ$5:AQ$190,0))</f>
        <v>1</v>
      </c>
      <c r="P215" s="11">
        <f>INDEX(AJ$5:AJ$190,MATCH(LARGE(AQ$5:AQ$190,21),AQ$5:AQ$190,0))</f>
        <v>0.33333333333333331</v>
      </c>
      <c r="Q215" s="11">
        <f>INDEX(AK$5:AK$190,MATCH(LARGE(AQ$5:AQ$190,21),AQ$5:AQ$190,0))</f>
        <v>0.22727272727272727</v>
      </c>
      <c r="R215" s="11">
        <f>INDEX(AL$5:AL$190,MATCH(LARGE(AQ$5:AQ$190,21),AQ$5:AQ$190,0))</f>
        <v>0.53833922851737859</v>
      </c>
      <c r="S215" s="11">
        <f>INDEX(AM$5:AM$190,MATCH(LARGE(AQ$5:AQ$190,21),AQ$5:AQ$190,0))</f>
        <v>0.33333333333333331</v>
      </c>
      <c r="T215" s="11">
        <f>INDEX(AN$5:AN$190,MATCH(LARGE(AQ$5:AQ$190,21),AQ$5:AQ$190,0))</f>
        <v>0.25806451612903225</v>
      </c>
      <c r="U215" s="11">
        <f>INDEX(AO$5:AO$190,MATCH(LARGE(AQ$5:AQ$190,21),AQ$5:AQ$190,0))</f>
        <v>8.3333333333333329E-2</v>
      </c>
      <c r="V215" s="11">
        <f>INDEX(AP$5:AP$190,MATCH(LARGE(AQ$5:AQ$190,21),AQ$5:AQ$190,0))</f>
        <v>0.25</v>
      </c>
    </row>
    <row r="216" spans="1:22" ht="15" customHeight="1" x14ac:dyDescent="0.2">
      <c r="A216" s="3">
        <v>22</v>
      </c>
      <c r="B216" s="3" t="str">
        <f>INDEX($A$5:$A$190,MATCH(LARGE(AQ$5:AQ$190,22),AQ$5:AQ$190,0))</f>
        <v>Game: fireShotsAtAlien(List&lt;IPosition&gt;)</v>
      </c>
      <c r="C216" s="11">
        <f>INDEX(W$5:W$190,MATCH(LARGE(AQ$5:AQ$190,22),AQ$5:AQ$190,0))</f>
        <v>7.8947368421052627E-2</v>
      </c>
      <c r="D216" s="11">
        <f>INDEX(X$5:X$190,MATCH(LARGE(AQ$5:AQ$190,22),AQ$5:AQ$190,0))</f>
        <v>0.05</v>
      </c>
      <c r="E216" s="11">
        <f>INDEX(Y$5:Y$190,MATCH(LARGE(AQ$5:AQ$190,22),AQ$5:AQ$190,0))</f>
        <v>0.4</v>
      </c>
      <c r="F216" s="11">
        <f>INDEX(Z$5:Z$190,MATCH(LARGE(AQ$5:AQ$190,22),AQ$5:AQ$190,0))</f>
        <v>0.13793103448275862</v>
      </c>
      <c r="G216" s="11">
        <f>INDEX(AA$5:AA$190,MATCH(LARGE(AQ$5:AQ$190,22),AQ$5:AQ$190,0))</f>
        <v>0.25</v>
      </c>
      <c r="H216" s="11">
        <f>INDEX(AB$5:AB$190,MATCH(LARGE(AQ$5:AQ$190,22),AQ$5:AQ$190,0))</f>
        <v>0</v>
      </c>
      <c r="I216" s="11">
        <f>INDEX(AC$5:AC$190,MATCH(LARGE(AQ$5:AQ$190,22),AQ$5:AQ$190,0))</f>
        <v>0.12820479520479522</v>
      </c>
      <c r="J216" s="11">
        <f>INDEX(AD$5:AD$190,MATCH(LARGE(AQ$5:AQ$190,22),AQ$5:AQ$190,0))</f>
        <v>1.3332616685612352E-2</v>
      </c>
      <c r="K216" s="11">
        <f>INDEX(AE$5:AE$190,MATCH(LARGE(AQ$5:AQ$190,22),AQ$5:AQ$190,0))</f>
        <v>5.61807950626248E-2</v>
      </c>
      <c r="L216" s="11">
        <f>INDEX(AF$5:AF$190,MATCH(LARGE(AQ$5:AQ$190,22),AQ$5:AQ$190,0))</f>
        <v>0.11351351351351352</v>
      </c>
      <c r="M216" s="11">
        <f>INDEX(AG$5:AG$190,MATCH(LARGE(AQ$5:AQ$190,22),AQ$5:AQ$190,0))</f>
        <v>0.26530612244897961</v>
      </c>
      <c r="N216" s="11">
        <f>INDEX(AH$5:AH$190,MATCH(LARGE(AQ$5:AQ$190,22),AQ$5:AQ$190,0))</f>
        <v>8.0663178780985514E-2</v>
      </c>
      <c r="O216" s="11">
        <f>INDEX(AI$5:AI$190,MATCH(LARGE(AQ$5:AQ$190,22),AQ$5:AQ$190,0))</f>
        <v>1</v>
      </c>
      <c r="P216" s="11">
        <f>INDEX(AJ$5:AJ$190,MATCH(LARGE(AQ$5:AQ$190,22),AQ$5:AQ$190,0))</f>
        <v>0.33333333333333331</v>
      </c>
      <c r="Q216" s="11">
        <f>INDEX(AK$5:AK$190,MATCH(LARGE(AQ$5:AQ$190,22),AQ$5:AQ$190,0))</f>
        <v>0.16666666666666666</v>
      </c>
      <c r="R216" s="11">
        <f>INDEX(AL$5:AL$190,MATCH(LARGE(AQ$5:AQ$190,22),AQ$5:AQ$190,0))</f>
        <v>0.56901541378345533</v>
      </c>
      <c r="S216" s="11">
        <f>INDEX(AM$5:AM$190,MATCH(LARGE(AQ$5:AQ$190,22),AQ$5:AQ$190,0))</f>
        <v>0.33333333333333331</v>
      </c>
      <c r="T216" s="11">
        <f>INDEX(AN$5:AN$190,MATCH(LARGE(AQ$5:AQ$190,22),AQ$5:AQ$190,0))</f>
        <v>0.25806451612903225</v>
      </c>
      <c r="U216" s="11">
        <f>INDEX(AO$5:AO$190,MATCH(LARGE(AQ$5:AQ$190,22),AQ$5:AQ$190,0))</f>
        <v>8.3333333333333329E-2</v>
      </c>
      <c r="V216" s="11">
        <f>INDEX(AP$5:AP$190,MATCH(LARGE(AQ$5:AQ$190,22),AQ$5:AQ$190,0))</f>
        <v>0.25</v>
      </c>
    </row>
    <row r="217" spans="1:22" ht="15" customHeight="1" x14ac:dyDescent="0.2">
      <c r="A217" s="3">
        <v>23</v>
      </c>
      <c r="B217" s="3" t="str">
        <f>INDEX($A$5:$A$190,MATCH(LARGE(AQ$5:AQ$190,23),AQ$5:AQ$190,0))</f>
        <v>Fleet: getShipsLike(String)</v>
      </c>
      <c r="C217" s="11">
        <f>INDEX(W$5:W$190,MATCH(LARGE(AQ$5:AQ$190,23),AQ$5:AQ$190,0))</f>
        <v>7.8947368421052627E-2</v>
      </c>
      <c r="D217" s="11">
        <f>INDEX(X$5:X$190,MATCH(LARGE(AQ$5:AQ$190,23),AQ$5:AQ$190,0))</f>
        <v>0.05</v>
      </c>
      <c r="E217" s="11">
        <f>INDEX(Y$5:Y$190,MATCH(LARGE(AQ$5:AQ$190,23),AQ$5:AQ$190,0))</f>
        <v>1</v>
      </c>
      <c r="F217" s="11">
        <f>INDEX(Z$5:Z$190,MATCH(LARGE(AQ$5:AQ$190,23),AQ$5:AQ$190,0))</f>
        <v>0.10344827586206896</v>
      </c>
      <c r="G217" s="11">
        <f>INDEX(AA$5:AA$190,MATCH(LARGE(AQ$5:AQ$190,23),AQ$5:AQ$190,0))</f>
        <v>0.25</v>
      </c>
      <c r="H217" s="11">
        <f>INDEX(AB$5:AB$190,MATCH(LARGE(AQ$5:AQ$190,23),AQ$5:AQ$190,0))</f>
        <v>0</v>
      </c>
      <c r="I217" s="11">
        <f>INDEX(AC$5:AC$190,MATCH(LARGE(AQ$5:AQ$190,23),AQ$5:AQ$190,0))</f>
        <v>7.992007992007992E-2</v>
      </c>
      <c r="J217" s="11">
        <f>INDEX(AD$5:AD$190,MATCH(LARGE(AQ$5:AQ$190,23),AQ$5:AQ$190,0))</f>
        <v>2.9606144109659191E-3</v>
      </c>
      <c r="K217" s="11">
        <f>INDEX(AE$5:AE$190,MATCH(LARGE(AQ$5:AQ$190,23),AQ$5:AQ$190,0))</f>
        <v>2.0602650208749324E-2</v>
      </c>
      <c r="L217" s="11">
        <f>INDEX(AF$5:AF$190,MATCH(LARGE(AQ$5:AQ$190,23),AQ$5:AQ$190,0))</f>
        <v>4.8648648648648651E-2</v>
      </c>
      <c r="M217" s="11">
        <f>INDEX(AG$5:AG$190,MATCH(LARGE(AQ$5:AQ$190,23),AQ$5:AQ$190,0))</f>
        <v>0.15306122448979592</v>
      </c>
      <c r="N217" s="11">
        <f>INDEX(AH$5:AH$190,MATCH(LARGE(AQ$5:AQ$190,23),AQ$5:AQ$190,0))</f>
        <v>2.8733666726239056E-2</v>
      </c>
      <c r="O217" s="11">
        <f>INDEX(AI$5:AI$190,MATCH(LARGE(AQ$5:AQ$190,23),AQ$5:AQ$190,0))</f>
        <v>1</v>
      </c>
      <c r="P217" s="11">
        <f>INDEX(AJ$5:AJ$190,MATCH(LARGE(AQ$5:AQ$190,23),AQ$5:AQ$190,0))</f>
        <v>0.33333333333333331</v>
      </c>
      <c r="Q217" s="11">
        <f>INDEX(AK$5:AK$190,MATCH(LARGE(AQ$5:AQ$190,23),AQ$5:AQ$190,0))</f>
        <v>0.15909090909090909</v>
      </c>
      <c r="R217" s="11">
        <f>INDEX(AL$5:AL$190,MATCH(LARGE(AQ$5:AQ$190,23),AQ$5:AQ$190,0))</f>
        <v>0.60646618864867352</v>
      </c>
      <c r="S217" s="11">
        <f>INDEX(AM$5:AM$190,MATCH(LARGE(AQ$5:AQ$190,23),AQ$5:AQ$190,0))</f>
        <v>0.16666666666666666</v>
      </c>
      <c r="T217" s="11">
        <f>INDEX(AN$5:AN$190,MATCH(LARGE(AQ$5:AQ$190,23),AQ$5:AQ$190,0))</f>
        <v>0.12903225806451613</v>
      </c>
      <c r="U217" s="11">
        <f>INDEX(AO$5:AO$190,MATCH(LARGE(AQ$5:AQ$190,23),AQ$5:AQ$190,0))</f>
        <v>8.3333333333333329E-2</v>
      </c>
      <c r="V217" s="11">
        <f>INDEX(AP$5:AP$190,MATCH(LARGE(AQ$5:AQ$190,23),AQ$5:AQ$190,0))</f>
        <v>0.25</v>
      </c>
    </row>
    <row r="218" spans="1:22" ht="15" customHeight="1" x14ac:dyDescent="0.2">
      <c r="A218" s="3">
        <v>24</v>
      </c>
      <c r="B218" s="3" t="str">
        <f>INDEX($A$5:$A$190,MATCH(LARGE(AQ$5:AQ$190,24),AQ$5:AQ$190,0))</f>
        <v>Ship: getAdjacentPositions()</v>
      </c>
      <c r="C218" s="11">
        <f>INDEX(W$5:W$190,MATCH(LARGE(AQ$5:AQ$190,24),AQ$5:AQ$190,0))</f>
        <v>0.13157894736842105</v>
      </c>
      <c r="D218" s="11">
        <f>INDEX(X$5:X$190,MATCH(LARGE(AQ$5:AQ$190,24),AQ$5:AQ$190,0))</f>
        <v>0.1</v>
      </c>
      <c r="E218" s="11">
        <f>INDEX(Y$5:Y$190,MATCH(LARGE(AQ$5:AQ$190,24),AQ$5:AQ$190,0))</f>
        <v>0.5</v>
      </c>
      <c r="F218" s="11">
        <f>INDEX(Z$5:Z$190,MATCH(LARGE(AQ$5:AQ$190,24),AQ$5:AQ$190,0))</f>
        <v>0.10344827586206896</v>
      </c>
      <c r="G218" s="11">
        <f>INDEX(AA$5:AA$190,MATCH(LARGE(AQ$5:AQ$190,24),AQ$5:AQ$190,0))</f>
        <v>0.25</v>
      </c>
      <c r="H218" s="11">
        <f>INDEX(AB$5:AB$190,MATCH(LARGE(AQ$5:AQ$190,24),AQ$5:AQ$190,0))</f>
        <v>0</v>
      </c>
      <c r="I218" s="11">
        <f>INDEX(AC$5:AC$190,MATCH(LARGE(AQ$5:AQ$190,24),AQ$5:AQ$190,0))</f>
        <v>0.1098901098901099</v>
      </c>
      <c r="J218" s="11">
        <f>INDEX(AD$5:AD$190,MATCH(LARGE(AQ$5:AQ$190,24),AQ$5:AQ$190,0))</f>
        <v>5.2016353557740565E-3</v>
      </c>
      <c r="K218" s="11">
        <f>INDEX(AE$5:AE$190,MATCH(LARGE(AQ$5:AQ$190,24),AQ$5:AQ$190,0))</f>
        <v>3.004174986385914E-2</v>
      </c>
      <c r="L218" s="11">
        <f>INDEX(AF$5:AF$190,MATCH(LARGE(AQ$5:AQ$190,24),AQ$5:AQ$190,0))</f>
        <v>6.2162162162162166E-2</v>
      </c>
      <c r="M218" s="11">
        <f>INDEX(AG$5:AG$190,MATCH(LARGE(AQ$5:AQ$190,24),AQ$5:AQ$190,0))</f>
        <v>0.15306122448979592</v>
      </c>
      <c r="N218" s="11">
        <f>INDEX(AH$5:AH$190,MATCH(LARGE(AQ$5:AQ$190,24),AQ$5:AQ$190,0))</f>
        <v>3.6715263516292479E-2</v>
      </c>
      <c r="O218" s="11">
        <f>INDEX(AI$5:AI$190,MATCH(LARGE(AQ$5:AQ$190,24),AQ$5:AQ$190,0))</f>
        <v>1</v>
      </c>
      <c r="P218" s="11">
        <f>INDEX(AJ$5:AJ$190,MATCH(LARGE(AQ$5:AQ$190,24),AQ$5:AQ$190,0))</f>
        <v>0.66666666666666663</v>
      </c>
      <c r="Q218" s="11">
        <f>INDEX(AK$5:AK$190,MATCH(LARGE(AQ$5:AQ$190,24),AQ$5:AQ$190,0))</f>
        <v>0.14393939393939395</v>
      </c>
      <c r="R218" s="11">
        <f>INDEX(AL$5:AL$190,MATCH(LARGE(AQ$5:AQ$190,24),AQ$5:AQ$190,0))</f>
        <v>0.60802385357114508</v>
      </c>
      <c r="S218" s="11">
        <f>INDEX(AM$5:AM$190,MATCH(LARGE(AQ$5:AQ$190,24),AQ$5:AQ$190,0))</f>
        <v>0.33333333333333331</v>
      </c>
      <c r="T218" s="11">
        <f>INDEX(AN$5:AN$190,MATCH(LARGE(AQ$5:AQ$190,24),AQ$5:AQ$190,0))</f>
        <v>0.12903225806451613</v>
      </c>
      <c r="U218" s="11">
        <f>INDEX(AO$5:AO$190,MATCH(LARGE(AQ$5:AQ$190,24),AQ$5:AQ$190,0))</f>
        <v>0.16666666666666666</v>
      </c>
      <c r="V218" s="11">
        <f>INDEX(AP$5:AP$190,MATCH(LARGE(AQ$5:AQ$190,24),AQ$5:AQ$190,0))</f>
        <v>0</v>
      </c>
    </row>
    <row r="219" spans="1:22" ht="15" customHeight="1" x14ac:dyDescent="0.2">
      <c r="A219" s="3">
        <v>25</v>
      </c>
      <c r="B219" s="3" t="str">
        <f>INDEX($A$5:$A$190,MATCH(LARGE(AQ$5:AQ$190,25),AQ$5:AQ$190,0))</f>
        <v>Game: jsonToShots(String)</v>
      </c>
      <c r="C219" s="11">
        <f>INDEX(W$5:W$190,MATCH(LARGE(AQ$5:AQ$190,25),AQ$5:AQ$190,0))</f>
        <v>0.15789473684210525</v>
      </c>
      <c r="D219" s="11">
        <f>INDEX(X$5:X$190,MATCH(LARGE(AQ$5:AQ$190,25),AQ$5:AQ$190,0))</f>
        <v>0.125</v>
      </c>
      <c r="E219" s="11">
        <f>INDEX(Y$5:Y$190,MATCH(LARGE(AQ$5:AQ$190,25),AQ$5:AQ$190,0))</f>
        <v>0.44440000000000002</v>
      </c>
      <c r="F219" s="11">
        <f>INDEX(Z$5:Z$190,MATCH(LARGE(AQ$5:AQ$190,25),AQ$5:AQ$190,0))</f>
        <v>0.31034482758620691</v>
      </c>
      <c r="G219" s="11">
        <f>INDEX(AA$5:AA$190,MATCH(LARGE(AQ$5:AQ$190,25),AQ$5:AQ$190,0))</f>
        <v>0.25</v>
      </c>
      <c r="H219" s="11">
        <f>INDEX(AB$5:AB$190,MATCH(LARGE(AQ$5:AQ$190,25),AQ$5:AQ$190,0))</f>
        <v>0</v>
      </c>
      <c r="I219" s="11">
        <f>INDEX(AC$5:AC$190,MATCH(LARGE(AQ$5:AQ$190,25),AQ$5:AQ$190,0))</f>
        <v>0.17950849150849155</v>
      </c>
      <c r="J219" s="11">
        <f>INDEX(AD$5:AD$190,MATCH(LARGE(AQ$5:AQ$190,25),AQ$5:AQ$190,0))</f>
        <v>2.7988013814268912E-2</v>
      </c>
      <c r="K219" s="11">
        <f>INDEX(AE$5:AE$190,MATCH(LARGE(AQ$5:AQ$190,25),AQ$5:AQ$190,0))</f>
        <v>9.221274278453441E-2</v>
      </c>
      <c r="L219" s="11">
        <f>INDEX(AF$5:AF$190,MATCH(LARGE(AQ$5:AQ$190,25),AQ$5:AQ$190,0))</f>
        <v>0.15135135135135136</v>
      </c>
      <c r="M219" s="11">
        <f>INDEX(AG$5:AG$190,MATCH(LARGE(AQ$5:AQ$190,25),AQ$5:AQ$190,0))</f>
        <v>0.39795918367346939</v>
      </c>
      <c r="N219" s="11">
        <f>INDEX(AH$5:AH$190,MATCH(LARGE(AQ$5:AQ$190,25),AQ$5:AQ$190,0))</f>
        <v>0.12093542050792122</v>
      </c>
      <c r="O219" s="11">
        <f>INDEX(AI$5:AI$190,MATCH(LARGE(AQ$5:AQ$190,25),AQ$5:AQ$190,0))</f>
        <v>0</v>
      </c>
      <c r="P219" s="11">
        <f>INDEX(AJ$5:AJ$190,MATCH(LARGE(AQ$5:AQ$190,25),AQ$5:AQ$190,0))</f>
        <v>0.33333333333333331</v>
      </c>
      <c r="Q219" s="11">
        <f>INDEX(AK$5:AK$190,MATCH(LARGE(AQ$5:AQ$190,25),AQ$5:AQ$190,0))</f>
        <v>0.21212121212121213</v>
      </c>
      <c r="R219" s="11">
        <f>INDEX(AL$5:AL$190,MATCH(LARGE(AQ$5:AQ$190,25),AQ$5:AQ$190,0))</f>
        <v>0.53137045280859929</v>
      </c>
      <c r="S219" s="11">
        <f>INDEX(AM$5:AM$190,MATCH(LARGE(AQ$5:AQ$190,25),AQ$5:AQ$190,0))</f>
        <v>0.5</v>
      </c>
      <c r="T219" s="11">
        <f>INDEX(AN$5:AN$190,MATCH(LARGE(AQ$5:AQ$190,25),AQ$5:AQ$190,0))</f>
        <v>0.29032258064516131</v>
      </c>
      <c r="U219" s="11">
        <f>INDEX(AO$5:AO$190,MATCH(LARGE(AQ$5:AQ$190,25),AQ$5:AQ$190,0))</f>
        <v>8.3333333333333329E-2</v>
      </c>
      <c r="V219" s="11">
        <f>INDEX(AP$5:AP$190,MATCH(LARGE(AQ$5:AQ$190,25),AQ$5:AQ$190,0))</f>
        <v>0.25</v>
      </c>
    </row>
    <row r="220" spans="1:22" ht="15" customHeight="1" x14ac:dyDescent="0.2">
      <c r="A220" s="3">
        <v>26</v>
      </c>
      <c r="B220" s="3" t="str">
        <f>INDEX($A$5:$A$190,MATCH(LARGE(AQ$5:AQ$190,26),AQ$5:AQ$190,0))</f>
        <v>Fleet: colisionRisk(IShip)</v>
      </c>
      <c r="C220" s="11">
        <f>INDEX(W$5:W$190,MATCH(LARGE(AQ$5:AQ$190,26),AQ$5:AQ$190,0))</f>
        <v>7.8947368421052627E-2</v>
      </c>
      <c r="D220" s="11">
        <f>INDEX(X$5:X$190,MATCH(LARGE(AQ$5:AQ$190,26),AQ$5:AQ$190,0))</f>
        <v>0.05</v>
      </c>
      <c r="E220" s="11">
        <f>INDEX(Y$5:Y$190,MATCH(LARGE(AQ$5:AQ$190,26),AQ$5:AQ$190,0))</f>
        <v>0.66669999999999996</v>
      </c>
      <c r="F220" s="11">
        <f>INDEX(Z$5:Z$190,MATCH(LARGE(AQ$5:AQ$190,26),AQ$5:AQ$190,0))</f>
        <v>0.10344827586206896</v>
      </c>
      <c r="G220" s="11">
        <f>INDEX(AA$5:AA$190,MATCH(LARGE(AQ$5:AQ$190,26),AQ$5:AQ$190,0))</f>
        <v>0.25</v>
      </c>
      <c r="H220" s="11">
        <f>INDEX(AB$5:AB$190,MATCH(LARGE(AQ$5:AQ$190,26),AQ$5:AQ$190,0))</f>
        <v>0</v>
      </c>
      <c r="I220" s="11">
        <f>INDEX(AC$5:AC$190,MATCH(LARGE(AQ$5:AQ$190,26),AQ$5:AQ$190,0))</f>
        <v>0.10204095904095904</v>
      </c>
      <c r="J220" s="11">
        <f>INDEX(AD$5:AD$190,MATCH(LARGE(AQ$5:AQ$190,26),AQ$5:AQ$190,0))</f>
        <v>5.8078271927148196E-3</v>
      </c>
      <c r="K220" s="11">
        <f>INDEX(AE$5:AE$190,MATCH(LARGE(AQ$5:AQ$190,26),AQ$5:AQ$190,0))</f>
        <v>3.2310764204029771E-2</v>
      </c>
      <c r="L220" s="11">
        <f>INDEX(AF$5:AF$190,MATCH(LARGE(AQ$5:AQ$190,26),AQ$5:AQ$190,0))</f>
        <v>6.7567567567567571E-2</v>
      </c>
      <c r="M220" s="11">
        <f>INDEX(AG$5:AG$190,MATCH(LARGE(AQ$5:AQ$190,26),AQ$5:AQ$190,0))</f>
        <v>0.20408163265306123</v>
      </c>
      <c r="N220" s="11">
        <f>INDEX(AH$5:AH$190,MATCH(LARGE(AQ$5:AQ$190,26),AQ$5:AQ$190,0))</f>
        <v>4.4147388788607342E-2</v>
      </c>
      <c r="O220" s="11">
        <f>INDEX(AI$5:AI$190,MATCH(LARGE(AQ$5:AQ$190,26),AQ$5:AQ$190,0))</f>
        <v>1</v>
      </c>
      <c r="P220" s="11">
        <f>INDEX(AJ$5:AJ$190,MATCH(LARGE(AQ$5:AQ$190,26),AQ$5:AQ$190,0))</f>
        <v>0.33333333333333331</v>
      </c>
      <c r="Q220" s="11">
        <f>INDEX(AK$5:AK$190,MATCH(LARGE(AQ$5:AQ$190,26),AQ$5:AQ$190,0))</f>
        <v>0.12121212121212122</v>
      </c>
      <c r="R220" s="11">
        <f>INDEX(AL$5:AL$190,MATCH(LARGE(AQ$5:AQ$190,26),AQ$5:AQ$190,0))</f>
        <v>0.61959463127607406</v>
      </c>
      <c r="S220" s="11">
        <f>INDEX(AM$5:AM$190,MATCH(LARGE(AQ$5:AQ$190,26),AQ$5:AQ$190,0))</f>
        <v>0.33333333333333331</v>
      </c>
      <c r="T220" s="11">
        <f>INDEX(AN$5:AN$190,MATCH(LARGE(AQ$5:AQ$190,26),AQ$5:AQ$190,0))</f>
        <v>9.6774193548387094E-2</v>
      </c>
      <c r="U220" s="11">
        <f>INDEX(AO$5:AO$190,MATCH(LARGE(AQ$5:AQ$190,26),AQ$5:AQ$190,0))</f>
        <v>8.3333333333333329E-2</v>
      </c>
      <c r="V220" s="11">
        <f>INDEX(AP$5:AP$190,MATCH(LARGE(AQ$5:AQ$190,26),AQ$5:AQ$190,0))</f>
        <v>0.25</v>
      </c>
    </row>
    <row r="221" spans="1:22" ht="15" customHeight="1" x14ac:dyDescent="0.2">
      <c r="A221" s="3">
        <v>27</v>
      </c>
      <c r="B221" s="3" t="str">
        <f>INDEX($A$5:$A$190,MATCH(LARGE(AQ$5:AQ$190,27),AQ$5:AQ$190,0))</f>
        <v>Game: repeatedShot(IPosition)</v>
      </c>
      <c r="C221" s="11">
        <f>INDEX(W$5:W$190,MATCH(LARGE(AQ$5:AQ$190,27),AQ$5:AQ$190,0))</f>
        <v>7.8947368421052627E-2</v>
      </c>
      <c r="D221" s="11">
        <f>INDEX(X$5:X$190,MATCH(LARGE(AQ$5:AQ$190,27),AQ$5:AQ$190,0))</f>
        <v>0.05</v>
      </c>
      <c r="E221" s="11">
        <f>INDEX(Y$5:Y$190,MATCH(LARGE(AQ$5:AQ$190,27),AQ$5:AQ$190,0))</f>
        <v>1</v>
      </c>
      <c r="F221" s="11">
        <f>INDEX(Z$5:Z$190,MATCH(LARGE(AQ$5:AQ$190,27),AQ$5:AQ$190,0))</f>
        <v>6.8965517241379309E-2</v>
      </c>
      <c r="G221" s="11">
        <f>INDEX(AA$5:AA$190,MATCH(LARGE(AQ$5:AQ$190,27),AQ$5:AQ$190,0))</f>
        <v>0.25</v>
      </c>
      <c r="H221" s="11">
        <f>INDEX(AB$5:AB$190,MATCH(LARGE(AQ$5:AQ$190,27),AQ$5:AQ$190,0))</f>
        <v>0</v>
      </c>
      <c r="I221" s="11">
        <f>INDEX(AC$5:AC$190,MATCH(LARGE(AQ$5:AQ$190,27),AQ$5:AQ$190,0))</f>
        <v>5.2447552447552448E-2</v>
      </c>
      <c r="J221" s="11">
        <f>INDEX(AD$5:AD$190,MATCH(LARGE(AQ$5:AQ$190,27),AQ$5:AQ$190,0))</f>
        <v>1.8349643648804699E-3</v>
      </c>
      <c r="K221" s="11">
        <f>INDEX(AE$5:AE$190,MATCH(LARGE(AQ$5:AQ$190,27),AQ$5:AQ$190,0))</f>
        <v>1.497549464512616E-2</v>
      </c>
      <c r="L221" s="11">
        <f>INDEX(AF$5:AF$190,MATCH(LARGE(AQ$5:AQ$190,27),AQ$5:AQ$190,0))</f>
        <v>4.5945945945945948E-2</v>
      </c>
      <c r="M221" s="11">
        <f>INDEX(AG$5:AG$190,MATCH(LARGE(AQ$5:AQ$190,27),AQ$5:AQ$190,0))</f>
        <v>0.15306122448979592</v>
      </c>
      <c r="N221" s="11">
        <f>INDEX(AH$5:AH$190,MATCH(LARGE(AQ$5:AQ$190,27),AQ$5:AQ$190,0))</f>
        <v>2.7137347368228374E-2</v>
      </c>
      <c r="O221" s="11">
        <f>INDEX(AI$5:AI$190,MATCH(LARGE(AQ$5:AQ$190,27),AQ$5:AQ$190,0))</f>
        <v>1</v>
      </c>
      <c r="P221" s="11">
        <f>INDEX(AJ$5:AJ$190,MATCH(LARGE(AQ$5:AQ$190,27),AQ$5:AQ$190,0))</f>
        <v>0.33333333333333331</v>
      </c>
      <c r="Q221" s="11">
        <f>INDEX(AK$5:AK$190,MATCH(LARGE(AQ$5:AQ$190,27),AQ$5:AQ$190,0))</f>
        <v>6.0606060606060608E-2</v>
      </c>
      <c r="R221" s="11">
        <f>INDEX(AL$5:AL$190,MATCH(LARGE(AQ$5:AQ$190,27),AQ$5:AQ$190,0))</f>
        <v>0.70378683794020735</v>
      </c>
      <c r="S221" s="11">
        <f>INDEX(AM$5:AM$190,MATCH(LARGE(AQ$5:AQ$190,27),AQ$5:AQ$190,0))</f>
        <v>0.16666666666666666</v>
      </c>
      <c r="T221" s="11">
        <f>INDEX(AN$5:AN$190,MATCH(LARGE(AQ$5:AQ$190,27),AQ$5:AQ$190,0))</f>
        <v>9.6774193548387094E-2</v>
      </c>
      <c r="U221" s="11">
        <f>INDEX(AO$5:AO$190,MATCH(LARGE(AQ$5:AQ$190,27),AQ$5:AQ$190,0))</f>
        <v>8.3333333333333329E-2</v>
      </c>
      <c r="V221" s="11">
        <f>INDEX(AP$5:AP$190,MATCH(LARGE(AQ$5:AQ$190,27),AQ$5:AQ$190,0))</f>
        <v>0.25</v>
      </c>
    </row>
    <row r="222" spans="1:22" ht="15" customHeight="1" x14ac:dyDescent="0.2">
      <c r="A222" s="3">
        <v>28</v>
      </c>
      <c r="B222" s="3" t="str">
        <f>INDEX($A$5:$A$190,MATCH(LARGE(AQ$5:AQ$190,28),AQ$5:AQ$190,0))</f>
        <v>Game: repeatedShotAtAlien(IPosition)</v>
      </c>
      <c r="C222" s="11">
        <f>INDEX(W$5:W$190,MATCH(LARGE(AQ$5:AQ$190,28),AQ$5:AQ$190,0))</f>
        <v>7.8947368421052627E-2</v>
      </c>
      <c r="D222" s="11">
        <f>INDEX(X$5:X$190,MATCH(LARGE(AQ$5:AQ$190,28),AQ$5:AQ$190,0))</f>
        <v>0.05</v>
      </c>
      <c r="E222" s="11">
        <f>INDEX(Y$5:Y$190,MATCH(LARGE(AQ$5:AQ$190,28),AQ$5:AQ$190,0))</f>
        <v>1</v>
      </c>
      <c r="F222" s="11">
        <f>INDEX(Z$5:Z$190,MATCH(LARGE(AQ$5:AQ$190,28),AQ$5:AQ$190,0))</f>
        <v>6.8965517241379309E-2</v>
      </c>
      <c r="G222" s="11">
        <f>INDEX(AA$5:AA$190,MATCH(LARGE(AQ$5:AQ$190,28),AQ$5:AQ$190,0))</f>
        <v>0.25</v>
      </c>
      <c r="H222" s="11">
        <f>INDEX(AB$5:AB$190,MATCH(LARGE(AQ$5:AQ$190,28),AQ$5:AQ$190,0))</f>
        <v>0</v>
      </c>
      <c r="I222" s="11">
        <f>INDEX(AC$5:AC$190,MATCH(LARGE(AQ$5:AQ$190,28),AQ$5:AQ$190,0))</f>
        <v>5.2447552447552448E-2</v>
      </c>
      <c r="J222" s="11">
        <f>INDEX(AD$5:AD$190,MATCH(LARGE(AQ$5:AQ$190,28),AQ$5:AQ$190,0))</f>
        <v>1.8349643648804699E-3</v>
      </c>
      <c r="K222" s="11">
        <f>INDEX(AE$5:AE$190,MATCH(LARGE(AQ$5:AQ$190,28),AQ$5:AQ$190,0))</f>
        <v>1.497549464512616E-2</v>
      </c>
      <c r="L222" s="11">
        <f>INDEX(AF$5:AF$190,MATCH(LARGE(AQ$5:AQ$190,28),AQ$5:AQ$190,0))</f>
        <v>4.5945945945945948E-2</v>
      </c>
      <c r="M222" s="11">
        <f>INDEX(AG$5:AG$190,MATCH(LARGE(AQ$5:AQ$190,28),AQ$5:AQ$190,0))</f>
        <v>0.15306122448979592</v>
      </c>
      <c r="N222" s="11">
        <f>INDEX(AH$5:AH$190,MATCH(LARGE(AQ$5:AQ$190,28),AQ$5:AQ$190,0))</f>
        <v>2.7137347368228374E-2</v>
      </c>
      <c r="O222" s="11">
        <f>INDEX(AI$5:AI$190,MATCH(LARGE(AQ$5:AQ$190,28),AQ$5:AQ$190,0))</f>
        <v>1</v>
      </c>
      <c r="P222" s="11">
        <f>INDEX(AJ$5:AJ$190,MATCH(LARGE(AQ$5:AQ$190,28),AQ$5:AQ$190,0))</f>
        <v>0.33333333333333331</v>
      </c>
      <c r="Q222" s="11">
        <f>INDEX(AK$5:AK$190,MATCH(LARGE(AQ$5:AQ$190,28),AQ$5:AQ$190,0))</f>
        <v>0.10606060606060606</v>
      </c>
      <c r="R222" s="11">
        <f>INDEX(AL$5:AL$190,MATCH(LARGE(AQ$5:AQ$190,28),AQ$5:AQ$190,0))</f>
        <v>0.64843753262535442</v>
      </c>
      <c r="S222" s="11">
        <f>INDEX(AM$5:AM$190,MATCH(LARGE(AQ$5:AQ$190,28),AQ$5:AQ$190,0))</f>
        <v>0.16666666666666666</v>
      </c>
      <c r="T222" s="11">
        <f>INDEX(AN$5:AN$190,MATCH(LARGE(AQ$5:AQ$190,28),AQ$5:AQ$190,0))</f>
        <v>9.6774193548387094E-2</v>
      </c>
      <c r="U222" s="11">
        <f>INDEX(AO$5:AO$190,MATCH(LARGE(AQ$5:AQ$190,28),AQ$5:AQ$190,0))</f>
        <v>8.3333333333333329E-2</v>
      </c>
      <c r="V222" s="11">
        <f>INDEX(AP$5:AP$190,MATCH(LARGE(AQ$5:AQ$190,28),AQ$5:AQ$190,0))</f>
        <v>0.25</v>
      </c>
    </row>
    <row r="223" spans="1:22" ht="15" customHeight="1" x14ac:dyDescent="0.2">
      <c r="A223" s="3">
        <v>29</v>
      </c>
      <c r="B223" s="3" t="str">
        <f>INDEX($A$5:$A$190,MATCH(LARGE(AQ$5:AQ$190,29),AQ$5:AQ$190,0))</f>
        <v>Fleet: shipAt(IPosition)</v>
      </c>
      <c r="C223" s="11">
        <f>INDEX(W$5:W$190,MATCH(LARGE(AQ$5:AQ$190,29),AQ$5:AQ$190,0))</f>
        <v>7.8947368421052627E-2</v>
      </c>
      <c r="D223" s="11">
        <f>INDEX(X$5:X$190,MATCH(LARGE(AQ$5:AQ$190,29),AQ$5:AQ$190,0))</f>
        <v>0.05</v>
      </c>
      <c r="E223" s="11">
        <f>INDEX(Y$5:Y$190,MATCH(LARGE(AQ$5:AQ$190,29),AQ$5:AQ$190,0))</f>
        <v>1</v>
      </c>
      <c r="F223" s="11">
        <f>INDEX(Z$5:Z$190,MATCH(LARGE(AQ$5:AQ$190,29),AQ$5:AQ$190,0))</f>
        <v>3.4482758620689655E-2</v>
      </c>
      <c r="G223" s="11">
        <f>INDEX(AA$5:AA$190,MATCH(LARGE(AQ$5:AQ$190,29),AQ$5:AQ$190,0))</f>
        <v>0.25</v>
      </c>
      <c r="H223" s="11">
        <f>INDEX(AB$5:AB$190,MATCH(LARGE(AQ$5:AQ$190,29),AQ$5:AQ$190,0))</f>
        <v>0</v>
      </c>
      <c r="I223" s="11">
        <f>INDEX(AC$5:AC$190,MATCH(LARGE(AQ$5:AQ$190,29),AQ$5:AQ$190,0))</f>
        <v>6.1188811188811192E-2</v>
      </c>
      <c r="J223" s="11">
        <f>INDEX(AD$5:AD$190,MATCH(LARGE(AQ$5:AQ$190,29),AQ$5:AQ$190,0))</f>
        <v>1.6725929891912405E-3</v>
      </c>
      <c r="K223" s="11">
        <f>INDEX(AE$5:AE$190,MATCH(LARGE(AQ$5:AQ$190,29),AQ$5:AQ$190,0))</f>
        <v>1.4067888909057906E-2</v>
      </c>
      <c r="L223" s="11">
        <f>INDEX(AF$5:AF$190,MATCH(LARGE(AQ$5:AQ$190,29),AQ$5:AQ$190,0))</f>
        <v>4.0540540540540543E-2</v>
      </c>
      <c r="M223" s="11">
        <f>INDEX(AG$5:AG$190,MATCH(LARGE(AQ$5:AQ$190,29),AQ$5:AQ$190,0))</f>
        <v>0.11224489795918367</v>
      </c>
      <c r="N223" s="11">
        <f>INDEX(AH$5:AH$190,MATCH(LARGE(AQ$5:AQ$190,29),AQ$5:AQ$190,0))</f>
        <v>2.1202335858663244E-2</v>
      </c>
      <c r="O223" s="11">
        <f>INDEX(AI$5:AI$190,MATCH(LARGE(AQ$5:AQ$190,29),AQ$5:AQ$190,0))</f>
        <v>1</v>
      </c>
      <c r="P223" s="11">
        <f>INDEX(AJ$5:AJ$190,MATCH(LARGE(AQ$5:AQ$190,29),AQ$5:AQ$190,0))</f>
        <v>0.33333333333333331</v>
      </c>
      <c r="Q223" s="11">
        <f>INDEX(AK$5:AK$190,MATCH(LARGE(AQ$5:AQ$190,29),AQ$5:AQ$190,0))</f>
        <v>0.15151515151515152</v>
      </c>
      <c r="R223" s="11">
        <f>INDEX(AL$5:AL$190,MATCH(LARGE(AQ$5:AQ$190,29),AQ$5:AQ$190,0))</f>
        <v>0.62134543829684163</v>
      </c>
      <c r="S223" s="11">
        <f>INDEX(AM$5:AM$190,MATCH(LARGE(AQ$5:AQ$190,29),AQ$5:AQ$190,0))</f>
        <v>0.16666666666666666</v>
      </c>
      <c r="T223" s="11">
        <f>INDEX(AN$5:AN$190,MATCH(LARGE(AQ$5:AQ$190,29),AQ$5:AQ$190,0))</f>
        <v>9.6774193548387094E-2</v>
      </c>
      <c r="U223" s="11">
        <f>INDEX(AO$5:AO$190,MATCH(LARGE(AQ$5:AQ$190,29),AQ$5:AQ$190,0))</f>
        <v>8.3333333333333329E-2</v>
      </c>
      <c r="V223" s="11">
        <f>INDEX(AP$5:AP$190,MATCH(LARGE(AQ$5:AQ$190,29),AQ$5:AQ$190,0))</f>
        <v>0.25</v>
      </c>
    </row>
    <row r="224" spans="1:22" ht="15" customHeight="1" x14ac:dyDescent="0.2">
      <c r="A224" s="3">
        <v>30</v>
      </c>
      <c r="B224" s="3" t="str">
        <f>INDEX($A$5:$A$190,MATCH(LARGE(AQ$5:AQ$190,30),AQ$5:AQ$190,0))</f>
        <v>Position: adjacentPositions()</v>
      </c>
      <c r="C224" s="11">
        <f>INDEX(W$5:W$190,MATCH(LARGE(AQ$5:AQ$190,30),AQ$5:AQ$190,0))</f>
        <v>7.8947368421052627E-2</v>
      </c>
      <c r="D224" s="11">
        <f>INDEX(X$5:X$190,MATCH(LARGE(AQ$5:AQ$190,30),AQ$5:AQ$190,0))</f>
        <v>0.05</v>
      </c>
      <c r="E224" s="11">
        <f>INDEX(Y$5:Y$190,MATCH(LARGE(AQ$5:AQ$190,30),AQ$5:AQ$190,0))</f>
        <v>0.25</v>
      </c>
      <c r="F224" s="11">
        <f>INDEX(Z$5:Z$190,MATCH(LARGE(AQ$5:AQ$190,30),AQ$5:AQ$190,0))</f>
        <v>3.4482758620689655E-2</v>
      </c>
      <c r="G224" s="11">
        <f>INDEX(AA$5:AA$190,MATCH(LARGE(AQ$5:AQ$190,30),AQ$5:AQ$190,0))</f>
        <v>0.25</v>
      </c>
      <c r="H224" s="11">
        <f>INDEX(AB$5:AB$190,MATCH(LARGE(AQ$5:AQ$190,30),AQ$5:AQ$190,0))</f>
        <v>0</v>
      </c>
      <c r="I224" s="11">
        <f>INDEX(AC$5:AC$190,MATCH(LARGE(AQ$5:AQ$190,30),AQ$5:AQ$190,0))</f>
        <v>0.19480519480519481</v>
      </c>
      <c r="J224" s="11">
        <f>INDEX(AD$5:AD$190,MATCH(LARGE(AQ$5:AQ$190,30),AQ$5:AQ$190,0))</f>
        <v>2.3338472815798879E-2</v>
      </c>
      <c r="K224" s="11">
        <f>INDEX(AE$5:AE$190,MATCH(LARGE(AQ$5:AQ$190,30),AQ$5:AQ$190,0))</f>
        <v>8.1684516246142674E-2</v>
      </c>
      <c r="L224" s="11">
        <f>INDEX(AF$5:AF$190,MATCH(LARGE(AQ$5:AQ$190,30),AQ$5:AQ$190,0))</f>
        <v>0.13783783783783785</v>
      </c>
      <c r="M224" s="11">
        <f>INDEX(AG$5:AG$190,MATCH(LARGE(AQ$5:AQ$190,30),AQ$5:AQ$190,0))</f>
        <v>0.22448979591836735</v>
      </c>
      <c r="N224" s="11">
        <f>INDEX(AH$5:AH$190,MATCH(LARGE(AQ$5:AQ$190,30),AQ$5:AQ$190,0))</f>
        <v>9.2925979142473053E-2</v>
      </c>
      <c r="O224" s="11">
        <f>INDEX(AI$5:AI$190,MATCH(LARGE(AQ$5:AQ$190,30),AQ$5:AQ$190,0))</f>
        <v>1</v>
      </c>
      <c r="P224" s="11">
        <f>INDEX(AJ$5:AJ$190,MATCH(LARGE(AQ$5:AQ$190,30),AQ$5:AQ$190,0))</f>
        <v>0.33333333333333331</v>
      </c>
      <c r="Q224" s="11">
        <f>INDEX(AK$5:AK$190,MATCH(LARGE(AQ$5:AQ$190,30),AQ$5:AQ$190,0))</f>
        <v>0.23484848484848486</v>
      </c>
      <c r="R224" s="11">
        <f>INDEX(AL$5:AL$190,MATCH(LARGE(AQ$5:AQ$190,30),AQ$5:AQ$190,0))</f>
        <v>0.53059579639273202</v>
      </c>
      <c r="S224" s="11">
        <f>INDEX(AM$5:AM$190,MATCH(LARGE(AQ$5:AQ$190,30),AQ$5:AQ$190,0))</f>
        <v>0.5</v>
      </c>
      <c r="T224" s="11">
        <f>INDEX(AN$5:AN$190,MATCH(LARGE(AQ$5:AQ$190,30),AQ$5:AQ$190,0))</f>
        <v>0.19354838709677419</v>
      </c>
      <c r="U224" s="11">
        <f>INDEX(AO$5:AO$190,MATCH(LARGE(AQ$5:AQ$190,30),AQ$5:AQ$190,0))</f>
        <v>8.3333333333333329E-2</v>
      </c>
      <c r="V224" s="11">
        <f>INDEX(AP$5:AP$190,MATCH(LARGE(AQ$5:AQ$190,30),AQ$5:AQ$190,0))</f>
        <v>0</v>
      </c>
    </row>
    <row r="225" spans="1:22" ht="15" customHeight="1" x14ac:dyDescent="0.2">
      <c r="A225" s="3">
        <v>31</v>
      </c>
      <c r="B225" s="3" t="str">
        <f>INDEX($A$5:$A$190,MATCH(LARGE(AQ$5:AQ$190,31),AQ$5:AQ$190,0))</f>
        <v>Scoreboard: loadResults()</v>
      </c>
      <c r="C225" s="11">
        <f>INDEX(W$5:W$190,MATCH(LARGE(AQ$5:AQ$190,31),AQ$5:AQ$190,0))</f>
        <v>7.8947368421052627E-2</v>
      </c>
      <c r="D225" s="11">
        <f>INDEX(X$5:X$190,MATCH(LARGE(AQ$5:AQ$190,31),AQ$5:AQ$190,0))</f>
        <v>0.05</v>
      </c>
      <c r="E225" s="11">
        <f>INDEX(Y$5:Y$190,MATCH(LARGE(AQ$5:AQ$190,31),AQ$5:AQ$190,0))</f>
        <v>1</v>
      </c>
      <c r="F225" s="11">
        <f>INDEX(Z$5:Z$190,MATCH(LARGE(AQ$5:AQ$190,31),AQ$5:AQ$190,0))</f>
        <v>0.13793103448275862</v>
      </c>
      <c r="G225" s="11">
        <f>INDEX(AA$5:AA$190,MATCH(LARGE(AQ$5:AQ$190,31),AQ$5:AQ$190,0))</f>
        <v>0.25</v>
      </c>
      <c r="H225" s="11">
        <f>INDEX(AB$5:AB$190,MATCH(LARGE(AQ$5:AQ$190,31),AQ$5:AQ$190,0))</f>
        <v>0.4</v>
      </c>
      <c r="I225" s="11">
        <f>INDEX(AC$5:AC$190,MATCH(LARGE(AQ$5:AQ$190,31),AQ$5:AQ$190,0))</f>
        <v>7.5757242757242771E-2</v>
      </c>
      <c r="J225" s="11">
        <f>INDEX(AD$5:AD$190,MATCH(LARGE(AQ$5:AQ$190,31),AQ$5:AQ$190,0))</f>
        <v>4.238043569487762E-3</v>
      </c>
      <c r="K225" s="11">
        <f>INDEX(AE$5:AE$190,MATCH(LARGE(AQ$5:AQ$190,31),AQ$5:AQ$190,0))</f>
        <v>2.6229805772372484E-2</v>
      </c>
      <c r="L225" s="11">
        <f>INDEX(AF$5:AF$190,MATCH(LARGE(AQ$5:AQ$190,31),AQ$5:AQ$190,0))</f>
        <v>6.7567567567567571E-2</v>
      </c>
      <c r="M225" s="11">
        <f>INDEX(AG$5:AG$190,MATCH(LARGE(AQ$5:AQ$190,31),AQ$5:AQ$190,0))</f>
        <v>0.19387755102040816</v>
      </c>
      <c r="N225" s="11">
        <f>INDEX(AH$5:AH$190,MATCH(LARGE(AQ$5:AQ$190,31),AQ$5:AQ$190,0))</f>
        <v>4.3391497720927145E-2</v>
      </c>
      <c r="O225" s="11">
        <f>INDEX(AI$5:AI$190,MATCH(LARGE(AQ$5:AQ$190,31),AQ$5:AQ$190,0))</f>
        <v>0.5</v>
      </c>
      <c r="P225" s="11">
        <f>INDEX(AJ$5:AJ$190,MATCH(LARGE(AQ$5:AQ$190,31),AQ$5:AQ$190,0))</f>
        <v>0</v>
      </c>
      <c r="Q225" s="11">
        <f>INDEX(AK$5:AK$190,MATCH(LARGE(AQ$5:AQ$190,31),AQ$5:AQ$190,0))</f>
        <v>0.11363636363636363</v>
      </c>
      <c r="R225" s="11">
        <f>INDEX(AL$5:AL$190,MATCH(LARGE(AQ$5:AQ$190,31),AQ$5:AQ$190,0))</f>
        <v>0.6265717590755906</v>
      </c>
      <c r="S225" s="11">
        <f>INDEX(AM$5:AM$190,MATCH(LARGE(AQ$5:AQ$190,31),AQ$5:AQ$190,0))</f>
        <v>0.5</v>
      </c>
      <c r="T225" s="11">
        <f>INDEX(AN$5:AN$190,MATCH(LARGE(AQ$5:AQ$190,31),AQ$5:AQ$190,0))</f>
        <v>0.16129032258064516</v>
      </c>
      <c r="U225" s="11">
        <f>INDEX(AO$5:AO$190,MATCH(LARGE(AQ$5:AQ$190,31),AQ$5:AQ$190,0))</f>
        <v>0</v>
      </c>
      <c r="V225" s="11">
        <f>INDEX(AP$5:AP$190,MATCH(LARGE(AQ$5:AQ$190,31),AQ$5:AQ$190,0))</f>
        <v>0</v>
      </c>
    </row>
    <row r="226" spans="1:22" ht="15" customHeight="1" x14ac:dyDescent="0.2">
      <c r="A226" s="3">
        <v>32</v>
      </c>
      <c r="B226" s="3" t="str">
        <f>INDEX($A$5:$A$190,MATCH(LARGE(AQ$5:AQ$190,32),AQ$5:AQ$190,0))</f>
        <v>GameResult: GameResult(String, int, boolean)</v>
      </c>
      <c r="C226" s="11">
        <f>INDEX(W$5:W$190,MATCH(LARGE(AQ$5:AQ$190,32),AQ$5:AQ$190,0))</f>
        <v>2.6315789473684209E-2</v>
      </c>
      <c r="D226" s="11">
        <f>INDEX(X$5:X$190,MATCH(LARGE(AQ$5:AQ$190,32),AQ$5:AQ$190,0))</f>
        <v>0</v>
      </c>
      <c r="E226" s="11">
        <f>INDEX(Y$5:Y$190,MATCH(LARGE(AQ$5:AQ$190,32),AQ$5:AQ$190,0))</f>
        <v>1</v>
      </c>
      <c r="F226" s="11">
        <f>INDEX(Z$5:Z$190,MATCH(LARGE(AQ$5:AQ$190,32),AQ$5:AQ$190,0))</f>
        <v>3.4482758620689655E-2</v>
      </c>
      <c r="G226" s="11">
        <f>INDEX(AA$5:AA$190,MATCH(LARGE(AQ$5:AQ$190,32),AQ$5:AQ$190,0))</f>
        <v>0</v>
      </c>
      <c r="H226" s="11">
        <f>INDEX(AB$5:AB$190,MATCH(LARGE(AQ$5:AQ$190,32),AQ$5:AQ$190,0))</f>
        <v>0</v>
      </c>
      <c r="I226" s="11">
        <f>INDEX(AC$5:AC$190,MATCH(LARGE(AQ$5:AQ$190,32),AQ$5:AQ$190,0))</f>
        <v>2.4975024975024976E-2</v>
      </c>
      <c r="J226" s="11">
        <f>INDEX(AD$5:AD$190,MATCH(LARGE(AQ$5:AQ$190,32),AQ$5:AQ$190,0))</f>
        <v>7.0746351444981898E-4</v>
      </c>
      <c r="K226" s="11">
        <f>INDEX(AE$5:AE$190,MATCH(LARGE(AQ$5:AQ$190,32),AQ$5:AQ$190,0))</f>
        <v>7.896169903793793E-3</v>
      </c>
      <c r="L226" s="11">
        <f>INDEX(AF$5:AF$190,MATCH(LARGE(AQ$5:AQ$190,32),AQ$5:AQ$190,0))</f>
        <v>4.0540540540540543E-2</v>
      </c>
      <c r="M226" s="11">
        <f>INDEX(AG$5:AG$190,MATCH(LARGE(AQ$5:AQ$190,32),AQ$5:AQ$190,0))</f>
        <v>0.12244897959183673</v>
      </c>
      <c r="N226" s="11">
        <f>INDEX(AH$5:AH$190,MATCH(LARGE(AQ$5:AQ$190,32),AQ$5:AQ$190,0))</f>
        <v>2.1971669529655159E-2</v>
      </c>
      <c r="O226" s="11">
        <f>INDEX(AI$5:AI$190,MATCH(LARGE(AQ$5:AQ$190,32),AQ$5:AQ$190,0))</f>
        <v>1</v>
      </c>
      <c r="P226" s="11">
        <f>INDEX(AJ$5:AJ$190,MATCH(LARGE(AQ$5:AQ$190,32),AQ$5:AQ$190,0))</f>
        <v>0</v>
      </c>
      <c r="Q226" s="11">
        <f>INDEX(AK$5:AK$190,MATCH(LARGE(AQ$5:AQ$190,32),AQ$5:AQ$190,0))</f>
        <v>9.8484848484848481E-2</v>
      </c>
      <c r="R226" s="11">
        <f>INDEX(AL$5:AL$190,MATCH(LARGE(AQ$5:AQ$190,32),AQ$5:AQ$190,0))</f>
        <v>0.66427414067426427</v>
      </c>
      <c r="S226" s="11">
        <f>INDEX(AM$5:AM$190,MATCH(LARGE(AQ$5:AQ$190,32),AQ$5:AQ$190,0))</f>
        <v>0.16666666666666666</v>
      </c>
      <c r="T226" s="11">
        <f>INDEX(AN$5:AN$190,MATCH(LARGE(AQ$5:AQ$190,32),AQ$5:AQ$190,0))</f>
        <v>0.22580645161290322</v>
      </c>
      <c r="U226" s="11">
        <f>INDEX(AO$5:AO$190,MATCH(LARGE(AQ$5:AQ$190,32),AQ$5:AQ$190,0))</f>
        <v>0</v>
      </c>
      <c r="V226" s="11">
        <f>INDEX(AP$5:AP$190,MATCH(LARGE(AQ$5:AQ$190,32),AQ$5:AQ$190,0))</f>
        <v>0.75</v>
      </c>
    </row>
    <row r="227" spans="1:22" ht="15" customHeight="1" x14ac:dyDescent="0.2">
      <c r="A227" s="3">
        <v>33</v>
      </c>
      <c r="B227" s="3" t="str">
        <f>INDEX($A$5:$A$190,MATCH(LARGE(AQ$5:AQ$190,33),AQ$5:AQ$190,0))</f>
        <v>Tasks: askPlayerName(Scanner)</v>
      </c>
      <c r="C227" s="11">
        <f>INDEX(W$5:W$190,MATCH(LARGE(AQ$5:AQ$190,33),AQ$5:AQ$190,0))</f>
        <v>7.8947368421052627E-2</v>
      </c>
      <c r="D227" s="11">
        <f>INDEX(X$5:X$190,MATCH(LARGE(AQ$5:AQ$190,33),AQ$5:AQ$190,0))</f>
        <v>0.05</v>
      </c>
      <c r="E227" s="11">
        <f>INDEX(Y$5:Y$190,MATCH(LARGE(AQ$5:AQ$190,33),AQ$5:AQ$190,0))</f>
        <v>0.5</v>
      </c>
      <c r="F227" s="11">
        <f>INDEX(Z$5:Z$190,MATCH(LARGE(AQ$5:AQ$190,33),AQ$5:AQ$190,0))</f>
        <v>0.20689655172413793</v>
      </c>
      <c r="G227" s="11">
        <f>INDEX(AA$5:AA$190,MATCH(LARGE(AQ$5:AQ$190,33),AQ$5:AQ$190,0))</f>
        <v>0.25</v>
      </c>
      <c r="H227" s="11">
        <f>INDEX(AB$5:AB$190,MATCH(LARGE(AQ$5:AQ$190,33),AQ$5:AQ$190,0))</f>
        <v>0.2</v>
      </c>
      <c r="I227" s="11">
        <f>INDEX(AC$5:AC$190,MATCH(LARGE(AQ$5:AQ$190,33),AQ$5:AQ$190,0))</f>
        <v>9.4905094905094911E-2</v>
      </c>
      <c r="J227" s="11">
        <f>INDEX(AD$5:AD$190,MATCH(LARGE(AQ$5:AQ$190,33),AQ$5:AQ$190,0))</f>
        <v>7.3570751497596719E-3</v>
      </c>
      <c r="K227" s="11">
        <f>INDEX(AE$5:AE$190,MATCH(LARGE(AQ$5:AQ$190,33),AQ$5:AQ$190,0))</f>
        <v>3.7847159194046111E-2</v>
      </c>
      <c r="L227" s="11">
        <f>INDEX(AF$5:AF$190,MATCH(LARGE(AQ$5:AQ$190,33),AQ$5:AQ$190,0))</f>
        <v>8.9189189189189194E-2</v>
      </c>
      <c r="M227" s="11">
        <f>INDEX(AG$5:AG$190,MATCH(LARGE(AQ$5:AQ$190,33),AQ$5:AQ$190,0))</f>
        <v>0.22448979591836735</v>
      </c>
      <c r="N227" s="11">
        <f>INDEX(AH$5:AH$190,MATCH(LARGE(AQ$5:AQ$190,33),AQ$5:AQ$190,0))</f>
        <v>6.0128560318431987E-2</v>
      </c>
      <c r="O227" s="11">
        <f>INDEX(AI$5:AI$190,MATCH(LARGE(AQ$5:AQ$190,33),AQ$5:AQ$190,0))</f>
        <v>0.5</v>
      </c>
      <c r="P227" s="11">
        <f>INDEX(AJ$5:AJ$190,MATCH(LARGE(AQ$5:AQ$190,33),AQ$5:AQ$190,0))</f>
        <v>0.33333333333333331</v>
      </c>
      <c r="Q227" s="11">
        <f>INDEX(AK$5:AK$190,MATCH(LARGE(AQ$5:AQ$190,33),AQ$5:AQ$190,0))</f>
        <v>0.14393939393939395</v>
      </c>
      <c r="R227" s="11">
        <f>INDEX(AL$5:AL$190,MATCH(LARGE(AQ$5:AQ$190,33),AQ$5:AQ$190,0))</f>
        <v>0.59281052029349235</v>
      </c>
      <c r="S227" s="11">
        <f>INDEX(AM$5:AM$190,MATCH(LARGE(AQ$5:AQ$190,33),AQ$5:AQ$190,0))</f>
        <v>0.33333333333333331</v>
      </c>
      <c r="T227" s="11">
        <f>INDEX(AN$5:AN$190,MATCH(LARGE(AQ$5:AQ$190,33),AQ$5:AQ$190,0))</f>
        <v>0.12903225806451613</v>
      </c>
      <c r="U227" s="11">
        <f>INDEX(AO$5:AO$190,MATCH(LARGE(AQ$5:AQ$190,33),AQ$5:AQ$190,0))</f>
        <v>8.3333333333333329E-2</v>
      </c>
      <c r="V227" s="11">
        <f>INDEX(AP$5:AP$190,MATCH(LARGE(AQ$5:AQ$190,33),AQ$5:AQ$190,0))</f>
        <v>0.25</v>
      </c>
    </row>
    <row r="228" spans="1:22" ht="15" customHeight="1" x14ac:dyDescent="0.2">
      <c r="A228" s="3">
        <v>34</v>
      </c>
      <c r="B228" s="3" t="str">
        <f>INDEX($A$5:$A$190,MATCH(LARGE(AQ$5:AQ$190,34),AQ$5:AQ$190,0))</f>
        <v>Tasks: menuHelp()</v>
      </c>
      <c r="C228" s="11">
        <f>INDEX(W$5:W$190,MATCH(LARGE(AQ$5:AQ$190,34),AQ$5:AQ$190,0))</f>
        <v>2.6315789473684209E-2</v>
      </c>
      <c r="D228" s="11">
        <f>INDEX(X$5:X$190,MATCH(LARGE(AQ$5:AQ$190,34),AQ$5:AQ$190,0))</f>
        <v>0</v>
      </c>
      <c r="E228" s="11">
        <f>INDEX(Y$5:Y$190,MATCH(LARGE(AQ$5:AQ$190,34),AQ$5:AQ$190,0))</f>
        <v>1</v>
      </c>
      <c r="F228" s="11">
        <f>INDEX(Z$5:Z$190,MATCH(LARGE(AQ$5:AQ$190,34),AQ$5:AQ$190,0))</f>
        <v>3.4482758620689655E-2</v>
      </c>
      <c r="G228" s="11">
        <f>INDEX(AA$5:AA$190,MATCH(LARGE(AQ$5:AQ$190,34),AQ$5:AQ$190,0))</f>
        <v>0</v>
      </c>
      <c r="H228" s="11">
        <f>INDEX(AB$5:AB$190,MATCH(LARGE(AQ$5:AQ$190,34),AQ$5:AQ$190,0))</f>
        <v>0.2</v>
      </c>
      <c r="I228" s="11">
        <f>INDEX(AC$5:AC$190,MATCH(LARGE(AQ$5:AQ$190,34),AQ$5:AQ$190,0))</f>
        <v>3.7000000000000005E-2</v>
      </c>
      <c r="J228" s="11">
        <f>INDEX(AD$5:AD$190,MATCH(LARGE(AQ$5:AQ$190,34),AQ$5:AQ$190,0))</f>
        <v>6.4695247414298714E-3</v>
      </c>
      <c r="K228" s="11">
        <f>INDEX(AE$5:AE$190,MATCH(LARGE(AQ$5:AQ$190,34),AQ$5:AQ$190,0))</f>
        <v>3.4761299691414053E-2</v>
      </c>
      <c r="L228" s="11">
        <f>INDEX(AF$5:AF$190,MATCH(LARGE(AQ$5:AQ$190,34),AQ$5:AQ$190,0))</f>
        <v>0.18108108108108109</v>
      </c>
      <c r="M228" s="11">
        <f>INDEX(AG$5:AG$190,MATCH(LARGE(AQ$5:AQ$190,34),AQ$5:AQ$190,0))</f>
        <v>0.31632653061224492</v>
      </c>
      <c r="N228" s="11">
        <f>INDEX(AH$5:AH$190,MATCH(LARGE(AQ$5:AQ$190,34),AQ$5:AQ$190,0))</f>
        <v>0.13562369144019967</v>
      </c>
      <c r="O228" s="11">
        <f>INDEX(AI$5:AI$190,MATCH(LARGE(AQ$5:AQ$190,34),AQ$5:AQ$190,0))</f>
        <v>0.91669999999999996</v>
      </c>
      <c r="P228" s="11">
        <f>INDEX(AJ$5:AJ$190,MATCH(LARGE(AQ$5:AQ$190,34),AQ$5:AQ$190,0))</f>
        <v>0</v>
      </c>
      <c r="Q228" s="11">
        <f>INDEX(AK$5:AK$190,MATCH(LARGE(AQ$5:AQ$190,34),AQ$5:AQ$190,0))</f>
        <v>0.14393939393939395</v>
      </c>
      <c r="R228" s="11">
        <f>INDEX(AL$5:AL$190,MATCH(LARGE(AQ$5:AQ$190,34),AQ$5:AQ$190,0))</f>
        <v>0.56858319308780969</v>
      </c>
      <c r="S228" s="11">
        <f>INDEX(AM$5:AM$190,MATCH(LARGE(AQ$5:AQ$190,34),AQ$5:AQ$190,0))</f>
        <v>0.16666666666666666</v>
      </c>
      <c r="T228" s="11">
        <f>INDEX(AN$5:AN$190,MATCH(LARGE(AQ$5:AQ$190,34),AQ$5:AQ$190,0))</f>
        <v>0.38709677419354838</v>
      </c>
      <c r="U228" s="11">
        <f>INDEX(AO$5:AO$190,MATCH(LARGE(AQ$5:AQ$190,34),AQ$5:AQ$190,0))</f>
        <v>0</v>
      </c>
      <c r="V228" s="11">
        <f>INDEX(AP$5:AP$190,MATCH(LARGE(AQ$5:AQ$190,34),AQ$5:AQ$190,0))</f>
        <v>0</v>
      </c>
    </row>
    <row r="229" spans="1:22" ht="15" customHeight="1" x14ac:dyDescent="0.2">
      <c r="A229" s="3">
        <v>35</v>
      </c>
      <c r="B229" s="3" t="str">
        <f>INDEX($A$5:$A$190,MATCH(LARGE(AQ$5:AQ$190,35),AQ$5:AQ$190,0))</f>
        <v>Fleet: getSunkShips()</v>
      </c>
      <c r="C229" s="11">
        <f>INDEX(W$5:W$190,MATCH(LARGE(AQ$5:AQ$190,35),AQ$5:AQ$190,0))</f>
        <v>7.8947368421052627E-2</v>
      </c>
      <c r="D229" s="11">
        <f>INDEX(X$5:X$190,MATCH(LARGE(AQ$5:AQ$190,35),AQ$5:AQ$190,0))</f>
        <v>0.05</v>
      </c>
      <c r="E229" s="11">
        <f>INDEX(Y$5:Y$190,MATCH(LARGE(AQ$5:AQ$190,35),AQ$5:AQ$190,0))</f>
        <v>1</v>
      </c>
      <c r="F229" s="11">
        <f>INDEX(Z$5:Z$190,MATCH(LARGE(AQ$5:AQ$190,35),AQ$5:AQ$190,0))</f>
        <v>6.8965517241379309E-2</v>
      </c>
      <c r="G229" s="11">
        <f>INDEX(AA$5:AA$190,MATCH(LARGE(AQ$5:AQ$190,35),AQ$5:AQ$190,0))</f>
        <v>0.25</v>
      </c>
      <c r="H229" s="11">
        <f>INDEX(AB$5:AB$190,MATCH(LARGE(AQ$5:AQ$190,35),AQ$5:AQ$190,0))</f>
        <v>0</v>
      </c>
      <c r="I229" s="11">
        <f>INDEX(AC$5:AC$190,MATCH(LARGE(AQ$5:AQ$190,35),AQ$5:AQ$190,0))</f>
        <v>6.6600399600399596E-2</v>
      </c>
      <c r="J229" s="11">
        <f>INDEX(AD$5:AD$190,MATCH(LARGE(AQ$5:AQ$190,35),AQ$5:AQ$190,0))</f>
        <v>1.5777746564888981E-3</v>
      </c>
      <c r="K229" s="11">
        <f>INDEX(AE$5:AE$190,MATCH(LARGE(AQ$5:AQ$190,35),AQ$5:AQ$190,0))</f>
        <v>1.3523325467416955E-2</v>
      </c>
      <c r="L229" s="11">
        <f>INDEX(AF$5:AF$190,MATCH(LARGE(AQ$5:AQ$190,35),AQ$5:AQ$190,0))</f>
        <v>3.5135135135135137E-2</v>
      </c>
      <c r="M229" s="11">
        <f>INDEX(AG$5:AG$190,MATCH(LARGE(AQ$5:AQ$190,35),AQ$5:AQ$190,0))</f>
        <v>0.11224489795918367</v>
      </c>
      <c r="N229" s="11">
        <f>INDEX(AH$5:AH$190,MATCH(LARGE(AQ$5:AQ$190,35),AQ$5:AQ$190,0))</f>
        <v>1.8375344124515934E-2</v>
      </c>
      <c r="O229" s="11">
        <f>INDEX(AI$5:AI$190,MATCH(LARGE(AQ$5:AQ$190,35),AQ$5:AQ$190,0))</f>
        <v>1</v>
      </c>
      <c r="P229" s="11">
        <f>INDEX(AJ$5:AJ$190,MATCH(LARGE(AQ$5:AQ$190,35),AQ$5:AQ$190,0))</f>
        <v>0.33333333333333331</v>
      </c>
      <c r="Q229" s="11">
        <f>INDEX(AK$5:AK$190,MATCH(LARGE(AQ$5:AQ$190,35),AQ$5:AQ$190,0))</f>
        <v>0.14393939393939395</v>
      </c>
      <c r="R229" s="11">
        <f>INDEX(AL$5:AL$190,MATCH(LARGE(AQ$5:AQ$190,35),AQ$5:AQ$190,0))</f>
        <v>0.6311059003345012</v>
      </c>
      <c r="S229" s="11">
        <f>INDEX(AM$5:AM$190,MATCH(LARGE(AQ$5:AQ$190,35),AQ$5:AQ$190,0))</f>
        <v>0.16666666666666666</v>
      </c>
      <c r="T229" s="11">
        <f>INDEX(AN$5:AN$190,MATCH(LARGE(AQ$5:AQ$190,35),AQ$5:AQ$190,0))</f>
        <v>9.6774193548387094E-2</v>
      </c>
      <c r="U229" s="11">
        <f>INDEX(AO$5:AO$190,MATCH(LARGE(AQ$5:AQ$190,35),AQ$5:AQ$190,0))</f>
        <v>8.3333333333333329E-2</v>
      </c>
      <c r="V229" s="11">
        <f>INDEX(AP$5:AP$190,MATCH(LARGE(AQ$5:AQ$190,35),AQ$5:AQ$190,0))</f>
        <v>0</v>
      </c>
    </row>
    <row r="230" spans="1:22" ht="15" customHeight="1" x14ac:dyDescent="0.2">
      <c r="A230" s="3">
        <v>36</v>
      </c>
      <c r="B230" s="3" t="str">
        <f>INDEX($A$5:$A$190,MATCH(LARGE(AQ$5:AQ$190,36),AQ$5:AQ$190,0))</f>
        <v>Fleet: getFloatingShips()</v>
      </c>
      <c r="C230" s="11">
        <f>INDEX(W$5:W$190,MATCH(LARGE(AQ$5:AQ$190,36),AQ$5:AQ$190,0))</f>
        <v>7.8947368421052627E-2</v>
      </c>
      <c r="D230" s="11">
        <f>INDEX(X$5:X$190,MATCH(LARGE(AQ$5:AQ$190,36),AQ$5:AQ$190,0))</f>
        <v>0.05</v>
      </c>
      <c r="E230" s="11">
        <f>INDEX(Y$5:Y$190,MATCH(LARGE(AQ$5:AQ$190,36),AQ$5:AQ$190,0))</f>
        <v>1</v>
      </c>
      <c r="F230" s="11">
        <f>INDEX(Z$5:Z$190,MATCH(LARGE(AQ$5:AQ$190,36),AQ$5:AQ$190,0))</f>
        <v>6.8965517241379309E-2</v>
      </c>
      <c r="G230" s="11">
        <f>INDEX(AA$5:AA$190,MATCH(LARGE(AQ$5:AQ$190,36),AQ$5:AQ$190,0))</f>
        <v>0.25</v>
      </c>
      <c r="H230" s="11">
        <f>INDEX(AB$5:AB$190,MATCH(LARGE(AQ$5:AQ$190,36),AQ$5:AQ$190,0))</f>
        <v>0</v>
      </c>
      <c r="I230" s="11">
        <f>INDEX(AC$5:AC$190,MATCH(LARGE(AQ$5:AQ$190,36),AQ$5:AQ$190,0))</f>
        <v>5.8274725274725284E-2</v>
      </c>
      <c r="J230" s="11">
        <f>INDEX(AD$5:AD$190,MATCH(LARGE(AQ$5:AQ$190,36),AQ$5:AQ$190,0))</f>
        <v>1.223704260482033E-3</v>
      </c>
      <c r="K230" s="11">
        <f>INDEX(AE$5:AE$190,MATCH(LARGE(AQ$5:AQ$190,36),AQ$5:AQ$190,0))</f>
        <v>1.1435832274459976E-2</v>
      </c>
      <c r="L230" s="11">
        <f>INDEX(AF$5:AF$190,MATCH(LARGE(AQ$5:AQ$190,36),AQ$5:AQ$190,0))</f>
        <v>3.2432432432432434E-2</v>
      </c>
      <c r="M230" s="11">
        <f>INDEX(AG$5:AG$190,MATCH(LARGE(AQ$5:AQ$190,36),AQ$5:AQ$190,0))</f>
        <v>0.10204081632653061</v>
      </c>
      <c r="N230" s="11">
        <f>INDEX(AH$5:AH$190,MATCH(LARGE(AQ$5:AQ$190,36),AQ$5:AQ$190,0))</f>
        <v>1.6287654713536492E-2</v>
      </c>
      <c r="O230" s="11">
        <f>INDEX(AI$5:AI$190,MATCH(LARGE(AQ$5:AQ$190,36),AQ$5:AQ$190,0))</f>
        <v>1</v>
      </c>
      <c r="P230" s="11">
        <f>INDEX(AJ$5:AJ$190,MATCH(LARGE(AQ$5:AQ$190,36),AQ$5:AQ$190,0))</f>
        <v>0.33333333333333331</v>
      </c>
      <c r="Q230" s="11">
        <f>INDEX(AK$5:AK$190,MATCH(LARGE(AQ$5:AQ$190,36),AQ$5:AQ$190,0))</f>
        <v>0.14393939393939395</v>
      </c>
      <c r="R230" s="11">
        <f>INDEX(AL$5:AL$190,MATCH(LARGE(AQ$5:AQ$190,36),AQ$5:AQ$190,0))</f>
        <v>0.63493533393746782</v>
      </c>
      <c r="S230" s="11">
        <f>INDEX(AM$5:AM$190,MATCH(LARGE(AQ$5:AQ$190,36),AQ$5:AQ$190,0))</f>
        <v>0.16666666666666666</v>
      </c>
      <c r="T230" s="11">
        <f>INDEX(AN$5:AN$190,MATCH(LARGE(AQ$5:AQ$190,36),AQ$5:AQ$190,0))</f>
        <v>9.6774193548387094E-2</v>
      </c>
      <c r="U230" s="11">
        <f>INDEX(AO$5:AO$190,MATCH(LARGE(AQ$5:AQ$190,36),AQ$5:AQ$190,0))</f>
        <v>8.3333333333333329E-2</v>
      </c>
      <c r="V230" s="11">
        <f>INDEX(AP$5:AP$190,MATCH(LARGE(AQ$5:AQ$190,36),AQ$5:AQ$190,0))</f>
        <v>0</v>
      </c>
    </row>
    <row r="231" spans="1:22" ht="15" customHeight="1" x14ac:dyDescent="0.2">
      <c r="A231" s="3">
        <v>37</v>
      </c>
      <c r="B231" s="3" t="str">
        <f>INDEX($A$5:$A$190,MATCH(LARGE(AQ$5:AQ$190,37),AQ$5:AQ$190,0))</f>
        <v>PdfExporter: checkPagination(PDDocument, PdfState, float)</v>
      </c>
      <c r="C231" s="11">
        <f>INDEX(W$5:W$190,MATCH(LARGE(AQ$5:AQ$190,37),AQ$5:AQ$190,0))</f>
        <v>5.2631578947368418E-2</v>
      </c>
      <c r="D231" s="11">
        <f>INDEX(X$5:X$190,MATCH(LARGE(AQ$5:AQ$190,37),AQ$5:AQ$190,0))</f>
        <v>2.5000000000000001E-2</v>
      </c>
      <c r="E231" s="11">
        <f>INDEX(Y$5:Y$190,MATCH(LARGE(AQ$5:AQ$190,37),AQ$5:AQ$190,0))</f>
        <v>1</v>
      </c>
      <c r="F231" s="11">
        <f>INDEX(Z$5:Z$190,MATCH(LARGE(AQ$5:AQ$190,37),AQ$5:AQ$190,0))</f>
        <v>6.8965517241379309E-2</v>
      </c>
      <c r="G231" s="11">
        <f>INDEX(AA$5:AA$190,MATCH(LARGE(AQ$5:AQ$190,37),AQ$5:AQ$190,0))</f>
        <v>0.25</v>
      </c>
      <c r="H231" s="11">
        <f>INDEX(AB$5:AB$190,MATCH(LARGE(AQ$5:AQ$190,37),AQ$5:AQ$190,0))</f>
        <v>0.2</v>
      </c>
      <c r="I231" s="11">
        <f>INDEX(AC$5:AC$190,MATCH(LARGE(AQ$5:AQ$190,37),AQ$5:AQ$190,0))</f>
        <v>0.12844255744255745</v>
      </c>
      <c r="J231" s="11">
        <f>INDEX(AD$5:AD$190,MATCH(LARGE(AQ$5:AQ$190,37),AQ$5:AQ$190,0))</f>
        <v>8.0201856668190141E-3</v>
      </c>
      <c r="K231" s="11">
        <f>INDEX(AE$5:AE$190,MATCH(LARGE(AQ$5:AQ$190,37),AQ$5:AQ$190,0))</f>
        <v>4.0025412960609914E-2</v>
      </c>
      <c r="L231" s="11">
        <f>INDEX(AF$5:AF$190,MATCH(LARGE(AQ$5:AQ$190,37),AQ$5:AQ$190,0))</f>
        <v>7.8378378378378383E-2</v>
      </c>
      <c r="M231" s="11">
        <f>INDEX(AG$5:AG$190,MATCH(LARGE(AQ$5:AQ$190,37),AQ$5:AQ$190,0))</f>
        <v>0.17346938775510204</v>
      </c>
      <c r="N231" s="11">
        <f>INDEX(AH$5:AH$190,MATCH(LARGE(AQ$5:AQ$190,37),AQ$5:AQ$190,0))</f>
        <v>4.8432759975657859E-2</v>
      </c>
      <c r="O231" s="11">
        <f>INDEX(AI$5:AI$190,MATCH(LARGE(AQ$5:AQ$190,37),AQ$5:AQ$190,0))</f>
        <v>0</v>
      </c>
      <c r="P231" s="11">
        <f>INDEX(AJ$5:AJ$190,MATCH(LARGE(AQ$5:AQ$190,37),AQ$5:AQ$190,0))</f>
        <v>0</v>
      </c>
      <c r="Q231" s="11">
        <f>INDEX(AK$5:AK$190,MATCH(LARGE(AQ$5:AQ$190,37),AQ$5:AQ$190,0))</f>
        <v>9.8484848484848481E-2</v>
      </c>
      <c r="R231" s="11">
        <f>INDEX(AL$5:AL$190,MATCH(LARGE(AQ$5:AQ$190,37),AQ$5:AQ$190,0))</f>
        <v>0.63788988603572183</v>
      </c>
      <c r="S231" s="11">
        <f>INDEX(AM$5:AM$190,MATCH(LARGE(AQ$5:AQ$190,37),AQ$5:AQ$190,0))</f>
        <v>0.33333333333333331</v>
      </c>
      <c r="T231" s="11">
        <f>INDEX(AN$5:AN$190,MATCH(LARGE(AQ$5:AQ$190,37),AQ$5:AQ$190,0))</f>
        <v>0.19354838709677419</v>
      </c>
      <c r="U231" s="11">
        <f>INDEX(AO$5:AO$190,MATCH(LARGE(AQ$5:AQ$190,37),AQ$5:AQ$190,0))</f>
        <v>0</v>
      </c>
      <c r="V231" s="11">
        <f>INDEX(AP$5:AP$190,MATCH(LARGE(AQ$5:AQ$190,37),AQ$5:AQ$190,0))</f>
        <v>0.75</v>
      </c>
    </row>
    <row r="232" spans="1:22" ht="15" customHeight="1" x14ac:dyDescent="0.2">
      <c r="A232" s="3">
        <v>38</v>
      </c>
      <c r="B232" s="3" t="str">
        <f>INDEX($A$5:$A$190,MATCH(LARGE(AQ$5:AQ$190,38),AQ$5:AQ$190,0))</f>
        <v>Ship: tooCloseTo(IPosition)</v>
      </c>
      <c r="C232" s="11">
        <f>INDEX(W$5:W$190,MATCH(LARGE(AQ$5:AQ$190,38),AQ$5:AQ$190,0))</f>
        <v>7.8947368421052627E-2</v>
      </c>
      <c r="D232" s="11">
        <f>INDEX(X$5:X$190,MATCH(LARGE(AQ$5:AQ$190,38),AQ$5:AQ$190,0))</f>
        <v>0.05</v>
      </c>
      <c r="E232" s="11">
        <f>INDEX(Y$5:Y$190,MATCH(LARGE(AQ$5:AQ$190,38),AQ$5:AQ$190,0))</f>
        <v>0.5</v>
      </c>
      <c r="F232" s="11">
        <f>INDEX(Z$5:Z$190,MATCH(LARGE(AQ$5:AQ$190,38),AQ$5:AQ$190,0))</f>
        <v>6.8965517241379309E-2</v>
      </c>
      <c r="G232" s="11">
        <f>INDEX(AA$5:AA$190,MATCH(LARGE(AQ$5:AQ$190,38),AQ$5:AQ$190,0))</f>
        <v>0.25</v>
      </c>
      <c r="H232" s="11">
        <f>INDEX(AB$5:AB$190,MATCH(LARGE(AQ$5:AQ$190,38),AQ$5:AQ$190,0))</f>
        <v>0</v>
      </c>
      <c r="I232" s="11">
        <f>INDEX(AC$5:AC$190,MATCH(LARGE(AQ$5:AQ$190,38),AQ$5:AQ$190,0))</f>
        <v>0.1123876123876124</v>
      </c>
      <c r="J232" s="11">
        <f>INDEX(AD$5:AD$190,MATCH(LARGE(AQ$5:AQ$190,38),AQ$5:AQ$190,0))</f>
        <v>6.5009136884808414E-3</v>
      </c>
      <c r="K232" s="11">
        <f>INDEX(AE$5:AE$190,MATCH(LARGE(AQ$5:AQ$190,38),AQ$5:AQ$190,0))</f>
        <v>3.4852060265020877E-2</v>
      </c>
      <c r="L232" s="11">
        <f>INDEX(AF$5:AF$190,MATCH(LARGE(AQ$5:AQ$190,38),AQ$5:AQ$190,0))</f>
        <v>6.7567567567567571E-2</v>
      </c>
      <c r="M232" s="11">
        <f>INDEX(AG$5:AG$190,MATCH(LARGE(AQ$5:AQ$190,38),AQ$5:AQ$190,0))</f>
        <v>0.21428571428571427</v>
      </c>
      <c r="N232" s="11">
        <f>INDEX(AH$5:AH$190,MATCH(LARGE(AQ$5:AQ$190,38),AQ$5:AQ$190,0))</f>
        <v>4.4866384200389423E-2</v>
      </c>
      <c r="O232" s="11">
        <f>INDEX(AI$5:AI$190,MATCH(LARGE(AQ$5:AQ$190,38),AQ$5:AQ$190,0))</f>
        <v>1</v>
      </c>
      <c r="P232" s="11">
        <f>INDEX(AJ$5:AJ$190,MATCH(LARGE(AQ$5:AQ$190,38),AQ$5:AQ$190,0))</f>
        <v>0.33333333333333331</v>
      </c>
      <c r="Q232" s="11">
        <f>INDEX(AK$5:AK$190,MATCH(LARGE(AQ$5:AQ$190,38),AQ$5:AQ$190,0))</f>
        <v>0.15151515151515152</v>
      </c>
      <c r="R232" s="11">
        <f>INDEX(AL$5:AL$190,MATCH(LARGE(AQ$5:AQ$190,38),AQ$5:AQ$190,0))</f>
        <v>0.5972319083274521</v>
      </c>
      <c r="S232" s="11">
        <f>INDEX(AM$5:AM$190,MATCH(LARGE(AQ$5:AQ$190,38),AQ$5:AQ$190,0))</f>
        <v>0.16666666666666666</v>
      </c>
      <c r="T232" s="11">
        <f>INDEX(AN$5:AN$190,MATCH(LARGE(AQ$5:AQ$190,38),AQ$5:AQ$190,0))</f>
        <v>6.4516129032258063E-2</v>
      </c>
      <c r="U232" s="11">
        <f>INDEX(AO$5:AO$190,MATCH(LARGE(AQ$5:AQ$190,38),AQ$5:AQ$190,0))</f>
        <v>8.3333333333333329E-2</v>
      </c>
      <c r="V232" s="11">
        <f>INDEX(AP$5:AP$190,MATCH(LARGE(AQ$5:AQ$190,38),AQ$5:AQ$190,0))</f>
        <v>0.25</v>
      </c>
    </row>
    <row r="233" spans="1:22" ht="15" customHeight="1" x14ac:dyDescent="0.2">
      <c r="A233" s="3">
        <v>39</v>
      </c>
      <c r="B233" s="3" t="str">
        <f>INDEX($A$5:$A$190,MATCH(LARGE(AQ$5:AQ$190,39),AQ$5:AQ$190,0))</f>
        <v>Ship: occupies(IPosition)</v>
      </c>
      <c r="C233" s="11">
        <f>INDEX(W$5:W$190,MATCH(LARGE(AQ$5:AQ$190,39),AQ$5:AQ$190,0))</f>
        <v>7.8947368421052627E-2</v>
      </c>
      <c r="D233" s="11">
        <f>INDEX(X$5:X$190,MATCH(LARGE(AQ$5:AQ$190,39),AQ$5:AQ$190,0))</f>
        <v>0.05</v>
      </c>
      <c r="E233" s="11">
        <f>INDEX(Y$5:Y$190,MATCH(LARGE(AQ$5:AQ$190,39),AQ$5:AQ$190,0))</f>
        <v>0.5</v>
      </c>
      <c r="F233" s="11">
        <f>INDEX(Z$5:Z$190,MATCH(LARGE(AQ$5:AQ$190,39),AQ$5:AQ$190,0))</f>
        <v>6.8965517241379309E-2</v>
      </c>
      <c r="G233" s="11">
        <f>INDEX(AA$5:AA$190,MATCH(LARGE(AQ$5:AQ$190,39),AQ$5:AQ$190,0))</f>
        <v>0.25</v>
      </c>
      <c r="H233" s="11">
        <f>INDEX(AB$5:AB$190,MATCH(LARGE(AQ$5:AQ$190,39),AQ$5:AQ$190,0))</f>
        <v>0</v>
      </c>
      <c r="I233" s="11">
        <f>INDEX(AC$5:AC$190,MATCH(LARGE(AQ$5:AQ$190,39),AQ$5:AQ$190,0))</f>
        <v>0.1048951048951049</v>
      </c>
      <c r="J233" s="11">
        <f>INDEX(AD$5:AD$190,MATCH(LARGE(AQ$5:AQ$190,39),AQ$5:AQ$190,0))</f>
        <v>5.7314726988682502E-3</v>
      </c>
      <c r="K233" s="11">
        <f>INDEX(AE$5:AE$190,MATCH(LARGE(AQ$5:AQ$190,39),AQ$5:AQ$190,0))</f>
        <v>3.2038482483209292E-2</v>
      </c>
      <c r="L233" s="11">
        <f>INDEX(AF$5:AF$190,MATCH(LARGE(AQ$5:AQ$190,39),AQ$5:AQ$190,0))</f>
        <v>6.4864864864864868E-2</v>
      </c>
      <c r="M233" s="11">
        <f>INDEX(AG$5:AG$190,MATCH(LARGE(AQ$5:AQ$190,39),AQ$5:AQ$190,0))</f>
        <v>0.20408163265306123</v>
      </c>
      <c r="N233" s="11">
        <f>INDEX(AH$5:AH$190,MATCH(LARGE(AQ$5:AQ$190,39),AQ$5:AQ$190,0))</f>
        <v>4.2381504677576502E-2</v>
      </c>
      <c r="O233" s="11">
        <f>INDEX(AI$5:AI$190,MATCH(LARGE(AQ$5:AQ$190,39),AQ$5:AQ$190,0))</f>
        <v>1</v>
      </c>
      <c r="P233" s="11">
        <f>INDEX(AJ$5:AJ$190,MATCH(LARGE(AQ$5:AQ$190,39),AQ$5:AQ$190,0))</f>
        <v>0.33333333333333331</v>
      </c>
      <c r="Q233" s="11">
        <f>INDEX(AK$5:AK$190,MATCH(LARGE(AQ$5:AQ$190,39),AQ$5:AQ$190,0))</f>
        <v>0.15151515151515152</v>
      </c>
      <c r="R233" s="11">
        <f>INDEX(AL$5:AL$190,MATCH(LARGE(AQ$5:AQ$190,39),AQ$5:AQ$190,0))</f>
        <v>0.59902969585861576</v>
      </c>
      <c r="S233" s="11">
        <f>INDEX(AM$5:AM$190,MATCH(LARGE(AQ$5:AQ$190,39),AQ$5:AQ$190,0))</f>
        <v>0.16666666666666666</v>
      </c>
      <c r="T233" s="11">
        <f>INDEX(AN$5:AN$190,MATCH(LARGE(AQ$5:AQ$190,39),AQ$5:AQ$190,0))</f>
        <v>6.4516129032258063E-2</v>
      </c>
      <c r="U233" s="11">
        <f>INDEX(AO$5:AO$190,MATCH(LARGE(AQ$5:AQ$190,39),AQ$5:AQ$190,0))</f>
        <v>8.3333333333333329E-2</v>
      </c>
      <c r="V233" s="11">
        <f>INDEX(AP$5:AP$190,MATCH(LARGE(AQ$5:AQ$190,39),AQ$5:AQ$190,0))</f>
        <v>0.25</v>
      </c>
    </row>
    <row r="234" spans="1:22" ht="15" customHeight="1" x14ac:dyDescent="0.2">
      <c r="A234" s="3">
        <v>40</v>
      </c>
      <c r="B234" s="3" t="str">
        <f>INDEX($A$5:$A$190,MATCH(LARGE(AQ$5:AQ$190,40),AQ$5:AQ$190,0))</f>
        <v>Game: jsonShots(List&lt;IPosition&gt;)</v>
      </c>
      <c r="C234" s="11">
        <f>INDEX(W$5:W$190,MATCH(LARGE(AQ$5:AQ$190,40),AQ$5:AQ$190,0))</f>
        <v>7.8947368421052627E-2</v>
      </c>
      <c r="D234" s="11">
        <f>INDEX(X$5:X$190,MATCH(LARGE(AQ$5:AQ$190,40),AQ$5:AQ$190,0))</f>
        <v>0.05</v>
      </c>
      <c r="E234" s="11">
        <f>INDEX(Y$5:Y$190,MATCH(LARGE(AQ$5:AQ$190,40),AQ$5:AQ$190,0))</f>
        <v>0.71430000000000005</v>
      </c>
      <c r="F234" s="11">
        <f>INDEX(Z$5:Z$190,MATCH(LARGE(AQ$5:AQ$190,40),AQ$5:AQ$190,0))</f>
        <v>0.2413793103448276</v>
      </c>
      <c r="G234" s="11">
        <f>INDEX(AA$5:AA$190,MATCH(LARGE(AQ$5:AQ$190,40),AQ$5:AQ$190,0))</f>
        <v>0</v>
      </c>
      <c r="H234" s="11">
        <f>INDEX(AB$5:AB$190,MATCH(LARGE(AQ$5:AQ$190,40),AQ$5:AQ$190,0))</f>
        <v>0.2</v>
      </c>
      <c r="I234" s="11">
        <f>INDEX(AC$5:AC$190,MATCH(LARGE(AQ$5:AQ$190,40),AQ$5:AQ$190,0))</f>
        <v>0.14152547452547454</v>
      </c>
      <c r="J234" s="11">
        <f>INDEX(AD$5:AD$190,MATCH(LARGE(AQ$5:AQ$190,40),AQ$5:AQ$190,0))</f>
        <v>1.4848941164622268E-2</v>
      </c>
      <c r="K234" s="11">
        <f>INDEX(AE$5:AE$190,MATCH(LARGE(AQ$5:AQ$190,40),AQ$5:AQ$190,0))</f>
        <v>6.044654202214559E-2</v>
      </c>
      <c r="L234" s="11">
        <f>INDEX(AF$5:AF$190,MATCH(LARGE(AQ$5:AQ$190,40),AQ$5:AQ$190,0))</f>
        <v>0.11081081081081082</v>
      </c>
      <c r="M234" s="11">
        <f>INDEX(AG$5:AG$190,MATCH(LARGE(AQ$5:AQ$190,40),AQ$5:AQ$190,0))</f>
        <v>0.29591836734693877</v>
      </c>
      <c r="N234" s="11">
        <f>INDEX(AH$5:AH$190,MATCH(LARGE(AQ$5:AQ$190,40),AQ$5:AQ$190,0))</f>
        <v>8.1381765603001283E-2</v>
      </c>
      <c r="O234" s="11">
        <f>INDEX(AI$5:AI$190,MATCH(LARGE(AQ$5:AQ$190,40),AQ$5:AQ$190,0))</f>
        <v>0</v>
      </c>
      <c r="P234" s="11">
        <f>INDEX(AJ$5:AJ$190,MATCH(LARGE(AQ$5:AQ$190,40),AQ$5:AQ$190,0))</f>
        <v>0.33333333333333331</v>
      </c>
      <c r="Q234" s="11">
        <f>INDEX(AK$5:AK$190,MATCH(LARGE(AQ$5:AQ$190,40),AQ$5:AQ$190,0))</f>
        <v>0.2878787878787879</v>
      </c>
      <c r="R234" s="11">
        <f>INDEX(AL$5:AL$190,MATCH(LARGE(AQ$5:AQ$190,40),AQ$5:AQ$190,0))</f>
        <v>0.51463808302813396</v>
      </c>
      <c r="S234" s="11">
        <f>INDEX(AM$5:AM$190,MATCH(LARGE(AQ$5:AQ$190,40),AQ$5:AQ$190,0))</f>
        <v>0.33333333333333331</v>
      </c>
      <c r="T234" s="11">
        <f>INDEX(AN$5:AN$190,MATCH(LARGE(AQ$5:AQ$190,40),AQ$5:AQ$190,0))</f>
        <v>0.25806451612903225</v>
      </c>
      <c r="U234" s="11">
        <f>INDEX(AO$5:AO$190,MATCH(LARGE(AQ$5:AQ$190,40),AQ$5:AQ$190,0))</f>
        <v>8.3333333333333329E-2</v>
      </c>
      <c r="V234" s="11">
        <f>INDEX(AP$5:AP$190,MATCH(LARGE(AQ$5:AQ$190,40),AQ$5:AQ$190,0))</f>
        <v>0.25</v>
      </c>
    </row>
    <row r="235" spans="1:22" ht="15" customHeight="1" x14ac:dyDescent="0.2">
      <c r="A235" s="3">
        <v>41</v>
      </c>
      <c r="B235" s="3" t="str">
        <f>INDEX($A$5:$A$190,MATCH(LARGE(AQ$5:AQ$190,41),AQ$5:AQ$190,0))</f>
        <v>Ship: buildShip(String, Compass, Position)</v>
      </c>
      <c r="C235" s="11">
        <f>INDEX(W$5:W$190,MATCH(LARGE(AQ$5:AQ$190,41),AQ$5:AQ$190,0))</f>
        <v>0.18421052631578946</v>
      </c>
      <c r="D235" s="11">
        <f>INDEX(X$5:X$190,MATCH(LARGE(AQ$5:AQ$190,41),AQ$5:AQ$190,0))</f>
        <v>2.5000000000000001E-2</v>
      </c>
      <c r="E235" s="11">
        <f>INDEX(Y$5:Y$190,MATCH(LARGE(AQ$5:AQ$190,41),AQ$5:AQ$190,0))</f>
        <v>0</v>
      </c>
      <c r="F235" s="11">
        <f>INDEX(Z$5:Z$190,MATCH(LARGE(AQ$5:AQ$190,41),AQ$5:AQ$190,0))</f>
        <v>0</v>
      </c>
      <c r="G235" s="11">
        <f>INDEX(AA$5:AA$190,MATCH(LARGE(AQ$5:AQ$190,41),AQ$5:AQ$190,0))</f>
        <v>0</v>
      </c>
      <c r="H235" s="11">
        <f>INDEX(AB$5:AB$190,MATCH(LARGE(AQ$5:AQ$190,41),AQ$5:AQ$190,0))</f>
        <v>0</v>
      </c>
      <c r="I235" s="11">
        <f>INDEX(AC$5:AC$190,MATCH(LARGE(AQ$5:AQ$190,41),AQ$5:AQ$190,0))</f>
        <v>0.13486513486513488</v>
      </c>
      <c r="J235" s="11">
        <f>INDEX(AD$5:AD$190,MATCH(LARGE(AQ$5:AQ$190,41),AQ$5:AQ$190,0))</f>
        <v>1.659822702331944E-2</v>
      </c>
      <c r="K235" s="11">
        <f>INDEX(AE$5:AE$190,MATCH(LARGE(AQ$5:AQ$190,41),AQ$5:AQ$190,0))</f>
        <v>6.5075331276093676E-2</v>
      </c>
      <c r="L235" s="11">
        <f>INDEX(AF$5:AF$190,MATCH(LARGE(AQ$5:AQ$190,41),AQ$5:AQ$190,0))</f>
        <v>0.14864864864864866</v>
      </c>
      <c r="M235" s="11">
        <f>INDEX(AG$5:AG$190,MATCH(LARGE(AQ$5:AQ$190,41),AQ$5:AQ$190,0))</f>
        <v>0.19387755102040816</v>
      </c>
      <c r="N235" s="11">
        <f>INDEX(AH$5:AH$190,MATCH(LARGE(AQ$5:AQ$190,41),AQ$5:AQ$190,0))</f>
        <v>9.5461278642449063E-2</v>
      </c>
      <c r="O235" s="11">
        <f>INDEX(AI$5:AI$190,MATCH(LARGE(AQ$5:AQ$190,41),AQ$5:AQ$190,0))</f>
        <v>1</v>
      </c>
      <c r="P235" s="11">
        <f>INDEX(AJ$5:AJ$190,MATCH(LARGE(AQ$5:AQ$190,41),AQ$5:AQ$190,0))</f>
        <v>0</v>
      </c>
      <c r="Q235" s="11">
        <f>INDEX(AK$5:AK$190,MATCH(LARGE(AQ$5:AQ$190,41),AQ$5:AQ$190,0))</f>
        <v>0.27272727272727271</v>
      </c>
      <c r="R235" s="11">
        <f>INDEX(AL$5:AL$190,MATCH(LARGE(AQ$5:AQ$190,41),AQ$5:AQ$190,0))</f>
        <v>0.51378825779563264</v>
      </c>
      <c r="S235" s="11">
        <f>INDEX(AM$5:AM$190,MATCH(LARGE(AQ$5:AQ$190,41),AQ$5:AQ$190,0))</f>
        <v>0.33333333333333331</v>
      </c>
      <c r="T235" s="11">
        <f>INDEX(AN$5:AN$190,MATCH(LARGE(AQ$5:AQ$190,41),AQ$5:AQ$190,0))</f>
        <v>0.29032258064516131</v>
      </c>
      <c r="U235" s="11">
        <f>INDEX(AO$5:AO$190,MATCH(LARGE(AQ$5:AQ$190,41),AQ$5:AQ$190,0))</f>
        <v>0</v>
      </c>
      <c r="V235" s="11">
        <f>INDEX(AP$5:AP$190,MATCH(LARGE(AQ$5:AQ$190,41),AQ$5:AQ$190,0))</f>
        <v>0.75</v>
      </c>
    </row>
    <row r="236" spans="1:22" ht="15" customHeight="1" x14ac:dyDescent="0.2">
      <c r="A236" s="3">
        <v>42</v>
      </c>
      <c r="B236" s="3" t="str">
        <f>INDEX($A$5:$A$190,MATCH(LARGE(AQ$5:AQ$190,42),AQ$5:AQ$190,0))</f>
        <v>Fleet: createRandom()</v>
      </c>
      <c r="C236" s="11">
        <f>INDEX(W$5:W$190,MATCH(LARGE(AQ$5:AQ$190,42),AQ$5:AQ$190,0))</f>
        <v>0.10526315789473684</v>
      </c>
      <c r="D236" s="11">
        <f>INDEX(X$5:X$190,MATCH(LARGE(AQ$5:AQ$190,42),AQ$5:AQ$190,0))</f>
        <v>7.4999999999999997E-2</v>
      </c>
      <c r="E236" s="11">
        <f>INDEX(Y$5:Y$190,MATCH(LARGE(AQ$5:AQ$190,42),AQ$5:AQ$190,0))</f>
        <v>0.75</v>
      </c>
      <c r="F236" s="11">
        <f>INDEX(Z$5:Z$190,MATCH(LARGE(AQ$5:AQ$190,42),AQ$5:AQ$190,0))</f>
        <v>0.10344827586206896</v>
      </c>
      <c r="G236" s="11">
        <f>INDEX(AA$5:AA$190,MATCH(LARGE(AQ$5:AQ$190,42),AQ$5:AQ$190,0))</f>
        <v>0.25</v>
      </c>
      <c r="H236" s="11">
        <f>INDEX(AB$5:AB$190,MATCH(LARGE(AQ$5:AQ$190,42),AQ$5:AQ$190,0))</f>
        <v>0.2</v>
      </c>
      <c r="I236" s="11">
        <f>INDEX(AC$5:AC$190,MATCH(LARGE(AQ$5:AQ$190,42),AQ$5:AQ$190,0))</f>
        <v>0.1436063936063936</v>
      </c>
      <c r="J236" s="11">
        <f>INDEX(AD$5:AD$190,MATCH(LARGE(AQ$5:AQ$190,42),AQ$5:AQ$190,0))</f>
        <v>1.3668467946778378E-2</v>
      </c>
      <c r="K236" s="11">
        <f>INDEX(AE$5:AE$190,MATCH(LARGE(AQ$5:AQ$190,42),AQ$5:AQ$190,0))</f>
        <v>5.7179161372299878E-2</v>
      </c>
      <c r="L236" s="11">
        <f>INDEX(AF$5:AF$190,MATCH(LARGE(AQ$5:AQ$190,42),AQ$5:AQ$190,0))</f>
        <v>0.10270270270270271</v>
      </c>
      <c r="M236" s="11">
        <f>INDEX(AG$5:AG$190,MATCH(LARGE(AQ$5:AQ$190,42),AQ$5:AQ$190,0))</f>
        <v>0.27551020408163263</v>
      </c>
      <c r="N236" s="11">
        <f>INDEX(AH$5:AH$190,MATCH(LARGE(AQ$5:AQ$190,42),AQ$5:AQ$190,0))</f>
        <v>7.3826327939212955E-2</v>
      </c>
      <c r="O236" s="11">
        <f>INDEX(AI$5:AI$190,MATCH(LARGE(AQ$5:AQ$190,42),AQ$5:AQ$190,0))</f>
        <v>0</v>
      </c>
      <c r="P236" s="11">
        <f>INDEX(AJ$5:AJ$190,MATCH(LARGE(AQ$5:AQ$190,42),AQ$5:AQ$190,0))</f>
        <v>0.33333333333333331</v>
      </c>
      <c r="Q236" s="11">
        <f>INDEX(AK$5:AK$190,MATCH(LARGE(AQ$5:AQ$190,42),AQ$5:AQ$190,0))</f>
        <v>0.20454545454545456</v>
      </c>
      <c r="R236" s="11">
        <f>INDEX(AL$5:AL$190,MATCH(LARGE(AQ$5:AQ$190,42),AQ$5:AQ$190,0))</f>
        <v>0.55122128446803442</v>
      </c>
      <c r="S236" s="11">
        <f>INDEX(AM$5:AM$190,MATCH(LARGE(AQ$5:AQ$190,42),AQ$5:AQ$190,0))</f>
        <v>0.5</v>
      </c>
      <c r="T236" s="11">
        <f>INDEX(AN$5:AN$190,MATCH(LARGE(AQ$5:AQ$190,42),AQ$5:AQ$190,0))</f>
        <v>0.16129032258064516</v>
      </c>
      <c r="U236" s="11">
        <f>INDEX(AO$5:AO$190,MATCH(LARGE(AQ$5:AQ$190,42),AQ$5:AQ$190,0))</f>
        <v>8.3333333333333329E-2</v>
      </c>
      <c r="V236" s="11">
        <f>INDEX(AP$5:AP$190,MATCH(LARGE(AQ$5:AQ$190,42),AQ$5:AQ$190,0))</f>
        <v>0</v>
      </c>
    </row>
    <row r="237" spans="1:22" ht="15" customHeight="1" x14ac:dyDescent="0.2">
      <c r="A237" s="3">
        <v>43</v>
      </c>
      <c r="B237" s="3" t="str">
        <f>INDEX($A$5:$A$190,MATCH(LARGE(AQ$5:AQ$190,43),AQ$5:AQ$190,0))</f>
        <v>Tasks: readClassicPosition(Scanner)</v>
      </c>
      <c r="C237" s="11">
        <f>INDEX(W$5:W$190,MATCH(LARGE(AQ$5:AQ$190,43),AQ$5:AQ$190,0))</f>
        <v>0.21052631578947367</v>
      </c>
      <c r="D237" s="11">
        <f>INDEX(X$5:X$190,MATCH(LARGE(AQ$5:AQ$190,43),AQ$5:AQ$190,0))</f>
        <v>0.17499999999999999</v>
      </c>
      <c r="E237" s="11">
        <f>INDEX(Y$5:Y$190,MATCH(LARGE(AQ$5:AQ$190,43),AQ$5:AQ$190,0))</f>
        <v>0.375</v>
      </c>
      <c r="F237" s="11">
        <f>INDEX(Z$5:Z$190,MATCH(LARGE(AQ$5:AQ$190,43),AQ$5:AQ$190,0))</f>
        <v>0.27586206896551724</v>
      </c>
      <c r="G237" s="11">
        <f>INDEX(AA$5:AA$190,MATCH(LARGE(AQ$5:AQ$190,43),AQ$5:AQ$190,0))</f>
        <v>0.25</v>
      </c>
      <c r="H237" s="11">
        <f>INDEX(AB$5:AB$190,MATCH(LARGE(AQ$5:AQ$190,43),AQ$5:AQ$190,0))</f>
        <v>0</v>
      </c>
      <c r="I237" s="11">
        <f>INDEX(AC$5:AC$190,MATCH(LARGE(AQ$5:AQ$190,43),AQ$5:AQ$190,0))</f>
        <v>0.24261438561438561</v>
      </c>
      <c r="J237" s="11">
        <f>INDEX(AD$5:AD$190,MATCH(LARGE(AQ$5:AQ$190,43),AQ$5:AQ$190,0))</f>
        <v>4.6163488722638646E-2</v>
      </c>
      <c r="K237" s="11">
        <f>INDEX(AE$5:AE$190,MATCH(LARGE(AQ$5:AQ$190,43),AQ$5:AQ$190,0))</f>
        <v>0.12869849337447814</v>
      </c>
      <c r="L237" s="11">
        <f>INDEX(AF$5:AF$190,MATCH(LARGE(AQ$5:AQ$190,43),AQ$5:AQ$190,0))</f>
        <v>0.1918918918918919</v>
      </c>
      <c r="M237" s="11">
        <f>INDEX(AG$5:AG$190,MATCH(LARGE(AQ$5:AQ$190,43),AQ$5:AQ$190,0))</f>
        <v>0.34693877551020408</v>
      </c>
      <c r="N237" s="11">
        <f>INDEX(AH$5:AH$190,MATCH(LARGE(AQ$5:AQ$190,43),AQ$5:AQ$190,0))</f>
        <v>0.14758666863116626</v>
      </c>
      <c r="O237" s="11">
        <f>INDEX(AI$5:AI$190,MATCH(LARGE(AQ$5:AQ$190,43),AQ$5:AQ$190,0))</f>
        <v>0</v>
      </c>
      <c r="P237" s="11">
        <f>INDEX(AJ$5:AJ$190,MATCH(LARGE(AQ$5:AQ$190,43),AQ$5:AQ$190,0))</f>
        <v>0</v>
      </c>
      <c r="Q237" s="11">
        <f>INDEX(AK$5:AK$190,MATCH(LARGE(AQ$5:AQ$190,43),AQ$5:AQ$190,0))</f>
        <v>0.21212121212121213</v>
      </c>
      <c r="R237" s="11">
        <f>INDEX(AL$5:AL$190,MATCH(LARGE(AQ$5:AQ$190,43),AQ$5:AQ$190,0))</f>
        <v>0.52455723478979877</v>
      </c>
      <c r="S237" s="11">
        <f>INDEX(AM$5:AM$190,MATCH(LARGE(AQ$5:AQ$190,43),AQ$5:AQ$190,0))</f>
        <v>0.33333333333333331</v>
      </c>
      <c r="T237" s="11">
        <f>INDEX(AN$5:AN$190,MATCH(LARGE(AQ$5:AQ$190,43),AQ$5:AQ$190,0))</f>
        <v>0.25806451612903225</v>
      </c>
      <c r="U237" s="11">
        <f>INDEX(AO$5:AO$190,MATCH(LARGE(AQ$5:AQ$190,43),AQ$5:AQ$190,0))</f>
        <v>0</v>
      </c>
      <c r="V237" s="11">
        <f>INDEX(AP$5:AP$190,MATCH(LARGE(AQ$5:AQ$190,43),AQ$5:AQ$190,0))</f>
        <v>0.25</v>
      </c>
    </row>
    <row r="238" spans="1:22" ht="15" customHeight="1" x14ac:dyDescent="0.2">
      <c r="A238" s="3">
        <v>44</v>
      </c>
      <c r="B238" s="3" t="str">
        <f>INDEX($A$5:$A$190,MATCH(LARGE(AQ$5:AQ$190,44),AQ$5:AQ$190,0))</f>
        <v>Scoreboard: saveResult(GameResult)</v>
      </c>
      <c r="C238" s="11">
        <f>INDEX(W$5:W$190,MATCH(LARGE(AQ$5:AQ$190,44),AQ$5:AQ$190,0))</f>
        <v>5.2631578947368418E-2</v>
      </c>
      <c r="D238" s="11">
        <f>INDEX(X$5:X$190,MATCH(LARGE(AQ$5:AQ$190,44),AQ$5:AQ$190,0))</f>
        <v>2.5000000000000001E-2</v>
      </c>
      <c r="E238" s="11">
        <f>INDEX(Y$5:Y$190,MATCH(LARGE(AQ$5:AQ$190,44),AQ$5:AQ$190,0))</f>
        <v>0.75</v>
      </c>
      <c r="F238" s="11">
        <f>INDEX(Z$5:Z$190,MATCH(LARGE(AQ$5:AQ$190,44),AQ$5:AQ$190,0))</f>
        <v>0.2413793103448276</v>
      </c>
      <c r="G238" s="11">
        <f>INDEX(AA$5:AA$190,MATCH(LARGE(AQ$5:AQ$190,44),AQ$5:AQ$190,0))</f>
        <v>0</v>
      </c>
      <c r="H238" s="11">
        <f>INDEX(AB$5:AB$190,MATCH(LARGE(AQ$5:AQ$190,44),AQ$5:AQ$190,0))</f>
        <v>0.4</v>
      </c>
      <c r="I238" s="11">
        <f>INDEX(AC$5:AC$190,MATCH(LARGE(AQ$5:AQ$190,44),AQ$5:AQ$190,0))</f>
        <v>8.9910089910089919E-2</v>
      </c>
      <c r="J238" s="11">
        <f>INDEX(AD$5:AD$190,MATCH(LARGE(AQ$5:AQ$190,44),AQ$5:AQ$190,0))</f>
        <v>6.1583938482240004E-3</v>
      </c>
      <c r="K238" s="11">
        <f>INDEX(AE$5:AE$190,MATCH(LARGE(AQ$5:AQ$190,44),AQ$5:AQ$190,0))</f>
        <v>3.3581412234525321E-2</v>
      </c>
      <c r="L238" s="11">
        <f>INDEX(AF$5:AF$190,MATCH(LARGE(AQ$5:AQ$190,44),AQ$5:AQ$190,0))</f>
        <v>7.567567567567568E-2</v>
      </c>
      <c r="M238" s="11">
        <f>INDEX(AG$5:AG$190,MATCH(LARGE(AQ$5:AQ$190,44),AQ$5:AQ$190,0))</f>
        <v>0.25510204081632654</v>
      </c>
      <c r="N238" s="11">
        <f>INDEX(AH$5:AH$190,MATCH(LARGE(AQ$5:AQ$190,44),AQ$5:AQ$190,0))</f>
        <v>5.3128110134227455E-2</v>
      </c>
      <c r="O238" s="11">
        <f>INDEX(AI$5:AI$190,MATCH(LARGE(AQ$5:AQ$190,44),AQ$5:AQ$190,0))</f>
        <v>0.4</v>
      </c>
      <c r="P238" s="11">
        <f>INDEX(AJ$5:AJ$190,MATCH(LARGE(AQ$5:AQ$190,44),AQ$5:AQ$190,0))</f>
        <v>0</v>
      </c>
      <c r="Q238" s="11">
        <f>INDEX(AK$5:AK$190,MATCH(LARGE(AQ$5:AQ$190,44),AQ$5:AQ$190,0))</f>
        <v>0.12878787878787878</v>
      </c>
      <c r="R238" s="11">
        <f>INDEX(AL$5:AL$190,MATCH(LARGE(AQ$5:AQ$190,44),AQ$5:AQ$190,0))</f>
        <v>0.6082817243726536</v>
      </c>
      <c r="S238" s="11">
        <f>INDEX(AM$5:AM$190,MATCH(LARGE(AQ$5:AQ$190,44),AQ$5:AQ$190,0))</f>
        <v>0.33333333333333331</v>
      </c>
      <c r="T238" s="11">
        <f>INDEX(AN$5:AN$190,MATCH(LARGE(AQ$5:AQ$190,44),AQ$5:AQ$190,0))</f>
        <v>0.25806451612903225</v>
      </c>
      <c r="U238" s="11">
        <f>INDEX(AO$5:AO$190,MATCH(LARGE(AQ$5:AQ$190,44),AQ$5:AQ$190,0))</f>
        <v>0</v>
      </c>
      <c r="V238" s="11">
        <f>INDEX(AP$5:AP$190,MATCH(LARGE(AQ$5:AQ$190,44),AQ$5:AQ$190,0))</f>
        <v>0.25</v>
      </c>
    </row>
    <row r="239" spans="1:22" ht="15" customHeight="1" x14ac:dyDescent="0.2">
      <c r="A239" s="3">
        <v>45</v>
      </c>
      <c r="B239" s="3" t="str">
        <f>INDEX($A$5:$A$190,MATCH(LARGE(AQ$5:AQ$190,45),AQ$5:AQ$190,0))</f>
        <v>Position: Position(char, int)</v>
      </c>
      <c r="C239" s="11">
        <f>INDEX(W$5:W$190,MATCH(LARGE(AQ$5:AQ$190,45),AQ$5:AQ$190,0))</f>
        <v>2.6315789473684209E-2</v>
      </c>
      <c r="D239" s="11">
        <f>INDEX(X$5:X$190,MATCH(LARGE(AQ$5:AQ$190,45),AQ$5:AQ$190,0))</f>
        <v>0</v>
      </c>
      <c r="E239" s="11">
        <f>INDEX(Y$5:Y$190,MATCH(LARGE(AQ$5:AQ$190,45),AQ$5:AQ$190,0))</f>
        <v>1</v>
      </c>
      <c r="F239" s="11">
        <f>INDEX(Z$5:Z$190,MATCH(LARGE(AQ$5:AQ$190,45),AQ$5:AQ$190,0))</f>
        <v>3.4482758620689655E-2</v>
      </c>
      <c r="G239" s="11">
        <f>INDEX(AA$5:AA$190,MATCH(LARGE(AQ$5:AQ$190,45),AQ$5:AQ$190,0))</f>
        <v>0</v>
      </c>
      <c r="H239" s="11">
        <f>INDEX(AB$5:AB$190,MATCH(LARGE(AQ$5:AQ$190,45),AQ$5:AQ$190,0))</f>
        <v>0</v>
      </c>
      <c r="I239" s="11">
        <f>INDEX(AC$5:AC$190,MATCH(LARGE(AQ$5:AQ$190,45),AQ$5:AQ$190,0))</f>
        <v>3.3299700299700301E-2</v>
      </c>
      <c r="J239" s="11">
        <f>INDEX(AD$5:AD$190,MATCH(LARGE(AQ$5:AQ$190,45),AQ$5:AQ$190,0))</f>
        <v>1.3706550732689447E-3</v>
      </c>
      <c r="K239" s="11">
        <f>INDEX(AE$5:AE$190,MATCH(LARGE(AQ$5:AQ$190,45),AQ$5:AQ$190,0))</f>
        <v>1.2343438010528228E-2</v>
      </c>
      <c r="L239" s="11">
        <f>INDEX(AF$5:AF$190,MATCH(LARGE(AQ$5:AQ$190,45),AQ$5:AQ$190,0))</f>
        <v>5.4054054054054057E-2</v>
      </c>
      <c r="M239" s="11">
        <f>INDEX(AG$5:AG$190,MATCH(LARGE(AQ$5:AQ$190,45),AQ$5:AQ$190,0))</f>
        <v>0.15306122448979592</v>
      </c>
      <c r="N239" s="11">
        <f>INDEX(AH$5:AH$190,MATCH(LARGE(AQ$5:AQ$190,45),AQ$5:AQ$190,0))</f>
        <v>3.1926305442260425E-2</v>
      </c>
      <c r="O239" s="11">
        <f>INDEX(AI$5:AI$190,MATCH(LARGE(AQ$5:AQ$190,45),AQ$5:AQ$190,0))</f>
        <v>1</v>
      </c>
      <c r="P239" s="11">
        <f>INDEX(AJ$5:AJ$190,MATCH(LARGE(AQ$5:AQ$190,45),AQ$5:AQ$190,0))</f>
        <v>0</v>
      </c>
      <c r="Q239" s="11">
        <f>INDEX(AK$5:AK$190,MATCH(LARGE(AQ$5:AQ$190,45),AQ$5:AQ$190,0))</f>
        <v>9.8484848484848481E-2</v>
      </c>
      <c r="R239" s="11">
        <f>INDEX(AL$5:AL$190,MATCH(LARGE(AQ$5:AQ$190,45),AQ$5:AQ$190,0))</f>
        <v>0.65200596339278627</v>
      </c>
      <c r="S239" s="11">
        <f>INDEX(AM$5:AM$190,MATCH(LARGE(AQ$5:AQ$190,45),AQ$5:AQ$190,0))</f>
        <v>0.16666666666666666</v>
      </c>
      <c r="T239" s="11">
        <f>INDEX(AN$5:AN$190,MATCH(LARGE(AQ$5:AQ$190,45),AQ$5:AQ$190,0))</f>
        <v>0.19354838709677419</v>
      </c>
      <c r="U239" s="11">
        <f>INDEX(AO$5:AO$190,MATCH(LARGE(AQ$5:AQ$190,45),AQ$5:AQ$190,0))</f>
        <v>0</v>
      </c>
      <c r="V239" s="11">
        <f>INDEX(AP$5:AP$190,MATCH(LARGE(AQ$5:AQ$190,45),AQ$5:AQ$190,0))</f>
        <v>0.5</v>
      </c>
    </row>
    <row r="240" spans="1:22" ht="15" customHeight="1" x14ac:dyDescent="0.2">
      <c r="A240" s="3">
        <v>46</v>
      </c>
      <c r="B240" s="3" t="str">
        <f>INDEX($A$5:$A$190,MATCH(LARGE(AQ$5:AQ$190,46),AQ$5:AQ$190,0))</f>
        <v>Ship: shoot(IPosition)</v>
      </c>
      <c r="C240" s="11">
        <f>INDEX(W$5:W$190,MATCH(LARGE(AQ$5:AQ$190,46),AQ$5:AQ$190,0))</f>
        <v>7.8947368421052627E-2</v>
      </c>
      <c r="D240" s="11">
        <f>INDEX(X$5:X$190,MATCH(LARGE(AQ$5:AQ$190,46),AQ$5:AQ$190,0))</f>
        <v>0.05</v>
      </c>
      <c r="E240" s="11">
        <f>INDEX(Y$5:Y$190,MATCH(LARGE(AQ$5:AQ$190,46),AQ$5:AQ$190,0))</f>
        <v>0.25</v>
      </c>
      <c r="F240" s="11">
        <f>INDEX(Z$5:Z$190,MATCH(LARGE(AQ$5:AQ$190,46),AQ$5:AQ$190,0))</f>
        <v>0.10344827586206896</v>
      </c>
      <c r="G240" s="11">
        <f>INDEX(AA$5:AA$190,MATCH(LARGE(AQ$5:AQ$190,46),AQ$5:AQ$190,0))</f>
        <v>0.25</v>
      </c>
      <c r="H240" s="11">
        <f>INDEX(AB$5:AB$190,MATCH(LARGE(AQ$5:AQ$190,46),AQ$5:AQ$190,0))</f>
        <v>0</v>
      </c>
      <c r="I240" s="11">
        <f>INDEX(AC$5:AC$190,MATCH(LARGE(AQ$5:AQ$190,46),AQ$5:AQ$190,0))</f>
        <v>9.9900099900099903E-2</v>
      </c>
      <c r="J240" s="11">
        <f>INDEX(AD$5:AD$190,MATCH(LARGE(AQ$5:AQ$190,46),AQ$5:AQ$190,0))</f>
        <v>3.3104758979159384E-3</v>
      </c>
      <c r="K240" s="11">
        <f>INDEX(AE$5:AE$190,MATCH(LARGE(AQ$5:AQ$190,46),AQ$5:AQ$190,0))</f>
        <v>2.2236340533672176E-2</v>
      </c>
      <c r="L240" s="11">
        <f>INDEX(AF$5:AF$190,MATCH(LARGE(AQ$5:AQ$190,46),AQ$5:AQ$190,0))</f>
        <v>4.5945945945945948E-2</v>
      </c>
      <c r="M240" s="11">
        <f>INDEX(AG$5:AG$190,MATCH(LARGE(AQ$5:AQ$190,46),AQ$5:AQ$190,0))</f>
        <v>0.1326530612244898</v>
      </c>
      <c r="N240" s="11">
        <f>INDEX(AH$5:AH$190,MATCH(LARGE(AQ$5:AQ$190,46),AQ$5:AQ$190,0))</f>
        <v>2.570336072437409E-2</v>
      </c>
      <c r="O240" s="11">
        <f>INDEX(AI$5:AI$190,MATCH(LARGE(AQ$5:AQ$190,46),AQ$5:AQ$190,0))</f>
        <v>1</v>
      </c>
      <c r="P240" s="11">
        <f>INDEX(AJ$5:AJ$190,MATCH(LARGE(AQ$5:AQ$190,46),AQ$5:AQ$190,0))</f>
        <v>0.33333333333333331</v>
      </c>
      <c r="Q240" s="11">
        <f>INDEX(AK$5:AK$190,MATCH(LARGE(AQ$5:AQ$190,46),AQ$5:AQ$190,0))</f>
        <v>0.15909090909090909</v>
      </c>
      <c r="R240" s="11">
        <f>INDEX(AL$5:AL$190,MATCH(LARGE(AQ$5:AQ$190,46),AQ$5:AQ$190,0))</f>
        <v>0.61031859050116721</v>
      </c>
      <c r="S240" s="11">
        <f>INDEX(AM$5:AM$190,MATCH(LARGE(AQ$5:AQ$190,46),AQ$5:AQ$190,0))</f>
        <v>0.33333333333333331</v>
      </c>
      <c r="T240" s="11">
        <f>INDEX(AN$5:AN$190,MATCH(LARGE(AQ$5:AQ$190,46),AQ$5:AQ$190,0))</f>
        <v>6.4516129032258063E-2</v>
      </c>
      <c r="U240" s="11">
        <f>INDEX(AO$5:AO$190,MATCH(LARGE(AQ$5:AQ$190,46),AQ$5:AQ$190,0))</f>
        <v>8.3333333333333329E-2</v>
      </c>
      <c r="V240" s="11">
        <f>INDEX(AP$5:AP$190,MATCH(LARGE(AQ$5:AQ$190,46),AQ$5:AQ$190,0))</f>
        <v>0.25</v>
      </c>
    </row>
    <row r="241" spans="1:22" ht="15" customHeight="1" x14ac:dyDescent="0.2">
      <c r="A241" s="3">
        <v>47</v>
      </c>
      <c r="B241" s="3" t="str">
        <f>INDEX($A$5:$A$190,MATCH(LARGE(AQ$5:AQ$190,47),AQ$5:AQ$190,0))</f>
        <v>Game: printBothBoards(boolean)</v>
      </c>
      <c r="C241" s="11">
        <f>INDEX(W$5:W$190,MATCH(LARGE(AQ$5:AQ$190,47),AQ$5:AQ$190,0))</f>
        <v>7.8947368421052627E-2</v>
      </c>
      <c r="D241" s="11">
        <f>INDEX(X$5:X$190,MATCH(LARGE(AQ$5:AQ$190,47),AQ$5:AQ$190,0))</f>
        <v>0.05</v>
      </c>
      <c r="E241" s="11">
        <f>INDEX(Y$5:Y$190,MATCH(LARGE(AQ$5:AQ$190,47),AQ$5:AQ$190,0))</f>
        <v>0.5</v>
      </c>
      <c r="F241" s="11">
        <f>INDEX(Z$5:Z$190,MATCH(LARGE(AQ$5:AQ$190,47),AQ$5:AQ$190,0))</f>
        <v>0.17241379310344829</v>
      </c>
      <c r="G241" s="11">
        <f>INDEX(AA$5:AA$190,MATCH(LARGE(AQ$5:AQ$190,47),AQ$5:AQ$190,0))</f>
        <v>0</v>
      </c>
      <c r="H241" s="11">
        <f>INDEX(AB$5:AB$190,MATCH(LARGE(AQ$5:AQ$190,47),AQ$5:AQ$190,0))</f>
        <v>0</v>
      </c>
      <c r="I241" s="11">
        <f>INDEX(AC$5:AC$190,MATCH(LARGE(AQ$5:AQ$190,47),AQ$5:AQ$190,0))</f>
        <v>0.10822477522477522</v>
      </c>
      <c r="J241" s="11">
        <f>INDEX(AD$5:AD$190,MATCH(LARGE(AQ$5:AQ$190,47),AQ$5:AQ$190,0))</f>
        <v>1.3237287895072407E-2</v>
      </c>
      <c r="K241" s="11">
        <f>INDEX(AE$5:AE$190,MATCH(LARGE(AQ$5:AQ$190,47),AQ$5:AQ$190,0))</f>
        <v>5.5999273915411152E-2</v>
      </c>
      <c r="L241" s="11">
        <f>INDEX(AF$5:AF$190,MATCH(LARGE(AQ$5:AQ$190,47),AQ$5:AQ$190,0))</f>
        <v>0.13513513513513514</v>
      </c>
      <c r="M241" s="11">
        <f>INDEX(AG$5:AG$190,MATCH(LARGE(AQ$5:AQ$190,47),AQ$5:AQ$190,0))</f>
        <v>0.25510204081632654</v>
      </c>
      <c r="N241" s="11">
        <f>INDEX(AH$5:AH$190,MATCH(LARGE(AQ$5:AQ$190,47),AQ$5:AQ$190,0))</f>
        <v>9.4871601891705251E-2</v>
      </c>
      <c r="O241" s="11">
        <f>INDEX(AI$5:AI$190,MATCH(LARGE(AQ$5:AQ$190,47),AQ$5:AQ$190,0))</f>
        <v>1</v>
      </c>
      <c r="P241" s="11">
        <f>INDEX(AJ$5:AJ$190,MATCH(LARGE(AQ$5:AQ$190,47),AQ$5:AQ$190,0))</f>
        <v>0</v>
      </c>
      <c r="Q241" s="11">
        <f>INDEX(AK$5:AK$190,MATCH(LARGE(AQ$5:AQ$190,47),AQ$5:AQ$190,0))</f>
        <v>8.3333333333333329E-2</v>
      </c>
      <c r="R241" s="11">
        <f>INDEX(AL$5:AL$190,MATCH(LARGE(AQ$5:AQ$190,47),AQ$5:AQ$190,0))</f>
        <v>0.63238063818325319</v>
      </c>
      <c r="S241" s="11">
        <f>INDEX(AM$5:AM$190,MATCH(LARGE(AQ$5:AQ$190,47),AQ$5:AQ$190,0))</f>
        <v>0.16666666666666666</v>
      </c>
      <c r="T241" s="11">
        <f>INDEX(AN$5:AN$190,MATCH(LARGE(AQ$5:AQ$190,47),AQ$5:AQ$190,0))</f>
        <v>0.29032258064516131</v>
      </c>
      <c r="U241" s="11">
        <f>INDEX(AO$5:AO$190,MATCH(LARGE(AQ$5:AQ$190,47),AQ$5:AQ$190,0))</f>
        <v>0</v>
      </c>
      <c r="V241" s="11">
        <f>INDEX(AP$5:AP$190,MATCH(LARGE(AQ$5:AQ$190,47),AQ$5:AQ$190,0))</f>
        <v>0.25</v>
      </c>
    </row>
    <row r="242" spans="1:22" ht="15" customHeight="1" x14ac:dyDescent="0.2">
      <c r="A242" s="3">
        <v>48</v>
      </c>
      <c r="B242" s="3" t="str">
        <f>INDEX($A$5:$A$190,MATCH(LARGE(AQ$5:AQ$190,48),AQ$5:AQ$190,0))</f>
        <v>Game: Game(IFleet)</v>
      </c>
      <c r="C242" s="11">
        <f>INDEX(W$5:W$190,MATCH(LARGE(AQ$5:AQ$190,48),AQ$5:AQ$190,0))</f>
        <v>2.6315789473684209E-2</v>
      </c>
      <c r="D242" s="11">
        <f>INDEX(X$5:X$190,MATCH(LARGE(AQ$5:AQ$190,48),AQ$5:AQ$190,0))</f>
        <v>0</v>
      </c>
      <c r="E242" s="11">
        <f>INDEX(Y$5:Y$190,MATCH(LARGE(AQ$5:AQ$190,48),AQ$5:AQ$190,0))</f>
        <v>1</v>
      </c>
      <c r="F242" s="11">
        <f>INDEX(Z$5:Z$190,MATCH(LARGE(AQ$5:AQ$190,48),AQ$5:AQ$190,0))</f>
        <v>3.4482758620689655E-2</v>
      </c>
      <c r="G242" s="11">
        <f>INDEX(AA$5:AA$190,MATCH(LARGE(AQ$5:AQ$190,48),AQ$5:AQ$190,0))</f>
        <v>0</v>
      </c>
      <c r="H242" s="11">
        <f>INDEX(AB$5:AB$190,MATCH(LARGE(AQ$5:AQ$190,48),AQ$5:AQ$190,0))</f>
        <v>0</v>
      </c>
      <c r="I242" s="11">
        <f>INDEX(AC$5:AC$190,MATCH(LARGE(AQ$5:AQ$190,48),AQ$5:AQ$190,0))</f>
        <v>2.4975024975024976E-2</v>
      </c>
      <c r="J242" s="11">
        <f>INDEX(AD$5:AD$190,MATCH(LARGE(AQ$5:AQ$190,48),AQ$5:AQ$190,0))</f>
        <v>1.4734865415312499E-3</v>
      </c>
      <c r="K242" s="11">
        <f>INDEX(AE$5:AE$190,MATCH(LARGE(AQ$5:AQ$190,48),AQ$5:AQ$190,0))</f>
        <v>1.2978762025776004E-2</v>
      </c>
      <c r="L242" s="11">
        <f>INDEX(AF$5:AF$190,MATCH(LARGE(AQ$5:AQ$190,48),AQ$5:AQ$190,0))</f>
        <v>7.567567567567568E-2</v>
      </c>
      <c r="M242" s="11">
        <f>INDEX(AG$5:AG$190,MATCH(LARGE(AQ$5:AQ$190,48),AQ$5:AQ$190,0))</f>
        <v>0.16326530612244897</v>
      </c>
      <c r="N242" s="11">
        <f>INDEX(AH$5:AH$190,MATCH(LARGE(AQ$5:AQ$190,48),AQ$5:AQ$190,0))</f>
        <v>4.5762053827125511E-2</v>
      </c>
      <c r="O242" s="11">
        <f>INDEX(AI$5:AI$190,MATCH(LARGE(AQ$5:AQ$190,48),AQ$5:AQ$190,0))</f>
        <v>1</v>
      </c>
      <c r="P242" s="11">
        <f>INDEX(AJ$5:AJ$190,MATCH(LARGE(AQ$5:AQ$190,48),AQ$5:AQ$190,0))</f>
        <v>0</v>
      </c>
      <c r="Q242" s="11">
        <f>INDEX(AK$5:AK$190,MATCH(LARGE(AQ$5:AQ$190,48),AQ$5:AQ$190,0))</f>
        <v>0.10606060606060606</v>
      </c>
      <c r="R242" s="11">
        <f>INDEX(AL$5:AL$190,MATCH(LARGE(AQ$5:AQ$190,48),AQ$5:AQ$190,0))</f>
        <v>0.63319079098475317</v>
      </c>
      <c r="S242" s="11">
        <f>INDEX(AM$5:AM$190,MATCH(LARGE(AQ$5:AQ$190,48),AQ$5:AQ$190,0))</f>
        <v>0.16666666666666666</v>
      </c>
      <c r="T242" s="11">
        <f>INDEX(AN$5:AN$190,MATCH(LARGE(AQ$5:AQ$190,48),AQ$5:AQ$190,0))</f>
        <v>0.32258064516129031</v>
      </c>
      <c r="U242" s="11">
        <f>INDEX(AO$5:AO$190,MATCH(LARGE(AQ$5:AQ$190,48),AQ$5:AQ$190,0))</f>
        <v>0</v>
      </c>
      <c r="V242" s="11">
        <f>INDEX(AP$5:AP$190,MATCH(LARGE(AQ$5:AQ$190,48),AQ$5:AQ$190,0))</f>
        <v>0.25</v>
      </c>
    </row>
    <row r="243" spans="1:22" ht="15" customHeight="1" x14ac:dyDescent="0.2">
      <c r="A243" s="3">
        <v>49</v>
      </c>
      <c r="B243" s="3" t="str">
        <f>INDEX($A$5:$A$190,MATCH(LARGE(AQ$5:AQ$190,49),AQ$5:AQ$190,0))</f>
        <v>Position: equals(Object)</v>
      </c>
      <c r="C243" s="11">
        <f>INDEX(W$5:W$190,MATCH(LARGE(AQ$5:AQ$190,49),AQ$5:AQ$190,0))</f>
        <v>0.10526315789473684</v>
      </c>
      <c r="D243" s="11">
        <f>INDEX(X$5:X$190,MATCH(LARGE(AQ$5:AQ$190,49),AQ$5:AQ$190,0))</f>
        <v>7.4999999999999997E-2</v>
      </c>
      <c r="E243" s="11">
        <f>INDEX(Y$5:Y$190,MATCH(LARGE(AQ$5:AQ$190,49),AQ$5:AQ$190,0))</f>
        <v>0.5</v>
      </c>
      <c r="F243" s="11">
        <f>INDEX(Z$5:Z$190,MATCH(LARGE(AQ$5:AQ$190,49),AQ$5:AQ$190,0))</f>
        <v>6.8965517241379309E-2</v>
      </c>
      <c r="G243" s="11">
        <f>INDEX(AA$5:AA$190,MATCH(LARGE(AQ$5:AQ$190,49),AQ$5:AQ$190,0))</f>
        <v>0.25</v>
      </c>
      <c r="H243" s="11">
        <f>INDEX(AB$5:AB$190,MATCH(LARGE(AQ$5:AQ$190,49),AQ$5:AQ$190,0))</f>
        <v>0</v>
      </c>
      <c r="I243" s="11">
        <f>INDEX(AC$5:AC$190,MATCH(LARGE(AQ$5:AQ$190,49),AQ$5:AQ$190,0))</f>
        <v>7.4925074925074928E-2</v>
      </c>
      <c r="J243" s="11">
        <f>INDEX(AD$5:AD$190,MATCH(LARGE(AQ$5:AQ$190,49),AQ$5:AQ$190,0))</f>
        <v>4.104712508551339E-3</v>
      </c>
      <c r="K243" s="11">
        <f>INDEX(AE$5:AE$190,MATCH(LARGE(AQ$5:AQ$190,49),AQ$5:AQ$190,0))</f>
        <v>2.5594481757124705E-2</v>
      </c>
      <c r="L243" s="11">
        <f>INDEX(AF$5:AF$190,MATCH(LARGE(AQ$5:AQ$190,49),AQ$5:AQ$190,0))</f>
        <v>7.0270270270270274E-2</v>
      </c>
      <c r="M243" s="11">
        <f>INDEX(AG$5:AG$190,MATCH(LARGE(AQ$5:AQ$190,49),AQ$5:AQ$190,0))</f>
        <v>0.16326530612244897</v>
      </c>
      <c r="N243" s="11">
        <f>INDEX(AH$5:AH$190,MATCH(LARGE(AQ$5:AQ$190,49),AQ$5:AQ$190,0))</f>
        <v>4.2493335696616542E-2</v>
      </c>
      <c r="O243" s="11">
        <f>INDEX(AI$5:AI$190,MATCH(LARGE(AQ$5:AQ$190,49),AQ$5:AQ$190,0))</f>
        <v>1</v>
      </c>
      <c r="P243" s="11">
        <f>INDEX(AJ$5:AJ$190,MATCH(LARGE(AQ$5:AQ$190,49),AQ$5:AQ$190,0))</f>
        <v>0</v>
      </c>
      <c r="Q243" s="11">
        <f>INDEX(AK$5:AK$190,MATCH(LARGE(AQ$5:AQ$190,49),AQ$5:AQ$190,0))</f>
        <v>0.13636363636363635</v>
      </c>
      <c r="R243" s="11">
        <f>INDEX(AL$5:AL$190,MATCH(LARGE(AQ$5:AQ$190,49),AQ$5:AQ$190,0))</f>
        <v>0.60874004535185267</v>
      </c>
      <c r="S243" s="11">
        <f>INDEX(AM$5:AM$190,MATCH(LARGE(AQ$5:AQ$190,49),AQ$5:AQ$190,0))</f>
        <v>0.33333333333333331</v>
      </c>
      <c r="T243" s="11">
        <f>INDEX(AN$5:AN$190,MATCH(LARGE(AQ$5:AQ$190,49),AQ$5:AQ$190,0))</f>
        <v>0.12903225806451613</v>
      </c>
      <c r="U243" s="11">
        <f>INDEX(AO$5:AO$190,MATCH(LARGE(AQ$5:AQ$190,49),AQ$5:AQ$190,0))</f>
        <v>0</v>
      </c>
      <c r="V243" s="11">
        <f>INDEX(AP$5:AP$190,MATCH(LARGE(AQ$5:AQ$190,49),AQ$5:AQ$190,0))</f>
        <v>0.25</v>
      </c>
    </row>
    <row r="244" spans="1:22" ht="15" customHeight="1" x14ac:dyDescent="0.2">
      <c r="A244" s="3">
        <v>50</v>
      </c>
      <c r="B244" s="3" t="str">
        <f>INDEX($A$5:$A$190,MATCH(LARGE(AQ$5:AQ$190,50),AQ$5:AQ$190,0))</f>
        <v>Ship: getBottomMostPos()</v>
      </c>
      <c r="C244" s="11">
        <f>INDEX(W$5:W$190,MATCH(LARGE(AQ$5:AQ$190,50),AQ$5:AQ$190,0))</f>
        <v>7.8947368421052627E-2</v>
      </c>
      <c r="D244" s="11">
        <f>INDEX(X$5:X$190,MATCH(LARGE(AQ$5:AQ$190,50),AQ$5:AQ$190,0))</f>
        <v>0.05</v>
      </c>
      <c r="E244" s="11">
        <f>INDEX(Y$5:Y$190,MATCH(LARGE(AQ$5:AQ$190,50),AQ$5:AQ$190,0))</f>
        <v>0.5</v>
      </c>
      <c r="F244" s="11">
        <f>INDEX(Z$5:Z$190,MATCH(LARGE(AQ$5:AQ$190,50),AQ$5:AQ$190,0))</f>
        <v>6.8965517241379309E-2</v>
      </c>
      <c r="G244" s="11">
        <f>INDEX(AA$5:AA$190,MATCH(LARGE(AQ$5:AQ$190,50),AQ$5:AQ$190,0))</f>
        <v>0.25</v>
      </c>
      <c r="H244" s="11">
        <f>INDEX(AB$5:AB$190,MATCH(LARGE(AQ$5:AQ$190,50),AQ$5:AQ$190,0))</f>
        <v>0</v>
      </c>
      <c r="I244" s="11">
        <f>INDEX(AC$5:AC$190,MATCH(LARGE(AQ$5:AQ$190,50),AQ$5:AQ$190,0))</f>
        <v>0.13486513486513488</v>
      </c>
      <c r="J244" s="11">
        <f>INDEX(AD$5:AD$190,MATCH(LARGE(AQ$5:AQ$190,50),AQ$5:AQ$190,0))</f>
        <v>8.24099972870692E-3</v>
      </c>
      <c r="K244" s="11">
        <f>INDEX(AE$5:AE$190,MATCH(LARGE(AQ$5:AQ$190,50),AQ$5:AQ$190,0))</f>
        <v>4.0842258123071337E-2</v>
      </c>
      <c r="L244" s="11">
        <f>INDEX(AF$5:AF$190,MATCH(LARGE(AQ$5:AQ$190,50),AQ$5:AQ$190,0))</f>
        <v>7.8378378378378383E-2</v>
      </c>
      <c r="M244" s="11">
        <f>INDEX(AG$5:AG$190,MATCH(LARGE(AQ$5:AQ$190,50),AQ$5:AQ$190,0))</f>
        <v>0.16326530612244897</v>
      </c>
      <c r="N244" s="11">
        <f>INDEX(AH$5:AH$190,MATCH(LARGE(AQ$5:AQ$190,50),AQ$5:AQ$190,0))</f>
        <v>4.7396412892379988E-2</v>
      </c>
      <c r="O244" s="11">
        <f>INDEX(AI$5:AI$190,MATCH(LARGE(AQ$5:AQ$190,50),AQ$5:AQ$190,0))</f>
        <v>1</v>
      </c>
      <c r="P244" s="11">
        <f>INDEX(AJ$5:AJ$190,MATCH(LARGE(AQ$5:AQ$190,50),AQ$5:AQ$190,0))</f>
        <v>0.33333333333333331</v>
      </c>
      <c r="Q244" s="11">
        <f>INDEX(AK$5:AK$190,MATCH(LARGE(AQ$5:AQ$190,50),AQ$5:AQ$190,0))</f>
        <v>0.14393939393939395</v>
      </c>
      <c r="R244" s="11">
        <f>INDEX(AL$5:AL$190,MATCH(LARGE(AQ$5:AQ$190,50),AQ$5:AQ$190,0))</f>
        <v>0.60032948997957913</v>
      </c>
      <c r="S244" s="11">
        <f>INDEX(AM$5:AM$190,MATCH(LARGE(AQ$5:AQ$190,50),AQ$5:AQ$190,0))</f>
        <v>0.16666666666666666</v>
      </c>
      <c r="T244" s="11">
        <f>INDEX(AN$5:AN$190,MATCH(LARGE(AQ$5:AQ$190,50),AQ$5:AQ$190,0))</f>
        <v>6.4516129032258063E-2</v>
      </c>
      <c r="U244" s="11">
        <f>INDEX(AO$5:AO$190,MATCH(LARGE(AQ$5:AQ$190,50),AQ$5:AQ$190,0))</f>
        <v>8.3333333333333329E-2</v>
      </c>
      <c r="V244" s="11">
        <f>INDEX(AP$5:AP$190,MATCH(LARGE(AQ$5:AQ$190,50),AQ$5:AQ$190,0))</f>
        <v>0</v>
      </c>
    </row>
    <row r="245" spans="1:22" ht="15" customHeight="1" x14ac:dyDescent="0.2">
      <c r="A245" s="3">
        <v>51</v>
      </c>
      <c r="B245" s="3" t="str">
        <f>INDEX($A$5:$A$190,MATCH(LARGE(AQ$5:AQ$190,51),AQ$5:AQ$190,0))</f>
        <v>Ship: getBottomMostPos()</v>
      </c>
      <c r="C245" s="11">
        <f>INDEX(W$5:W$190,MATCH(LARGE(AQ$5:AQ$190,51),AQ$5:AQ$190,0))</f>
        <v>7.8947368421052627E-2</v>
      </c>
      <c r="D245" s="11">
        <f>INDEX(X$5:X$190,MATCH(LARGE(AQ$5:AQ$190,51),AQ$5:AQ$190,0))</f>
        <v>0.05</v>
      </c>
      <c r="E245" s="11">
        <f>INDEX(Y$5:Y$190,MATCH(LARGE(AQ$5:AQ$190,51),AQ$5:AQ$190,0))</f>
        <v>0.5</v>
      </c>
      <c r="F245" s="11">
        <f>INDEX(Z$5:Z$190,MATCH(LARGE(AQ$5:AQ$190,51),AQ$5:AQ$190,0))</f>
        <v>6.8965517241379309E-2</v>
      </c>
      <c r="G245" s="11">
        <f>INDEX(AA$5:AA$190,MATCH(LARGE(AQ$5:AQ$190,51),AQ$5:AQ$190,0))</f>
        <v>0.25</v>
      </c>
      <c r="H245" s="11">
        <f>INDEX(AB$5:AB$190,MATCH(LARGE(AQ$5:AQ$190,51),AQ$5:AQ$190,0))</f>
        <v>0</v>
      </c>
      <c r="I245" s="11">
        <f>INDEX(AC$5:AC$190,MATCH(LARGE(AQ$5:AQ$190,51),AQ$5:AQ$190,0))</f>
        <v>0.13486513486513488</v>
      </c>
      <c r="J245" s="11">
        <f>INDEX(AD$5:AD$190,MATCH(LARGE(AQ$5:AQ$190,51),AQ$5:AQ$190,0))</f>
        <v>8.24099972870692E-3</v>
      </c>
      <c r="K245" s="11">
        <f>INDEX(AE$5:AE$190,MATCH(LARGE(AQ$5:AQ$190,51),AQ$5:AQ$190,0))</f>
        <v>4.0842258123071337E-2</v>
      </c>
      <c r="L245" s="11">
        <f>INDEX(AF$5:AF$190,MATCH(LARGE(AQ$5:AQ$190,51),AQ$5:AQ$190,0))</f>
        <v>7.8378378378378383E-2</v>
      </c>
      <c r="M245" s="11">
        <f>INDEX(AG$5:AG$190,MATCH(LARGE(AQ$5:AQ$190,51),AQ$5:AQ$190,0))</f>
        <v>0.16326530612244897</v>
      </c>
      <c r="N245" s="11">
        <f>INDEX(AH$5:AH$190,MATCH(LARGE(AQ$5:AQ$190,51),AQ$5:AQ$190,0))</f>
        <v>4.7396412892379988E-2</v>
      </c>
      <c r="O245" s="11">
        <f>INDEX(AI$5:AI$190,MATCH(LARGE(AQ$5:AQ$190,51),AQ$5:AQ$190,0))</f>
        <v>1</v>
      </c>
      <c r="P245" s="11">
        <f>INDEX(AJ$5:AJ$190,MATCH(LARGE(AQ$5:AQ$190,51),AQ$5:AQ$190,0))</f>
        <v>0.33333333333333331</v>
      </c>
      <c r="Q245" s="11">
        <f>INDEX(AK$5:AK$190,MATCH(LARGE(AQ$5:AQ$190,51),AQ$5:AQ$190,0))</f>
        <v>0.14393939393939395</v>
      </c>
      <c r="R245" s="11">
        <f>INDEX(AL$5:AL$190,MATCH(LARGE(AQ$5:AQ$190,51),AQ$5:AQ$190,0))</f>
        <v>0.60032948997957913</v>
      </c>
      <c r="S245" s="11">
        <f>INDEX(AM$5:AM$190,MATCH(LARGE(AQ$5:AQ$190,51),AQ$5:AQ$190,0))</f>
        <v>0.16666666666666666</v>
      </c>
      <c r="T245" s="11">
        <f>INDEX(AN$5:AN$190,MATCH(LARGE(AQ$5:AQ$190,51),AQ$5:AQ$190,0))</f>
        <v>6.4516129032258063E-2</v>
      </c>
      <c r="U245" s="11">
        <f>INDEX(AO$5:AO$190,MATCH(LARGE(AQ$5:AQ$190,51),AQ$5:AQ$190,0))</f>
        <v>8.3333333333333329E-2</v>
      </c>
      <c r="V245" s="11">
        <f>INDEX(AP$5:AP$190,MATCH(LARGE(AQ$5:AQ$190,51),AQ$5:AQ$190,0))</f>
        <v>0</v>
      </c>
    </row>
    <row r="246" spans="1:22" ht="15" customHeight="1" x14ac:dyDescent="0.2">
      <c r="A246" s="3">
        <v>52</v>
      </c>
      <c r="B246" s="3" t="str">
        <f>INDEX($A$5:$A$190,MATCH(LARGE(AQ$5:AQ$190,52),AQ$5:AQ$190,0))</f>
        <v>Ship: getLeftMostPos()</v>
      </c>
      <c r="C246" s="11">
        <f>INDEX(W$5:W$190,MATCH(LARGE(AQ$5:AQ$190,52),AQ$5:AQ$190,0))</f>
        <v>7.8947368421052627E-2</v>
      </c>
      <c r="D246" s="11">
        <f>INDEX(X$5:X$190,MATCH(LARGE(AQ$5:AQ$190,52),AQ$5:AQ$190,0))</f>
        <v>0.05</v>
      </c>
      <c r="E246" s="11">
        <f>INDEX(Y$5:Y$190,MATCH(LARGE(AQ$5:AQ$190,52),AQ$5:AQ$190,0))</f>
        <v>0.5</v>
      </c>
      <c r="F246" s="11">
        <f>INDEX(Z$5:Z$190,MATCH(LARGE(AQ$5:AQ$190,52),AQ$5:AQ$190,0))</f>
        <v>6.8965517241379309E-2</v>
      </c>
      <c r="G246" s="11">
        <f>INDEX(AA$5:AA$190,MATCH(LARGE(AQ$5:AQ$190,52),AQ$5:AQ$190,0))</f>
        <v>0.25</v>
      </c>
      <c r="H246" s="11">
        <f>INDEX(AB$5:AB$190,MATCH(LARGE(AQ$5:AQ$190,52),AQ$5:AQ$190,0))</f>
        <v>0</v>
      </c>
      <c r="I246" s="11">
        <f>INDEX(AC$5:AC$190,MATCH(LARGE(AQ$5:AQ$190,52),AQ$5:AQ$190,0))</f>
        <v>0.12362637362637363</v>
      </c>
      <c r="J246" s="11">
        <f>INDEX(AD$5:AD$190,MATCH(LARGE(AQ$5:AQ$190,52),AQ$5:AQ$190,0))</f>
        <v>7.378407024919497E-3</v>
      </c>
      <c r="K246" s="11">
        <f>INDEX(AE$5:AE$190,MATCH(LARGE(AQ$5:AQ$190,52),AQ$5:AQ$190,0))</f>
        <v>3.7937919767652935E-2</v>
      </c>
      <c r="L246" s="11">
        <f>INDEX(AF$5:AF$190,MATCH(LARGE(AQ$5:AQ$190,52),AQ$5:AQ$190,0))</f>
        <v>7.8378378378378383E-2</v>
      </c>
      <c r="M246" s="11">
        <f>INDEX(AG$5:AG$190,MATCH(LARGE(AQ$5:AQ$190,52),AQ$5:AQ$190,0))</f>
        <v>0.15306122448979592</v>
      </c>
      <c r="N246" s="11">
        <f>INDEX(AH$5:AH$190,MATCH(LARGE(AQ$5:AQ$190,52),AQ$5:AQ$190,0))</f>
        <v>4.6293138805379955E-2</v>
      </c>
      <c r="O246" s="11">
        <f>INDEX(AI$5:AI$190,MATCH(LARGE(AQ$5:AQ$190,52),AQ$5:AQ$190,0))</f>
        <v>1</v>
      </c>
      <c r="P246" s="11">
        <f>INDEX(AJ$5:AJ$190,MATCH(LARGE(AQ$5:AQ$190,52),AQ$5:AQ$190,0))</f>
        <v>0.33333333333333331</v>
      </c>
      <c r="Q246" s="11">
        <f>INDEX(AK$5:AK$190,MATCH(LARGE(AQ$5:AQ$190,52),AQ$5:AQ$190,0))</f>
        <v>0.14393939393939395</v>
      </c>
      <c r="R246" s="11">
        <f>INDEX(AL$5:AL$190,MATCH(LARGE(AQ$5:AQ$190,52),AQ$5:AQ$190,0))</f>
        <v>0.60116156701926404</v>
      </c>
      <c r="S246" s="11">
        <f>INDEX(AM$5:AM$190,MATCH(LARGE(AQ$5:AQ$190,52),AQ$5:AQ$190,0))</f>
        <v>0.16666666666666666</v>
      </c>
      <c r="T246" s="11">
        <f>INDEX(AN$5:AN$190,MATCH(LARGE(AQ$5:AQ$190,52),AQ$5:AQ$190,0))</f>
        <v>6.4516129032258063E-2</v>
      </c>
      <c r="U246" s="11">
        <f>INDEX(AO$5:AO$190,MATCH(LARGE(AQ$5:AQ$190,52),AQ$5:AQ$190,0))</f>
        <v>8.3333333333333329E-2</v>
      </c>
      <c r="V246" s="11">
        <f>INDEX(AP$5:AP$190,MATCH(LARGE(AQ$5:AQ$190,52),AQ$5:AQ$190,0))</f>
        <v>0</v>
      </c>
    </row>
    <row r="247" spans="1:22" ht="15" customHeight="1" x14ac:dyDescent="0.2">
      <c r="A247" s="3">
        <v>53</v>
      </c>
      <c r="B247" s="3" t="str">
        <f>INDEX($A$5:$A$190,MATCH(LARGE(AQ$5:AQ$190,53),AQ$5:AQ$190,0))</f>
        <v>Ship: getLeftMostPos()</v>
      </c>
      <c r="C247" s="11">
        <f>INDEX(W$5:W$190,MATCH(LARGE(AQ$5:AQ$190,53),AQ$5:AQ$190,0))</f>
        <v>7.8947368421052627E-2</v>
      </c>
      <c r="D247" s="11">
        <f>INDEX(X$5:X$190,MATCH(LARGE(AQ$5:AQ$190,53),AQ$5:AQ$190,0))</f>
        <v>0.05</v>
      </c>
      <c r="E247" s="11">
        <f>INDEX(Y$5:Y$190,MATCH(LARGE(AQ$5:AQ$190,53),AQ$5:AQ$190,0))</f>
        <v>0.5</v>
      </c>
      <c r="F247" s="11">
        <f>INDEX(Z$5:Z$190,MATCH(LARGE(AQ$5:AQ$190,53),AQ$5:AQ$190,0))</f>
        <v>6.8965517241379309E-2</v>
      </c>
      <c r="G247" s="11">
        <f>INDEX(AA$5:AA$190,MATCH(LARGE(AQ$5:AQ$190,53),AQ$5:AQ$190,0))</f>
        <v>0.25</v>
      </c>
      <c r="H247" s="11">
        <f>INDEX(AB$5:AB$190,MATCH(LARGE(AQ$5:AQ$190,53),AQ$5:AQ$190,0))</f>
        <v>0</v>
      </c>
      <c r="I247" s="11">
        <f>INDEX(AC$5:AC$190,MATCH(LARGE(AQ$5:AQ$190,53),AQ$5:AQ$190,0))</f>
        <v>0.12362637362637363</v>
      </c>
      <c r="J247" s="11">
        <f>INDEX(AD$5:AD$190,MATCH(LARGE(AQ$5:AQ$190,53),AQ$5:AQ$190,0))</f>
        <v>7.378407024919497E-3</v>
      </c>
      <c r="K247" s="11">
        <f>INDEX(AE$5:AE$190,MATCH(LARGE(AQ$5:AQ$190,53),AQ$5:AQ$190,0))</f>
        <v>3.7937919767652935E-2</v>
      </c>
      <c r="L247" s="11">
        <f>INDEX(AF$5:AF$190,MATCH(LARGE(AQ$5:AQ$190,53),AQ$5:AQ$190,0))</f>
        <v>7.8378378378378383E-2</v>
      </c>
      <c r="M247" s="11">
        <f>INDEX(AG$5:AG$190,MATCH(LARGE(AQ$5:AQ$190,53),AQ$5:AQ$190,0))</f>
        <v>0.15306122448979592</v>
      </c>
      <c r="N247" s="11">
        <f>INDEX(AH$5:AH$190,MATCH(LARGE(AQ$5:AQ$190,53),AQ$5:AQ$190,0))</f>
        <v>4.6293138805379955E-2</v>
      </c>
      <c r="O247" s="11">
        <f>INDEX(AI$5:AI$190,MATCH(LARGE(AQ$5:AQ$190,53),AQ$5:AQ$190,0))</f>
        <v>1</v>
      </c>
      <c r="P247" s="11">
        <f>INDEX(AJ$5:AJ$190,MATCH(LARGE(AQ$5:AQ$190,53),AQ$5:AQ$190,0))</f>
        <v>0.33333333333333331</v>
      </c>
      <c r="Q247" s="11">
        <f>INDEX(AK$5:AK$190,MATCH(LARGE(AQ$5:AQ$190,53),AQ$5:AQ$190,0))</f>
        <v>0.14393939393939395</v>
      </c>
      <c r="R247" s="11">
        <f>INDEX(AL$5:AL$190,MATCH(LARGE(AQ$5:AQ$190,53),AQ$5:AQ$190,0))</f>
        <v>0.60116156701926404</v>
      </c>
      <c r="S247" s="11">
        <f>INDEX(AM$5:AM$190,MATCH(LARGE(AQ$5:AQ$190,53),AQ$5:AQ$190,0))</f>
        <v>0.16666666666666666</v>
      </c>
      <c r="T247" s="11">
        <f>INDEX(AN$5:AN$190,MATCH(LARGE(AQ$5:AQ$190,53),AQ$5:AQ$190,0))</f>
        <v>6.4516129032258063E-2</v>
      </c>
      <c r="U247" s="11">
        <f>INDEX(AO$5:AO$190,MATCH(LARGE(AQ$5:AQ$190,53),AQ$5:AQ$190,0))</f>
        <v>8.3333333333333329E-2</v>
      </c>
      <c r="V247" s="11">
        <f>INDEX(AP$5:AP$190,MATCH(LARGE(AQ$5:AQ$190,53),AQ$5:AQ$190,0))</f>
        <v>0</v>
      </c>
    </row>
    <row r="248" spans="1:22" ht="15" customHeight="1" x14ac:dyDescent="0.2">
      <c r="A248" s="3">
        <v>54</v>
      </c>
      <c r="B248" s="3" t="str">
        <f>INDEX($A$5:$A$190,MATCH(LARGE(AQ$5:AQ$190,54),AQ$5:AQ$190,0))</f>
        <v>IMove: readMove(int, Scanner)</v>
      </c>
      <c r="C248" s="11">
        <f>INDEX(W$5:W$190,MATCH(LARGE(AQ$5:AQ$190,54),AQ$5:AQ$190,0))</f>
        <v>5.2631578947368418E-2</v>
      </c>
      <c r="D248" s="11">
        <f>INDEX(X$5:X$190,MATCH(LARGE(AQ$5:AQ$190,54),AQ$5:AQ$190,0))</f>
        <v>2.5000000000000001E-2</v>
      </c>
      <c r="E248" s="11">
        <f>INDEX(Y$5:Y$190,MATCH(LARGE(AQ$5:AQ$190,54),AQ$5:AQ$190,0))</f>
        <v>1</v>
      </c>
      <c r="F248" s="11">
        <f>INDEX(Z$5:Z$190,MATCH(LARGE(AQ$5:AQ$190,54),AQ$5:AQ$190,0))</f>
        <v>6.8965517241379309E-2</v>
      </c>
      <c r="G248" s="11">
        <f>INDEX(AA$5:AA$190,MATCH(LARGE(AQ$5:AQ$190,54),AQ$5:AQ$190,0))</f>
        <v>0</v>
      </c>
      <c r="H248" s="11">
        <f>INDEX(AB$5:AB$190,MATCH(LARGE(AQ$5:AQ$190,54),AQ$5:AQ$190,0))</f>
        <v>0</v>
      </c>
      <c r="I248" s="11">
        <f>INDEX(AC$5:AC$190,MATCH(LARGE(AQ$5:AQ$190,54),AQ$5:AQ$190,0))</f>
        <v>6.7432567432567439E-2</v>
      </c>
      <c r="J248" s="11">
        <f>INDEX(AD$5:AD$190,MATCH(LARGE(AQ$5:AQ$190,54),AQ$5:AQ$190,0))</f>
        <v>4.3557904052667169E-3</v>
      </c>
      <c r="K248" s="11">
        <f>INDEX(AE$5:AE$190,MATCH(LARGE(AQ$5:AQ$190,54),AQ$5:AQ$190,0))</f>
        <v>2.6683608640406611E-2</v>
      </c>
      <c r="L248" s="11">
        <f>INDEX(AF$5:AF$190,MATCH(LARGE(AQ$5:AQ$190,54),AQ$5:AQ$190,0))</f>
        <v>8.1081081081081086E-2</v>
      </c>
      <c r="M248" s="11">
        <f>INDEX(AG$5:AG$190,MATCH(LARGE(AQ$5:AQ$190,54),AQ$5:AQ$190,0))</f>
        <v>0.17346938775510204</v>
      </c>
      <c r="N248" s="11">
        <f>INDEX(AH$5:AH$190,MATCH(LARGE(AQ$5:AQ$190,54),AQ$5:AQ$190,0))</f>
        <v>5.0102870645464787E-2</v>
      </c>
      <c r="O248" s="11">
        <f>INDEX(AI$5:AI$190,MATCH(LARGE(AQ$5:AQ$190,54),AQ$5:AQ$190,0))</f>
        <v>0</v>
      </c>
      <c r="P248" s="11">
        <f>INDEX(AJ$5:AJ$190,MATCH(LARGE(AQ$5:AQ$190,54),AQ$5:AQ$190,0))</f>
        <v>0.33333333333333331</v>
      </c>
      <c r="Q248" s="11">
        <f>INDEX(AK$5:AK$190,MATCH(LARGE(AQ$5:AQ$190,54),AQ$5:AQ$190,0))</f>
        <v>7.575757575757576E-2</v>
      </c>
      <c r="R248" s="11">
        <f>INDEX(AL$5:AL$190,MATCH(LARGE(AQ$5:AQ$190,54),AQ$5:AQ$190,0))</f>
        <v>0.6627812044550051</v>
      </c>
      <c r="S248" s="11">
        <f>INDEX(AM$5:AM$190,MATCH(LARGE(AQ$5:AQ$190,54),AQ$5:AQ$190,0))</f>
        <v>0.33333333333333331</v>
      </c>
      <c r="T248" s="11">
        <f>INDEX(AN$5:AN$190,MATCH(LARGE(AQ$5:AQ$190,54),AQ$5:AQ$190,0))</f>
        <v>0.22580645161290322</v>
      </c>
      <c r="U248" s="11">
        <f>INDEX(AO$5:AO$190,MATCH(LARGE(AQ$5:AQ$190,54),AQ$5:AQ$190,0))</f>
        <v>8.3333333333333329E-2</v>
      </c>
      <c r="V248" s="11">
        <f>INDEX(AP$5:AP$190,MATCH(LARGE(AQ$5:AQ$190,54),AQ$5:AQ$190,0))</f>
        <v>0.5</v>
      </c>
    </row>
    <row r="249" spans="1:22" ht="15" customHeight="1" x14ac:dyDescent="0.2">
      <c r="A249" s="3">
        <v>55</v>
      </c>
      <c r="B249" s="3" t="str">
        <f>INDEX($A$5:$A$190,MATCH(LARGE(AQ$5:AQ$190,55),AQ$5:AQ$190,0))</f>
        <v>BoardWindow: close()</v>
      </c>
      <c r="C249" s="11">
        <f>INDEX(W$5:W$190,MATCH(LARGE(AQ$5:AQ$190,55),AQ$5:AQ$190,0))</f>
        <v>5.2631578947368418E-2</v>
      </c>
      <c r="D249" s="11">
        <f>INDEX(X$5:X$190,MATCH(LARGE(AQ$5:AQ$190,55),AQ$5:AQ$190,0))</f>
        <v>2.5000000000000001E-2</v>
      </c>
      <c r="E249" s="11">
        <f>INDEX(Y$5:Y$190,MATCH(LARGE(AQ$5:AQ$190,55),AQ$5:AQ$190,0))</f>
        <v>1</v>
      </c>
      <c r="F249" s="11">
        <f>INDEX(Z$5:Z$190,MATCH(LARGE(AQ$5:AQ$190,55),AQ$5:AQ$190,0))</f>
        <v>3.4482758620689655E-2</v>
      </c>
      <c r="G249" s="11">
        <f>INDEX(AA$5:AA$190,MATCH(LARGE(AQ$5:AQ$190,55),AQ$5:AQ$190,0))</f>
        <v>0.25</v>
      </c>
      <c r="H249" s="11">
        <f>INDEX(AB$5:AB$190,MATCH(LARGE(AQ$5:AQ$190,55),AQ$5:AQ$190,0))</f>
        <v>0</v>
      </c>
      <c r="I249" s="11">
        <f>INDEX(AC$5:AC$190,MATCH(LARGE(AQ$5:AQ$190,55),AQ$5:AQ$190,0))</f>
        <v>7.4925074925074928E-2</v>
      </c>
      <c r="J249" s="11">
        <f>INDEX(AD$5:AD$190,MATCH(LARGE(AQ$5:AQ$190,55),AQ$5:AQ$190,0))</f>
        <v>1.3024568536749443E-3</v>
      </c>
      <c r="K249" s="11">
        <f>INDEX(AE$5:AE$190,MATCH(LARGE(AQ$5:AQ$190,55),AQ$5:AQ$190,0))</f>
        <v>1.1889635142494102E-2</v>
      </c>
      <c r="L249" s="11">
        <f>INDEX(AF$5:AF$190,MATCH(LARGE(AQ$5:AQ$190,55),AQ$5:AQ$190,0))</f>
        <v>2.9729729729729731E-2</v>
      </c>
      <c r="M249" s="11">
        <f>INDEX(AG$5:AG$190,MATCH(LARGE(AQ$5:AQ$190,55),AQ$5:AQ$190,0))</f>
        <v>8.1632653061224483E-2</v>
      </c>
      <c r="N249" s="11">
        <f>INDEX(AH$5:AH$190,MATCH(LARGE(AQ$5:AQ$190,55),AQ$5:AQ$190,0))</f>
        <v>1.348346228834948E-2</v>
      </c>
      <c r="O249" s="11">
        <f>INDEX(AI$5:AI$190,MATCH(LARGE(AQ$5:AQ$190,55),AQ$5:AQ$190,0))</f>
        <v>1</v>
      </c>
      <c r="P249" s="11">
        <f>INDEX(AJ$5:AJ$190,MATCH(LARGE(AQ$5:AQ$190,55),AQ$5:AQ$190,0))</f>
        <v>0</v>
      </c>
      <c r="Q249" s="11">
        <f>INDEX(AK$5:AK$190,MATCH(LARGE(AQ$5:AQ$190,55),AQ$5:AQ$190,0))</f>
        <v>4.5454545454545456E-2</v>
      </c>
      <c r="R249" s="11">
        <f>INDEX(AL$5:AL$190,MATCH(LARGE(AQ$5:AQ$190,55),AQ$5:AQ$190,0))</f>
        <v>0.75481602432128814</v>
      </c>
      <c r="S249" s="11">
        <f>INDEX(AM$5:AM$190,MATCH(LARGE(AQ$5:AQ$190,55),AQ$5:AQ$190,0))</f>
        <v>0.33333333333333331</v>
      </c>
      <c r="T249" s="11">
        <f>INDEX(AN$5:AN$190,MATCH(LARGE(AQ$5:AQ$190,55),AQ$5:AQ$190,0))</f>
        <v>3.2258064516129031E-2</v>
      </c>
      <c r="U249" s="11">
        <f>INDEX(AO$5:AO$190,MATCH(LARGE(AQ$5:AQ$190,55),AQ$5:AQ$190,0))</f>
        <v>0</v>
      </c>
      <c r="V249" s="11">
        <f>INDEX(AP$5:AP$190,MATCH(LARGE(AQ$5:AQ$190,55),AQ$5:AQ$190,0))</f>
        <v>0</v>
      </c>
    </row>
    <row r="250" spans="1:22" ht="15" customHeight="1" x14ac:dyDescent="0.2">
      <c r="A250" s="3">
        <v>56</v>
      </c>
      <c r="B250" s="3" t="str">
        <f>INDEX($A$5:$A$190,MATCH(LARGE(AQ$5:AQ$190,56),AQ$5:AQ$190,0))</f>
        <v>Ship: stillFloating()</v>
      </c>
      <c r="C250" s="11">
        <f>INDEX(W$5:W$190,MATCH(LARGE(AQ$5:AQ$190,56),AQ$5:AQ$190,0))</f>
        <v>7.8947368421052627E-2</v>
      </c>
      <c r="D250" s="11">
        <f>INDEX(X$5:X$190,MATCH(LARGE(AQ$5:AQ$190,56),AQ$5:AQ$190,0))</f>
        <v>0.05</v>
      </c>
      <c r="E250" s="11">
        <f>INDEX(Y$5:Y$190,MATCH(LARGE(AQ$5:AQ$190,56),AQ$5:AQ$190,0))</f>
        <v>0.5</v>
      </c>
      <c r="F250" s="11">
        <f>INDEX(Z$5:Z$190,MATCH(LARGE(AQ$5:AQ$190,56),AQ$5:AQ$190,0))</f>
        <v>6.8965517241379309E-2</v>
      </c>
      <c r="G250" s="11">
        <f>INDEX(AA$5:AA$190,MATCH(LARGE(AQ$5:AQ$190,56),AQ$5:AQ$190,0))</f>
        <v>0.25</v>
      </c>
      <c r="H250" s="11">
        <f>INDEX(AB$5:AB$190,MATCH(LARGE(AQ$5:AQ$190,56),AQ$5:AQ$190,0))</f>
        <v>0</v>
      </c>
      <c r="I250" s="11">
        <f>INDEX(AC$5:AC$190,MATCH(LARGE(AQ$5:AQ$190,56),AQ$5:AQ$190,0))</f>
        <v>9.7402597402597407E-2</v>
      </c>
      <c r="J250" s="11">
        <f>INDEX(AD$5:AD$190,MATCH(LARGE(AQ$5:AQ$190,56),AQ$5:AQ$190,0))</f>
        <v>4.1944652050219747E-3</v>
      </c>
      <c r="K250" s="11">
        <f>INDEX(AE$5:AE$190,MATCH(LARGE(AQ$5:AQ$190,56),AQ$5:AQ$190,0))</f>
        <v>2.6048284625158832E-2</v>
      </c>
      <c r="L250" s="11">
        <f>INDEX(AF$5:AF$190,MATCH(LARGE(AQ$5:AQ$190,56),AQ$5:AQ$190,0))</f>
        <v>5.4054054054054057E-2</v>
      </c>
      <c r="M250" s="11">
        <f>INDEX(AG$5:AG$190,MATCH(LARGE(AQ$5:AQ$190,56),AQ$5:AQ$190,0))</f>
        <v>0.17346938775510204</v>
      </c>
      <c r="N250" s="11">
        <f>INDEX(AH$5:AH$190,MATCH(LARGE(AQ$5:AQ$190,56),AQ$5:AQ$190,0))</f>
        <v>3.3401927383302069E-2</v>
      </c>
      <c r="O250" s="11">
        <f>INDEX(AI$5:AI$190,MATCH(LARGE(AQ$5:AQ$190,56),AQ$5:AQ$190,0))</f>
        <v>1</v>
      </c>
      <c r="P250" s="11">
        <f>INDEX(AJ$5:AJ$190,MATCH(LARGE(AQ$5:AQ$190,56),AQ$5:AQ$190,0))</f>
        <v>0.33333333333333331</v>
      </c>
      <c r="Q250" s="11">
        <f>INDEX(AK$5:AK$190,MATCH(LARGE(AQ$5:AQ$190,56),AQ$5:AQ$190,0))</f>
        <v>0.13636363636363635</v>
      </c>
      <c r="R250" s="11">
        <f>INDEX(AL$5:AL$190,MATCH(LARGE(AQ$5:AQ$190,56),AQ$5:AQ$190,0))</f>
        <v>0.61707856394151861</v>
      </c>
      <c r="S250" s="11">
        <f>INDEX(AM$5:AM$190,MATCH(LARGE(AQ$5:AQ$190,56),AQ$5:AQ$190,0))</f>
        <v>0.16666666666666666</v>
      </c>
      <c r="T250" s="11">
        <f>INDEX(AN$5:AN$190,MATCH(LARGE(AQ$5:AQ$190,56),AQ$5:AQ$190,0))</f>
        <v>3.2258064516129031E-2</v>
      </c>
      <c r="U250" s="11">
        <f>INDEX(AO$5:AO$190,MATCH(LARGE(AQ$5:AQ$190,56),AQ$5:AQ$190,0))</f>
        <v>8.3333333333333329E-2</v>
      </c>
      <c r="V250" s="11">
        <f>INDEX(AP$5:AP$190,MATCH(LARGE(AQ$5:AQ$190,56),AQ$5:AQ$190,0))</f>
        <v>0</v>
      </c>
    </row>
    <row r="251" spans="1:22" ht="15" customHeight="1" x14ac:dyDescent="0.2">
      <c r="A251" s="3">
        <v>57</v>
      </c>
      <c r="B251" s="3" t="str">
        <f>INDEX($A$5:$A$190,MATCH(LARGE(AQ$5:AQ$190,57),AQ$5:AQ$190,0))</f>
        <v>Galleon: fillSouth(IPosition)</v>
      </c>
      <c r="C251" s="11">
        <f>INDEX(W$5:W$190,MATCH(LARGE(AQ$5:AQ$190,57),AQ$5:AQ$190,0))</f>
        <v>7.8947368421052627E-2</v>
      </c>
      <c r="D251" s="11">
        <f>INDEX(X$5:X$190,MATCH(LARGE(AQ$5:AQ$190,57),AQ$5:AQ$190,0))</f>
        <v>0.05</v>
      </c>
      <c r="E251" s="11">
        <f>INDEX(Y$5:Y$190,MATCH(LARGE(AQ$5:AQ$190,57),AQ$5:AQ$190,0))</f>
        <v>0.75</v>
      </c>
      <c r="F251" s="11">
        <f>INDEX(Z$5:Z$190,MATCH(LARGE(AQ$5:AQ$190,57),AQ$5:AQ$190,0))</f>
        <v>0.13793103448275862</v>
      </c>
      <c r="G251" s="11">
        <f>INDEX(AA$5:AA$190,MATCH(LARGE(AQ$5:AQ$190,57),AQ$5:AQ$190,0))</f>
        <v>0</v>
      </c>
      <c r="H251" s="11">
        <f>INDEX(AB$5:AB$190,MATCH(LARGE(AQ$5:AQ$190,57),AQ$5:AQ$190,0))</f>
        <v>0</v>
      </c>
      <c r="I251" s="11">
        <f>INDEX(AC$5:AC$190,MATCH(LARGE(AQ$5:AQ$190,57),AQ$5:AQ$190,0))</f>
        <v>0.14842257742257745</v>
      </c>
      <c r="J251" s="11">
        <f>INDEX(AD$5:AD$190,MATCH(LARGE(AQ$5:AQ$190,57),AQ$5:AQ$190,0))</f>
        <v>1.351639782075003E-2</v>
      </c>
      <c r="K251" s="11">
        <f>INDEX(AE$5:AE$190,MATCH(LARGE(AQ$5:AQ$190,57),AQ$5:AQ$190,0))</f>
        <v>5.6725358504265751E-2</v>
      </c>
      <c r="L251" s="11">
        <f>INDEX(AF$5:AF$190,MATCH(LARGE(AQ$5:AQ$190,57),AQ$5:AQ$190,0))</f>
        <v>0.10810810810810811</v>
      </c>
      <c r="M251" s="11">
        <f>INDEX(AG$5:AG$190,MATCH(LARGE(AQ$5:AQ$190,57),AQ$5:AQ$190,0))</f>
        <v>0.20408163265306123</v>
      </c>
      <c r="N251" s="11">
        <f>INDEX(AH$5:AH$190,MATCH(LARGE(AQ$5:AQ$190,57),AQ$5:AQ$190,0))</f>
        <v>7.0635813889976432E-2</v>
      </c>
      <c r="O251" s="11">
        <f>INDEX(AI$5:AI$190,MATCH(LARGE(AQ$5:AQ$190,57),AQ$5:AQ$190,0))</f>
        <v>0</v>
      </c>
      <c r="P251" s="11">
        <f>INDEX(AJ$5:AJ$190,MATCH(LARGE(AQ$5:AQ$190,57),AQ$5:AQ$190,0))</f>
        <v>0.33333333333333331</v>
      </c>
      <c r="Q251" s="11">
        <f>INDEX(AK$5:AK$190,MATCH(LARGE(AQ$5:AQ$190,57),AQ$5:AQ$190,0))</f>
        <v>9.8484848484848481E-2</v>
      </c>
      <c r="R251" s="11">
        <f>INDEX(AL$5:AL$190,MATCH(LARGE(AQ$5:AQ$190,57),AQ$5:AQ$190,0))</f>
        <v>0.62535757388468272</v>
      </c>
      <c r="S251" s="11">
        <f>INDEX(AM$5:AM$190,MATCH(LARGE(AQ$5:AQ$190,57),AQ$5:AQ$190,0))</f>
        <v>0.33333333333333331</v>
      </c>
      <c r="T251" s="11">
        <f>INDEX(AN$5:AN$190,MATCH(LARGE(AQ$5:AQ$190,57),AQ$5:AQ$190,0))</f>
        <v>9.6774193548387094E-2</v>
      </c>
      <c r="U251" s="11">
        <f>INDEX(AO$5:AO$190,MATCH(LARGE(AQ$5:AQ$190,57),AQ$5:AQ$190,0))</f>
        <v>0.16666666666666666</v>
      </c>
      <c r="V251" s="11">
        <f>INDEX(AP$5:AP$190,MATCH(LARGE(AQ$5:AQ$190,57),AQ$5:AQ$190,0))</f>
        <v>0.25</v>
      </c>
    </row>
    <row r="252" spans="1:22" ht="15" customHeight="1" x14ac:dyDescent="0.2">
      <c r="A252" s="3">
        <v>58</v>
      </c>
      <c r="B252" s="3" t="str">
        <f>INDEX($A$5:$A$190,MATCH(LARGE(AQ$5:AQ$190,58),AQ$5:AQ$190,0))</f>
        <v>Position: isAdjacentTo(IPosition)</v>
      </c>
      <c r="C252" s="11">
        <f>INDEX(W$5:W$190,MATCH(LARGE(AQ$5:AQ$190,58),AQ$5:AQ$190,0))</f>
        <v>5.2631578947368418E-2</v>
      </c>
      <c r="D252" s="11">
        <f>INDEX(X$5:X$190,MATCH(LARGE(AQ$5:AQ$190,58),AQ$5:AQ$190,0))</f>
        <v>2.5000000000000001E-2</v>
      </c>
      <c r="E252" s="11">
        <f>INDEX(Y$5:Y$190,MATCH(LARGE(AQ$5:AQ$190,58),AQ$5:AQ$190,0))</f>
        <v>0.66669999999999996</v>
      </c>
      <c r="F252" s="11">
        <f>INDEX(Z$5:Z$190,MATCH(LARGE(AQ$5:AQ$190,58),AQ$5:AQ$190,0))</f>
        <v>0.10344827586206896</v>
      </c>
      <c r="G252" s="11">
        <f>INDEX(AA$5:AA$190,MATCH(LARGE(AQ$5:AQ$190,58),AQ$5:AQ$190,0))</f>
        <v>0</v>
      </c>
      <c r="H252" s="11">
        <f>INDEX(AB$5:AB$190,MATCH(LARGE(AQ$5:AQ$190,58),AQ$5:AQ$190,0))</f>
        <v>0</v>
      </c>
      <c r="I252" s="11">
        <f>INDEX(AC$5:AC$190,MATCH(LARGE(AQ$5:AQ$190,58),AQ$5:AQ$190,0))</f>
        <v>7.4925074925074928E-2</v>
      </c>
      <c r="J252" s="11">
        <f>INDEX(AD$5:AD$190,MATCH(LARGE(AQ$5:AQ$190,58),AQ$5:AQ$190,0))</f>
        <v>3.0054031393765353E-3</v>
      </c>
      <c r="K252" s="11">
        <f>INDEX(AE$5:AE$190,MATCH(LARGE(AQ$5:AQ$190,58),AQ$5:AQ$190,0))</f>
        <v>2.0784171355962971E-2</v>
      </c>
      <c r="L252" s="11">
        <f>INDEX(AF$5:AF$190,MATCH(LARGE(AQ$5:AQ$190,58),AQ$5:AQ$190,0))</f>
        <v>5.4054054054054057E-2</v>
      </c>
      <c r="M252" s="11">
        <f>INDEX(AG$5:AG$190,MATCH(LARGE(AQ$5:AQ$190,58),AQ$5:AQ$190,0))</f>
        <v>0.14285714285714285</v>
      </c>
      <c r="N252" s="11">
        <f>INDEX(AH$5:AH$190,MATCH(LARGE(AQ$5:AQ$190,58),AQ$5:AQ$190,0))</f>
        <v>3.1112925794459897E-2</v>
      </c>
      <c r="O252" s="11">
        <f>INDEX(AI$5:AI$190,MATCH(LARGE(AQ$5:AQ$190,58),AQ$5:AQ$190,0))</f>
        <v>1</v>
      </c>
      <c r="P252" s="11">
        <f>INDEX(AJ$5:AJ$190,MATCH(LARGE(AQ$5:AQ$190,58),AQ$5:AQ$190,0))</f>
        <v>0</v>
      </c>
      <c r="Q252" s="11">
        <f>INDEX(AK$5:AK$190,MATCH(LARGE(AQ$5:AQ$190,58),AQ$5:AQ$190,0))</f>
        <v>8.3333333333333329E-2</v>
      </c>
      <c r="R252" s="11">
        <f>INDEX(AL$5:AL$190,MATCH(LARGE(AQ$5:AQ$190,58),AQ$5:AQ$190,0))</f>
        <v>0.66838023728289775</v>
      </c>
      <c r="S252" s="11">
        <f>INDEX(AM$5:AM$190,MATCH(LARGE(AQ$5:AQ$190,58),AQ$5:AQ$190,0))</f>
        <v>0.16666666666666666</v>
      </c>
      <c r="T252" s="11">
        <f>INDEX(AN$5:AN$190,MATCH(LARGE(AQ$5:AQ$190,58),AQ$5:AQ$190,0))</f>
        <v>9.6774193548387094E-2</v>
      </c>
      <c r="U252" s="11">
        <f>INDEX(AO$5:AO$190,MATCH(LARGE(AQ$5:AQ$190,58),AQ$5:AQ$190,0))</f>
        <v>0</v>
      </c>
      <c r="V252" s="11">
        <f>INDEX(AP$5:AP$190,MATCH(LARGE(AQ$5:AQ$190,58),AQ$5:AQ$190,0))</f>
        <v>0.25</v>
      </c>
    </row>
    <row r="253" spans="1:22" ht="15" customHeight="1" x14ac:dyDescent="0.2">
      <c r="A253" s="3">
        <v>59</v>
      </c>
      <c r="B253" s="3" t="str">
        <f>INDEX($A$5:$A$190,MATCH(LARGE(AQ$5:AQ$190,59),AQ$5:AQ$190,0))</f>
        <v>Galleon: fillWest(IPosition)</v>
      </c>
      <c r="C253" s="11">
        <f>INDEX(W$5:W$190,MATCH(LARGE(AQ$5:AQ$190,59),AQ$5:AQ$190,0))</f>
        <v>5.2631578947368418E-2</v>
      </c>
      <c r="D253" s="11">
        <f>INDEX(X$5:X$190,MATCH(LARGE(AQ$5:AQ$190,59),AQ$5:AQ$190,0))</f>
        <v>2.5000000000000001E-2</v>
      </c>
      <c r="E253" s="11">
        <f>INDEX(Y$5:Y$190,MATCH(LARGE(AQ$5:AQ$190,59),AQ$5:AQ$190,0))</f>
        <v>0.75</v>
      </c>
      <c r="F253" s="11">
        <f>INDEX(Z$5:Z$190,MATCH(LARGE(AQ$5:AQ$190,59),AQ$5:AQ$190,0))</f>
        <v>0.13793103448275862</v>
      </c>
      <c r="G253" s="11">
        <f>INDEX(AA$5:AA$190,MATCH(LARGE(AQ$5:AQ$190,59),AQ$5:AQ$190,0))</f>
        <v>0</v>
      </c>
      <c r="H253" s="11">
        <f>INDEX(AB$5:AB$190,MATCH(LARGE(AQ$5:AQ$190,59),AQ$5:AQ$190,0))</f>
        <v>0</v>
      </c>
      <c r="I253" s="11">
        <f>INDEX(AC$5:AC$190,MATCH(LARGE(AQ$5:AQ$190,59),AQ$5:AQ$190,0))</f>
        <v>0.18181818181818182</v>
      </c>
      <c r="J253" s="11">
        <f>INDEX(AD$5:AD$190,MATCH(LARGE(AQ$5:AQ$190,59),AQ$5:AQ$190,0))</f>
        <v>1.5575872593756878E-2</v>
      </c>
      <c r="K253" s="11">
        <f>INDEX(AE$5:AE$190,MATCH(LARGE(AQ$5:AQ$190,59),AQ$5:AQ$190,0))</f>
        <v>6.2352514067888914E-2</v>
      </c>
      <c r="L253" s="11">
        <f>INDEX(AF$5:AF$190,MATCH(LARGE(AQ$5:AQ$190,59),AQ$5:AQ$190,0))</f>
        <v>0.10540540540540541</v>
      </c>
      <c r="M253" s="11">
        <f>INDEX(AG$5:AG$190,MATCH(LARGE(AQ$5:AQ$190,59),AQ$5:AQ$190,0))</f>
        <v>0.18367346938775511</v>
      </c>
      <c r="N253" s="11">
        <f>INDEX(AH$5:AH$190,MATCH(LARGE(AQ$5:AQ$190,59),AQ$5:AQ$190,0))</f>
        <v>6.6447768785261818E-2</v>
      </c>
      <c r="O253" s="11">
        <f>INDEX(AI$5:AI$190,MATCH(LARGE(AQ$5:AQ$190,59),AQ$5:AQ$190,0))</f>
        <v>0</v>
      </c>
      <c r="P253" s="11">
        <f>INDEX(AJ$5:AJ$190,MATCH(LARGE(AQ$5:AQ$190,59),AQ$5:AQ$190,0))</f>
        <v>0.33333333333333331</v>
      </c>
      <c r="Q253" s="11">
        <f>INDEX(AK$5:AK$190,MATCH(LARGE(AQ$5:AQ$190,59),AQ$5:AQ$190,0))</f>
        <v>9.0909090909090912E-2</v>
      </c>
      <c r="R253" s="11">
        <f>INDEX(AL$5:AL$190,MATCH(LARGE(AQ$5:AQ$190,59),AQ$5:AQ$190,0))</f>
        <v>0.63574548673896791</v>
      </c>
      <c r="S253" s="11">
        <f>INDEX(AM$5:AM$190,MATCH(LARGE(AQ$5:AQ$190,59),AQ$5:AQ$190,0))</f>
        <v>0.33333333333333331</v>
      </c>
      <c r="T253" s="11">
        <f>INDEX(AN$5:AN$190,MATCH(LARGE(AQ$5:AQ$190,59),AQ$5:AQ$190,0))</f>
        <v>6.4516129032258063E-2</v>
      </c>
      <c r="U253" s="11">
        <f>INDEX(AO$5:AO$190,MATCH(LARGE(AQ$5:AQ$190,59),AQ$5:AQ$190,0))</f>
        <v>8.3333333333333329E-2</v>
      </c>
      <c r="V253" s="11">
        <f>INDEX(AP$5:AP$190,MATCH(LARGE(AQ$5:AQ$190,59),AQ$5:AQ$190,0))</f>
        <v>0.25</v>
      </c>
    </row>
    <row r="254" spans="1:22" ht="15" customHeight="1" x14ac:dyDescent="0.2">
      <c r="A254" s="3">
        <v>60</v>
      </c>
      <c r="B254" s="3" t="str">
        <f>INDEX($A$5:$A$190,MATCH(LARGE(AQ$5:AQ$190,60),AQ$5:AQ$190,0))</f>
        <v>Galleon: fillEast(IPosition)</v>
      </c>
      <c r="C254" s="11">
        <f>INDEX(W$5:W$190,MATCH(LARGE(AQ$5:AQ$190,60),AQ$5:AQ$190,0))</f>
        <v>5.2631578947368418E-2</v>
      </c>
      <c r="D254" s="11">
        <f>INDEX(X$5:X$190,MATCH(LARGE(AQ$5:AQ$190,60),AQ$5:AQ$190,0))</f>
        <v>2.5000000000000001E-2</v>
      </c>
      <c r="E254" s="11">
        <f>INDEX(Y$5:Y$190,MATCH(LARGE(AQ$5:AQ$190,60),AQ$5:AQ$190,0))</f>
        <v>0.75</v>
      </c>
      <c r="F254" s="11">
        <f>INDEX(Z$5:Z$190,MATCH(LARGE(AQ$5:AQ$190,60),AQ$5:AQ$190,0))</f>
        <v>0.13793103448275862</v>
      </c>
      <c r="G254" s="11">
        <f>INDEX(AA$5:AA$190,MATCH(LARGE(AQ$5:AQ$190,60),AQ$5:AQ$190,0))</f>
        <v>0</v>
      </c>
      <c r="H254" s="11">
        <f>INDEX(AB$5:AB$190,MATCH(LARGE(AQ$5:AQ$190,60),AQ$5:AQ$190,0))</f>
        <v>0</v>
      </c>
      <c r="I254" s="11">
        <f>INDEX(AC$5:AC$190,MATCH(LARGE(AQ$5:AQ$190,60),AQ$5:AQ$190,0))</f>
        <v>0.15151548451548452</v>
      </c>
      <c r="J254" s="11">
        <f>INDEX(AD$5:AD$190,MATCH(LARGE(AQ$5:AQ$190,60),AQ$5:AQ$190,0))</f>
        <v>1.3222695115859315E-2</v>
      </c>
      <c r="K254" s="11">
        <f>INDEX(AE$5:AE$190,MATCH(LARGE(AQ$5:AQ$190,60),AQ$5:AQ$190,0))</f>
        <v>5.5908513341804328E-2</v>
      </c>
      <c r="L254" s="11">
        <f>INDEX(AF$5:AF$190,MATCH(LARGE(AQ$5:AQ$190,60),AQ$5:AQ$190,0))</f>
        <v>0.10540540540540541</v>
      </c>
      <c r="M254" s="11">
        <f>INDEX(AG$5:AG$190,MATCH(LARGE(AQ$5:AQ$190,60),AQ$5:AQ$190,0))</f>
        <v>0.19387755102040816</v>
      </c>
      <c r="N254" s="11">
        <f>INDEX(AH$5:AH$190,MATCH(LARGE(AQ$5:AQ$190,60),AQ$5:AQ$190,0))</f>
        <v>6.7690739713364478E-2</v>
      </c>
      <c r="O254" s="11">
        <f>INDEX(AI$5:AI$190,MATCH(LARGE(AQ$5:AQ$190,60),AQ$5:AQ$190,0))</f>
        <v>0</v>
      </c>
      <c r="P254" s="11">
        <f>INDEX(AJ$5:AJ$190,MATCH(LARGE(AQ$5:AQ$190,60),AQ$5:AQ$190,0))</f>
        <v>0.33333333333333331</v>
      </c>
      <c r="Q254" s="11">
        <f>INDEX(AK$5:AK$190,MATCH(LARGE(AQ$5:AQ$190,60),AQ$5:AQ$190,0))</f>
        <v>9.0909090909090912E-2</v>
      </c>
      <c r="R254" s="11">
        <f>INDEX(AL$5:AL$190,MATCH(LARGE(AQ$5:AQ$190,60),AQ$5:AQ$190,0))</f>
        <v>0.63516292841005428</v>
      </c>
      <c r="S254" s="11">
        <f>INDEX(AM$5:AM$190,MATCH(LARGE(AQ$5:AQ$190,60),AQ$5:AQ$190,0))</f>
        <v>0.33333333333333331</v>
      </c>
      <c r="T254" s="11">
        <f>INDEX(AN$5:AN$190,MATCH(LARGE(AQ$5:AQ$190,60),AQ$5:AQ$190,0))</f>
        <v>6.4516129032258063E-2</v>
      </c>
      <c r="U254" s="11">
        <f>INDEX(AO$5:AO$190,MATCH(LARGE(AQ$5:AQ$190,60),AQ$5:AQ$190,0))</f>
        <v>8.3333333333333329E-2</v>
      </c>
      <c r="V254" s="11">
        <f>INDEX(AP$5:AP$190,MATCH(LARGE(AQ$5:AQ$190,60),AQ$5:AQ$190,0))</f>
        <v>0.25</v>
      </c>
    </row>
    <row r="255" spans="1:22" ht="15" customHeight="1" x14ac:dyDescent="0.2">
      <c r="A255" s="3">
        <v>61</v>
      </c>
      <c r="B255" s="3" t="str">
        <f>INDEX($A$5:$A$190,MATCH(LARGE(AQ$5:AQ$190,61),AQ$5:AQ$190,0))</f>
        <v>Galleon: fillNorth(IPosition)</v>
      </c>
      <c r="C255" s="11">
        <f>INDEX(W$5:W$190,MATCH(LARGE(AQ$5:AQ$190,61),AQ$5:AQ$190,0))</f>
        <v>5.2631578947368418E-2</v>
      </c>
      <c r="D255" s="11">
        <f>INDEX(X$5:X$190,MATCH(LARGE(AQ$5:AQ$190,61),AQ$5:AQ$190,0))</f>
        <v>2.5000000000000001E-2</v>
      </c>
      <c r="E255" s="11">
        <f>INDEX(Y$5:Y$190,MATCH(LARGE(AQ$5:AQ$190,61),AQ$5:AQ$190,0))</f>
        <v>0.75</v>
      </c>
      <c r="F255" s="11">
        <f>INDEX(Z$5:Z$190,MATCH(LARGE(AQ$5:AQ$190,61),AQ$5:AQ$190,0))</f>
        <v>0.13793103448275862</v>
      </c>
      <c r="G255" s="11">
        <f>INDEX(AA$5:AA$190,MATCH(LARGE(AQ$5:AQ$190,61),AQ$5:AQ$190,0))</f>
        <v>0</v>
      </c>
      <c r="H255" s="11">
        <f>INDEX(AB$5:AB$190,MATCH(LARGE(AQ$5:AQ$190,61),AQ$5:AQ$190,0))</f>
        <v>0</v>
      </c>
      <c r="I255" s="11">
        <f>INDEX(AC$5:AC$190,MATCH(LARGE(AQ$5:AQ$190,61),AQ$5:AQ$190,0))</f>
        <v>0.14985014985014986</v>
      </c>
      <c r="J255" s="11">
        <f>INDEX(AD$5:AD$190,MATCH(LARGE(AQ$5:AQ$190,61),AQ$5:AQ$190,0))</f>
        <v>1.3495578508408582E-2</v>
      </c>
      <c r="K255" s="11">
        <f>INDEX(AE$5:AE$190,MATCH(LARGE(AQ$5:AQ$190,61),AQ$5:AQ$190,0))</f>
        <v>5.6725358504265751E-2</v>
      </c>
      <c r="L255" s="11">
        <f>INDEX(AF$5:AF$190,MATCH(LARGE(AQ$5:AQ$190,61),AQ$5:AQ$190,0))</f>
        <v>0.11081081081081082</v>
      </c>
      <c r="M255" s="11">
        <f>INDEX(AG$5:AG$190,MATCH(LARGE(AQ$5:AQ$190,61),AQ$5:AQ$190,0))</f>
        <v>0.18367346938775511</v>
      </c>
      <c r="N255" s="11">
        <f>INDEX(AH$5:AH$190,MATCH(LARGE(AQ$5:AQ$190,61),AQ$5:AQ$190,0))</f>
        <v>6.9855325718364142E-2</v>
      </c>
      <c r="O255" s="11">
        <f>INDEX(AI$5:AI$190,MATCH(LARGE(AQ$5:AQ$190,61),AQ$5:AQ$190,0))</f>
        <v>0</v>
      </c>
      <c r="P255" s="11">
        <f>INDEX(AJ$5:AJ$190,MATCH(LARGE(AQ$5:AQ$190,61),AQ$5:AQ$190,0))</f>
        <v>0.33333333333333331</v>
      </c>
      <c r="Q255" s="11">
        <f>INDEX(AK$5:AK$190,MATCH(LARGE(AQ$5:AQ$190,61),AQ$5:AQ$190,0))</f>
        <v>9.0909090909090912E-2</v>
      </c>
      <c r="R255" s="11">
        <f>INDEX(AL$5:AL$190,MATCH(LARGE(AQ$5:AQ$190,61),AQ$5:AQ$190,0))</f>
        <v>0.63421496611139183</v>
      </c>
      <c r="S255" s="11">
        <f>INDEX(AM$5:AM$190,MATCH(LARGE(AQ$5:AQ$190,61),AQ$5:AQ$190,0))</f>
        <v>0.33333333333333331</v>
      </c>
      <c r="T255" s="11">
        <f>INDEX(AN$5:AN$190,MATCH(LARGE(AQ$5:AQ$190,61),AQ$5:AQ$190,0))</f>
        <v>6.4516129032258063E-2</v>
      </c>
      <c r="U255" s="11">
        <f>INDEX(AO$5:AO$190,MATCH(LARGE(AQ$5:AQ$190,61),AQ$5:AQ$190,0))</f>
        <v>8.3333333333333329E-2</v>
      </c>
      <c r="V255" s="11">
        <f>INDEX(AP$5:AP$190,MATCH(LARGE(AQ$5:AQ$190,61),AQ$5:AQ$190,0))</f>
        <v>0.25</v>
      </c>
    </row>
    <row r="256" spans="1:22" ht="15" customHeight="1" x14ac:dyDescent="0.2">
      <c r="A256" s="3">
        <v>62</v>
      </c>
      <c r="B256" s="3" t="str">
        <f>INDEX($A$5:$A$190,MATCH(LARGE(AQ$5:AQ$190,62),AQ$5:AQ$190,0))</f>
        <v>Scoreboard: interactiveDisplay(Scanner)</v>
      </c>
      <c r="C256" s="11">
        <f>INDEX(W$5:W$190,MATCH(LARGE(AQ$5:AQ$190,62),AQ$5:AQ$190,0))</f>
        <v>7.8947368421052627E-2</v>
      </c>
      <c r="D256" s="11">
        <f>INDEX(X$5:X$190,MATCH(LARGE(AQ$5:AQ$190,62),AQ$5:AQ$190,0))</f>
        <v>0.05</v>
      </c>
      <c r="E256" s="11">
        <f>INDEX(Y$5:Y$190,MATCH(LARGE(AQ$5:AQ$190,62),AQ$5:AQ$190,0))</f>
        <v>0.4</v>
      </c>
      <c r="F256" s="11">
        <f>INDEX(Z$5:Z$190,MATCH(LARGE(AQ$5:AQ$190,62),AQ$5:AQ$190,0))</f>
        <v>0.13793103448275862</v>
      </c>
      <c r="G256" s="11">
        <f>INDEX(AA$5:AA$190,MATCH(LARGE(AQ$5:AQ$190,62),AQ$5:AQ$190,0))</f>
        <v>0.5</v>
      </c>
      <c r="H256" s="11">
        <f>INDEX(AB$5:AB$190,MATCH(LARGE(AQ$5:AQ$190,62),AQ$5:AQ$190,0))</f>
        <v>0.2</v>
      </c>
      <c r="I256" s="11">
        <f>INDEX(AC$5:AC$190,MATCH(LARGE(AQ$5:AQ$190,62),AQ$5:AQ$190,0))</f>
        <v>8.7912087912087919E-2</v>
      </c>
      <c r="J256" s="11">
        <f>INDEX(AD$5:AD$190,MATCH(LARGE(AQ$5:AQ$190,62),AQ$5:AQ$190,0))</f>
        <v>6.3055972587037464E-3</v>
      </c>
      <c r="K256" s="11">
        <f>INDEX(AE$5:AE$190,MATCH(LARGE(AQ$5:AQ$190,62),AQ$5:AQ$190,0))</f>
        <v>3.4125975676166279E-2</v>
      </c>
      <c r="L256" s="11">
        <f>INDEX(AF$5:AF$190,MATCH(LARGE(AQ$5:AQ$190,62),AQ$5:AQ$190,0))</f>
        <v>8.3783783783783788E-2</v>
      </c>
      <c r="M256" s="11">
        <f>INDEX(AG$5:AG$190,MATCH(LARGE(AQ$5:AQ$190,62),AQ$5:AQ$190,0))</f>
        <v>0.21428571428571427</v>
      </c>
      <c r="N256" s="11">
        <f>INDEX(AH$5:AH$190,MATCH(LARGE(AQ$5:AQ$190,62),AQ$5:AQ$190,0))</f>
        <v>5.5634318042841947E-2</v>
      </c>
      <c r="O256" s="11">
        <f>INDEX(AI$5:AI$190,MATCH(LARGE(AQ$5:AQ$190,62),AQ$5:AQ$190,0))</f>
        <v>0</v>
      </c>
      <c r="P256" s="11">
        <f>INDEX(AJ$5:AJ$190,MATCH(LARGE(AQ$5:AQ$190,62),AQ$5:AQ$190,0))</f>
        <v>0</v>
      </c>
      <c r="Q256" s="11">
        <f>INDEX(AK$5:AK$190,MATCH(LARGE(AQ$5:AQ$190,62),AQ$5:AQ$190,0))</f>
        <v>0.12878787878787878</v>
      </c>
      <c r="R256" s="11">
        <f>INDEX(AL$5:AL$190,MATCH(LARGE(AQ$5:AQ$190,62),AQ$5:AQ$190,0))</f>
        <v>0.6062803546297727</v>
      </c>
      <c r="S256" s="11">
        <f>INDEX(AM$5:AM$190,MATCH(LARGE(AQ$5:AQ$190,62),AQ$5:AQ$190,0))</f>
        <v>0.33333333333333331</v>
      </c>
      <c r="T256" s="11">
        <f>INDEX(AN$5:AN$190,MATCH(LARGE(AQ$5:AQ$190,62),AQ$5:AQ$190,0))</f>
        <v>0.12903225806451613</v>
      </c>
      <c r="U256" s="11">
        <f>INDEX(AO$5:AO$190,MATCH(LARGE(AQ$5:AQ$190,62),AQ$5:AQ$190,0))</f>
        <v>0</v>
      </c>
      <c r="V256" s="11">
        <f>INDEX(AP$5:AP$190,MATCH(LARGE(AQ$5:AQ$190,62),AQ$5:AQ$190,0))</f>
        <v>0.25</v>
      </c>
    </row>
    <row r="257" spans="1:22" ht="15" customHeight="1" x14ac:dyDescent="0.2">
      <c r="A257" s="3">
        <v>63</v>
      </c>
      <c r="B257" s="3" t="str">
        <f>INDEX($A$5:$A$190,MATCH(LARGE(AQ$5:AQ$190,63),AQ$5:AQ$190,0))</f>
        <v>Position: hashCode()</v>
      </c>
      <c r="C257" s="11">
        <f>INDEX(W$5:W$190,MATCH(LARGE(AQ$5:AQ$190,63),AQ$5:AQ$190,0))</f>
        <v>2.6315789473684209E-2</v>
      </c>
      <c r="D257" s="11">
        <f>INDEX(X$5:X$190,MATCH(LARGE(AQ$5:AQ$190,63),AQ$5:AQ$190,0))</f>
        <v>0</v>
      </c>
      <c r="E257" s="11">
        <f>INDEX(Y$5:Y$190,MATCH(LARGE(AQ$5:AQ$190,63),AQ$5:AQ$190,0))</f>
        <v>1</v>
      </c>
      <c r="F257" s="11">
        <f>INDEX(Z$5:Z$190,MATCH(LARGE(AQ$5:AQ$190,63),AQ$5:AQ$190,0))</f>
        <v>3.4482758620689655E-2</v>
      </c>
      <c r="G257" s="11">
        <f>INDEX(AA$5:AA$190,MATCH(LARGE(AQ$5:AQ$190,63),AQ$5:AQ$190,0))</f>
        <v>0</v>
      </c>
      <c r="H257" s="11">
        <f>INDEX(AB$5:AB$190,MATCH(LARGE(AQ$5:AQ$190,63),AQ$5:AQ$190,0))</f>
        <v>0</v>
      </c>
      <c r="I257" s="11">
        <f>INDEX(AC$5:AC$190,MATCH(LARGE(AQ$5:AQ$190,63),AQ$5:AQ$190,0))</f>
        <v>1.998001998001998E-2</v>
      </c>
      <c r="J257" s="11">
        <f>INDEX(AD$5:AD$190,MATCH(LARGE(AQ$5:AQ$190,63),AQ$5:AQ$190,0))</f>
        <v>2.525976928339286E-4</v>
      </c>
      <c r="K257" s="11">
        <f>INDEX(AE$5:AE$190,MATCH(LARGE(AQ$5:AQ$190,63),AQ$5:AQ$190,0))</f>
        <v>3.9934652387003094E-3</v>
      </c>
      <c r="L257" s="11">
        <f>INDEX(AF$5:AF$190,MATCH(LARGE(AQ$5:AQ$190,63),AQ$5:AQ$190,0))</f>
        <v>2.1621621621621623E-2</v>
      </c>
      <c r="M257" s="11">
        <f>INDEX(AG$5:AG$190,MATCH(LARGE(AQ$5:AQ$190,63),AQ$5:AQ$190,0))</f>
        <v>8.1632653061224483E-2</v>
      </c>
      <c r="N257" s="11">
        <f>INDEX(AH$5:AH$190,MATCH(LARGE(AQ$5:AQ$190,63),AQ$5:AQ$190,0))</f>
        <v>9.8061543915268952E-3</v>
      </c>
      <c r="O257" s="11">
        <f>INDEX(AI$5:AI$190,MATCH(LARGE(AQ$5:AQ$190,63),AQ$5:AQ$190,0))</f>
        <v>1</v>
      </c>
      <c r="P257" s="11">
        <f>INDEX(AJ$5:AJ$190,MATCH(LARGE(AQ$5:AQ$190,63),AQ$5:AQ$190,0))</f>
        <v>0</v>
      </c>
      <c r="Q257" s="11">
        <f>INDEX(AK$5:AK$190,MATCH(LARGE(AQ$5:AQ$190,63),AQ$5:AQ$190,0))</f>
        <v>6.8181818181818177E-2</v>
      </c>
      <c r="R257" s="11">
        <f>INDEX(AL$5:AL$190,MATCH(LARGE(AQ$5:AQ$190,63),AQ$5:AQ$190,0))</f>
        <v>0.72579564104384431</v>
      </c>
      <c r="S257" s="11">
        <f>INDEX(AM$5:AM$190,MATCH(LARGE(AQ$5:AQ$190,63),AQ$5:AQ$190,0))</f>
        <v>0.16666666666666666</v>
      </c>
      <c r="T257" s="11">
        <f>INDEX(AN$5:AN$190,MATCH(LARGE(AQ$5:AQ$190,63),AQ$5:AQ$190,0))</f>
        <v>0.12903225806451613</v>
      </c>
      <c r="U257" s="11">
        <f>INDEX(AO$5:AO$190,MATCH(LARGE(AQ$5:AQ$190,63),AQ$5:AQ$190,0))</f>
        <v>0</v>
      </c>
      <c r="V257" s="11">
        <f>INDEX(AP$5:AP$190,MATCH(LARGE(AQ$5:AQ$190,63),AQ$5:AQ$190,0))</f>
        <v>0</v>
      </c>
    </row>
    <row r="258" spans="1:22" ht="15" customHeight="1" x14ac:dyDescent="0.2">
      <c r="A258" s="3">
        <v>64</v>
      </c>
      <c r="B258" s="3" t="str">
        <f>INDEX($A$5:$A$190,MATCH(LARGE(AQ$5:AQ$190,64),AQ$5:AQ$190,0))</f>
        <v>Move: toString()</v>
      </c>
      <c r="C258" s="11">
        <f>INDEX(W$5:W$190,MATCH(LARGE(AQ$5:AQ$190,64),AQ$5:AQ$190,0))</f>
        <v>2.6315789473684209E-2</v>
      </c>
      <c r="D258" s="11">
        <f>INDEX(X$5:X$190,MATCH(LARGE(AQ$5:AQ$190,64),AQ$5:AQ$190,0))</f>
        <v>0</v>
      </c>
      <c r="E258" s="11">
        <f>INDEX(Y$5:Y$190,MATCH(LARGE(AQ$5:AQ$190,64),AQ$5:AQ$190,0))</f>
        <v>1</v>
      </c>
      <c r="F258" s="11">
        <f>INDEX(Z$5:Z$190,MATCH(LARGE(AQ$5:AQ$190,64),AQ$5:AQ$190,0))</f>
        <v>3.4482758620689655E-2</v>
      </c>
      <c r="G258" s="11">
        <f>INDEX(AA$5:AA$190,MATCH(LARGE(AQ$5:AQ$190,64),AQ$5:AQ$190,0))</f>
        <v>0</v>
      </c>
      <c r="H258" s="11">
        <f>INDEX(AB$5:AB$190,MATCH(LARGE(AQ$5:AQ$190,64),AQ$5:AQ$190,0))</f>
        <v>0</v>
      </c>
      <c r="I258" s="11">
        <f>INDEX(AC$5:AC$190,MATCH(LARGE(AQ$5:AQ$190,64),AQ$5:AQ$190,0))</f>
        <v>1.4985014985014986E-2</v>
      </c>
      <c r="J258" s="11">
        <f>INDEX(AD$5:AD$190,MATCH(LARGE(AQ$5:AQ$190,64),AQ$5:AQ$190,0))</f>
        <v>3.2769182944229508E-4</v>
      </c>
      <c r="K258" s="11">
        <f>INDEX(AE$5:AE$190,MATCH(LARGE(AQ$5:AQ$190,64),AQ$5:AQ$190,0))</f>
        <v>4.71954982755491E-3</v>
      </c>
      <c r="L258" s="11">
        <f>INDEX(AF$5:AF$190,MATCH(LARGE(AQ$5:AQ$190,64),AQ$5:AQ$190,0))</f>
        <v>3.2432432432432434E-2</v>
      </c>
      <c r="M258" s="11">
        <f>INDEX(AG$5:AG$190,MATCH(LARGE(AQ$5:AQ$190,64),AQ$5:AQ$190,0))</f>
        <v>0.11224489795918367</v>
      </c>
      <c r="N258" s="11">
        <f>INDEX(AH$5:AH$190,MATCH(LARGE(AQ$5:AQ$190,64),AQ$5:AQ$190,0))</f>
        <v>1.6961868686930594E-2</v>
      </c>
      <c r="O258" s="11">
        <f>INDEX(AI$5:AI$190,MATCH(LARGE(AQ$5:AQ$190,64),AQ$5:AQ$190,0))</f>
        <v>1</v>
      </c>
      <c r="P258" s="11">
        <f>INDEX(AJ$5:AJ$190,MATCH(LARGE(AQ$5:AQ$190,64),AQ$5:AQ$190,0))</f>
        <v>0</v>
      </c>
      <c r="Q258" s="11">
        <f>INDEX(AK$5:AK$190,MATCH(LARGE(AQ$5:AQ$190,64),AQ$5:AQ$190,0))</f>
        <v>6.0606060606060608E-2</v>
      </c>
      <c r="R258" s="11">
        <f>INDEX(AL$5:AL$190,MATCH(LARGE(AQ$5:AQ$190,64),AQ$5:AQ$190,0))</f>
        <v>0.72044403890403863</v>
      </c>
      <c r="S258" s="11">
        <f>INDEX(AM$5:AM$190,MATCH(LARGE(AQ$5:AQ$190,64),AQ$5:AQ$190,0))</f>
        <v>0.16666666666666666</v>
      </c>
      <c r="T258" s="11">
        <f>INDEX(AN$5:AN$190,MATCH(LARGE(AQ$5:AQ$190,64),AQ$5:AQ$190,0))</f>
        <v>9.6774193548387094E-2</v>
      </c>
      <c r="U258" s="11">
        <f>INDEX(AO$5:AO$190,MATCH(LARGE(AQ$5:AQ$190,64),AQ$5:AQ$190,0))</f>
        <v>0</v>
      </c>
      <c r="V258" s="11">
        <f>INDEX(AP$5:AP$190,MATCH(LARGE(AQ$5:AQ$190,64),AQ$5:AQ$190,0))</f>
        <v>0</v>
      </c>
    </row>
    <row r="259" spans="1:22" ht="15" customHeight="1" x14ac:dyDescent="0.2">
      <c r="A259" s="3">
        <v>65</v>
      </c>
      <c r="B259" s="3" t="str">
        <f>INDEX($A$5:$A$190,MATCH(LARGE(AQ$5:AQ$190,65),AQ$5:AQ$190,0))</f>
        <v>Game: getRemainingShips()</v>
      </c>
      <c r="C259" s="11">
        <f>INDEX(W$5:W$190,MATCH(LARGE(AQ$5:AQ$190,65),AQ$5:AQ$190,0))</f>
        <v>2.6315789473684209E-2</v>
      </c>
      <c r="D259" s="11">
        <f>INDEX(X$5:X$190,MATCH(LARGE(AQ$5:AQ$190,65),AQ$5:AQ$190,0))</f>
        <v>0</v>
      </c>
      <c r="E259" s="11">
        <f>INDEX(Y$5:Y$190,MATCH(LARGE(AQ$5:AQ$190,65),AQ$5:AQ$190,0))</f>
        <v>1</v>
      </c>
      <c r="F259" s="11">
        <f>INDEX(Z$5:Z$190,MATCH(LARGE(AQ$5:AQ$190,65),AQ$5:AQ$190,0))</f>
        <v>6.8965517241379309E-2</v>
      </c>
      <c r="G259" s="11">
        <f>INDEX(AA$5:AA$190,MATCH(LARGE(AQ$5:AQ$190,65),AQ$5:AQ$190,0))</f>
        <v>0</v>
      </c>
      <c r="H259" s="11">
        <f>INDEX(AB$5:AB$190,MATCH(LARGE(AQ$5:AQ$190,65),AQ$5:AQ$190,0))</f>
        <v>0</v>
      </c>
      <c r="I259" s="11">
        <f>INDEX(AC$5:AC$190,MATCH(LARGE(AQ$5:AQ$190,65),AQ$5:AQ$190,0))</f>
        <v>2.4975024975024976E-2</v>
      </c>
      <c r="J259" s="11">
        <f>INDEX(AD$5:AD$190,MATCH(LARGE(AQ$5:AQ$190,65),AQ$5:AQ$190,0))</f>
        <v>2.5853742233187974E-4</v>
      </c>
      <c r="K259" s="11">
        <f>INDEX(AE$5:AE$190,MATCH(LARGE(AQ$5:AQ$190,65),AQ$5:AQ$190,0))</f>
        <v>4.0842258123071342E-3</v>
      </c>
      <c r="L259" s="11">
        <f>INDEX(AF$5:AF$190,MATCH(LARGE(AQ$5:AQ$190,65),AQ$5:AQ$190,0))</f>
        <v>1.891891891891892E-2</v>
      </c>
      <c r="M259" s="11">
        <f>INDEX(AG$5:AG$190,MATCH(LARGE(AQ$5:AQ$190,65),AQ$5:AQ$190,0))</f>
        <v>7.1428571428571425E-2</v>
      </c>
      <c r="N259" s="11">
        <f>INDEX(AH$5:AH$190,MATCH(LARGE(AQ$5:AQ$190,65),AQ$5:AQ$190,0))</f>
        <v>8.0294017927121149E-3</v>
      </c>
      <c r="O259" s="11">
        <f>INDEX(AI$5:AI$190,MATCH(LARGE(AQ$5:AQ$190,65),AQ$5:AQ$190,0))</f>
        <v>1</v>
      </c>
      <c r="P259" s="11">
        <f>INDEX(AJ$5:AJ$190,MATCH(LARGE(AQ$5:AQ$190,65),AQ$5:AQ$190,0))</f>
        <v>0</v>
      </c>
      <c r="Q259" s="11">
        <f>INDEX(AK$5:AK$190,MATCH(LARGE(AQ$5:AQ$190,65),AQ$5:AQ$190,0))</f>
        <v>4.5454545454545456E-2</v>
      </c>
      <c r="R259" s="11">
        <f>INDEX(AL$5:AL$190,MATCH(LARGE(AQ$5:AQ$190,65),AQ$5:AQ$190,0))</f>
        <v>0.77331590530399519</v>
      </c>
      <c r="S259" s="11">
        <f>INDEX(AM$5:AM$190,MATCH(LARGE(AQ$5:AQ$190,65),AQ$5:AQ$190,0))</f>
        <v>0.16666666666666666</v>
      </c>
      <c r="T259" s="11">
        <f>INDEX(AN$5:AN$190,MATCH(LARGE(AQ$5:AQ$190,65),AQ$5:AQ$190,0))</f>
        <v>6.4516129032258063E-2</v>
      </c>
      <c r="U259" s="11">
        <f>INDEX(AO$5:AO$190,MATCH(LARGE(AQ$5:AQ$190,65),AQ$5:AQ$190,0))</f>
        <v>0</v>
      </c>
      <c r="V259" s="11">
        <f>INDEX(AP$5:AP$190,MATCH(LARGE(AQ$5:AQ$190,65),AQ$5:AQ$190,0))</f>
        <v>0</v>
      </c>
    </row>
    <row r="260" spans="1:22" ht="15" customHeight="1" x14ac:dyDescent="0.2">
      <c r="A260" s="3">
        <v>66</v>
      </c>
      <c r="B260" s="3" t="str">
        <f>INDEX($A$5:$A$190,MATCH(LARGE(AQ$5:AQ$190,66),AQ$5:AQ$190,0))</f>
        <v>Fleet: printShips(List&lt;IShip&gt;)</v>
      </c>
      <c r="C260" s="11">
        <f>INDEX(W$5:W$190,MATCH(LARGE(AQ$5:AQ$190,66),AQ$5:AQ$190,0))</f>
        <v>5.2631578947368418E-2</v>
      </c>
      <c r="D260" s="11">
        <f>INDEX(X$5:X$190,MATCH(LARGE(AQ$5:AQ$190,66),AQ$5:AQ$190,0))</f>
        <v>2.5000000000000001E-2</v>
      </c>
      <c r="E260" s="11">
        <f>INDEX(Y$5:Y$190,MATCH(LARGE(AQ$5:AQ$190,66),AQ$5:AQ$190,0))</f>
        <v>1</v>
      </c>
      <c r="F260" s="11">
        <f>INDEX(Z$5:Z$190,MATCH(LARGE(AQ$5:AQ$190,66),AQ$5:AQ$190,0))</f>
        <v>3.4482758620689655E-2</v>
      </c>
      <c r="G260" s="11">
        <f>INDEX(AA$5:AA$190,MATCH(LARGE(AQ$5:AQ$190,66),AQ$5:AQ$190,0))</f>
        <v>0</v>
      </c>
      <c r="H260" s="11">
        <f>INDEX(AB$5:AB$190,MATCH(LARGE(AQ$5:AQ$190,66),AQ$5:AQ$190,0))</f>
        <v>0.2</v>
      </c>
      <c r="I260" s="11">
        <f>INDEX(AC$5:AC$190,MATCH(LARGE(AQ$5:AQ$190,66),AQ$5:AQ$190,0))</f>
        <v>3.7462537462537464E-2</v>
      </c>
      <c r="J260" s="11">
        <f>INDEX(AD$5:AD$190,MATCH(LARGE(AQ$5:AQ$190,66),AQ$5:AQ$190,0))</f>
        <v>7.2111115729555871E-4</v>
      </c>
      <c r="K260" s="11">
        <f>INDEX(AE$5:AE$190,MATCH(LARGE(AQ$5:AQ$190,66),AQ$5:AQ$190,0))</f>
        <v>8.0776910510074428E-3</v>
      </c>
      <c r="L260" s="11">
        <f>INDEX(AF$5:AF$190,MATCH(LARGE(AQ$5:AQ$190,66),AQ$5:AQ$190,0))</f>
        <v>2.9729729729729731E-2</v>
      </c>
      <c r="M260" s="11">
        <f>INDEX(AG$5:AG$190,MATCH(LARGE(AQ$5:AQ$190,66),AQ$5:AQ$190,0))</f>
        <v>0.10204081632653061</v>
      </c>
      <c r="N260" s="11">
        <f>INDEX(AH$5:AH$190,MATCH(LARGE(AQ$5:AQ$190,66),AQ$5:AQ$190,0))</f>
        <v>1.4930360368819276E-2</v>
      </c>
      <c r="O260" s="11">
        <f>INDEX(AI$5:AI$190,MATCH(LARGE(AQ$5:AQ$190,66),AQ$5:AQ$190,0))</f>
        <v>0</v>
      </c>
      <c r="P260" s="11">
        <f>INDEX(AJ$5:AJ$190,MATCH(LARGE(AQ$5:AQ$190,66),AQ$5:AQ$190,0))</f>
        <v>0.33333333333333331</v>
      </c>
      <c r="Q260" s="11">
        <f>INDEX(AK$5:AK$190,MATCH(LARGE(AQ$5:AQ$190,66),AQ$5:AQ$190,0))</f>
        <v>8.3333333333333329E-2</v>
      </c>
      <c r="R260" s="11">
        <f>INDEX(AL$5:AL$190,MATCH(LARGE(AQ$5:AQ$190,66),AQ$5:AQ$190,0))</f>
        <v>0.69210226299898514</v>
      </c>
      <c r="S260" s="11">
        <f>INDEX(AM$5:AM$190,MATCH(LARGE(AQ$5:AQ$190,66),AQ$5:AQ$190,0))</f>
        <v>0.16666666666666666</v>
      </c>
      <c r="T260" s="11">
        <f>INDEX(AN$5:AN$190,MATCH(LARGE(AQ$5:AQ$190,66),AQ$5:AQ$190,0))</f>
        <v>9.6774193548387094E-2</v>
      </c>
      <c r="U260" s="11">
        <f>INDEX(AO$5:AO$190,MATCH(LARGE(AQ$5:AQ$190,66),AQ$5:AQ$190,0))</f>
        <v>8.3333333333333329E-2</v>
      </c>
      <c r="V260" s="11">
        <f>INDEX(AP$5:AP$190,MATCH(LARGE(AQ$5:AQ$190,66),AQ$5:AQ$190,0))</f>
        <v>0.25</v>
      </c>
    </row>
    <row r="261" spans="1:22" ht="15" customHeight="1" x14ac:dyDescent="0.2">
      <c r="A261" s="3">
        <v>67</v>
      </c>
      <c r="B261" s="3" t="str">
        <f>INDEX($A$5:$A$190,MATCH(LARGE(AQ$5:AQ$190,67),AQ$5:AQ$190,0))</f>
        <v>Ship: tooCloseTo(IShip)</v>
      </c>
      <c r="C261" s="11">
        <f>INDEX(W$5:W$190,MATCH(LARGE(AQ$5:AQ$190,67),AQ$5:AQ$190,0))</f>
        <v>7.8947368421052627E-2</v>
      </c>
      <c r="D261" s="11">
        <f>INDEX(X$5:X$190,MATCH(LARGE(AQ$5:AQ$190,67),AQ$5:AQ$190,0))</f>
        <v>7.4999999999999997E-2</v>
      </c>
      <c r="E261" s="11">
        <f>INDEX(Y$5:Y$190,MATCH(LARGE(AQ$5:AQ$190,67),AQ$5:AQ$190,0))</f>
        <v>0.6</v>
      </c>
      <c r="F261" s="11">
        <f>INDEX(Z$5:Z$190,MATCH(LARGE(AQ$5:AQ$190,67),AQ$5:AQ$190,0))</f>
        <v>0.13793103448275862</v>
      </c>
      <c r="G261" s="11">
        <f>INDEX(AA$5:AA$190,MATCH(LARGE(AQ$5:AQ$190,67),AQ$5:AQ$190,0))</f>
        <v>0.25</v>
      </c>
      <c r="H261" s="11">
        <f>INDEX(AB$5:AB$190,MATCH(LARGE(AQ$5:AQ$190,67),AQ$5:AQ$190,0))</f>
        <v>0</v>
      </c>
      <c r="I261" s="11">
        <f>INDEX(AC$5:AC$190,MATCH(LARGE(AQ$5:AQ$190,67),AQ$5:AQ$190,0))</f>
        <v>8.3916083916083919E-2</v>
      </c>
      <c r="J261" s="11">
        <f>INDEX(AD$5:AD$190,MATCH(LARGE(AQ$5:AQ$190,67),AQ$5:AQ$190,0))</f>
        <v>3.6136931159033996E-3</v>
      </c>
      <c r="K261" s="11">
        <f>INDEX(AE$5:AE$190,MATCH(LARGE(AQ$5:AQ$190,67),AQ$5:AQ$190,0))</f>
        <v>2.3506988564167726E-2</v>
      </c>
      <c r="L261" s="11">
        <f>INDEX(AF$5:AF$190,MATCH(LARGE(AQ$5:AQ$190,67),AQ$5:AQ$190,0))</f>
        <v>5.4054054054054057E-2</v>
      </c>
      <c r="M261" s="11">
        <f>INDEX(AG$5:AG$190,MATCH(LARGE(AQ$5:AQ$190,67),AQ$5:AQ$190,0))</f>
        <v>0.17346938775510204</v>
      </c>
      <c r="N261" s="11">
        <f>INDEX(AH$5:AH$190,MATCH(LARGE(AQ$5:AQ$190,67),AQ$5:AQ$190,0))</f>
        <v>3.3401927383302069E-2</v>
      </c>
      <c r="O261" s="11">
        <f>INDEX(AI$5:AI$190,MATCH(LARGE(AQ$5:AQ$190,67),AQ$5:AQ$190,0))</f>
        <v>0</v>
      </c>
      <c r="P261" s="11">
        <f>INDEX(AJ$5:AJ$190,MATCH(LARGE(AQ$5:AQ$190,67),AQ$5:AQ$190,0))</f>
        <v>0.33333333333333331</v>
      </c>
      <c r="Q261" s="11">
        <f>INDEX(AK$5:AK$190,MATCH(LARGE(AQ$5:AQ$190,67),AQ$5:AQ$190,0))</f>
        <v>0.15909090909090909</v>
      </c>
      <c r="R261" s="11">
        <f>INDEX(AL$5:AL$190,MATCH(LARGE(AQ$5:AQ$190,67),AQ$5:AQ$190,0))</f>
        <v>0.60183286631225963</v>
      </c>
      <c r="S261" s="11">
        <f>INDEX(AM$5:AM$190,MATCH(LARGE(AQ$5:AQ$190,67),AQ$5:AQ$190,0))</f>
        <v>0.16666666666666666</v>
      </c>
      <c r="T261" s="11">
        <f>INDEX(AN$5:AN$190,MATCH(LARGE(AQ$5:AQ$190,67),AQ$5:AQ$190,0))</f>
        <v>6.4516129032258063E-2</v>
      </c>
      <c r="U261" s="11">
        <f>INDEX(AO$5:AO$190,MATCH(LARGE(AQ$5:AQ$190,67),AQ$5:AQ$190,0))</f>
        <v>8.3333333333333329E-2</v>
      </c>
      <c r="V261" s="11">
        <f>INDEX(AP$5:AP$190,MATCH(LARGE(AQ$5:AQ$190,67),AQ$5:AQ$190,0))</f>
        <v>0.25</v>
      </c>
    </row>
    <row r="262" spans="1:22" ht="15" customHeight="1" x14ac:dyDescent="0.2">
      <c r="A262" s="3">
        <v>68</v>
      </c>
      <c r="B262" s="3" t="str">
        <f>INDEX($A$5:$A$190,MATCH(LARGE(AQ$5:AQ$190,68),AQ$5:AQ$190,0))</f>
        <v>Fleet: addShip(IShip)</v>
      </c>
      <c r="C262" s="11">
        <f>INDEX(W$5:W$190,MATCH(LARGE(AQ$5:AQ$190,68),AQ$5:AQ$190,0))</f>
        <v>0.10526315789473684</v>
      </c>
      <c r="D262" s="11">
        <f>INDEX(X$5:X$190,MATCH(LARGE(AQ$5:AQ$190,68),AQ$5:AQ$190,0))</f>
        <v>7.4999999999999997E-2</v>
      </c>
      <c r="E262" s="11">
        <f>INDEX(Y$5:Y$190,MATCH(LARGE(AQ$5:AQ$190,68),AQ$5:AQ$190,0))</f>
        <v>0.25</v>
      </c>
      <c r="F262" s="11">
        <f>INDEX(Z$5:Z$190,MATCH(LARGE(AQ$5:AQ$190,68),AQ$5:AQ$190,0))</f>
        <v>6.8965517241379309E-2</v>
      </c>
      <c r="G262" s="11">
        <f>INDEX(AA$5:AA$190,MATCH(LARGE(AQ$5:AQ$190,68),AQ$5:AQ$190,0))</f>
        <v>0.25</v>
      </c>
      <c r="H262" s="11">
        <f>INDEX(AB$5:AB$190,MATCH(LARGE(AQ$5:AQ$190,68),AQ$5:AQ$190,0))</f>
        <v>0</v>
      </c>
      <c r="I262" s="11">
        <f>INDEX(AC$5:AC$190,MATCH(LARGE(AQ$5:AQ$190,68),AQ$5:AQ$190,0))</f>
        <v>0.10275424575424576</v>
      </c>
      <c r="J262" s="11">
        <f>INDEX(AD$5:AD$190,MATCH(LARGE(AQ$5:AQ$190,68),AQ$5:AQ$190,0))</f>
        <v>5.7483035988888913E-3</v>
      </c>
      <c r="K262" s="11">
        <f>INDEX(AE$5:AE$190,MATCH(LARGE(AQ$5:AQ$190,68),AQ$5:AQ$190,0))</f>
        <v>3.2129243056816123E-2</v>
      </c>
      <c r="L262" s="11">
        <f>INDEX(AF$5:AF$190,MATCH(LARGE(AQ$5:AQ$190,68),AQ$5:AQ$190,0))</f>
        <v>6.7567567567567571E-2</v>
      </c>
      <c r="M262" s="11">
        <f>INDEX(AG$5:AG$190,MATCH(LARGE(AQ$5:AQ$190,68),AQ$5:AQ$190,0))</f>
        <v>0.19387755102040816</v>
      </c>
      <c r="N262" s="11">
        <f>INDEX(AH$5:AH$190,MATCH(LARGE(AQ$5:AQ$190,68),AQ$5:AQ$190,0))</f>
        <v>4.3391497720927145E-2</v>
      </c>
      <c r="O262" s="11">
        <f>INDEX(AI$5:AI$190,MATCH(LARGE(AQ$5:AQ$190,68),AQ$5:AQ$190,0))</f>
        <v>0.5</v>
      </c>
      <c r="P262" s="11">
        <f>INDEX(AJ$5:AJ$190,MATCH(LARGE(AQ$5:AQ$190,68),AQ$5:AQ$190,0))</f>
        <v>0</v>
      </c>
      <c r="Q262" s="11">
        <f>INDEX(AK$5:AK$190,MATCH(LARGE(AQ$5:AQ$190,68),AQ$5:AQ$190,0))</f>
        <v>0.17424242424242425</v>
      </c>
      <c r="R262" s="11">
        <f>INDEX(AL$5:AL$190,MATCH(LARGE(AQ$5:AQ$190,68),AQ$5:AQ$190,0))</f>
        <v>0.58389048738625493</v>
      </c>
      <c r="S262" s="11">
        <f>INDEX(AM$5:AM$190,MATCH(LARGE(AQ$5:AQ$190,68),AQ$5:AQ$190,0))</f>
        <v>0.33333333333333331</v>
      </c>
      <c r="T262" s="11">
        <f>INDEX(AN$5:AN$190,MATCH(LARGE(AQ$5:AQ$190,68),AQ$5:AQ$190,0))</f>
        <v>0.12903225806451613</v>
      </c>
      <c r="U262" s="11">
        <f>INDEX(AO$5:AO$190,MATCH(LARGE(AQ$5:AQ$190,68),AQ$5:AQ$190,0))</f>
        <v>0</v>
      </c>
      <c r="V262" s="11">
        <f>INDEX(AP$5:AP$190,MATCH(LARGE(AQ$5:AQ$190,68),AQ$5:AQ$190,0))</f>
        <v>0.25</v>
      </c>
    </row>
    <row r="263" spans="1:22" ht="15" customHeight="1" x14ac:dyDescent="0.2">
      <c r="A263" s="3">
        <v>69</v>
      </c>
      <c r="B263" s="3" t="str">
        <f>INDEX($A$5:$A$190,MATCH(LARGE(AQ$5:AQ$190,69),AQ$5:AQ$190,0))</f>
        <v>Game: printAlienBoard(boolean, boolean)</v>
      </c>
      <c r="C263" s="11">
        <f>INDEX(W$5:W$190,MATCH(LARGE(AQ$5:AQ$190,69),AQ$5:AQ$190,0))</f>
        <v>2.6315789473684209E-2</v>
      </c>
      <c r="D263" s="11">
        <f>INDEX(X$5:X$190,MATCH(LARGE(AQ$5:AQ$190,69),AQ$5:AQ$190,0))</f>
        <v>0</v>
      </c>
      <c r="E263" s="11">
        <f>INDEX(Y$5:Y$190,MATCH(LARGE(AQ$5:AQ$190,69),AQ$5:AQ$190,0))</f>
        <v>0.33329999999999999</v>
      </c>
      <c r="F263" s="11">
        <f>INDEX(Z$5:Z$190,MATCH(LARGE(AQ$5:AQ$190,69),AQ$5:AQ$190,0))</f>
        <v>3.4482758620689655E-2</v>
      </c>
      <c r="G263" s="11">
        <f>INDEX(AA$5:AA$190,MATCH(LARGE(AQ$5:AQ$190,69),AQ$5:AQ$190,0))</f>
        <v>0</v>
      </c>
      <c r="H263" s="11">
        <f>INDEX(AB$5:AB$190,MATCH(LARGE(AQ$5:AQ$190,69),AQ$5:AQ$190,0))</f>
        <v>0.2</v>
      </c>
      <c r="I263" s="11">
        <f>INDEX(AC$5:AC$190,MATCH(LARGE(AQ$5:AQ$190,69),AQ$5:AQ$190,0))</f>
        <v>4.4955044955044959E-2</v>
      </c>
      <c r="J263" s="11">
        <f>INDEX(AD$5:AD$190,MATCH(LARGE(AQ$5:AQ$190,69),AQ$5:AQ$190,0))</f>
        <v>1.7130796631457785E-3</v>
      </c>
      <c r="K263" s="11">
        <f>INDEX(AE$5:AE$190,MATCH(LARGE(AQ$5:AQ$190,69),AQ$5:AQ$190,0))</f>
        <v>1.4340170629878383E-2</v>
      </c>
      <c r="L263" s="11">
        <f>INDEX(AF$5:AF$190,MATCH(LARGE(AQ$5:AQ$190,69),AQ$5:AQ$190,0))</f>
        <v>5.1351351351351354E-2</v>
      </c>
      <c r="M263" s="11">
        <f>INDEX(AG$5:AG$190,MATCH(LARGE(AQ$5:AQ$190,69),AQ$5:AQ$190,0))</f>
        <v>0.14285714285714285</v>
      </c>
      <c r="N263" s="11">
        <f>INDEX(AH$5:AH$190,MATCH(LARGE(AQ$5:AQ$190,69),AQ$5:AQ$190,0))</f>
        <v>2.9557261118197418E-2</v>
      </c>
      <c r="O263" s="11">
        <f>INDEX(AI$5:AI$190,MATCH(LARGE(AQ$5:AQ$190,69),AQ$5:AQ$190,0))</f>
        <v>0.66669999999999996</v>
      </c>
      <c r="P263" s="11">
        <f>INDEX(AJ$5:AJ$190,MATCH(LARGE(AQ$5:AQ$190,69),AQ$5:AQ$190,0))</f>
        <v>0</v>
      </c>
      <c r="Q263" s="11">
        <f>INDEX(AK$5:AK$190,MATCH(LARGE(AQ$5:AQ$190,69),AQ$5:AQ$190,0))</f>
        <v>5.3030303030303032E-2</v>
      </c>
      <c r="R263" s="11">
        <f>INDEX(AL$5:AL$190,MATCH(LARGE(AQ$5:AQ$190,69),AQ$5:AQ$190,0))</f>
        <v>0.71577417617064987</v>
      </c>
      <c r="S263" s="11">
        <f>INDEX(AM$5:AM$190,MATCH(LARGE(AQ$5:AQ$190,69),AQ$5:AQ$190,0))</f>
        <v>0.16666666666666666</v>
      </c>
      <c r="T263" s="11">
        <f>INDEX(AN$5:AN$190,MATCH(LARGE(AQ$5:AQ$190,69),AQ$5:AQ$190,0))</f>
        <v>0.16129032258064516</v>
      </c>
      <c r="U263" s="11">
        <f>INDEX(AO$5:AO$190,MATCH(LARGE(AQ$5:AQ$190,69),AQ$5:AQ$190,0))</f>
        <v>0</v>
      </c>
      <c r="V263" s="11">
        <f>INDEX(AP$5:AP$190,MATCH(LARGE(AQ$5:AQ$190,69),AQ$5:AQ$190,0))</f>
        <v>0.5</v>
      </c>
    </row>
    <row r="264" spans="1:22" ht="15" customHeight="1" x14ac:dyDescent="0.2">
      <c r="A264" s="3">
        <v>70</v>
      </c>
      <c r="B264" s="3" t="str">
        <f>INDEX($A$5:$A$190,MATCH(LARGE(AQ$5:AQ$190,70),AQ$5:AQ$190,0))</f>
        <v>Game: printAlienBoard(boolean, boolean)</v>
      </c>
      <c r="C264" s="11">
        <f>INDEX(W$5:W$190,MATCH(LARGE(AQ$5:AQ$190,70),AQ$5:AQ$190,0))</f>
        <v>2.6315789473684209E-2</v>
      </c>
      <c r="D264" s="11">
        <f>INDEX(X$5:X$190,MATCH(LARGE(AQ$5:AQ$190,70),AQ$5:AQ$190,0))</f>
        <v>0</v>
      </c>
      <c r="E264" s="11">
        <f>INDEX(Y$5:Y$190,MATCH(LARGE(AQ$5:AQ$190,70),AQ$5:AQ$190,0))</f>
        <v>0.33329999999999999</v>
      </c>
      <c r="F264" s="11">
        <f>INDEX(Z$5:Z$190,MATCH(LARGE(AQ$5:AQ$190,70),AQ$5:AQ$190,0))</f>
        <v>3.4482758620689655E-2</v>
      </c>
      <c r="G264" s="11">
        <f>INDEX(AA$5:AA$190,MATCH(LARGE(AQ$5:AQ$190,70),AQ$5:AQ$190,0))</f>
        <v>0</v>
      </c>
      <c r="H264" s="11">
        <f>INDEX(AB$5:AB$190,MATCH(LARGE(AQ$5:AQ$190,70),AQ$5:AQ$190,0))</f>
        <v>0.2</v>
      </c>
      <c r="I264" s="11">
        <f>INDEX(AC$5:AC$190,MATCH(LARGE(AQ$5:AQ$190,70),AQ$5:AQ$190,0))</f>
        <v>4.4955044955044959E-2</v>
      </c>
      <c r="J264" s="11">
        <f>INDEX(AD$5:AD$190,MATCH(LARGE(AQ$5:AQ$190,70),AQ$5:AQ$190,0))</f>
        <v>1.7130796631457785E-3</v>
      </c>
      <c r="K264" s="11">
        <f>INDEX(AE$5:AE$190,MATCH(LARGE(AQ$5:AQ$190,70),AQ$5:AQ$190,0))</f>
        <v>1.4340170629878383E-2</v>
      </c>
      <c r="L264" s="11">
        <f>INDEX(AF$5:AF$190,MATCH(LARGE(AQ$5:AQ$190,70),AQ$5:AQ$190,0))</f>
        <v>5.1351351351351354E-2</v>
      </c>
      <c r="M264" s="11">
        <f>INDEX(AG$5:AG$190,MATCH(LARGE(AQ$5:AQ$190,70),AQ$5:AQ$190,0))</f>
        <v>0.14285714285714285</v>
      </c>
      <c r="N264" s="11">
        <f>INDEX(AH$5:AH$190,MATCH(LARGE(AQ$5:AQ$190,70),AQ$5:AQ$190,0))</f>
        <v>2.9557261118197418E-2</v>
      </c>
      <c r="O264" s="11">
        <f>INDEX(AI$5:AI$190,MATCH(LARGE(AQ$5:AQ$190,70),AQ$5:AQ$190,0))</f>
        <v>0.66669999999999996</v>
      </c>
      <c r="P264" s="11">
        <f>INDEX(AJ$5:AJ$190,MATCH(LARGE(AQ$5:AQ$190,70),AQ$5:AQ$190,0))</f>
        <v>0</v>
      </c>
      <c r="Q264" s="11">
        <f>INDEX(AK$5:AK$190,MATCH(LARGE(AQ$5:AQ$190,70),AQ$5:AQ$190,0))</f>
        <v>5.3030303030303032E-2</v>
      </c>
      <c r="R264" s="11">
        <f>INDEX(AL$5:AL$190,MATCH(LARGE(AQ$5:AQ$190,70),AQ$5:AQ$190,0))</f>
        <v>0.71577417617064987</v>
      </c>
      <c r="S264" s="11">
        <f>INDEX(AM$5:AM$190,MATCH(LARGE(AQ$5:AQ$190,70),AQ$5:AQ$190,0))</f>
        <v>0.16666666666666666</v>
      </c>
      <c r="T264" s="11">
        <f>INDEX(AN$5:AN$190,MATCH(LARGE(AQ$5:AQ$190,70),AQ$5:AQ$190,0))</f>
        <v>0.16129032258064516</v>
      </c>
      <c r="U264" s="11">
        <f>INDEX(AO$5:AO$190,MATCH(LARGE(AQ$5:AQ$190,70),AQ$5:AQ$190,0))</f>
        <v>0</v>
      </c>
      <c r="V264" s="11">
        <f>INDEX(AP$5:AP$190,MATCH(LARGE(AQ$5:AQ$190,70),AQ$5:AQ$190,0))</f>
        <v>0.5</v>
      </c>
    </row>
    <row r="265" spans="1:22" ht="15" customHeight="1" x14ac:dyDescent="0.2">
      <c r="A265" s="3">
        <v>71</v>
      </c>
      <c r="B265" s="3" t="str">
        <f>INDEX($A$5:$A$190,MATCH(LARGE(AQ$5:AQ$190,71),AQ$5:AQ$190,0))</f>
        <v>Ship: sink()</v>
      </c>
      <c r="C265" s="11">
        <f>INDEX(W$5:W$190,MATCH(LARGE(AQ$5:AQ$190,71),AQ$5:AQ$190,0))</f>
        <v>5.2631578947368418E-2</v>
      </c>
      <c r="D265" s="11">
        <f>INDEX(X$5:X$190,MATCH(LARGE(AQ$5:AQ$190,71),AQ$5:AQ$190,0))</f>
        <v>2.5000000000000001E-2</v>
      </c>
      <c r="E265" s="11">
        <f>INDEX(Y$5:Y$190,MATCH(LARGE(AQ$5:AQ$190,71),AQ$5:AQ$190,0))</f>
        <v>0.5</v>
      </c>
      <c r="F265" s="11">
        <f>INDEX(Z$5:Z$190,MATCH(LARGE(AQ$5:AQ$190,71),AQ$5:AQ$190,0))</f>
        <v>3.4482758620689655E-2</v>
      </c>
      <c r="G265" s="11">
        <f>INDEX(AA$5:AA$190,MATCH(LARGE(AQ$5:AQ$190,71),AQ$5:AQ$190,0))</f>
        <v>0</v>
      </c>
      <c r="H265" s="11">
        <f>INDEX(AB$5:AB$190,MATCH(LARGE(AQ$5:AQ$190,71),AQ$5:AQ$190,0))</f>
        <v>0</v>
      </c>
      <c r="I265" s="11">
        <f>INDEX(AC$5:AC$190,MATCH(LARGE(AQ$5:AQ$190,71),AQ$5:AQ$190,0))</f>
        <v>2.4975024975024976E-2</v>
      </c>
      <c r="J265" s="11">
        <f>INDEX(AD$5:AD$190,MATCH(LARGE(AQ$5:AQ$190,71),AQ$5:AQ$190,0))</f>
        <v>2.040484162712475E-4</v>
      </c>
      <c r="K265" s="11">
        <f>INDEX(AE$5:AE$190,MATCH(LARGE(AQ$5:AQ$190,71),AQ$5:AQ$190,0))</f>
        <v>3.4489017970593576E-3</v>
      </c>
      <c r="L265" s="11">
        <f>INDEX(AF$5:AF$190,MATCH(LARGE(AQ$5:AQ$190,71),AQ$5:AQ$190,0))</f>
        <v>1.6216216216216217E-2</v>
      </c>
      <c r="M265" s="11">
        <f>INDEX(AG$5:AG$190,MATCH(LARGE(AQ$5:AQ$190,71),AQ$5:AQ$190,0))</f>
        <v>6.1224489795918366E-2</v>
      </c>
      <c r="N265" s="11">
        <f>INDEX(AH$5:AH$190,MATCH(LARGE(AQ$5:AQ$190,71),AQ$5:AQ$190,0))</f>
        <v>6.3371455575709935E-3</v>
      </c>
      <c r="O265" s="11">
        <f>INDEX(AI$5:AI$190,MATCH(LARGE(AQ$5:AQ$190,71),AQ$5:AQ$190,0))</f>
        <v>1</v>
      </c>
      <c r="P265" s="11">
        <f>INDEX(AJ$5:AJ$190,MATCH(LARGE(AQ$5:AQ$190,71),AQ$5:AQ$190,0))</f>
        <v>0.33333333333333331</v>
      </c>
      <c r="Q265" s="11">
        <f>INDEX(AK$5:AK$190,MATCH(LARGE(AQ$5:AQ$190,71),AQ$5:AQ$190,0))</f>
        <v>9.8484848484848481E-2</v>
      </c>
      <c r="R265" s="11">
        <f>INDEX(AL$5:AL$190,MATCH(LARGE(AQ$5:AQ$190,71),AQ$5:AQ$190,0))</f>
        <v>0.70337340944872029</v>
      </c>
      <c r="S265" s="11">
        <f>INDEX(AM$5:AM$190,MATCH(LARGE(AQ$5:AQ$190,71),AQ$5:AQ$190,0))</f>
        <v>0.16666666666666666</v>
      </c>
      <c r="T265" s="11">
        <f>INDEX(AN$5:AN$190,MATCH(LARGE(AQ$5:AQ$190,71),AQ$5:AQ$190,0))</f>
        <v>3.2258064516129031E-2</v>
      </c>
      <c r="U265" s="11">
        <f>INDEX(AO$5:AO$190,MATCH(LARGE(AQ$5:AQ$190,71),AQ$5:AQ$190,0))</f>
        <v>8.3333333333333329E-2</v>
      </c>
      <c r="V265" s="11">
        <f>INDEX(AP$5:AP$190,MATCH(LARGE(AQ$5:AQ$190,71),AQ$5:AQ$190,0))</f>
        <v>0</v>
      </c>
    </row>
    <row r="266" spans="1:22" ht="15" customHeight="1" x14ac:dyDescent="0.2">
      <c r="A266" s="3">
        <v>72</v>
      </c>
      <c r="B266" s="3" t="str">
        <f>INDEX($A$5:$A$190,MATCH(LARGE(AQ$5:AQ$190,72),AQ$5:AQ$190,0))</f>
        <v>Compass: charToCompass(char)</v>
      </c>
      <c r="C266" s="11">
        <f>INDEX(W$5:W$190,MATCH(LARGE(AQ$5:AQ$190,72),AQ$5:AQ$190,0))</f>
        <v>0.15789473684210525</v>
      </c>
      <c r="D266" s="11">
        <f>INDEX(X$5:X$190,MATCH(LARGE(AQ$5:AQ$190,72),AQ$5:AQ$190,0))</f>
        <v>2.5000000000000001E-2</v>
      </c>
      <c r="E266" s="11">
        <f>INDEX(Y$5:Y$190,MATCH(LARGE(AQ$5:AQ$190,72),AQ$5:AQ$190,0))</f>
        <v>0</v>
      </c>
      <c r="F266" s="11">
        <f>INDEX(Z$5:Z$190,MATCH(LARGE(AQ$5:AQ$190,72),AQ$5:AQ$190,0))</f>
        <v>0</v>
      </c>
      <c r="G266" s="11">
        <f>INDEX(AA$5:AA$190,MATCH(LARGE(AQ$5:AQ$190,72),AQ$5:AQ$190,0))</f>
        <v>0</v>
      </c>
      <c r="H266" s="11">
        <f>INDEX(AB$5:AB$190,MATCH(LARGE(AQ$5:AQ$190,72),AQ$5:AQ$190,0))</f>
        <v>0</v>
      </c>
      <c r="I266" s="11">
        <f>INDEX(AC$5:AC$190,MATCH(LARGE(AQ$5:AQ$190,72),AQ$5:AQ$190,0))</f>
        <v>5.0858141858141866E-2</v>
      </c>
      <c r="J266" s="11">
        <f>INDEX(AD$5:AD$190,MATCH(LARGE(AQ$5:AQ$190,72),AQ$5:AQ$190,0))</f>
        <v>3.2397369665281839E-3</v>
      </c>
      <c r="K266" s="11">
        <f>INDEX(AE$5:AE$190,MATCH(LARGE(AQ$5:AQ$190,72),AQ$5:AQ$190,0))</f>
        <v>2.1873298239244873E-2</v>
      </c>
      <c r="L266" s="11">
        <f>INDEX(AF$5:AF$190,MATCH(LARGE(AQ$5:AQ$190,72),AQ$5:AQ$190,0))</f>
        <v>7.8378378378378383E-2</v>
      </c>
      <c r="M266" s="11">
        <f>INDEX(AG$5:AG$190,MATCH(LARGE(AQ$5:AQ$190,72),AQ$5:AQ$190,0))</f>
        <v>0.18367346938775511</v>
      </c>
      <c r="N266" s="11">
        <f>INDEX(AH$5:AH$190,MATCH(LARGE(AQ$5:AQ$190,72),AQ$5:AQ$190,0))</f>
        <v>4.9409861542820253E-2</v>
      </c>
      <c r="O266" s="11">
        <f>INDEX(AI$5:AI$190,MATCH(LARGE(AQ$5:AQ$190,72),AQ$5:AQ$190,0))</f>
        <v>1</v>
      </c>
      <c r="P266" s="11">
        <f>INDEX(AJ$5:AJ$190,MATCH(LARGE(AQ$5:AQ$190,72),AQ$5:AQ$190,0))</f>
        <v>0</v>
      </c>
      <c r="Q266" s="11">
        <f>INDEX(AK$5:AK$190,MATCH(LARGE(AQ$5:AQ$190,72),AQ$5:AQ$190,0))</f>
        <v>0.21212121212121213</v>
      </c>
      <c r="R266" s="11">
        <f>INDEX(AL$5:AL$190,MATCH(LARGE(AQ$5:AQ$190,72),AQ$5:AQ$190,0))</f>
        <v>0.55992729505013339</v>
      </c>
      <c r="S266" s="11">
        <f>INDEX(AM$5:AM$190,MATCH(LARGE(AQ$5:AQ$190,72),AQ$5:AQ$190,0))</f>
        <v>0.33333333333333331</v>
      </c>
      <c r="T266" s="11">
        <f>INDEX(AN$5:AN$190,MATCH(LARGE(AQ$5:AQ$190,72),AQ$5:AQ$190,0))</f>
        <v>0.19354838709677419</v>
      </c>
      <c r="U266" s="11">
        <f>INDEX(AO$5:AO$190,MATCH(LARGE(AQ$5:AQ$190,72),AQ$5:AQ$190,0))</f>
        <v>0</v>
      </c>
      <c r="V266" s="11">
        <f>INDEX(AP$5:AP$190,MATCH(LARGE(AQ$5:AQ$190,72),AQ$5:AQ$190,0))</f>
        <v>0.25</v>
      </c>
    </row>
    <row r="267" spans="1:22" ht="15" customHeight="1" x14ac:dyDescent="0.2">
      <c r="A267" s="3">
        <v>73</v>
      </c>
      <c r="B267" s="3" t="str">
        <f>INDEX($A$5:$A$190,MATCH(LARGE(AQ$5:AQ$190,73),AQ$5:AQ$190,0))</f>
        <v>Move: Move(int, List&lt;IPosition&gt;, List&lt;ShotResult&gt;)</v>
      </c>
      <c r="C267" s="11">
        <f>INDEX(W$5:W$190,MATCH(LARGE(AQ$5:AQ$190,73),AQ$5:AQ$190,0))</f>
        <v>2.6315789473684209E-2</v>
      </c>
      <c r="D267" s="11">
        <f>INDEX(X$5:X$190,MATCH(LARGE(AQ$5:AQ$190,73),AQ$5:AQ$190,0))</f>
        <v>0</v>
      </c>
      <c r="E267" s="11">
        <f>INDEX(Y$5:Y$190,MATCH(LARGE(AQ$5:AQ$190,73),AQ$5:AQ$190,0))</f>
        <v>0</v>
      </c>
      <c r="F267" s="11">
        <f>INDEX(Z$5:Z$190,MATCH(LARGE(AQ$5:AQ$190,73),AQ$5:AQ$190,0))</f>
        <v>0</v>
      </c>
      <c r="G267" s="11">
        <f>INDEX(AA$5:AA$190,MATCH(LARGE(AQ$5:AQ$190,73),AQ$5:AQ$190,0))</f>
        <v>0</v>
      </c>
      <c r="H267" s="11">
        <f>INDEX(AB$5:AB$190,MATCH(LARGE(AQ$5:AQ$190,73),AQ$5:AQ$190,0))</f>
        <v>0</v>
      </c>
      <c r="I267" s="11">
        <f>INDEX(AC$5:AC$190,MATCH(LARGE(AQ$5:AQ$190,73),AQ$5:AQ$190,0))</f>
        <v>1.4985014985014986E-2</v>
      </c>
      <c r="J267" s="11">
        <f>INDEX(AD$5:AD$190,MATCH(LARGE(AQ$5:AQ$190,73),AQ$5:AQ$190,0))</f>
        <v>2.7524623346765069E-4</v>
      </c>
      <c r="K267" s="11">
        <f>INDEX(AE$5:AE$190,MATCH(LARGE(AQ$5:AQ$190,73),AQ$5:AQ$190,0))</f>
        <v>4.2657469595207848E-3</v>
      </c>
      <c r="L267" s="11">
        <f>INDEX(AF$5:AF$190,MATCH(LARGE(AQ$5:AQ$190,73),AQ$5:AQ$190,0))</f>
        <v>2.9729729729729731E-2</v>
      </c>
      <c r="M267" s="11">
        <f>INDEX(AG$5:AG$190,MATCH(LARGE(AQ$5:AQ$190,73),AQ$5:AQ$190,0))</f>
        <v>9.1836734693877556E-2</v>
      </c>
      <c r="N267" s="11">
        <f>INDEX(AH$5:AH$190,MATCH(LARGE(AQ$5:AQ$190,73),AQ$5:AQ$190,0))</f>
        <v>1.42471982795429E-2</v>
      </c>
      <c r="O267" s="11">
        <f>INDEX(AI$5:AI$190,MATCH(LARGE(AQ$5:AQ$190,73),AQ$5:AQ$190,0))</f>
        <v>1</v>
      </c>
      <c r="P267" s="11">
        <f>INDEX(AJ$5:AJ$190,MATCH(LARGE(AQ$5:AQ$190,73),AQ$5:AQ$190,0))</f>
        <v>0</v>
      </c>
      <c r="Q267" s="11">
        <f>INDEX(AK$5:AK$190,MATCH(LARGE(AQ$5:AQ$190,73),AQ$5:AQ$190,0))</f>
        <v>4.5454545454545456E-2</v>
      </c>
      <c r="R267" s="11">
        <f>INDEX(AL$5:AL$190,MATCH(LARGE(AQ$5:AQ$190,73),AQ$5:AQ$190,0))</f>
        <v>0.75484108059349964</v>
      </c>
      <c r="S267" s="11">
        <f>INDEX(AM$5:AM$190,MATCH(LARGE(AQ$5:AQ$190,73),AQ$5:AQ$190,0))</f>
        <v>0.16666666666666666</v>
      </c>
      <c r="T267" s="11">
        <f>INDEX(AN$5:AN$190,MATCH(LARGE(AQ$5:AQ$190,73),AQ$5:AQ$190,0))</f>
        <v>0.19354838709677419</v>
      </c>
      <c r="U267" s="11">
        <f>INDEX(AO$5:AO$190,MATCH(LARGE(AQ$5:AQ$190,73),AQ$5:AQ$190,0))</f>
        <v>0</v>
      </c>
      <c r="V267" s="11">
        <f>INDEX(AP$5:AP$190,MATCH(LARGE(AQ$5:AQ$190,73),AQ$5:AQ$190,0))</f>
        <v>0.75</v>
      </c>
    </row>
    <row r="268" spans="1:22" ht="15" customHeight="1" x14ac:dyDescent="0.2">
      <c r="A268" s="3">
        <v>74</v>
      </c>
      <c r="B268" s="3" t="str">
        <f>INDEX($A$5:$A$190,MATCH(LARGE(AQ$5:AQ$190,74),AQ$5:AQ$190,0))</f>
        <v>Position: Position(int, int)</v>
      </c>
      <c r="C268" s="11">
        <f>INDEX(W$5:W$190,MATCH(LARGE(AQ$5:AQ$190,74),AQ$5:AQ$190,0))</f>
        <v>2.6315789473684209E-2</v>
      </c>
      <c r="D268" s="11">
        <f>INDEX(X$5:X$190,MATCH(LARGE(AQ$5:AQ$190,74),AQ$5:AQ$190,0))</f>
        <v>0</v>
      </c>
      <c r="E268" s="11">
        <f>INDEX(Y$5:Y$190,MATCH(LARGE(AQ$5:AQ$190,74),AQ$5:AQ$190,0))</f>
        <v>0</v>
      </c>
      <c r="F268" s="11">
        <f>INDEX(Z$5:Z$190,MATCH(LARGE(AQ$5:AQ$190,74),AQ$5:AQ$190,0))</f>
        <v>0</v>
      </c>
      <c r="G268" s="11">
        <f>INDEX(AA$5:AA$190,MATCH(LARGE(AQ$5:AQ$190,74),AQ$5:AQ$190,0))</f>
        <v>0</v>
      </c>
      <c r="H268" s="11">
        <f>INDEX(AB$5:AB$190,MATCH(LARGE(AQ$5:AQ$190,74),AQ$5:AQ$190,0))</f>
        <v>0</v>
      </c>
      <c r="I268" s="11">
        <f>INDEX(AC$5:AC$190,MATCH(LARGE(AQ$5:AQ$190,74),AQ$5:AQ$190,0))</f>
        <v>1.7125874125874126E-2</v>
      </c>
      <c r="J268" s="11">
        <f>INDEX(AD$5:AD$190,MATCH(LARGE(AQ$5:AQ$190,74),AQ$5:AQ$190,0))</f>
        <v>4.4952390665764616E-4</v>
      </c>
      <c r="K268" s="11">
        <f>INDEX(AE$5:AE$190,MATCH(LARGE(AQ$5:AQ$190,74),AQ$5:AQ$190,0))</f>
        <v>5.8994372844436383E-3</v>
      </c>
      <c r="L268" s="11">
        <f>INDEX(AF$5:AF$190,MATCH(LARGE(AQ$5:AQ$190,74),AQ$5:AQ$190,0))</f>
        <v>4.0540540540540543E-2</v>
      </c>
      <c r="M268" s="11">
        <f>INDEX(AG$5:AG$190,MATCH(LARGE(AQ$5:AQ$190,74),AQ$5:AQ$190,0))</f>
        <v>0.10204081632653061</v>
      </c>
      <c r="N268" s="11">
        <f>INDEX(AH$5:AH$190,MATCH(LARGE(AQ$5:AQ$190,74),AQ$5:AQ$190,0))</f>
        <v>2.035957860666477E-2</v>
      </c>
      <c r="O268" s="11">
        <f>INDEX(AI$5:AI$190,MATCH(LARGE(AQ$5:AQ$190,74),AQ$5:AQ$190,0))</f>
        <v>1</v>
      </c>
      <c r="P268" s="11">
        <f>INDEX(AJ$5:AJ$190,MATCH(LARGE(AQ$5:AQ$190,74),AQ$5:AQ$190,0))</f>
        <v>0</v>
      </c>
      <c r="Q268" s="11">
        <f>INDEX(AK$5:AK$190,MATCH(LARGE(AQ$5:AQ$190,74),AQ$5:AQ$190,0))</f>
        <v>9.8484848484848481E-2</v>
      </c>
      <c r="R268" s="11">
        <f>INDEX(AL$5:AL$190,MATCH(LARGE(AQ$5:AQ$190,74),AQ$5:AQ$190,0))</f>
        <v>0.66676515173660844</v>
      </c>
      <c r="S268" s="11">
        <f>INDEX(AM$5:AM$190,MATCH(LARGE(AQ$5:AQ$190,74),AQ$5:AQ$190,0))</f>
        <v>0.16666666666666666</v>
      </c>
      <c r="T268" s="11">
        <f>INDEX(AN$5:AN$190,MATCH(LARGE(AQ$5:AQ$190,74),AQ$5:AQ$190,0))</f>
        <v>0.19354838709677419</v>
      </c>
      <c r="U268" s="11">
        <f>INDEX(AO$5:AO$190,MATCH(LARGE(AQ$5:AQ$190,74),AQ$5:AQ$190,0))</f>
        <v>0</v>
      </c>
      <c r="V268" s="11">
        <f>INDEX(AP$5:AP$190,MATCH(LARGE(AQ$5:AQ$190,74),AQ$5:AQ$190,0))</f>
        <v>0.5</v>
      </c>
    </row>
    <row r="269" spans="1:22" ht="15" customHeight="1" x14ac:dyDescent="0.2">
      <c r="A269" s="3">
        <v>75</v>
      </c>
      <c r="B269" s="3" t="str">
        <f>INDEX($A$5:$A$190,MATCH(LARGE(AQ$5:AQ$190,75),AQ$5:AQ$190,0))</f>
        <v>Galleon: Galleon(Compass, IPosition)</v>
      </c>
      <c r="C269" s="11">
        <f>INDEX(W$5:W$190,MATCH(LARGE(AQ$5:AQ$190,75),AQ$5:AQ$190,0))</f>
        <v>0.13157894736842105</v>
      </c>
      <c r="D269" s="11">
        <f>INDEX(X$5:X$190,MATCH(LARGE(AQ$5:AQ$190,75),AQ$5:AQ$190,0))</f>
        <v>2.5000000000000001E-2</v>
      </c>
      <c r="E269" s="11">
        <f>INDEX(Y$5:Y$190,MATCH(LARGE(AQ$5:AQ$190,75),AQ$5:AQ$190,0))</f>
        <v>0.2</v>
      </c>
      <c r="F269" s="11">
        <f>INDEX(Z$5:Z$190,MATCH(LARGE(AQ$5:AQ$190,75),AQ$5:AQ$190,0))</f>
        <v>3.4482758620689655E-2</v>
      </c>
      <c r="G269" s="11">
        <f>INDEX(AA$5:AA$190,MATCH(LARGE(AQ$5:AQ$190,75),AQ$5:AQ$190,0))</f>
        <v>0</v>
      </c>
      <c r="H269" s="11">
        <f>INDEX(AB$5:AB$190,MATCH(LARGE(AQ$5:AQ$190,75),AQ$5:AQ$190,0))</f>
        <v>0.2</v>
      </c>
      <c r="I269" s="11">
        <f>INDEX(AC$5:AC$190,MATCH(LARGE(AQ$5:AQ$190,75),AQ$5:AQ$190,0))</f>
        <v>8.1168831168831168E-2</v>
      </c>
      <c r="J269" s="11">
        <f>INDEX(AD$5:AD$190,MATCH(LARGE(AQ$5:AQ$190,75),AQ$5:AQ$190,0))</f>
        <v>5.1705621558391299E-3</v>
      </c>
      <c r="K269" s="11">
        <f>INDEX(AE$5:AE$190,MATCH(LARGE(AQ$5:AQ$190,75),AQ$5:AQ$190,0))</f>
        <v>2.9860228716645492E-2</v>
      </c>
      <c r="L269" s="11">
        <f>INDEX(AF$5:AF$190,MATCH(LARGE(AQ$5:AQ$190,75),AQ$5:AQ$190,0))</f>
        <v>7.8378378378378383E-2</v>
      </c>
      <c r="M269" s="11">
        <f>INDEX(AG$5:AG$190,MATCH(LARGE(AQ$5:AQ$190,75),AQ$5:AQ$190,0))</f>
        <v>0.18367346938775511</v>
      </c>
      <c r="N269" s="11">
        <f>INDEX(AH$5:AH$190,MATCH(LARGE(AQ$5:AQ$190,75),AQ$5:AQ$190,0))</f>
        <v>4.9409861542820253E-2</v>
      </c>
      <c r="O269" s="11">
        <f>INDEX(AI$5:AI$190,MATCH(LARGE(AQ$5:AQ$190,75),AQ$5:AQ$190,0))</f>
        <v>0</v>
      </c>
      <c r="P269" s="11">
        <f>INDEX(AJ$5:AJ$190,MATCH(LARGE(AQ$5:AQ$190,75),AQ$5:AQ$190,0))</f>
        <v>0</v>
      </c>
      <c r="Q269" s="11">
        <f>INDEX(AK$5:AK$190,MATCH(LARGE(AQ$5:AQ$190,75),AQ$5:AQ$190,0))</f>
        <v>0.17424242424242425</v>
      </c>
      <c r="R269" s="11">
        <f>INDEX(AL$5:AL$190,MATCH(LARGE(AQ$5:AQ$190,75),AQ$5:AQ$190,0))</f>
        <v>0.57963927320106401</v>
      </c>
      <c r="S269" s="11">
        <f>INDEX(AM$5:AM$190,MATCH(LARGE(AQ$5:AQ$190,75),AQ$5:AQ$190,0))</f>
        <v>0.33333333333333331</v>
      </c>
      <c r="T269" s="11">
        <f>INDEX(AN$5:AN$190,MATCH(LARGE(AQ$5:AQ$190,75),AQ$5:AQ$190,0))</f>
        <v>0.19354838709677419</v>
      </c>
      <c r="U269" s="11">
        <f>INDEX(AO$5:AO$190,MATCH(LARGE(AQ$5:AQ$190,75),AQ$5:AQ$190,0))</f>
        <v>0</v>
      </c>
      <c r="V269" s="11">
        <f>INDEX(AP$5:AP$190,MATCH(LARGE(AQ$5:AQ$190,75),AQ$5:AQ$190,0))</f>
        <v>0.5</v>
      </c>
    </row>
    <row r="270" spans="1:22" ht="15" customHeight="1" x14ac:dyDescent="0.2">
      <c r="A270" s="3">
        <v>76</v>
      </c>
      <c r="B270" s="3" t="str">
        <f>INDEX($A$5:$A$190,MATCH(LARGE(AQ$5:AQ$190,76),AQ$5:AQ$190,0))</f>
        <v>Tasks: readShip(Scanner)</v>
      </c>
      <c r="C270" s="11">
        <f>INDEX(W$5:W$190,MATCH(LARGE(AQ$5:AQ$190,76),AQ$5:AQ$190,0))</f>
        <v>2.6315789473684209E-2</v>
      </c>
      <c r="D270" s="11">
        <f>INDEX(X$5:X$190,MATCH(LARGE(AQ$5:AQ$190,76),AQ$5:AQ$190,0))</f>
        <v>0</v>
      </c>
      <c r="E270" s="11">
        <f>INDEX(Y$5:Y$190,MATCH(LARGE(AQ$5:AQ$190,76),AQ$5:AQ$190,0))</f>
        <v>0.8</v>
      </c>
      <c r="F270" s="11">
        <f>INDEX(Z$5:Z$190,MATCH(LARGE(AQ$5:AQ$190,76),AQ$5:AQ$190,0))</f>
        <v>0.13793103448275862</v>
      </c>
      <c r="G270" s="11">
        <f>INDEX(AA$5:AA$190,MATCH(LARGE(AQ$5:AQ$190,76),AQ$5:AQ$190,0))</f>
        <v>0</v>
      </c>
      <c r="H270" s="11">
        <f>INDEX(AB$5:AB$190,MATCH(LARGE(AQ$5:AQ$190,76),AQ$5:AQ$190,0))</f>
        <v>0</v>
      </c>
      <c r="I270" s="11">
        <f>INDEX(AC$5:AC$190,MATCH(LARGE(AQ$5:AQ$190,76),AQ$5:AQ$190,0))</f>
        <v>7.8492507492507496E-2</v>
      </c>
      <c r="J270" s="11">
        <f>INDEX(AD$5:AD$190,MATCH(LARGE(AQ$5:AQ$190,76),AQ$5:AQ$190,0))</f>
        <v>3.7931821952436749E-3</v>
      </c>
      <c r="K270" s="11">
        <f>INDEX(AE$5:AE$190,MATCH(LARGE(AQ$5:AQ$190,76),AQ$5:AQ$190,0))</f>
        <v>2.4323833726629156E-2</v>
      </c>
      <c r="L270" s="11">
        <f>INDEX(AF$5:AF$190,MATCH(LARGE(AQ$5:AQ$190,76),AQ$5:AQ$190,0))</f>
        <v>5.9459459459459463E-2</v>
      </c>
      <c r="M270" s="11">
        <f>INDEX(AG$5:AG$190,MATCH(LARGE(AQ$5:AQ$190,76),AQ$5:AQ$190,0))</f>
        <v>0.18367346938775511</v>
      </c>
      <c r="N270" s="11">
        <f>INDEX(AH$5:AH$190,MATCH(LARGE(AQ$5:AQ$190,76),AQ$5:AQ$190,0))</f>
        <v>3.7483371417985453E-2</v>
      </c>
      <c r="O270" s="11">
        <f>INDEX(AI$5:AI$190,MATCH(LARGE(AQ$5:AQ$190,76),AQ$5:AQ$190,0))</f>
        <v>0</v>
      </c>
      <c r="P270" s="11">
        <f>INDEX(AJ$5:AJ$190,MATCH(LARGE(AQ$5:AQ$190,76),AQ$5:AQ$190,0))</f>
        <v>0</v>
      </c>
      <c r="Q270" s="11">
        <f>INDEX(AK$5:AK$190,MATCH(LARGE(AQ$5:AQ$190,76),AQ$5:AQ$190,0))</f>
        <v>0.10606060606060606</v>
      </c>
      <c r="R270" s="11">
        <f>INDEX(AL$5:AL$190,MATCH(LARGE(AQ$5:AQ$190,76),AQ$5:AQ$190,0))</f>
        <v>0.63978267859902027</v>
      </c>
      <c r="S270" s="11">
        <f>INDEX(AM$5:AM$190,MATCH(LARGE(AQ$5:AQ$190,76),AQ$5:AQ$190,0))</f>
        <v>0.16666666666666666</v>
      </c>
      <c r="T270" s="11">
        <f>INDEX(AN$5:AN$190,MATCH(LARGE(AQ$5:AQ$190,76),AQ$5:AQ$190,0))</f>
        <v>0.16129032258064516</v>
      </c>
      <c r="U270" s="11">
        <f>INDEX(AO$5:AO$190,MATCH(LARGE(AQ$5:AQ$190,76),AQ$5:AQ$190,0))</f>
        <v>0</v>
      </c>
      <c r="V270" s="11">
        <f>INDEX(AP$5:AP$190,MATCH(LARGE(AQ$5:AQ$190,76),AQ$5:AQ$190,0))</f>
        <v>0.25</v>
      </c>
    </row>
    <row r="271" spans="1:22" ht="15" customHeight="1" x14ac:dyDescent="0.2">
      <c r="A271" s="3">
        <v>77</v>
      </c>
      <c r="B271" s="3" t="str">
        <f>INDEX($A$5:$A$190,MATCH(LARGE(AQ$5:AQ$190,77),AQ$5:AQ$190,0))</f>
        <v>Tasks: readPosition(Scanner)</v>
      </c>
      <c r="C271" s="11">
        <f>INDEX(W$5:W$190,MATCH(LARGE(AQ$5:AQ$190,77),AQ$5:AQ$190,0))</f>
        <v>2.6315789473684209E-2</v>
      </c>
      <c r="D271" s="11">
        <f>INDEX(X$5:X$190,MATCH(LARGE(AQ$5:AQ$190,77),AQ$5:AQ$190,0))</f>
        <v>0</v>
      </c>
      <c r="E271" s="11">
        <f>INDEX(Y$5:Y$190,MATCH(LARGE(AQ$5:AQ$190,77),AQ$5:AQ$190,0))</f>
        <v>1</v>
      </c>
      <c r="F271" s="11">
        <f>INDEX(Z$5:Z$190,MATCH(LARGE(AQ$5:AQ$190,77),AQ$5:AQ$190,0))</f>
        <v>3.4482758620689655E-2</v>
      </c>
      <c r="G271" s="11">
        <f>INDEX(AA$5:AA$190,MATCH(LARGE(AQ$5:AQ$190,77),AQ$5:AQ$190,0))</f>
        <v>0</v>
      </c>
      <c r="H271" s="11">
        <f>INDEX(AB$5:AB$190,MATCH(LARGE(AQ$5:AQ$190,77),AQ$5:AQ$190,0))</f>
        <v>0</v>
      </c>
      <c r="I271" s="11">
        <f>INDEX(AC$5:AC$190,MATCH(LARGE(AQ$5:AQ$190,77),AQ$5:AQ$190,0))</f>
        <v>5.9940059940059943E-2</v>
      </c>
      <c r="J271" s="11">
        <f>INDEX(AD$5:AD$190,MATCH(LARGE(AQ$5:AQ$190,77),AQ$5:AQ$190,0))</f>
        <v>1.8111065127923054E-3</v>
      </c>
      <c r="K271" s="11">
        <f>INDEX(AE$5:AE$190,MATCH(LARGE(AQ$5:AQ$190,77),AQ$5:AQ$190,0))</f>
        <v>1.4884734071519334E-2</v>
      </c>
      <c r="L271" s="11">
        <f>INDEX(AF$5:AF$190,MATCH(LARGE(AQ$5:AQ$190,77),AQ$5:AQ$190,0))</f>
        <v>4.3243243243243246E-2</v>
      </c>
      <c r="M271" s="11">
        <f>INDEX(AG$5:AG$190,MATCH(LARGE(AQ$5:AQ$190,77),AQ$5:AQ$190,0))</f>
        <v>0.12244897959183673</v>
      </c>
      <c r="N271" s="11">
        <f>INDEX(AH$5:AH$190,MATCH(LARGE(AQ$5:AQ$190,77),AQ$5:AQ$190,0))</f>
        <v>2.343646384188949E-2</v>
      </c>
      <c r="O271" s="11">
        <f>INDEX(AI$5:AI$190,MATCH(LARGE(AQ$5:AQ$190,77),AQ$5:AQ$190,0))</f>
        <v>0</v>
      </c>
      <c r="P271" s="11">
        <f>INDEX(AJ$5:AJ$190,MATCH(LARGE(AQ$5:AQ$190,77),AQ$5:AQ$190,0))</f>
        <v>0</v>
      </c>
      <c r="Q271" s="11">
        <f>INDEX(AK$5:AK$190,MATCH(LARGE(AQ$5:AQ$190,77),AQ$5:AQ$190,0))</f>
        <v>9.0909090909090912E-2</v>
      </c>
      <c r="R271" s="11">
        <f>INDEX(AL$5:AL$190,MATCH(LARGE(AQ$5:AQ$190,77),AQ$5:AQ$190,0))</f>
        <v>0.66988048158155189</v>
      </c>
      <c r="S271" s="11">
        <f>INDEX(AM$5:AM$190,MATCH(LARGE(AQ$5:AQ$190,77),AQ$5:AQ$190,0))</f>
        <v>0.16666666666666666</v>
      </c>
      <c r="T271" s="11">
        <f>INDEX(AN$5:AN$190,MATCH(LARGE(AQ$5:AQ$190,77),AQ$5:AQ$190,0))</f>
        <v>9.6774193548387094E-2</v>
      </c>
      <c r="U271" s="11">
        <f>INDEX(AO$5:AO$190,MATCH(LARGE(AQ$5:AQ$190,77),AQ$5:AQ$190,0))</f>
        <v>0</v>
      </c>
      <c r="V271" s="11">
        <f>INDEX(AP$5:AP$190,MATCH(LARGE(AQ$5:AQ$190,77),AQ$5:AQ$190,0))</f>
        <v>0.25</v>
      </c>
    </row>
    <row r="272" spans="1:22" ht="15" customHeight="1" x14ac:dyDescent="0.2">
      <c r="A272" s="3">
        <v>78</v>
      </c>
      <c r="B272" s="3" t="str">
        <f>INDEX($A$5:$A$190,MATCH(LARGE(AQ$5:AQ$190,78),AQ$5:AQ$190,0))</f>
        <v>GameResult: setPlayerWon(boolean)</v>
      </c>
      <c r="C272" s="11">
        <f>INDEX(W$5:W$190,MATCH(LARGE(AQ$5:AQ$190,78),AQ$5:AQ$190,0))</f>
        <v>2.6315789473684209E-2</v>
      </c>
      <c r="D272" s="11">
        <f>INDEX(X$5:X$190,MATCH(LARGE(AQ$5:AQ$190,78),AQ$5:AQ$190,0))</f>
        <v>0</v>
      </c>
      <c r="E272" s="11">
        <f>INDEX(Y$5:Y$190,MATCH(LARGE(AQ$5:AQ$190,78),AQ$5:AQ$190,0))</f>
        <v>0</v>
      </c>
      <c r="F272" s="11">
        <f>INDEX(Z$5:Z$190,MATCH(LARGE(AQ$5:AQ$190,78),AQ$5:AQ$190,0))</f>
        <v>0</v>
      </c>
      <c r="G272" s="11">
        <f>INDEX(AA$5:AA$190,MATCH(LARGE(AQ$5:AQ$190,78),AQ$5:AQ$190,0))</f>
        <v>0</v>
      </c>
      <c r="H272" s="11">
        <f>INDEX(AB$5:AB$190,MATCH(LARGE(AQ$5:AQ$190,78),AQ$5:AQ$190,0))</f>
        <v>0</v>
      </c>
      <c r="I272" s="11">
        <f>INDEX(AC$5:AC$190,MATCH(LARGE(AQ$5:AQ$190,78),AQ$5:AQ$190,0))</f>
        <v>1.998001998001998E-2</v>
      </c>
      <c r="J272" s="11">
        <f>INDEX(AD$5:AD$190,MATCH(LARGE(AQ$5:AQ$190,78),AQ$5:AQ$190,0))</f>
        <v>1.6323915401315274E-4</v>
      </c>
      <c r="K272" s="11">
        <f>INDEX(AE$5:AE$190,MATCH(LARGE(AQ$5:AQ$190,78),AQ$5:AQ$190,0))</f>
        <v>2.9950989290252316E-3</v>
      </c>
      <c r="L272" s="11">
        <f>INDEX(AF$5:AF$190,MATCH(LARGE(AQ$5:AQ$190,78),AQ$5:AQ$190,0))</f>
        <v>1.6216216216216217E-2</v>
      </c>
      <c r="M272" s="11">
        <f>INDEX(AG$5:AG$190,MATCH(LARGE(AQ$5:AQ$190,78),AQ$5:AQ$190,0))</f>
        <v>6.1224489795918366E-2</v>
      </c>
      <c r="N272" s="11">
        <f>INDEX(AH$5:AH$190,MATCH(LARGE(AQ$5:AQ$190,78),AQ$5:AQ$190,0))</f>
        <v>6.3371455575709935E-3</v>
      </c>
      <c r="O272" s="11">
        <f>INDEX(AI$5:AI$190,MATCH(LARGE(AQ$5:AQ$190,78),AQ$5:AQ$190,0))</f>
        <v>1</v>
      </c>
      <c r="P272" s="11">
        <f>INDEX(AJ$5:AJ$190,MATCH(LARGE(AQ$5:AQ$190,78),AQ$5:AQ$190,0))</f>
        <v>0</v>
      </c>
      <c r="Q272" s="11">
        <f>INDEX(AK$5:AK$190,MATCH(LARGE(AQ$5:AQ$190,78),AQ$5:AQ$190,0))</f>
        <v>7.575757575757576E-3</v>
      </c>
      <c r="R272" s="11">
        <f>INDEX(AL$5:AL$190,MATCH(LARGE(AQ$5:AQ$190,78),AQ$5:AQ$190,0))</f>
        <v>0.95803700811405612</v>
      </c>
      <c r="S272" s="11">
        <f>INDEX(AM$5:AM$190,MATCH(LARGE(AQ$5:AQ$190,78),AQ$5:AQ$190,0))</f>
        <v>0.16666666666666666</v>
      </c>
      <c r="T272" s="11">
        <f>INDEX(AN$5:AN$190,MATCH(LARGE(AQ$5:AQ$190,78),AQ$5:AQ$190,0))</f>
        <v>6.4516129032258063E-2</v>
      </c>
      <c r="U272" s="11">
        <f>INDEX(AO$5:AO$190,MATCH(LARGE(AQ$5:AQ$190,78),AQ$5:AQ$190,0))</f>
        <v>0</v>
      </c>
      <c r="V272" s="11">
        <f>INDEX(AP$5:AP$190,MATCH(LARGE(AQ$5:AQ$190,78),AQ$5:AQ$190,0))</f>
        <v>0.25</v>
      </c>
    </row>
    <row r="273" spans="1:22" ht="15" customHeight="1" x14ac:dyDescent="0.2">
      <c r="A273" s="3">
        <v>79</v>
      </c>
      <c r="B273" s="3" t="str">
        <f>INDEX($A$5:$A$190,MATCH(LARGE(AQ$5:AQ$190,79),AQ$5:AQ$190,0))</f>
        <v>GameResult: setPlayerWon(boolean)</v>
      </c>
      <c r="C273" s="11">
        <f>INDEX(W$5:W$190,MATCH(LARGE(AQ$5:AQ$190,79),AQ$5:AQ$190,0))</f>
        <v>2.6315789473684209E-2</v>
      </c>
      <c r="D273" s="11">
        <f>INDEX(X$5:X$190,MATCH(LARGE(AQ$5:AQ$190,79),AQ$5:AQ$190,0))</f>
        <v>0</v>
      </c>
      <c r="E273" s="11">
        <f>INDEX(Y$5:Y$190,MATCH(LARGE(AQ$5:AQ$190,79),AQ$5:AQ$190,0))</f>
        <v>0</v>
      </c>
      <c r="F273" s="11">
        <f>INDEX(Z$5:Z$190,MATCH(LARGE(AQ$5:AQ$190,79),AQ$5:AQ$190,0))</f>
        <v>0</v>
      </c>
      <c r="G273" s="11">
        <f>INDEX(AA$5:AA$190,MATCH(LARGE(AQ$5:AQ$190,79),AQ$5:AQ$190,0))</f>
        <v>0</v>
      </c>
      <c r="H273" s="11">
        <f>INDEX(AB$5:AB$190,MATCH(LARGE(AQ$5:AQ$190,79),AQ$5:AQ$190,0))</f>
        <v>0</v>
      </c>
      <c r="I273" s="11">
        <f>INDEX(AC$5:AC$190,MATCH(LARGE(AQ$5:AQ$190,79),AQ$5:AQ$190,0))</f>
        <v>1.998001998001998E-2</v>
      </c>
      <c r="J273" s="11">
        <f>INDEX(AD$5:AD$190,MATCH(LARGE(AQ$5:AQ$190,79),AQ$5:AQ$190,0))</f>
        <v>1.6323915401315274E-4</v>
      </c>
      <c r="K273" s="11">
        <f>INDEX(AE$5:AE$190,MATCH(LARGE(AQ$5:AQ$190,79),AQ$5:AQ$190,0))</f>
        <v>2.9950989290252316E-3</v>
      </c>
      <c r="L273" s="11">
        <f>INDEX(AF$5:AF$190,MATCH(LARGE(AQ$5:AQ$190,79),AQ$5:AQ$190,0))</f>
        <v>1.6216216216216217E-2</v>
      </c>
      <c r="M273" s="11">
        <f>INDEX(AG$5:AG$190,MATCH(LARGE(AQ$5:AQ$190,79),AQ$5:AQ$190,0))</f>
        <v>6.1224489795918366E-2</v>
      </c>
      <c r="N273" s="11">
        <f>INDEX(AH$5:AH$190,MATCH(LARGE(AQ$5:AQ$190,79),AQ$5:AQ$190,0))</f>
        <v>6.3371455575709935E-3</v>
      </c>
      <c r="O273" s="11">
        <f>INDEX(AI$5:AI$190,MATCH(LARGE(AQ$5:AQ$190,79),AQ$5:AQ$190,0))</f>
        <v>1</v>
      </c>
      <c r="P273" s="11">
        <f>INDEX(AJ$5:AJ$190,MATCH(LARGE(AQ$5:AQ$190,79),AQ$5:AQ$190,0))</f>
        <v>0</v>
      </c>
      <c r="Q273" s="11">
        <f>INDEX(AK$5:AK$190,MATCH(LARGE(AQ$5:AQ$190,79),AQ$5:AQ$190,0))</f>
        <v>7.575757575757576E-3</v>
      </c>
      <c r="R273" s="11">
        <f>INDEX(AL$5:AL$190,MATCH(LARGE(AQ$5:AQ$190,79),AQ$5:AQ$190,0))</f>
        <v>0.95803700811405612</v>
      </c>
      <c r="S273" s="11">
        <f>INDEX(AM$5:AM$190,MATCH(LARGE(AQ$5:AQ$190,79),AQ$5:AQ$190,0))</f>
        <v>0.16666666666666666</v>
      </c>
      <c r="T273" s="11">
        <f>INDEX(AN$5:AN$190,MATCH(LARGE(AQ$5:AQ$190,79),AQ$5:AQ$190,0))</f>
        <v>6.4516129032258063E-2</v>
      </c>
      <c r="U273" s="11">
        <f>INDEX(AO$5:AO$190,MATCH(LARGE(AQ$5:AQ$190,79),AQ$5:AQ$190,0))</f>
        <v>0</v>
      </c>
      <c r="V273" s="11">
        <f>INDEX(AP$5:AP$190,MATCH(LARGE(AQ$5:AQ$190,79),AQ$5:AQ$190,0))</f>
        <v>0.25</v>
      </c>
    </row>
    <row r="274" spans="1:22" ht="15" customHeight="1" x14ac:dyDescent="0.2">
      <c r="A274" s="3">
        <v>80</v>
      </c>
      <c r="B274" s="3" t="str">
        <f>INDEX($A$5:$A$190,MATCH(LARGE(AQ$5:AQ$190,80),AQ$5:AQ$190,0))</f>
        <v>GameResult: setDate(LocalDateTime)</v>
      </c>
      <c r="C274" s="11">
        <f>INDEX(W$5:W$190,MATCH(LARGE(AQ$5:AQ$190,80),AQ$5:AQ$190,0))</f>
        <v>2.6315789473684209E-2</v>
      </c>
      <c r="D274" s="11">
        <f>INDEX(X$5:X$190,MATCH(LARGE(AQ$5:AQ$190,80),AQ$5:AQ$190,0))</f>
        <v>0</v>
      </c>
      <c r="E274" s="11">
        <f>INDEX(Y$5:Y$190,MATCH(LARGE(AQ$5:AQ$190,80),AQ$5:AQ$190,0))</f>
        <v>0</v>
      </c>
      <c r="F274" s="11">
        <f>INDEX(Z$5:Z$190,MATCH(LARGE(AQ$5:AQ$190,80),AQ$5:AQ$190,0))</f>
        <v>0</v>
      </c>
      <c r="G274" s="11">
        <f>INDEX(AA$5:AA$190,MATCH(LARGE(AQ$5:AQ$190,80),AQ$5:AQ$190,0))</f>
        <v>0</v>
      </c>
      <c r="H274" s="11">
        <f>INDEX(AB$5:AB$190,MATCH(LARGE(AQ$5:AQ$190,80),AQ$5:AQ$190,0))</f>
        <v>0</v>
      </c>
      <c r="I274" s="11">
        <f>INDEX(AC$5:AC$190,MATCH(LARGE(AQ$5:AQ$190,80),AQ$5:AQ$190,0))</f>
        <v>1.4985014985014986E-2</v>
      </c>
      <c r="J274" s="11">
        <f>INDEX(AD$5:AD$190,MATCH(LARGE(AQ$5:AQ$190,80),AQ$5:AQ$190,0))</f>
        <v>9.1642969205342693E-5</v>
      </c>
      <c r="K274" s="11">
        <f>INDEX(AE$5:AE$190,MATCH(LARGE(AQ$5:AQ$190,80),AQ$5:AQ$190,0))</f>
        <v>1.9967326193501547E-3</v>
      </c>
      <c r="L274" s="11">
        <f>INDEX(AF$5:AF$190,MATCH(LARGE(AQ$5:AQ$190,80),AQ$5:AQ$190,0))</f>
        <v>1.3513513513513514E-2</v>
      </c>
      <c r="M274" s="11">
        <f>INDEX(AG$5:AG$190,MATCH(LARGE(AQ$5:AQ$190,80),AQ$5:AQ$190,0))</f>
        <v>5.1020408163265307E-2</v>
      </c>
      <c r="N274" s="11">
        <f>INDEX(AH$5:AH$190,MATCH(LARGE(AQ$5:AQ$190,80),AQ$5:AQ$190,0))</f>
        <v>4.7435637509946104E-3</v>
      </c>
      <c r="O274" s="11">
        <f>INDEX(AI$5:AI$190,MATCH(LARGE(AQ$5:AQ$190,80),AQ$5:AQ$190,0))</f>
        <v>1</v>
      </c>
      <c r="P274" s="11">
        <f>INDEX(AJ$5:AJ$190,MATCH(LARGE(AQ$5:AQ$190,80),AQ$5:AQ$190,0))</f>
        <v>0</v>
      </c>
      <c r="Q274" s="11">
        <f>INDEX(AK$5:AK$190,MATCH(LARGE(AQ$5:AQ$190,80),AQ$5:AQ$190,0))</f>
        <v>7.575757575757576E-3</v>
      </c>
      <c r="R274" s="11">
        <f>INDEX(AL$5:AL$190,MATCH(LARGE(AQ$5:AQ$190,80),AQ$5:AQ$190,0))</f>
        <v>0.96788412309311334</v>
      </c>
      <c r="S274" s="11">
        <f>INDEX(AM$5:AM$190,MATCH(LARGE(AQ$5:AQ$190,80),AQ$5:AQ$190,0))</f>
        <v>0.16666666666666666</v>
      </c>
      <c r="T274" s="11">
        <f>INDEX(AN$5:AN$190,MATCH(LARGE(AQ$5:AQ$190,80),AQ$5:AQ$190,0))</f>
        <v>6.4516129032258063E-2</v>
      </c>
      <c r="U274" s="11">
        <f>INDEX(AO$5:AO$190,MATCH(LARGE(AQ$5:AQ$190,80),AQ$5:AQ$190,0))</f>
        <v>0</v>
      </c>
      <c r="V274" s="11">
        <f>INDEX(AP$5:AP$190,MATCH(LARGE(AQ$5:AQ$190,80),AQ$5:AQ$190,0))</f>
        <v>0.25</v>
      </c>
    </row>
    <row r="275" spans="1:22" ht="15" customHeight="1" x14ac:dyDescent="0.2">
      <c r="A275" s="3">
        <v>81</v>
      </c>
      <c r="B275" s="3" t="str">
        <f>INDEX($A$5:$A$190,MATCH(LARGE(AQ$5:AQ$190,81),AQ$5:AQ$190,0))</f>
        <v>GameResult: setDate(LocalDateTime)</v>
      </c>
      <c r="C275" s="11">
        <f>INDEX(W$5:W$190,MATCH(LARGE(AQ$5:AQ$190,81),AQ$5:AQ$190,0))</f>
        <v>2.6315789473684209E-2</v>
      </c>
      <c r="D275" s="11">
        <f>INDEX(X$5:X$190,MATCH(LARGE(AQ$5:AQ$190,81),AQ$5:AQ$190,0))</f>
        <v>0</v>
      </c>
      <c r="E275" s="11">
        <f>INDEX(Y$5:Y$190,MATCH(LARGE(AQ$5:AQ$190,81),AQ$5:AQ$190,0))</f>
        <v>0</v>
      </c>
      <c r="F275" s="11">
        <f>INDEX(Z$5:Z$190,MATCH(LARGE(AQ$5:AQ$190,81),AQ$5:AQ$190,0))</f>
        <v>0</v>
      </c>
      <c r="G275" s="11">
        <f>INDEX(AA$5:AA$190,MATCH(LARGE(AQ$5:AQ$190,81),AQ$5:AQ$190,0))</f>
        <v>0</v>
      </c>
      <c r="H275" s="11">
        <f>INDEX(AB$5:AB$190,MATCH(LARGE(AQ$5:AQ$190,81),AQ$5:AQ$190,0))</f>
        <v>0</v>
      </c>
      <c r="I275" s="11">
        <f>INDEX(AC$5:AC$190,MATCH(LARGE(AQ$5:AQ$190,81),AQ$5:AQ$190,0))</f>
        <v>1.4985014985014986E-2</v>
      </c>
      <c r="J275" s="11">
        <f>INDEX(AD$5:AD$190,MATCH(LARGE(AQ$5:AQ$190,81),AQ$5:AQ$190,0))</f>
        <v>9.1642969205342693E-5</v>
      </c>
      <c r="K275" s="11">
        <f>INDEX(AE$5:AE$190,MATCH(LARGE(AQ$5:AQ$190,81),AQ$5:AQ$190,0))</f>
        <v>1.9967326193501547E-3</v>
      </c>
      <c r="L275" s="11">
        <f>INDEX(AF$5:AF$190,MATCH(LARGE(AQ$5:AQ$190,81),AQ$5:AQ$190,0))</f>
        <v>1.3513513513513514E-2</v>
      </c>
      <c r="M275" s="11">
        <f>INDEX(AG$5:AG$190,MATCH(LARGE(AQ$5:AQ$190,81),AQ$5:AQ$190,0))</f>
        <v>5.1020408163265307E-2</v>
      </c>
      <c r="N275" s="11">
        <f>INDEX(AH$5:AH$190,MATCH(LARGE(AQ$5:AQ$190,81),AQ$5:AQ$190,0))</f>
        <v>4.7435637509946104E-3</v>
      </c>
      <c r="O275" s="11">
        <f>INDEX(AI$5:AI$190,MATCH(LARGE(AQ$5:AQ$190,81),AQ$5:AQ$190,0))</f>
        <v>1</v>
      </c>
      <c r="P275" s="11">
        <f>INDEX(AJ$5:AJ$190,MATCH(LARGE(AQ$5:AQ$190,81),AQ$5:AQ$190,0))</f>
        <v>0</v>
      </c>
      <c r="Q275" s="11">
        <f>INDEX(AK$5:AK$190,MATCH(LARGE(AQ$5:AQ$190,81),AQ$5:AQ$190,0))</f>
        <v>7.575757575757576E-3</v>
      </c>
      <c r="R275" s="11">
        <f>INDEX(AL$5:AL$190,MATCH(LARGE(AQ$5:AQ$190,81),AQ$5:AQ$190,0))</f>
        <v>0.96788412309311334</v>
      </c>
      <c r="S275" s="11">
        <f>INDEX(AM$5:AM$190,MATCH(LARGE(AQ$5:AQ$190,81),AQ$5:AQ$190,0))</f>
        <v>0.16666666666666666</v>
      </c>
      <c r="T275" s="11">
        <f>INDEX(AN$5:AN$190,MATCH(LARGE(AQ$5:AQ$190,81),AQ$5:AQ$190,0))</f>
        <v>6.4516129032258063E-2</v>
      </c>
      <c r="U275" s="11">
        <f>INDEX(AO$5:AO$190,MATCH(LARGE(AQ$5:AQ$190,81),AQ$5:AQ$190,0))</f>
        <v>0</v>
      </c>
      <c r="V275" s="11">
        <f>INDEX(AP$5:AP$190,MATCH(LARGE(AQ$5:AQ$190,81),AQ$5:AQ$190,0))</f>
        <v>0.25</v>
      </c>
    </row>
    <row r="276" spans="1:22" ht="15" customHeight="1" x14ac:dyDescent="0.2">
      <c r="A276" s="3">
        <v>82</v>
      </c>
      <c r="B276" s="3" t="str">
        <f>INDEX($A$5:$A$190,MATCH(LARGE(AQ$5:AQ$190,82),AQ$5:AQ$190,0))</f>
        <v>Barge: Barge(Compass, IPosition)</v>
      </c>
      <c r="C276" s="11">
        <f>INDEX(W$5:W$190,MATCH(LARGE(AQ$5:AQ$190,82),AQ$5:AQ$190,0))</f>
        <v>2.6315789473684209E-2</v>
      </c>
      <c r="D276" s="11">
        <f>INDEX(X$5:X$190,MATCH(LARGE(AQ$5:AQ$190,82),AQ$5:AQ$190,0))</f>
        <v>0</v>
      </c>
      <c r="E276" s="11">
        <f>INDEX(Y$5:Y$190,MATCH(LARGE(AQ$5:AQ$190,82),AQ$5:AQ$190,0))</f>
        <v>0.6</v>
      </c>
      <c r="F276" s="11">
        <f>INDEX(Z$5:Z$190,MATCH(LARGE(AQ$5:AQ$190,82),AQ$5:AQ$190,0))</f>
        <v>0.17241379310344829</v>
      </c>
      <c r="G276" s="11">
        <f>INDEX(AA$5:AA$190,MATCH(LARGE(AQ$5:AQ$190,82),AQ$5:AQ$190,0))</f>
        <v>0</v>
      </c>
      <c r="H276" s="11">
        <f>INDEX(AB$5:AB$190,MATCH(LARGE(AQ$5:AQ$190,82),AQ$5:AQ$190,0))</f>
        <v>0</v>
      </c>
      <c r="I276" s="11">
        <f>INDEX(AC$5:AC$190,MATCH(LARGE(AQ$5:AQ$190,82),AQ$5:AQ$190,0))</f>
        <v>5.9940059940059943E-2</v>
      </c>
      <c r="J276" s="11">
        <f>INDEX(AD$5:AD$190,MATCH(LARGE(AQ$5:AQ$190,82),AQ$5:AQ$190,0))</f>
        <v>1.5847184618158641E-3</v>
      </c>
      <c r="K276" s="11">
        <f>INDEX(AE$5:AE$190,MATCH(LARGE(AQ$5:AQ$190,82),AQ$5:AQ$190,0))</f>
        <v>1.3614086041023781E-2</v>
      </c>
      <c r="L276" s="11">
        <f>INDEX(AF$5:AF$190,MATCH(LARGE(AQ$5:AQ$190,82),AQ$5:AQ$190,0))</f>
        <v>3.783783783783784E-2</v>
      </c>
      <c r="M276" s="11">
        <f>INDEX(AG$5:AG$190,MATCH(LARGE(AQ$5:AQ$190,82),AQ$5:AQ$190,0))</f>
        <v>0.12244897959183673</v>
      </c>
      <c r="N276" s="11">
        <f>INDEX(AH$5:AH$190,MATCH(LARGE(AQ$5:AQ$190,82),AQ$5:AQ$190,0))</f>
        <v>2.0506916076397461E-2</v>
      </c>
      <c r="O276" s="11">
        <f>INDEX(AI$5:AI$190,MATCH(LARGE(AQ$5:AQ$190,82),AQ$5:AQ$190,0))</f>
        <v>0</v>
      </c>
      <c r="P276" s="11">
        <f>INDEX(AJ$5:AJ$190,MATCH(LARGE(AQ$5:AQ$190,82),AQ$5:AQ$190,0))</f>
        <v>0</v>
      </c>
      <c r="Q276" s="11">
        <f>INDEX(AK$5:AK$190,MATCH(LARGE(AQ$5:AQ$190,82),AQ$5:AQ$190,0))</f>
        <v>8.3333333333333329E-2</v>
      </c>
      <c r="R276" s="11">
        <f>INDEX(AL$5:AL$190,MATCH(LARGE(AQ$5:AQ$190,82),AQ$5:AQ$190,0))</f>
        <v>0.68264665227323018</v>
      </c>
      <c r="S276" s="11">
        <f>INDEX(AM$5:AM$190,MATCH(LARGE(AQ$5:AQ$190,82),AQ$5:AQ$190,0))</f>
        <v>0.16666666666666666</v>
      </c>
      <c r="T276" s="11">
        <f>INDEX(AN$5:AN$190,MATCH(LARGE(AQ$5:AQ$190,82),AQ$5:AQ$190,0))</f>
        <v>6.4516129032258063E-2</v>
      </c>
      <c r="U276" s="11">
        <f>INDEX(AO$5:AO$190,MATCH(LARGE(AQ$5:AQ$190,82),AQ$5:AQ$190,0))</f>
        <v>0</v>
      </c>
      <c r="V276" s="11">
        <f>INDEX(AP$5:AP$190,MATCH(LARGE(AQ$5:AQ$190,82),AQ$5:AQ$190,0))</f>
        <v>0.5</v>
      </c>
    </row>
    <row r="277" spans="1:22" ht="15" customHeight="1" x14ac:dyDescent="0.2">
      <c r="A277" s="3">
        <v>83</v>
      </c>
      <c r="B277" s="3" t="str">
        <f>INDEX($A$5:$A$190,MATCH(LARGE(AQ$5:AQ$190,83),AQ$5:AQ$190,0))</f>
        <v>Position: randomPosition()</v>
      </c>
      <c r="C277" s="11">
        <f>INDEX(W$5:W$190,MATCH(LARGE(AQ$5:AQ$190,83),AQ$5:AQ$190,0))</f>
        <v>2.6315789473684209E-2</v>
      </c>
      <c r="D277" s="11">
        <f>INDEX(X$5:X$190,MATCH(LARGE(AQ$5:AQ$190,83),AQ$5:AQ$190,0))</f>
        <v>0</v>
      </c>
      <c r="E277" s="11">
        <f>INDEX(Y$5:Y$190,MATCH(LARGE(AQ$5:AQ$190,83),AQ$5:AQ$190,0))</f>
        <v>1</v>
      </c>
      <c r="F277" s="11">
        <f>INDEX(Z$5:Z$190,MATCH(LARGE(AQ$5:AQ$190,83),AQ$5:AQ$190,0))</f>
        <v>3.4482758620689655E-2</v>
      </c>
      <c r="G277" s="11">
        <f>INDEX(AA$5:AA$190,MATCH(LARGE(AQ$5:AQ$190,83),AQ$5:AQ$190,0))</f>
        <v>0</v>
      </c>
      <c r="H277" s="11">
        <f>INDEX(AB$5:AB$190,MATCH(LARGE(AQ$5:AQ$190,83),AQ$5:AQ$190,0))</f>
        <v>0.2</v>
      </c>
      <c r="I277" s="11">
        <f>INDEX(AC$5:AC$190,MATCH(LARGE(AQ$5:AQ$190,83),AQ$5:AQ$190,0))</f>
        <v>4.6620379620379619E-2</v>
      </c>
      <c r="J277" s="11">
        <f>INDEX(AD$5:AD$190,MATCH(LARGE(AQ$5:AQ$190,83),AQ$5:AQ$190,0))</f>
        <v>1.305284369099104E-3</v>
      </c>
      <c r="K277" s="11">
        <f>INDEX(AE$5:AE$190,MATCH(LARGE(AQ$5:AQ$190,83),AQ$5:AQ$190,0))</f>
        <v>1.1980395716100926E-2</v>
      </c>
      <c r="L277" s="11">
        <f>INDEX(AF$5:AF$190,MATCH(LARGE(AQ$5:AQ$190,83),AQ$5:AQ$190,0))</f>
        <v>4.3243243243243246E-2</v>
      </c>
      <c r="M277" s="11">
        <f>INDEX(AG$5:AG$190,MATCH(LARGE(AQ$5:AQ$190,83),AQ$5:AQ$190,0))</f>
        <v>0.10204081632653061</v>
      </c>
      <c r="N277" s="11">
        <f>INDEX(AH$5:AH$190,MATCH(LARGE(AQ$5:AQ$190,83),AQ$5:AQ$190,0))</f>
        <v>2.1716872951381985E-2</v>
      </c>
      <c r="O277" s="11">
        <f>INDEX(AI$5:AI$190,MATCH(LARGE(AQ$5:AQ$190,83),AQ$5:AQ$190,0))</f>
        <v>0</v>
      </c>
      <c r="P277" s="11">
        <f>INDEX(AJ$5:AJ$190,MATCH(LARGE(AQ$5:AQ$190,83),AQ$5:AQ$190,0))</f>
        <v>0</v>
      </c>
      <c r="Q277" s="11">
        <f>INDEX(AK$5:AK$190,MATCH(LARGE(AQ$5:AQ$190,83),AQ$5:AQ$190,0))</f>
        <v>5.3030303030303032E-2</v>
      </c>
      <c r="R277" s="11">
        <f>INDEX(AL$5:AL$190,MATCH(LARGE(AQ$5:AQ$190,83),AQ$5:AQ$190,0))</f>
        <v>0.72550122984536092</v>
      </c>
      <c r="S277" s="11">
        <f>INDEX(AM$5:AM$190,MATCH(LARGE(AQ$5:AQ$190,83),AQ$5:AQ$190,0))</f>
        <v>0.16666666666666666</v>
      </c>
      <c r="T277" s="11">
        <f>INDEX(AN$5:AN$190,MATCH(LARGE(AQ$5:AQ$190,83),AQ$5:AQ$190,0))</f>
        <v>9.6774193548387094E-2</v>
      </c>
      <c r="U277" s="11">
        <f>INDEX(AO$5:AO$190,MATCH(LARGE(AQ$5:AQ$190,83),AQ$5:AQ$190,0))</f>
        <v>0</v>
      </c>
      <c r="V277" s="11">
        <f>INDEX(AP$5:AP$190,MATCH(LARGE(AQ$5:AQ$190,83),AQ$5:AQ$190,0))</f>
        <v>0</v>
      </c>
    </row>
    <row r="278" spans="1:22" ht="15" customHeight="1" x14ac:dyDescent="0.2">
      <c r="A278" s="3">
        <v>84</v>
      </c>
      <c r="B278" s="3" t="str">
        <f>INDEX($A$5:$A$190,MATCH(LARGE(AQ$5:AQ$190,84),AQ$5:AQ$190,0))</f>
        <v>Compass: Compass(char)</v>
      </c>
      <c r="C278" s="11">
        <f>INDEX(W$5:W$190,MATCH(LARGE(AQ$5:AQ$190,84),AQ$5:AQ$190,0))</f>
        <v>2.6315789473684209E-2</v>
      </c>
      <c r="D278" s="11">
        <f>INDEX(X$5:X$190,MATCH(LARGE(AQ$5:AQ$190,84),AQ$5:AQ$190,0))</f>
        <v>0</v>
      </c>
      <c r="E278" s="11">
        <f>INDEX(Y$5:Y$190,MATCH(LARGE(AQ$5:AQ$190,84),AQ$5:AQ$190,0))</f>
        <v>0</v>
      </c>
      <c r="F278" s="11">
        <f>INDEX(Z$5:Z$190,MATCH(LARGE(AQ$5:AQ$190,84),AQ$5:AQ$190,0))</f>
        <v>0</v>
      </c>
      <c r="G278" s="11">
        <f>INDEX(AA$5:AA$190,MATCH(LARGE(AQ$5:AQ$190,84),AQ$5:AQ$190,0))</f>
        <v>0</v>
      </c>
      <c r="H278" s="11">
        <f>INDEX(AB$5:AB$190,MATCH(LARGE(AQ$5:AQ$190,84),AQ$5:AQ$190,0))</f>
        <v>0</v>
      </c>
      <c r="I278" s="11">
        <f>INDEX(AC$5:AC$190,MATCH(LARGE(AQ$5:AQ$190,84),AQ$5:AQ$190,0))</f>
        <v>9.99000999000999E-3</v>
      </c>
      <c r="J278" s="11">
        <f>INDEX(AD$5:AD$190,MATCH(LARGE(AQ$5:AQ$190,84),AQ$5:AQ$190,0))</f>
        <v>4.2099615472321428E-5</v>
      </c>
      <c r="K278" s="11">
        <f>INDEX(AE$5:AE$190,MATCH(LARGE(AQ$5:AQ$190,84),AQ$5:AQ$190,0))</f>
        <v>1.1798874568887275E-3</v>
      </c>
      <c r="L278" s="11">
        <f>INDEX(AF$5:AF$190,MATCH(LARGE(AQ$5:AQ$190,84),AQ$5:AQ$190,0))</f>
        <v>1.0810810810810811E-2</v>
      </c>
      <c r="M278" s="11">
        <f>INDEX(AG$5:AG$190,MATCH(LARGE(AQ$5:AQ$190,84),AQ$5:AQ$190,0))</f>
        <v>4.0816326530612242E-2</v>
      </c>
      <c r="N278" s="11">
        <f>INDEX(AH$5:AH$190,MATCH(LARGE(AQ$5:AQ$190,84),AQ$5:AQ$190,0))</f>
        <v>3.2687181305089651E-3</v>
      </c>
      <c r="O278" s="11">
        <f>INDEX(AI$5:AI$190,MATCH(LARGE(AQ$5:AQ$190,84),AQ$5:AQ$190,0))</f>
        <v>1</v>
      </c>
      <c r="P278" s="11">
        <f>INDEX(AJ$5:AJ$190,MATCH(LARGE(AQ$5:AQ$190,84),AQ$5:AQ$190,0))</f>
        <v>0</v>
      </c>
      <c r="Q278" s="11">
        <f>INDEX(AK$5:AK$190,MATCH(LARGE(AQ$5:AQ$190,84),AQ$5:AQ$190,0))</f>
        <v>6.8181818181818177E-2</v>
      </c>
      <c r="R278" s="11">
        <f>INDEX(AL$5:AL$190,MATCH(LARGE(AQ$5:AQ$190,84),AQ$5:AQ$190,0))</f>
        <v>0.76067397196203135</v>
      </c>
      <c r="S278" s="11">
        <f>INDEX(AM$5:AM$190,MATCH(LARGE(AQ$5:AQ$190,84),AQ$5:AQ$190,0))</f>
        <v>0.16666666666666666</v>
      </c>
      <c r="T278" s="11">
        <f>INDEX(AN$5:AN$190,MATCH(LARGE(AQ$5:AQ$190,84),AQ$5:AQ$190,0))</f>
        <v>6.4516129032258063E-2</v>
      </c>
      <c r="U278" s="11">
        <f>INDEX(AO$5:AO$190,MATCH(LARGE(AQ$5:AQ$190,84),AQ$5:AQ$190,0))</f>
        <v>0</v>
      </c>
      <c r="V278" s="11">
        <f>INDEX(AP$5:AP$190,MATCH(LARGE(AQ$5:AQ$190,84),AQ$5:AQ$190,0))</f>
        <v>0.25</v>
      </c>
    </row>
    <row r="279" spans="1:22" ht="15" customHeight="1" x14ac:dyDescent="0.2">
      <c r="A279" s="3">
        <v>85</v>
      </c>
      <c r="B279" s="3" t="str">
        <f>INDEX($A$5:$A$190,MATCH(LARGE(AQ$5:AQ$190,85),AQ$5:AQ$190,0))</f>
        <v>Fleet: isInsideBoard(IShip)</v>
      </c>
      <c r="C279" s="11">
        <f>INDEX(W$5:W$190,MATCH(LARGE(AQ$5:AQ$190,85),AQ$5:AQ$190,0))</f>
        <v>0.10526315789473684</v>
      </c>
      <c r="D279" s="11">
        <f>INDEX(X$5:X$190,MATCH(LARGE(AQ$5:AQ$190,85),AQ$5:AQ$190,0))</f>
        <v>0</v>
      </c>
      <c r="E279" s="11">
        <f>INDEX(Y$5:Y$190,MATCH(LARGE(AQ$5:AQ$190,85),AQ$5:AQ$190,0))</f>
        <v>0.25</v>
      </c>
      <c r="F279" s="11">
        <f>INDEX(Z$5:Z$190,MATCH(LARGE(AQ$5:AQ$190,85),AQ$5:AQ$190,0))</f>
        <v>0.13793103448275862</v>
      </c>
      <c r="G279" s="11">
        <f>INDEX(AA$5:AA$190,MATCH(LARGE(AQ$5:AQ$190,85),AQ$5:AQ$190,0))</f>
        <v>0</v>
      </c>
      <c r="H279" s="11">
        <f>INDEX(AB$5:AB$190,MATCH(LARGE(AQ$5:AQ$190,85),AQ$5:AQ$190,0))</f>
        <v>0.2</v>
      </c>
      <c r="I279" s="11">
        <f>INDEX(AC$5:AC$190,MATCH(LARGE(AQ$5:AQ$190,85),AQ$5:AQ$190,0))</f>
        <v>0.14385614385614387</v>
      </c>
      <c r="J279" s="11">
        <f>INDEX(AD$5:AD$190,MATCH(LARGE(AQ$5:AQ$190,85),AQ$5:AQ$190,0))</f>
        <v>8.3631180833074834E-3</v>
      </c>
      <c r="K279" s="11">
        <f>INDEX(AE$5:AE$190,MATCH(LARGE(AQ$5:AQ$190,85),AQ$5:AQ$190,0))</f>
        <v>4.1205300417498647E-2</v>
      </c>
      <c r="L279" s="11">
        <f>INDEX(AF$5:AF$190,MATCH(LARGE(AQ$5:AQ$190,85),AQ$5:AQ$190,0))</f>
        <v>7.2972972972972977E-2</v>
      </c>
      <c r="M279" s="11">
        <f>INDEX(AG$5:AG$190,MATCH(LARGE(AQ$5:AQ$190,85),AQ$5:AQ$190,0))</f>
        <v>0.17346938775510204</v>
      </c>
      <c r="N279" s="11">
        <f>INDEX(AH$5:AH$190,MATCH(LARGE(AQ$5:AQ$190,85),AQ$5:AQ$190,0))</f>
        <v>4.5092579495020643E-2</v>
      </c>
      <c r="O279" s="11">
        <f>INDEX(AI$5:AI$190,MATCH(LARGE(AQ$5:AQ$190,85),AQ$5:AQ$190,0))</f>
        <v>0</v>
      </c>
      <c r="P279" s="11">
        <f>INDEX(AJ$5:AJ$190,MATCH(LARGE(AQ$5:AQ$190,85),AQ$5:AQ$190,0))</f>
        <v>0</v>
      </c>
      <c r="Q279" s="11">
        <f>INDEX(AK$5:AK$190,MATCH(LARGE(AQ$5:AQ$190,85),AQ$5:AQ$190,0))</f>
        <v>9.0909090909090912E-2</v>
      </c>
      <c r="R279" s="11">
        <f>INDEX(AL$5:AL$190,MATCH(LARGE(AQ$5:AQ$190,85),AQ$5:AQ$190,0))</f>
        <v>0.64706256968775699</v>
      </c>
      <c r="S279" s="11">
        <f>INDEX(AM$5:AM$190,MATCH(LARGE(AQ$5:AQ$190,85),AQ$5:AQ$190,0))</f>
        <v>0.16666666666666666</v>
      </c>
      <c r="T279" s="11">
        <f>INDEX(AN$5:AN$190,MATCH(LARGE(AQ$5:AQ$190,85),AQ$5:AQ$190,0))</f>
        <v>6.4516129032258063E-2</v>
      </c>
      <c r="U279" s="11">
        <f>INDEX(AO$5:AO$190,MATCH(LARGE(AQ$5:AQ$190,85),AQ$5:AQ$190,0))</f>
        <v>0</v>
      </c>
      <c r="V279" s="11">
        <f>INDEX(AP$5:AP$190,MATCH(LARGE(AQ$5:AQ$190,85),AQ$5:AQ$190,0))</f>
        <v>0.25</v>
      </c>
    </row>
    <row r="280" spans="1:22" ht="15" customHeight="1" x14ac:dyDescent="0.2">
      <c r="A280" s="3">
        <v>86</v>
      </c>
      <c r="B280" s="3" t="str">
        <f>INDEX($A$5:$A$190,MATCH(LARGE(AQ$5:AQ$190,86),AQ$5:AQ$190,0))</f>
        <v>Main: main(String[])</v>
      </c>
      <c r="C280" s="11">
        <f>INDEX(W$5:W$190,MATCH(LARGE(AQ$5:AQ$190,86),AQ$5:AQ$190,0))</f>
        <v>2.6315789473684209E-2</v>
      </c>
      <c r="D280" s="11">
        <f>INDEX(X$5:X$190,MATCH(LARGE(AQ$5:AQ$190,86),AQ$5:AQ$190,0))</f>
        <v>0</v>
      </c>
      <c r="E280" s="11">
        <f>INDEX(Y$5:Y$190,MATCH(LARGE(AQ$5:AQ$190,86),AQ$5:AQ$190,0))</f>
        <v>1</v>
      </c>
      <c r="F280" s="11">
        <f>INDEX(Z$5:Z$190,MATCH(LARGE(AQ$5:AQ$190,86),AQ$5:AQ$190,0))</f>
        <v>3.4482758620689655E-2</v>
      </c>
      <c r="G280" s="11">
        <f>INDEX(AA$5:AA$190,MATCH(LARGE(AQ$5:AQ$190,86),AQ$5:AQ$190,0))</f>
        <v>0</v>
      </c>
      <c r="H280" s="11">
        <f>INDEX(AB$5:AB$190,MATCH(LARGE(AQ$5:AQ$190,86),AQ$5:AQ$190,0))</f>
        <v>0</v>
      </c>
      <c r="I280" s="11">
        <f>INDEX(AC$5:AC$190,MATCH(LARGE(AQ$5:AQ$190,86),AQ$5:AQ$190,0))</f>
        <v>0</v>
      </c>
      <c r="J280" s="11">
        <f>INDEX(AD$5:AD$190,MATCH(LARGE(AQ$5:AQ$190,86),AQ$5:AQ$190,0))</f>
        <v>0</v>
      </c>
      <c r="K280" s="11">
        <f>INDEX(AE$5:AE$190,MATCH(LARGE(AQ$5:AQ$190,86),AQ$5:AQ$190,0))</f>
        <v>0</v>
      </c>
      <c r="L280" s="11">
        <f>INDEX(AF$5:AF$190,MATCH(LARGE(AQ$5:AQ$190,86),AQ$5:AQ$190,0))</f>
        <v>1.0810810810810811E-2</v>
      </c>
      <c r="M280" s="11">
        <f>INDEX(AG$5:AG$190,MATCH(LARGE(AQ$5:AQ$190,86),AQ$5:AQ$190,0))</f>
        <v>4.0816326530612242E-2</v>
      </c>
      <c r="N280" s="11">
        <f>INDEX(AH$5:AH$190,MATCH(LARGE(AQ$5:AQ$190,86),AQ$5:AQ$190,0))</f>
        <v>3.2687181305089651E-3</v>
      </c>
      <c r="O280" s="11">
        <f>INDEX(AI$5:AI$190,MATCH(LARGE(AQ$5:AQ$190,86),AQ$5:AQ$190,0))</f>
        <v>0</v>
      </c>
      <c r="P280" s="11">
        <f>INDEX(AJ$5:AJ$190,MATCH(LARGE(AQ$5:AQ$190,86),AQ$5:AQ$190,0))</f>
        <v>0</v>
      </c>
      <c r="Q280" s="11">
        <f>INDEX(AK$5:AK$190,MATCH(LARGE(AQ$5:AQ$190,86),AQ$5:AQ$190,0))</f>
        <v>7.575757575757576E-2</v>
      </c>
      <c r="R280" s="11">
        <f>INDEX(AL$5:AL$190,MATCH(LARGE(AQ$5:AQ$190,86),AQ$5:AQ$190,0))</f>
        <v>0.75025369475613979</v>
      </c>
      <c r="S280" s="11">
        <f>INDEX(AM$5:AM$190,MATCH(LARGE(AQ$5:AQ$190,86),AQ$5:AQ$190,0))</f>
        <v>0.16666666666666666</v>
      </c>
      <c r="T280" s="11">
        <f>INDEX(AN$5:AN$190,MATCH(LARGE(AQ$5:AQ$190,86),AQ$5:AQ$190,0))</f>
        <v>0</v>
      </c>
      <c r="U280" s="11">
        <f>INDEX(AO$5:AO$190,MATCH(LARGE(AQ$5:AQ$190,86),AQ$5:AQ$190,0))</f>
        <v>0</v>
      </c>
      <c r="V280" s="11">
        <f>INDEX(AP$5:AP$190,MATCH(LARGE(AQ$5:AQ$190,86),AQ$5:AQ$190,0))</f>
        <v>0.25</v>
      </c>
    </row>
    <row r="281" spans="1:22" ht="15" customHeight="1" x14ac:dyDescent="0.2">
      <c r="A281" s="3">
        <v>87</v>
      </c>
      <c r="B281" s="3" t="str">
        <f>INDEX($A$5:$A$190,MATCH(LARGE(AQ$5:AQ$190,87),AQ$5:AQ$190,0))</f>
        <v>GameResult: getDate()</v>
      </c>
      <c r="C281" s="11">
        <f>INDEX(W$5:W$190,MATCH(LARGE(AQ$5:AQ$190,87),AQ$5:AQ$190,0))</f>
        <v>2.6315789473684209E-2</v>
      </c>
      <c r="D281" s="11">
        <f>INDEX(X$5:X$190,MATCH(LARGE(AQ$5:AQ$190,87),AQ$5:AQ$190,0))</f>
        <v>0</v>
      </c>
      <c r="E281" s="11">
        <f>INDEX(Y$5:Y$190,MATCH(LARGE(AQ$5:AQ$190,87),AQ$5:AQ$190,0))</f>
        <v>0</v>
      </c>
      <c r="F281" s="11">
        <f>INDEX(Z$5:Z$190,MATCH(LARGE(AQ$5:AQ$190,87),AQ$5:AQ$190,0))</f>
        <v>0</v>
      </c>
      <c r="G281" s="11">
        <f>INDEX(AA$5:AA$190,MATCH(LARGE(AQ$5:AQ$190,87),AQ$5:AQ$190,0))</f>
        <v>0</v>
      </c>
      <c r="H281" s="11">
        <f>INDEX(AB$5:AB$190,MATCH(LARGE(AQ$5:AQ$190,87),AQ$5:AQ$190,0))</f>
        <v>0</v>
      </c>
      <c r="I281" s="11">
        <f>INDEX(AC$5:AC$190,MATCH(LARGE(AQ$5:AQ$190,87),AQ$5:AQ$190,0))</f>
        <v>9.99000999000999E-3</v>
      </c>
      <c r="J281" s="11">
        <f>INDEX(AD$5:AD$190,MATCH(LARGE(AQ$5:AQ$190,87),AQ$5:AQ$190,0))</f>
        <v>2.5022432701167647E-5</v>
      </c>
      <c r="K281" s="11">
        <f>INDEX(AE$5:AE$190,MATCH(LARGE(AQ$5:AQ$190,87),AQ$5:AQ$190,0))</f>
        <v>8.1684516246142676E-4</v>
      </c>
      <c r="L281" s="11">
        <f>INDEX(AF$5:AF$190,MATCH(LARGE(AQ$5:AQ$190,87),AQ$5:AQ$190,0))</f>
        <v>8.1081081081081086E-3</v>
      </c>
      <c r="M281" s="11">
        <f>INDEX(AG$5:AG$190,MATCH(LARGE(AQ$5:AQ$190,87),AQ$5:AQ$190,0))</f>
        <v>3.0612244897959183E-2</v>
      </c>
      <c r="N281" s="11">
        <f>INDEX(AH$5:AH$190,MATCH(LARGE(AQ$5:AQ$190,87),AQ$5:AQ$190,0))</f>
        <v>1.9428034798446346E-3</v>
      </c>
      <c r="O281" s="11">
        <f>INDEX(AI$5:AI$190,MATCH(LARGE(AQ$5:AQ$190,87),AQ$5:AQ$190,0))</f>
        <v>1</v>
      </c>
      <c r="P281" s="11">
        <f>INDEX(AJ$5:AJ$190,MATCH(LARGE(AQ$5:AQ$190,87),AQ$5:AQ$190,0))</f>
        <v>0</v>
      </c>
      <c r="Q281" s="11">
        <f>INDEX(AK$5:AK$190,MATCH(LARGE(AQ$5:AQ$190,87),AQ$5:AQ$190,0))</f>
        <v>7.575757575757576E-3</v>
      </c>
      <c r="R281" s="11">
        <f>INDEX(AL$5:AL$190,MATCH(LARGE(AQ$5:AQ$190,87),AQ$5:AQ$190,0))</f>
        <v>1</v>
      </c>
      <c r="S281" s="11">
        <f>INDEX(AM$5:AM$190,MATCH(LARGE(AQ$5:AQ$190,87),AQ$5:AQ$190,0))</f>
        <v>0.16666666666666666</v>
      </c>
      <c r="T281" s="11">
        <f>INDEX(AN$5:AN$190,MATCH(LARGE(AQ$5:AQ$190,87),AQ$5:AQ$190,0))</f>
        <v>3.2258064516129031E-2</v>
      </c>
      <c r="U281" s="11">
        <f>INDEX(AO$5:AO$190,MATCH(LARGE(AQ$5:AQ$190,87),AQ$5:AQ$190,0))</f>
        <v>0</v>
      </c>
      <c r="V281" s="11">
        <f>INDEX(AP$5:AP$190,MATCH(LARGE(AQ$5:AQ$190,87),AQ$5:AQ$190,0))</f>
        <v>0</v>
      </c>
    </row>
    <row r="282" spans="1:22" ht="15" customHeight="1" x14ac:dyDescent="0.2">
      <c r="A282" s="3">
        <v>88</v>
      </c>
      <c r="B282" s="3" t="str">
        <f>INDEX($A$5:$A$190,MATCH(LARGE(AQ$5:AQ$190,88),AQ$5:AQ$190,0))</f>
        <v>GameResult: getDate()</v>
      </c>
      <c r="C282" s="11">
        <f>INDEX(W$5:W$190,MATCH(LARGE(AQ$5:AQ$190,88),AQ$5:AQ$190,0))</f>
        <v>2.6315789473684209E-2</v>
      </c>
      <c r="D282" s="11">
        <f>INDEX(X$5:X$190,MATCH(LARGE(AQ$5:AQ$190,88),AQ$5:AQ$190,0))</f>
        <v>0</v>
      </c>
      <c r="E282" s="11">
        <f>INDEX(Y$5:Y$190,MATCH(LARGE(AQ$5:AQ$190,88),AQ$5:AQ$190,0))</f>
        <v>0</v>
      </c>
      <c r="F282" s="11">
        <f>INDEX(Z$5:Z$190,MATCH(LARGE(AQ$5:AQ$190,88),AQ$5:AQ$190,0))</f>
        <v>0</v>
      </c>
      <c r="G282" s="11">
        <f>INDEX(AA$5:AA$190,MATCH(LARGE(AQ$5:AQ$190,88),AQ$5:AQ$190,0))</f>
        <v>0</v>
      </c>
      <c r="H282" s="11">
        <f>INDEX(AB$5:AB$190,MATCH(LARGE(AQ$5:AQ$190,88),AQ$5:AQ$190,0))</f>
        <v>0</v>
      </c>
      <c r="I282" s="11">
        <f>INDEX(AC$5:AC$190,MATCH(LARGE(AQ$5:AQ$190,88),AQ$5:AQ$190,0))</f>
        <v>9.99000999000999E-3</v>
      </c>
      <c r="J282" s="11">
        <f>INDEX(AD$5:AD$190,MATCH(LARGE(AQ$5:AQ$190,88),AQ$5:AQ$190,0))</f>
        <v>2.5022432701167647E-5</v>
      </c>
      <c r="K282" s="11">
        <f>INDEX(AE$5:AE$190,MATCH(LARGE(AQ$5:AQ$190,88),AQ$5:AQ$190,0))</f>
        <v>8.1684516246142676E-4</v>
      </c>
      <c r="L282" s="11">
        <f>INDEX(AF$5:AF$190,MATCH(LARGE(AQ$5:AQ$190,88),AQ$5:AQ$190,0))</f>
        <v>8.1081081081081086E-3</v>
      </c>
      <c r="M282" s="11">
        <f>INDEX(AG$5:AG$190,MATCH(LARGE(AQ$5:AQ$190,88),AQ$5:AQ$190,0))</f>
        <v>3.0612244897959183E-2</v>
      </c>
      <c r="N282" s="11">
        <f>INDEX(AH$5:AH$190,MATCH(LARGE(AQ$5:AQ$190,88),AQ$5:AQ$190,0))</f>
        <v>1.9428034798446346E-3</v>
      </c>
      <c r="O282" s="11">
        <f>INDEX(AI$5:AI$190,MATCH(LARGE(AQ$5:AQ$190,88),AQ$5:AQ$190,0))</f>
        <v>1</v>
      </c>
      <c r="P282" s="11">
        <f>INDEX(AJ$5:AJ$190,MATCH(LARGE(AQ$5:AQ$190,88),AQ$5:AQ$190,0))</f>
        <v>0</v>
      </c>
      <c r="Q282" s="11">
        <f>INDEX(AK$5:AK$190,MATCH(LARGE(AQ$5:AQ$190,88),AQ$5:AQ$190,0))</f>
        <v>7.575757575757576E-3</v>
      </c>
      <c r="R282" s="11">
        <f>INDEX(AL$5:AL$190,MATCH(LARGE(AQ$5:AQ$190,88),AQ$5:AQ$190,0))</f>
        <v>1</v>
      </c>
      <c r="S282" s="11">
        <f>INDEX(AM$5:AM$190,MATCH(LARGE(AQ$5:AQ$190,88),AQ$5:AQ$190,0))</f>
        <v>0.16666666666666666</v>
      </c>
      <c r="T282" s="11">
        <f>INDEX(AN$5:AN$190,MATCH(LARGE(AQ$5:AQ$190,88),AQ$5:AQ$190,0))</f>
        <v>3.2258064516129031E-2</v>
      </c>
      <c r="U282" s="11">
        <f>INDEX(AO$5:AO$190,MATCH(LARGE(AQ$5:AQ$190,88),AQ$5:AQ$190,0))</f>
        <v>0</v>
      </c>
      <c r="V282" s="11">
        <f>INDEX(AP$5:AP$190,MATCH(LARGE(AQ$5:AQ$190,88),AQ$5:AQ$190,0))</f>
        <v>0</v>
      </c>
    </row>
    <row r="283" spans="1:22" ht="15" customHeight="1" x14ac:dyDescent="0.2">
      <c r="A283" s="3">
        <v>89</v>
      </c>
      <c r="B283" s="3" t="str">
        <f>INDEX($A$5:$A$190,MATCH(LARGE(AQ$5:AQ$190,89),AQ$5:AQ$190,0))</f>
        <v>GameResult: getTotalMoves()</v>
      </c>
      <c r="C283" s="11">
        <f>INDEX(W$5:W$190,MATCH(LARGE(AQ$5:AQ$190,89),AQ$5:AQ$190,0))</f>
        <v>2.6315789473684209E-2</v>
      </c>
      <c r="D283" s="11">
        <f>INDEX(X$5:X$190,MATCH(LARGE(AQ$5:AQ$190,89),AQ$5:AQ$190,0))</f>
        <v>0</v>
      </c>
      <c r="E283" s="11">
        <f>INDEX(Y$5:Y$190,MATCH(LARGE(AQ$5:AQ$190,89),AQ$5:AQ$190,0))</f>
        <v>0</v>
      </c>
      <c r="F283" s="11">
        <f>INDEX(Z$5:Z$190,MATCH(LARGE(AQ$5:AQ$190,89),AQ$5:AQ$190,0))</f>
        <v>0</v>
      </c>
      <c r="G283" s="11">
        <f>INDEX(AA$5:AA$190,MATCH(LARGE(AQ$5:AQ$190,89),AQ$5:AQ$190,0))</f>
        <v>0</v>
      </c>
      <c r="H283" s="11">
        <f>INDEX(AB$5:AB$190,MATCH(LARGE(AQ$5:AQ$190,89),AQ$5:AQ$190,0))</f>
        <v>0</v>
      </c>
      <c r="I283" s="11">
        <f>INDEX(AC$5:AC$190,MATCH(LARGE(AQ$5:AQ$190,89),AQ$5:AQ$190,0))</f>
        <v>1.4985014985014986E-2</v>
      </c>
      <c r="J283" s="11">
        <f>INDEX(AD$5:AD$190,MATCH(LARGE(AQ$5:AQ$190,89),AQ$5:AQ$190,0))</f>
        <v>6.3149423208482149E-5</v>
      </c>
      <c r="K283" s="11">
        <f>INDEX(AE$5:AE$190,MATCH(LARGE(AQ$5:AQ$190,89),AQ$5:AQ$190,0))</f>
        <v>1.5429297513160284E-3</v>
      </c>
      <c r="L283" s="11">
        <f>INDEX(AF$5:AF$190,MATCH(LARGE(AQ$5:AQ$190,89),AQ$5:AQ$190,0))</f>
        <v>1.0810810810810811E-2</v>
      </c>
      <c r="M283" s="11">
        <f>INDEX(AG$5:AG$190,MATCH(LARGE(AQ$5:AQ$190,89),AQ$5:AQ$190,0))</f>
        <v>4.0816326530612242E-2</v>
      </c>
      <c r="N283" s="11">
        <f>INDEX(AH$5:AH$190,MATCH(LARGE(AQ$5:AQ$190,89),AQ$5:AQ$190,0))</f>
        <v>3.2687181305089651E-3</v>
      </c>
      <c r="O283" s="11">
        <f>INDEX(AI$5:AI$190,MATCH(LARGE(AQ$5:AQ$190,89),AQ$5:AQ$190,0))</f>
        <v>1</v>
      </c>
      <c r="P283" s="11">
        <f>INDEX(AJ$5:AJ$190,MATCH(LARGE(AQ$5:AQ$190,89),AQ$5:AQ$190,0))</f>
        <v>0</v>
      </c>
      <c r="Q283" s="11">
        <f>INDEX(AK$5:AK$190,MATCH(LARGE(AQ$5:AQ$190,89),AQ$5:AQ$190,0))</f>
        <v>7.575757575757576E-3</v>
      </c>
      <c r="R283" s="11">
        <f>INDEX(AL$5:AL$190,MATCH(LARGE(AQ$5:AQ$190,89),AQ$5:AQ$190,0))</f>
        <v>0.9779943289303894</v>
      </c>
      <c r="S283" s="11">
        <f>INDEX(AM$5:AM$190,MATCH(LARGE(AQ$5:AQ$190,89),AQ$5:AQ$190,0))</f>
        <v>0.16666666666666666</v>
      </c>
      <c r="T283" s="11">
        <f>INDEX(AN$5:AN$190,MATCH(LARGE(AQ$5:AQ$190,89),AQ$5:AQ$190,0))</f>
        <v>3.2258064516129031E-2</v>
      </c>
      <c r="U283" s="11">
        <f>INDEX(AO$5:AO$190,MATCH(LARGE(AQ$5:AQ$190,89),AQ$5:AQ$190,0))</f>
        <v>0</v>
      </c>
      <c r="V283" s="11">
        <f>INDEX(AP$5:AP$190,MATCH(LARGE(AQ$5:AQ$190,89),AQ$5:AQ$190,0))</f>
        <v>0</v>
      </c>
    </row>
    <row r="284" spans="1:22" ht="15" customHeight="1" x14ac:dyDescent="0.2">
      <c r="A284" s="3">
        <v>90</v>
      </c>
      <c r="B284" s="3" t="str">
        <f>INDEX($A$5:$A$190,MATCH(LARGE(AQ$5:AQ$190,90),AQ$5:AQ$190,0))</f>
        <v>GameResult: getTotalMoves()</v>
      </c>
      <c r="C284" s="11">
        <f>INDEX(W$5:W$190,MATCH(LARGE(AQ$5:AQ$190,90),AQ$5:AQ$190,0))</f>
        <v>2.6315789473684209E-2</v>
      </c>
      <c r="D284" s="11">
        <f>INDEX(X$5:X$190,MATCH(LARGE(AQ$5:AQ$190,90),AQ$5:AQ$190,0))</f>
        <v>0</v>
      </c>
      <c r="E284" s="11">
        <f>INDEX(Y$5:Y$190,MATCH(LARGE(AQ$5:AQ$190,90),AQ$5:AQ$190,0))</f>
        <v>0</v>
      </c>
      <c r="F284" s="11">
        <f>INDEX(Z$5:Z$190,MATCH(LARGE(AQ$5:AQ$190,90),AQ$5:AQ$190,0))</f>
        <v>0</v>
      </c>
      <c r="G284" s="11">
        <f>INDEX(AA$5:AA$190,MATCH(LARGE(AQ$5:AQ$190,90),AQ$5:AQ$190,0))</f>
        <v>0</v>
      </c>
      <c r="H284" s="11">
        <f>INDEX(AB$5:AB$190,MATCH(LARGE(AQ$5:AQ$190,90),AQ$5:AQ$190,0))</f>
        <v>0</v>
      </c>
      <c r="I284" s="11">
        <f>INDEX(AC$5:AC$190,MATCH(LARGE(AQ$5:AQ$190,90),AQ$5:AQ$190,0))</f>
        <v>1.4985014985014986E-2</v>
      </c>
      <c r="J284" s="11">
        <f>INDEX(AD$5:AD$190,MATCH(LARGE(AQ$5:AQ$190,90),AQ$5:AQ$190,0))</f>
        <v>6.3149423208482149E-5</v>
      </c>
      <c r="K284" s="11">
        <f>INDEX(AE$5:AE$190,MATCH(LARGE(AQ$5:AQ$190,90),AQ$5:AQ$190,0))</f>
        <v>1.5429297513160284E-3</v>
      </c>
      <c r="L284" s="11">
        <f>INDEX(AF$5:AF$190,MATCH(LARGE(AQ$5:AQ$190,90),AQ$5:AQ$190,0))</f>
        <v>1.0810810810810811E-2</v>
      </c>
      <c r="M284" s="11">
        <f>INDEX(AG$5:AG$190,MATCH(LARGE(AQ$5:AQ$190,90),AQ$5:AQ$190,0))</f>
        <v>4.0816326530612242E-2</v>
      </c>
      <c r="N284" s="11">
        <f>INDEX(AH$5:AH$190,MATCH(LARGE(AQ$5:AQ$190,90),AQ$5:AQ$190,0))</f>
        <v>3.2687181305089651E-3</v>
      </c>
      <c r="O284" s="11">
        <f>INDEX(AI$5:AI$190,MATCH(LARGE(AQ$5:AQ$190,90),AQ$5:AQ$190,0))</f>
        <v>1</v>
      </c>
      <c r="P284" s="11">
        <f>INDEX(AJ$5:AJ$190,MATCH(LARGE(AQ$5:AQ$190,90),AQ$5:AQ$190,0))</f>
        <v>0</v>
      </c>
      <c r="Q284" s="11">
        <f>INDEX(AK$5:AK$190,MATCH(LARGE(AQ$5:AQ$190,90),AQ$5:AQ$190,0))</f>
        <v>7.575757575757576E-3</v>
      </c>
      <c r="R284" s="11">
        <f>INDEX(AL$5:AL$190,MATCH(LARGE(AQ$5:AQ$190,90),AQ$5:AQ$190,0))</f>
        <v>0.9779943289303894</v>
      </c>
      <c r="S284" s="11">
        <f>INDEX(AM$5:AM$190,MATCH(LARGE(AQ$5:AQ$190,90),AQ$5:AQ$190,0))</f>
        <v>0.16666666666666666</v>
      </c>
      <c r="T284" s="11">
        <f>INDEX(AN$5:AN$190,MATCH(LARGE(AQ$5:AQ$190,90),AQ$5:AQ$190,0))</f>
        <v>3.2258064516129031E-2</v>
      </c>
      <c r="U284" s="11">
        <f>INDEX(AO$5:AO$190,MATCH(LARGE(AQ$5:AQ$190,90),AQ$5:AQ$190,0))</f>
        <v>0</v>
      </c>
      <c r="V284" s="11">
        <f>INDEX(AP$5:AP$190,MATCH(LARGE(AQ$5:AQ$190,90),AQ$5:AQ$190,0))</f>
        <v>0</v>
      </c>
    </row>
    <row r="285" spans="1:22" ht="15" customHeight="1" x14ac:dyDescent="0.2">
      <c r="A285" s="3">
        <v>91</v>
      </c>
      <c r="B285" s="3" t="str">
        <f>INDEX($A$5:$A$190,MATCH(LARGE(AQ$5:AQ$190,91),AQ$5:AQ$190,0))</f>
        <v>Position: isInside()</v>
      </c>
      <c r="C285" s="11">
        <f>INDEX(W$5:W$190,MATCH(LARGE(AQ$5:AQ$190,91),AQ$5:AQ$190,0))</f>
        <v>0.10526315789473684</v>
      </c>
      <c r="D285" s="11">
        <f>INDEX(X$5:X$190,MATCH(LARGE(AQ$5:AQ$190,91),AQ$5:AQ$190,0))</f>
        <v>2.5000000000000001E-2</v>
      </c>
      <c r="E285" s="11">
        <f>INDEX(Y$5:Y$190,MATCH(LARGE(AQ$5:AQ$190,91),AQ$5:AQ$190,0))</f>
        <v>0</v>
      </c>
      <c r="F285" s="11">
        <f>INDEX(Z$5:Z$190,MATCH(LARGE(AQ$5:AQ$190,91),AQ$5:AQ$190,0))</f>
        <v>0</v>
      </c>
      <c r="G285" s="11">
        <f>INDEX(AA$5:AA$190,MATCH(LARGE(AQ$5:AQ$190,91),AQ$5:AQ$190,0))</f>
        <v>0</v>
      </c>
      <c r="H285" s="11">
        <f>INDEX(AB$5:AB$190,MATCH(LARGE(AQ$5:AQ$190,91),AQ$5:AQ$190,0))</f>
        <v>0.2</v>
      </c>
      <c r="I285" s="11">
        <f>INDEX(AC$5:AC$190,MATCH(LARGE(AQ$5:AQ$190,91),AQ$5:AQ$190,0))</f>
        <v>4.9950049950049952E-2</v>
      </c>
      <c r="J285" s="11">
        <f>INDEX(AD$5:AD$190,MATCH(LARGE(AQ$5:AQ$190,91),AQ$5:AQ$190,0))</f>
        <v>1.251118477587222E-3</v>
      </c>
      <c r="K285" s="11">
        <f>INDEX(AE$5:AE$190,MATCH(LARGE(AQ$5:AQ$190,91),AQ$5:AQ$190,0))</f>
        <v>1.1617353421673627E-2</v>
      </c>
      <c r="L285" s="11">
        <f>INDEX(AF$5:AF$190,MATCH(LARGE(AQ$5:AQ$190,91),AQ$5:AQ$190,0))</f>
        <v>4.0540540540540543E-2</v>
      </c>
      <c r="M285" s="11">
        <f>INDEX(AG$5:AG$190,MATCH(LARGE(AQ$5:AQ$190,91),AQ$5:AQ$190,0))</f>
        <v>9.1836734693877556E-2</v>
      </c>
      <c r="N285" s="11">
        <f>INDEX(AH$5:AH$190,MATCH(LARGE(AQ$5:AQ$190,91),AQ$5:AQ$190,0))</f>
        <v>1.9427993939469718E-2</v>
      </c>
      <c r="O285" s="11">
        <f>INDEX(AI$5:AI$190,MATCH(LARGE(AQ$5:AQ$190,91),AQ$5:AQ$190,0))</f>
        <v>0.66669999999999996</v>
      </c>
      <c r="P285" s="11">
        <f>INDEX(AJ$5:AJ$190,MATCH(LARGE(AQ$5:AQ$190,91),AQ$5:AQ$190,0))</f>
        <v>0</v>
      </c>
      <c r="Q285" s="11">
        <f>INDEX(AK$5:AK$190,MATCH(LARGE(AQ$5:AQ$190,91),AQ$5:AQ$190,0))</f>
        <v>7.575757575757576E-2</v>
      </c>
      <c r="R285" s="11">
        <f>INDEX(AL$5:AL$190,MATCH(LARGE(AQ$5:AQ$190,91),AQ$5:AQ$190,0))</f>
        <v>0.69209077887422166</v>
      </c>
      <c r="S285" s="11">
        <f>INDEX(AM$5:AM$190,MATCH(LARGE(AQ$5:AQ$190,91),AQ$5:AQ$190,0))</f>
        <v>0.16666666666666666</v>
      </c>
      <c r="T285" s="11">
        <f>INDEX(AN$5:AN$190,MATCH(LARGE(AQ$5:AQ$190,91),AQ$5:AQ$190,0))</f>
        <v>9.6774193548387094E-2</v>
      </c>
      <c r="U285" s="11">
        <f>INDEX(AO$5:AO$190,MATCH(LARGE(AQ$5:AQ$190,91),AQ$5:AQ$190,0))</f>
        <v>0</v>
      </c>
      <c r="V285" s="11">
        <f>INDEX(AP$5:AP$190,MATCH(LARGE(AQ$5:AQ$190,91),AQ$5:AQ$190,0))</f>
        <v>0</v>
      </c>
    </row>
    <row r="286" spans="1:22" ht="15" customHeight="1" x14ac:dyDescent="0.2">
      <c r="A286" s="3">
        <v>92</v>
      </c>
      <c r="B286" s="3" t="str">
        <f>INDEX($A$5:$A$190,MATCH(LARGE(AQ$5:AQ$190,92),AQ$5:AQ$190,0))</f>
        <v>Ship: toString()</v>
      </c>
      <c r="C286" s="11">
        <f>INDEX(W$5:W$190,MATCH(LARGE(AQ$5:AQ$190,92),AQ$5:AQ$190,0))</f>
        <v>2.6315789473684209E-2</v>
      </c>
      <c r="D286" s="11">
        <f>INDEX(X$5:X$190,MATCH(LARGE(AQ$5:AQ$190,92),AQ$5:AQ$190,0))</f>
        <v>0</v>
      </c>
      <c r="E286" s="11">
        <f>INDEX(Y$5:Y$190,MATCH(LARGE(AQ$5:AQ$190,92),AQ$5:AQ$190,0))</f>
        <v>0</v>
      </c>
      <c r="F286" s="11">
        <f>INDEX(Z$5:Z$190,MATCH(LARGE(AQ$5:AQ$190,92),AQ$5:AQ$190,0))</f>
        <v>0</v>
      </c>
      <c r="G286" s="11">
        <f>INDEX(AA$5:AA$190,MATCH(LARGE(AQ$5:AQ$190,92),AQ$5:AQ$190,0))</f>
        <v>0</v>
      </c>
      <c r="H286" s="11">
        <f>INDEX(AB$5:AB$190,MATCH(LARGE(AQ$5:AQ$190,92),AQ$5:AQ$190,0))</f>
        <v>0</v>
      </c>
      <c r="I286" s="11">
        <f>INDEX(AC$5:AC$190,MATCH(LARGE(AQ$5:AQ$190,92),AQ$5:AQ$190,0))</f>
        <v>1.1655344655344657E-2</v>
      </c>
      <c r="J286" s="11">
        <f>INDEX(AD$5:AD$190,MATCH(LARGE(AQ$5:AQ$190,92),AQ$5:AQ$190,0))</f>
        <v>1.6576723592226562E-4</v>
      </c>
      <c r="K286" s="11">
        <f>INDEX(AE$5:AE$190,MATCH(LARGE(AQ$5:AQ$190,92),AQ$5:AQ$190,0))</f>
        <v>2.9950989290252316E-3</v>
      </c>
      <c r="L286" s="11">
        <f>INDEX(AF$5:AF$190,MATCH(LARGE(AQ$5:AQ$190,92),AQ$5:AQ$190,0))</f>
        <v>2.4324324324324326E-2</v>
      </c>
      <c r="M286" s="11">
        <f>INDEX(AG$5:AG$190,MATCH(LARGE(AQ$5:AQ$190,92),AQ$5:AQ$190,0))</f>
        <v>8.1632653061224483E-2</v>
      </c>
      <c r="N286" s="11">
        <f>INDEX(AH$5:AH$190,MATCH(LARGE(AQ$5:AQ$190,92),AQ$5:AQ$190,0))</f>
        <v>1.1031923690467757E-2</v>
      </c>
      <c r="O286" s="11">
        <f>INDEX(AI$5:AI$190,MATCH(LARGE(AQ$5:AQ$190,92),AQ$5:AQ$190,0))</f>
        <v>1</v>
      </c>
      <c r="P286" s="11">
        <f>INDEX(AJ$5:AJ$190,MATCH(LARGE(AQ$5:AQ$190,92),AQ$5:AQ$190,0))</f>
        <v>0</v>
      </c>
      <c r="Q286" s="11">
        <f>INDEX(AK$5:AK$190,MATCH(LARGE(AQ$5:AQ$190,92),AQ$5:AQ$190,0))</f>
        <v>7.575757575757576E-2</v>
      </c>
      <c r="R286" s="11">
        <f>INDEX(AL$5:AL$190,MATCH(LARGE(AQ$5:AQ$190,92),AQ$5:AQ$190,0))</f>
        <v>0.71283424023118591</v>
      </c>
      <c r="S286" s="11">
        <f>INDEX(AM$5:AM$190,MATCH(LARGE(AQ$5:AQ$190,92),AQ$5:AQ$190,0))</f>
        <v>0.16666666666666666</v>
      </c>
      <c r="T286" s="11">
        <f>INDEX(AN$5:AN$190,MATCH(LARGE(AQ$5:AQ$190,92),AQ$5:AQ$190,0))</f>
        <v>9.6774193548387094E-2</v>
      </c>
      <c r="U286" s="11">
        <f>INDEX(AO$5:AO$190,MATCH(LARGE(AQ$5:AQ$190,92),AQ$5:AQ$190,0))</f>
        <v>0</v>
      </c>
      <c r="V286" s="11">
        <f>INDEX(AP$5:AP$190,MATCH(LARGE(AQ$5:AQ$190,92),AQ$5:AQ$190,0))</f>
        <v>0</v>
      </c>
    </row>
    <row r="287" spans="1:22" ht="15" customHeight="1" x14ac:dyDescent="0.2">
      <c r="A287" s="3">
        <v>93</v>
      </c>
      <c r="B287" s="3" t="str">
        <f>INDEX($A$5:$A$190,MATCH(LARGE(AQ$5:AQ$190,93),AQ$5:AQ$190,0))</f>
        <v>Position: toString()</v>
      </c>
      <c r="C287" s="11">
        <f>INDEX(W$5:W$190,MATCH(LARGE(AQ$5:AQ$190,93),AQ$5:AQ$190,0))</f>
        <v>2.6315789473684209E-2</v>
      </c>
      <c r="D287" s="11">
        <f>INDEX(X$5:X$190,MATCH(LARGE(AQ$5:AQ$190,93),AQ$5:AQ$190,0))</f>
        <v>0</v>
      </c>
      <c r="E287" s="11">
        <f>INDEX(Y$5:Y$190,MATCH(LARGE(AQ$5:AQ$190,93),AQ$5:AQ$190,0))</f>
        <v>0</v>
      </c>
      <c r="F287" s="11">
        <f>INDEX(Z$5:Z$190,MATCH(LARGE(AQ$5:AQ$190,93),AQ$5:AQ$190,0))</f>
        <v>0</v>
      </c>
      <c r="G287" s="11">
        <f>INDEX(AA$5:AA$190,MATCH(LARGE(AQ$5:AQ$190,93),AQ$5:AQ$190,0))</f>
        <v>0</v>
      </c>
      <c r="H287" s="11">
        <f>INDEX(AB$5:AB$190,MATCH(LARGE(AQ$5:AQ$190,93),AQ$5:AQ$190,0))</f>
        <v>0</v>
      </c>
      <c r="I287" s="11">
        <f>INDEX(AC$5:AC$190,MATCH(LARGE(AQ$5:AQ$190,93),AQ$5:AQ$190,0))</f>
        <v>1.998001998001998E-2</v>
      </c>
      <c r="J287" s="11">
        <f>INDEX(AD$5:AD$190,MATCH(LARGE(AQ$5:AQ$190,93),AQ$5:AQ$190,0))</f>
        <v>3.3363155894024628E-4</v>
      </c>
      <c r="K287" s="11">
        <f>INDEX(AE$5:AE$190,MATCH(LARGE(AQ$5:AQ$190,93),AQ$5:AQ$190,0))</f>
        <v>4.8103104011617357E-3</v>
      </c>
      <c r="L287" s="11">
        <f>INDEX(AF$5:AF$190,MATCH(LARGE(AQ$5:AQ$190,93),AQ$5:AQ$190,0))</f>
        <v>2.7027027027027029E-2</v>
      </c>
      <c r="M287" s="11">
        <f>INDEX(AG$5:AG$190,MATCH(LARGE(AQ$5:AQ$190,93),AQ$5:AQ$190,0))</f>
        <v>9.1836734693877556E-2</v>
      </c>
      <c r="N287" s="11">
        <f>INDEX(AH$5:AH$190,MATCH(LARGE(AQ$5:AQ$190,93),AQ$5:AQ$190,0))</f>
        <v>1.2952009579305354E-2</v>
      </c>
      <c r="O287" s="11">
        <f>INDEX(AI$5:AI$190,MATCH(LARGE(AQ$5:AQ$190,93),AQ$5:AQ$190,0))</f>
        <v>1</v>
      </c>
      <c r="P287" s="11">
        <f>INDEX(AJ$5:AJ$190,MATCH(LARGE(AQ$5:AQ$190,93),AQ$5:AQ$190,0))</f>
        <v>0</v>
      </c>
      <c r="Q287" s="11">
        <f>INDEX(AK$5:AK$190,MATCH(LARGE(AQ$5:AQ$190,93),AQ$5:AQ$190,0))</f>
        <v>8.3333333333333329E-2</v>
      </c>
      <c r="R287" s="11">
        <f>INDEX(AL$5:AL$190,MATCH(LARGE(AQ$5:AQ$190,93),AQ$5:AQ$190,0))</f>
        <v>0.69782344515390804</v>
      </c>
      <c r="S287" s="11">
        <f>INDEX(AM$5:AM$190,MATCH(LARGE(AQ$5:AQ$190,93),AQ$5:AQ$190,0))</f>
        <v>0.16666666666666666</v>
      </c>
      <c r="T287" s="11">
        <f>INDEX(AN$5:AN$190,MATCH(LARGE(AQ$5:AQ$190,93),AQ$5:AQ$190,0))</f>
        <v>6.4516129032258063E-2</v>
      </c>
      <c r="U287" s="11">
        <f>INDEX(AO$5:AO$190,MATCH(LARGE(AQ$5:AQ$190,93),AQ$5:AQ$190,0))</f>
        <v>0</v>
      </c>
      <c r="V287" s="11">
        <f>INDEX(AP$5:AP$190,MATCH(LARGE(AQ$5:AQ$190,93),AQ$5:AQ$190,0))</f>
        <v>0</v>
      </c>
    </row>
    <row r="288" spans="1:22" ht="15" customHeight="1" x14ac:dyDescent="0.2">
      <c r="A288" s="3">
        <v>94</v>
      </c>
      <c r="B288" s="3" t="str">
        <f>INDEX($A$5:$A$190,MATCH(LARGE(AQ$5:AQ$190,94),AQ$5:AQ$190,0))</f>
        <v>Game: over()</v>
      </c>
      <c r="C288" s="11">
        <f>INDEX(W$5:W$190,MATCH(LARGE(AQ$5:AQ$190,94),AQ$5:AQ$190,0))</f>
        <v>2.6315789473684209E-2</v>
      </c>
      <c r="D288" s="11">
        <f>INDEX(X$5:X$190,MATCH(LARGE(AQ$5:AQ$190,94),AQ$5:AQ$190,0))</f>
        <v>0</v>
      </c>
      <c r="E288" s="11">
        <f>INDEX(Y$5:Y$190,MATCH(LARGE(AQ$5:AQ$190,94),AQ$5:AQ$190,0))</f>
        <v>0.66669999999999996</v>
      </c>
      <c r="F288" s="11">
        <f>INDEX(Z$5:Z$190,MATCH(LARGE(AQ$5:AQ$190,94),AQ$5:AQ$190,0))</f>
        <v>0.10344827586206896</v>
      </c>
      <c r="G288" s="11">
        <f>INDEX(AA$5:AA$190,MATCH(LARGE(AQ$5:AQ$190,94),AQ$5:AQ$190,0))</f>
        <v>0</v>
      </c>
      <c r="H288" s="11">
        <f>INDEX(AB$5:AB$190,MATCH(LARGE(AQ$5:AQ$190,94),AQ$5:AQ$190,0))</f>
        <v>0.2</v>
      </c>
      <c r="I288" s="11">
        <f>INDEX(AC$5:AC$190,MATCH(LARGE(AQ$5:AQ$190,94),AQ$5:AQ$190,0))</f>
        <v>5.8274725274725284E-2</v>
      </c>
      <c r="J288" s="11">
        <f>INDEX(AD$5:AD$190,MATCH(LARGE(AQ$5:AQ$190,94),AQ$5:AQ$190,0))</f>
        <v>1.2893007238398437E-3</v>
      </c>
      <c r="K288" s="11">
        <f>INDEX(AE$5:AE$190,MATCH(LARGE(AQ$5:AQ$190,94),AQ$5:AQ$190,0))</f>
        <v>1.1889635142494102E-2</v>
      </c>
      <c r="L288" s="11">
        <f>INDEX(AF$5:AF$190,MATCH(LARGE(AQ$5:AQ$190,94),AQ$5:AQ$190,0))</f>
        <v>3.783783783783784E-2</v>
      </c>
      <c r="M288" s="11">
        <f>INDEX(AG$5:AG$190,MATCH(LARGE(AQ$5:AQ$190,94),AQ$5:AQ$190,0))</f>
        <v>8.1632653061224483E-2</v>
      </c>
      <c r="N288" s="11">
        <f>INDEX(AH$5:AH$190,MATCH(LARGE(AQ$5:AQ$190,94),AQ$5:AQ$190,0))</f>
        <v>1.7160770185172067E-2</v>
      </c>
      <c r="O288" s="11">
        <f>INDEX(AI$5:AI$190,MATCH(LARGE(AQ$5:AQ$190,94),AQ$5:AQ$190,0))</f>
        <v>0</v>
      </c>
      <c r="P288" s="11">
        <f>INDEX(AJ$5:AJ$190,MATCH(LARGE(AQ$5:AQ$190,94),AQ$5:AQ$190,0))</f>
        <v>0</v>
      </c>
      <c r="Q288" s="11">
        <f>INDEX(AK$5:AK$190,MATCH(LARGE(AQ$5:AQ$190,94),AQ$5:AQ$190,0))</f>
        <v>5.3030303030303032E-2</v>
      </c>
      <c r="R288" s="11">
        <f>INDEX(AL$5:AL$190,MATCH(LARGE(AQ$5:AQ$190,94),AQ$5:AQ$190,0))</f>
        <v>0.7328855220683117</v>
      </c>
      <c r="S288" s="11">
        <f>INDEX(AM$5:AM$190,MATCH(LARGE(AQ$5:AQ$190,94),AQ$5:AQ$190,0))</f>
        <v>0.16666666666666666</v>
      </c>
      <c r="T288" s="11">
        <f>INDEX(AN$5:AN$190,MATCH(LARGE(AQ$5:AQ$190,94),AQ$5:AQ$190,0))</f>
        <v>3.2258064516129031E-2</v>
      </c>
      <c r="U288" s="11">
        <f>INDEX(AO$5:AO$190,MATCH(LARGE(AQ$5:AQ$190,94),AQ$5:AQ$190,0))</f>
        <v>0</v>
      </c>
      <c r="V288" s="11">
        <f>INDEX(AP$5:AP$190,MATCH(LARGE(AQ$5:AQ$190,94),AQ$5:AQ$190,0))</f>
        <v>0</v>
      </c>
    </row>
    <row r="289" spans="1:22" ht="15" customHeight="1" x14ac:dyDescent="0.2">
      <c r="A289" s="3">
        <v>95</v>
      </c>
      <c r="B289" s="3" t="str">
        <f>INDEX($A$5:$A$190,MATCH(LARGE(AQ$5:AQ$190,95),AQ$5:AQ$190,0))</f>
        <v>Move: getNumber()</v>
      </c>
      <c r="C289" s="11">
        <f>INDEX(W$5:W$190,MATCH(LARGE(AQ$5:AQ$190,95),AQ$5:AQ$190,0))</f>
        <v>2.6315789473684209E-2</v>
      </c>
      <c r="D289" s="11">
        <f>INDEX(X$5:X$190,MATCH(LARGE(AQ$5:AQ$190,95),AQ$5:AQ$190,0))</f>
        <v>0</v>
      </c>
      <c r="E289" s="11">
        <f>INDEX(Y$5:Y$190,MATCH(LARGE(AQ$5:AQ$190,95),AQ$5:AQ$190,0))</f>
        <v>0</v>
      </c>
      <c r="F289" s="11">
        <f>INDEX(Z$5:Z$190,MATCH(LARGE(AQ$5:AQ$190,95),AQ$5:AQ$190,0))</f>
        <v>0</v>
      </c>
      <c r="G289" s="11">
        <f>INDEX(AA$5:AA$190,MATCH(LARGE(AQ$5:AQ$190,95),AQ$5:AQ$190,0))</f>
        <v>0</v>
      </c>
      <c r="H289" s="11">
        <f>INDEX(AB$5:AB$190,MATCH(LARGE(AQ$5:AQ$190,95),AQ$5:AQ$190,0))</f>
        <v>0</v>
      </c>
      <c r="I289" s="11">
        <f>INDEX(AC$5:AC$190,MATCH(LARGE(AQ$5:AQ$190,95),AQ$5:AQ$190,0))</f>
        <v>1.998001998001998E-2</v>
      </c>
      <c r="J289" s="11">
        <f>INDEX(AD$5:AD$190,MATCH(LARGE(AQ$5:AQ$190,95),AQ$5:AQ$190,0))</f>
        <v>1.2219045019205914E-4</v>
      </c>
      <c r="K289" s="11">
        <f>INDEX(AE$5:AE$190,MATCH(LARGE(AQ$5:AQ$190,95),AQ$5:AQ$190,0))</f>
        <v>2.4505354873842807E-3</v>
      </c>
      <c r="L289" s="11">
        <f>INDEX(AF$5:AF$190,MATCH(LARGE(AQ$5:AQ$190,95),AQ$5:AQ$190,0))</f>
        <v>1.3513513513513514E-2</v>
      </c>
      <c r="M289" s="11">
        <f>INDEX(AG$5:AG$190,MATCH(LARGE(AQ$5:AQ$190,95),AQ$5:AQ$190,0))</f>
        <v>5.1020408163265307E-2</v>
      </c>
      <c r="N289" s="11">
        <f>INDEX(AH$5:AH$190,MATCH(LARGE(AQ$5:AQ$190,95),AQ$5:AQ$190,0))</f>
        <v>4.7435637509946104E-3</v>
      </c>
      <c r="O289" s="11">
        <f>INDEX(AI$5:AI$190,MATCH(LARGE(AQ$5:AQ$190,95),AQ$5:AQ$190,0))</f>
        <v>1</v>
      </c>
      <c r="P289" s="11">
        <f>INDEX(AJ$5:AJ$190,MATCH(LARGE(AQ$5:AQ$190,95),AQ$5:AQ$190,0))</f>
        <v>0</v>
      </c>
      <c r="Q289" s="11">
        <f>INDEX(AK$5:AK$190,MATCH(LARGE(AQ$5:AQ$190,95),AQ$5:AQ$190,0))</f>
        <v>3.0303030303030304E-2</v>
      </c>
      <c r="R289" s="11">
        <f>INDEX(AL$5:AL$190,MATCH(LARGE(AQ$5:AQ$190,95),AQ$5:AQ$190,0))</f>
        <v>0.83076993748460071</v>
      </c>
      <c r="S289" s="11">
        <f>INDEX(AM$5:AM$190,MATCH(LARGE(AQ$5:AQ$190,95),AQ$5:AQ$190,0))</f>
        <v>0.16666666666666666</v>
      </c>
      <c r="T289" s="11">
        <f>INDEX(AN$5:AN$190,MATCH(LARGE(AQ$5:AQ$190,95),AQ$5:AQ$190,0))</f>
        <v>3.2258064516129031E-2</v>
      </c>
      <c r="U289" s="11">
        <f>INDEX(AO$5:AO$190,MATCH(LARGE(AQ$5:AQ$190,95),AQ$5:AQ$190,0))</f>
        <v>0</v>
      </c>
      <c r="V289" s="11">
        <f>INDEX(AP$5:AP$190,MATCH(LARGE(AQ$5:AQ$190,95),AQ$5:AQ$190,0))</f>
        <v>0</v>
      </c>
    </row>
    <row r="290" spans="1:22" ht="15" customHeight="1" x14ac:dyDescent="0.2">
      <c r="A290" s="3">
        <v>96</v>
      </c>
      <c r="B290" s="3" t="str">
        <f>INDEX($A$5:$A$190,MATCH(LARGE(AQ$5:AQ$190,96),AQ$5:AQ$190,0))</f>
        <v>Move: getShotResults()</v>
      </c>
      <c r="C290" s="11">
        <f>INDEX(W$5:W$190,MATCH(LARGE(AQ$5:AQ$190,96),AQ$5:AQ$190,0))</f>
        <v>2.6315789473684209E-2</v>
      </c>
      <c r="D290" s="11">
        <f>INDEX(X$5:X$190,MATCH(LARGE(AQ$5:AQ$190,96),AQ$5:AQ$190,0))</f>
        <v>0</v>
      </c>
      <c r="E290" s="11">
        <f>INDEX(Y$5:Y$190,MATCH(LARGE(AQ$5:AQ$190,96),AQ$5:AQ$190,0))</f>
        <v>0</v>
      </c>
      <c r="F290" s="11">
        <f>INDEX(Z$5:Z$190,MATCH(LARGE(AQ$5:AQ$190,96),AQ$5:AQ$190,0))</f>
        <v>0</v>
      </c>
      <c r="G290" s="11">
        <f>INDEX(AA$5:AA$190,MATCH(LARGE(AQ$5:AQ$190,96),AQ$5:AQ$190,0))</f>
        <v>0</v>
      </c>
      <c r="H290" s="11">
        <f>INDEX(AB$5:AB$190,MATCH(LARGE(AQ$5:AQ$190,96),AQ$5:AQ$190,0))</f>
        <v>0</v>
      </c>
      <c r="I290" s="11">
        <f>INDEX(AC$5:AC$190,MATCH(LARGE(AQ$5:AQ$190,96),AQ$5:AQ$190,0))</f>
        <v>1.4985014985014986E-2</v>
      </c>
      <c r="J290" s="11">
        <f>INDEX(AD$5:AD$190,MATCH(LARGE(AQ$5:AQ$190,96),AQ$5:AQ$190,0))</f>
        <v>6.3149423208482149E-5</v>
      </c>
      <c r="K290" s="11">
        <f>INDEX(AE$5:AE$190,MATCH(LARGE(AQ$5:AQ$190,96),AQ$5:AQ$190,0))</f>
        <v>1.5429297513160284E-3</v>
      </c>
      <c r="L290" s="11">
        <f>INDEX(AF$5:AF$190,MATCH(LARGE(AQ$5:AQ$190,96),AQ$5:AQ$190,0))</f>
        <v>1.0810810810810811E-2</v>
      </c>
      <c r="M290" s="11">
        <f>INDEX(AG$5:AG$190,MATCH(LARGE(AQ$5:AQ$190,96),AQ$5:AQ$190,0))</f>
        <v>4.0816326530612242E-2</v>
      </c>
      <c r="N290" s="11">
        <f>INDEX(AH$5:AH$190,MATCH(LARGE(AQ$5:AQ$190,96),AQ$5:AQ$190,0))</f>
        <v>3.2687181305089651E-3</v>
      </c>
      <c r="O290" s="11">
        <f>INDEX(AI$5:AI$190,MATCH(LARGE(AQ$5:AQ$190,96),AQ$5:AQ$190,0))</f>
        <v>1</v>
      </c>
      <c r="P290" s="11">
        <f>INDEX(AJ$5:AJ$190,MATCH(LARGE(AQ$5:AQ$190,96),AQ$5:AQ$190,0))</f>
        <v>0</v>
      </c>
      <c r="Q290" s="11">
        <f>INDEX(AK$5:AK$190,MATCH(LARGE(AQ$5:AQ$190,96),AQ$5:AQ$190,0))</f>
        <v>3.0303030303030304E-2</v>
      </c>
      <c r="R290" s="11">
        <f>INDEX(AL$5:AL$190,MATCH(LARGE(AQ$5:AQ$190,96),AQ$5:AQ$190,0))</f>
        <v>0.84088014332187699</v>
      </c>
      <c r="S290" s="11">
        <f>INDEX(AM$5:AM$190,MATCH(LARGE(AQ$5:AQ$190,96),AQ$5:AQ$190,0))</f>
        <v>0.16666666666666666</v>
      </c>
      <c r="T290" s="11">
        <f>INDEX(AN$5:AN$190,MATCH(LARGE(AQ$5:AQ$190,96),AQ$5:AQ$190,0))</f>
        <v>3.2258064516129031E-2</v>
      </c>
      <c r="U290" s="11">
        <f>INDEX(AO$5:AO$190,MATCH(LARGE(AQ$5:AQ$190,96),AQ$5:AQ$190,0))</f>
        <v>0</v>
      </c>
      <c r="V290" s="11">
        <f>INDEX(AP$5:AP$190,MATCH(LARGE(AQ$5:AQ$190,96),AQ$5:AQ$190,0))</f>
        <v>0</v>
      </c>
    </row>
    <row r="291" spans="1:22" ht="15" customHeight="1" x14ac:dyDescent="0.2">
      <c r="A291" s="3">
        <v>97</v>
      </c>
      <c r="B291" s="3" t="str">
        <f>INDEX($A$5:$A$190,MATCH(LARGE(AQ$5:AQ$190,97),AQ$5:AQ$190,0))</f>
        <v>Move: getShotResults()</v>
      </c>
      <c r="C291" s="11">
        <f>INDEX(W$5:W$190,MATCH(LARGE(AQ$5:AQ$190,97),AQ$5:AQ$190,0))</f>
        <v>2.6315789473684209E-2</v>
      </c>
      <c r="D291" s="11">
        <f>INDEX(X$5:X$190,MATCH(LARGE(AQ$5:AQ$190,97),AQ$5:AQ$190,0))</f>
        <v>0</v>
      </c>
      <c r="E291" s="11">
        <f>INDEX(Y$5:Y$190,MATCH(LARGE(AQ$5:AQ$190,97),AQ$5:AQ$190,0))</f>
        <v>0</v>
      </c>
      <c r="F291" s="11">
        <f>INDEX(Z$5:Z$190,MATCH(LARGE(AQ$5:AQ$190,97),AQ$5:AQ$190,0))</f>
        <v>0</v>
      </c>
      <c r="G291" s="11">
        <f>INDEX(AA$5:AA$190,MATCH(LARGE(AQ$5:AQ$190,97),AQ$5:AQ$190,0))</f>
        <v>0</v>
      </c>
      <c r="H291" s="11">
        <f>INDEX(AB$5:AB$190,MATCH(LARGE(AQ$5:AQ$190,97),AQ$5:AQ$190,0))</f>
        <v>0</v>
      </c>
      <c r="I291" s="11">
        <f>INDEX(AC$5:AC$190,MATCH(LARGE(AQ$5:AQ$190,97),AQ$5:AQ$190,0))</f>
        <v>1.4985014985014986E-2</v>
      </c>
      <c r="J291" s="11">
        <f>INDEX(AD$5:AD$190,MATCH(LARGE(AQ$5:AQ$190,97),AQ$5:AQ$190,0))</f>
        <v>6.3149423208482149E-5</v>
      </c>
      <c r="K291" s="11">
        <f>INDEX(AE$5:AE$190,MATCH(LARGE(AQ$5:AQ$190,97),AQ$5:AQ$190,0))</f>
        <v>1.5429297513160284E-3</v>
      </c>
      <c r="L291" s="11">
        <f>INDEX(AF$5:AF$190,MATCH(LARGE(AQ$5:AQ$190,97),AQ$5:AQ$190,0))</f>
        <v>1.0810810810810811E-2</v>
      </c>
      <c r="M291" s="11">
        <f>INDEX(AG$5:AG$190,MATCH(LARGE(AQ$5:AQ$190,97),AQ$5:AQ$190,0))</f>
        <v>4.0816326530612242E-2</v>
      </c>
      <c r="N291" s="11">
        <f>INDEX(AH$5:AH$190,MATCH(LARGE(AQ$5:AQ$190,97),AQ$5:AQ$190,0))</f>
        <v>3.2687181305089651E-3</v>
      </c>
      <c r="O291" s="11">
        <f>INDEX(AI$5:AI$190,MATCH(LARGE(AQ$5:AQ$190,97),AQ$5:AQ$190,0))</f>
        <v>1</v>
      </c>
      <c r="P291" s="11">
        <f>INDEX(AJ$5:AJ$190,MATCH(LARGE(AQ$5:AQ$190,97),AQ$5:AQ$190,0))</f>
        <v>0</v>
      </c>
      <c r="Q291" s="11">
        <f>INDEX(AK$5:AK$190,MATCH(LARGE(AQ$5:AQ$190,97),AQ$5:AQ$190,0))</f>
        <v>3.0303030303030304E-2</v>
      </c>
      <c r="R291" s="11">
        <f>INDEX(AL$5:AL$190,MATCH(LARGE(AQ$5:AQ$190,97),AQ$5:AQ$190,0))</f>
        <v>0.84088014332187699</v>
      </c>
      <c r="S291" s="11">
        <f>INDEX(AM$5:AM$190,MATCH(LARGE(AQ$5:AQ$190,97),AQ$5:AQ$190,0))</f>
        <v>0.16666666666666666</v>
      </c>
      <c r="T291" s="11">
        <f>INDEX(AN$5:AN$190,MATCH(LARGE(AQ$5:AQ$190,97),AQ$5:AQ$190,0))</f>
        <v>3.2258064516129031E-2</v>
      </c>
      <c r="U291" s="11">
        <f>INDEX(AO$5:AO$190,MATCH(LARGE(AQ$5:AQ$190,97),AQ$5:AQ$190,0))</f>
        <v>0</v>
      </c>
      <c r="V291" s="11">
        <f>INDEX(AP$5:AP$190,MATCH(LARGE(AQ$5:AQ$190,97),AQ$5:AQ$190,0))</f>
        <v>0</v>
      </c>
    </row>
    <row r="292" spans="1:22" ht="15" customHeight="1" x14ac:dyDescent="0.2">
      <c r="A292" s="3">
        <v>98</v>
      </c>
      <c r="B292" s="3" t="str">
        <f>INDEX($A$5:$A$190,MATCH(LARGE(AQ$5:AQ$190,98),AQ$5:AQ$190,0))</f>
        <v>Game: getHits()</v>
      </c>
      <c r="C292" s="11">
        <f>INDEX(W$5:W$190,MATCH(LARGE(AQ$5:AQ$190,98),AQ$5:AQ$190,0))</f>
        <v>2.6315789473684209E-2</v>
      </c>
      <c r="D292" s="11">
        <f>INDEX(X$5:X$190,MATCH(LARGE(AQ$5:AQ$190,98),AQ$5:AQ$190,0))</f>
        <v>0</v>
      </c>
      <c r="E292" s="11">
        <f>INDEX(Y$5:Y$190,MATCH(LARGE(AQ$5:AQ$190,98),AQ$5:AQ$190,0))</f>
        <v>0</v>
      </c>
      <c r="F292" s="11">
        <f>INDEX(Z$5:Z$190,MATCH(LARGE(AQ$5:AQ$190,98),AQ$5:AQ$190,0))</f>
        <v>0</v>
      </c>
      <c r="G292" s="11">
        <f>INDEX(AA$5:AA$190,MATCH(LARGE(AQ$5:AQ$190,98),AQ$5:AQ$190,0))</f>
        <v>0</v>
      </c>
      <c r="H292" s="11">
        <f>INDEX(AB$5:AB$190,MATCH(LARGE(AQ$5:AQ$190,98),AQ$5:AQ$190,0))</f>
        <v>0</v>
      </c>
      <c r="I292" s="11">
        <f>INDEX(AC$5:AC$190,MATCH(LARGE(AQ$5:AQ$190,98),AQ$5:AQ$190,0))</f>
        <v>1.998001998001998E-2</v>
      </c>
      <c r="J292" s="11">
        <f>INDEX(AD$5:AD$190,MATCH(LARGE(AQ$5:AQ$190,98),AQ$5:AQ$190,0))</f>
        <v>1.2219045019205914E-4</v>
      </c>
      <c r="K292" s="11">
        <f>INDEX(AE$5:AE$190,MATCH(LARGE(AQ$5:AQ$190,98),AQ$5:AQ$190,0))</f>
        <v>2.4505354873842807E-3</v>
      </c>
      <c r="L292" s="11">
        <f>INDEX(AF$5:AF$190,MATCH(LARGE(AQ$5:AQ$190,98),AQ$5:AQ$190,0))</f>
        <v>1.3513513513513514E-2</v>
      </c>
      <c r="M292" s="11">
        <f>INDEX(AG$5:AG$190,MATCH(LARGE(AQ$5:AQ$190,98),AQ$5:AQ$190,0))</f>
        <v>5.1020408163265307E-2</v>
      </c>
      <c r="N292" s="11">
        <f>INDEX(AH$5:AH$190,MATCH(LARGE(AQ$5:AQ$190,98),AQ$5:AQ$190,0))</f>
        <v>4.7435637509946104E-3</v>
      </c>
      <c r="O292" s="11">
        <f>INDEX(AI$5:AI$190,MATCH(LARGE(AQ$5:AQ$190,98),AQ$5:AQ$190,0))</f>
        <v>1</v>
      </c>
      <c r="P292" s="11">
        <f>INDEX(AJ$5:AJ$190,MATCH(LARGE(AQ$5:AQ$190,98),AQ$5:AQ$190,0))</f>
        <v>0</v>
      </c>
      <c r="Q292" s="11">
        <f>INDEX(AK$5:AK$190,MATCH(LARGE(AQ$5:AQ$190,98),AQ$5:AQ$190,0))</f>
        <v>3.787878787878788E-2</v>
      </c>
      <c r="R292" s="11">
        <f>INDEX(AL$5:AL$190,MATCH(LARGE(AQ$5:AQ$190,98),AQ$5:AQ$190,0))</f>
        <v>0.80869953771177772</v>
      </c>
      <c r="S292" s="11">
        <f>INDEX(AM$5:AM$190,MATCH(LARGE(AQ$5:AQ$190,98),AQ$5:AQ$190,0))</f>
        <v>0.16666666666666666</v>
      </c>
      <c r="T292" s="11">
        <f>INDEX(AN$5:AN$190,MATCH(LARGE(AQ$5:AQ$190,98),AQ$5:AQ$190,0))</f>
        <v>3.2258064516129031E-2</v>
      </c>
      <c r="U292" s="11">
        <f>INDEX(AO$5:AO$190,MATCH(LARGE(AQ$5:AQ$190,98),AQ$5:AQ$190,0))</f>
        <v>0</v>
      </c>
      <c r="V292" s="11">
        <f>INDEX(AP$5:AP$190,MATCH(LARGE(AQ$5:AQ$190,98),AQ$5:AQ$190,0))</f>
        <v>0</v>
      </c>
    </row>
    <row r="293" spans="1:22" ht="15" customHeight="1" x14ac:dyDescent="0.2">
      <c r="A293" s="3">
        <v>99</v>
      </c>
      <c r="B293" s="3" t="str">
        <f>INDEX($A$5:$A$190,MATCH(LARGE(AQ$5:AQ$190,99),AQ$5:AQ$190,0))</f>
        <v>Game: getHits()</v>
      </c>
      <c r="C293" s="11">
        <f>INDEX(W$5:W$190,MATCH(LARGE(AQ$5:AQ$190,99),AQ$5:AQ$190,0))</f>
        <v>2.6315789473684209E-2</v>
      </c>
      <c r="D293" s="11">
        <f>INDEX(X$5:X$190,MATCH(LARGE(AQ$5:AQ$190,99),AQ$5:AQ$190,0))</f>
        <v>0</v>
      </c>
      <c r="E293" s="11">
        <f>INDEX(Y$5:Y$190,MATCH(LARGE(AQ$5:AQ$190,99),AQ$5:AQ$190,0))</f>
        <v>0</v>
      </c>
      <c r="F293" s="11">
        <f>INDEX(Z$5:Z$190,MATCH(LARGE(AQ$5:AQ$190,99),AQ$5:AQ$190,0))</f>
        <v>0</v>
      </c>
      <c r="G293" s="11">
        <f>INDEX(AA$5:AA$190,MATCH(LARGE(AQ$5:AQ$190,99),AQ$5:AQ$190,0))</f>
        <v>0</v>
      </c>
      <c r="H293" s="11">
        <f>INDEX(AB$5:AB$190,MATCH(LARGE(AQ$5:AQ$190,99),AQ$5:AQ$190,0))</f>
        <v>0</v>
      </c>
      <c r="I293" s="11">
        <f>INDEX(AC$5:AC$190,MATCH(LARGE(AQ$5:AQ$190,99),AQ$5:AQ$190,0))</f>
        <v>1.998001998001998E-2</v>
      </c>
      <c r="J293" s="11">
        <f>INDEX(AD$5:AD$190,MATCH(LARGE(AQ$5:AQ$190,99),AQ$5:AQ$190,0))</f>
        <v>1.2219045019205914E-4</v>
      </c>
      <c r="K293" s="11">
        <f>INDEX(AE$5:AE$190,MATCH(LARGE(AQ$5:AQ$190,99),AQ$5:AQ$190,0))</f>
        <v>2.4505354873842807E-3</v>
      </c>
      <c r="L293" s="11">
        <f>INDEX(AF$5:AF$190,MATCH(LARGE(AQ$5:AQ$190,99),AQ$5:AQ$190,0))</f>
        <v>1.3513513513513514E-2</v>
      </c>
      <c r="M293" s="11">
        <f>INDEX(AG$5:AG$190,MATCH(LARGE(AQ$5:AQ$190,99),AQ$5:AQ$190,0))</f>
        <v>5.1020408163265307E-2</v>
      </c>
      <c r="N293" s="11">
        <f>INDEX(AH$5:AH$190,MATCH(LARGE(AQ$5:AQ$190,99),AQ$5:AQ$190,0))</f>
        <v>4.7435637509946104E-3</v>
      </c>
      <c r="O293" s="11">
        <f>INDEX(AI$5:AI$190,MATCH(LARGE(AQ$5:AQ$190,99),AQ$5:AQ$190,0))</f>
        <v>1</v>
      </c>
      <c r="P293" s="11">
        <f>INDEX(AJ$5:AJ$190,MATCH(LARGE(AQ$5:AQ$190,99),AQ$5:AQ$190,0))</f>
        <v>0</v>
      </c>
      <c r="Q293" s="11">
        <f>INDEX(AK$5:AK$190,MATCH(LARGE(AQ$5:AQ$190,99),AQ$5:AQ$190,0))</f>
        <v>3.787878787878788E-2</v>
      </c>
      <c r="R293" s="11">
        <f>INDEX(AL$5:AL$190,MATCH(LARGE(AQ$5:AQ$190,99),AQ$5:AQ$190,0))</f>
        <v>0.80869953771177772</v>
      </c>
      <c r="S293" s="11">
        <f>INDEX(AM$5:AM$190,MATCH(LARGE(AQ$5:AQ$190,99),AQ$5:AQ$190,0))</f>
        <v>0.16666666666666666</v>
      </c>
      <c r="T293" s="11">
        <f>INDEX(AN$5:AN$190,MATCH(LARGE(AQ$5:AQ$190,99),AQ$5:AQ$190,0))</f>
        <v>3.2258064516129031E-2</v>
      </c>
      <c r="U293" s="11">
        <f>INDEX(AO$5:AO$190,MATCH(LARGE(AQ$5:AQ$190,99),AQ$5:AQ$190,0))</f>
        <v>0</v>
      </c>
      <c r="V293" s="11">
        <f>INDEX(AP$5:AP$190,MATCH(LARGE(AQ$5:AQ$190,99),AQ$5:AQ$190,0))</f>
        <v>0</v>
      </c>
    </row>
    <row r="294" spans="1:22" ht="15" customHeight="1" x14ac:dyDescent="0.2">
      <c r="A294" s="3">
        <v>100</v>
      </c>
      <c r="B294" s="3" t="str">
        <f>INDEX($A$5:$A$190,MATCH(LARGE(AQ$5:AQ$190,100),AQ$5:AQ$190,0))</f>
        <v>Game: getHits()</v>
      </c>
      <c r="C294" s="11">
        <f>INDEX(W$5:W$190,MATCH(LARGE(AQ$5:AQ$190,100),AQ$5:AQ$190,0))</f>
        <v>2.6315789473684209E-2</v>
      </c>
      <c r="D294" s="11">
        <f>INDEX(X$5:X$190,MATCH(LARGE(AQ$5:AQ$190,100),AQ$5:AQ$190,0))</f>
        <v>0</v>
      </c>
      <c r="E294" s="11">
        <f>INDEX(Y$5:Y$190,MATCH(LARGE(AQ$5:AQ$190,100),AQ$5:AQ$190,0))</f>
        <v>0</v>
      </c>
      <c r="F294" s="11">
        <f>INDEX(Z$5:Z$190,MATCH(LARGE(AQ$5:AQ$190,100),AQ$5:AQ$190,0))</f>
        <v>0</v>
      </c>
      <c r="G294" s="11">
        <f>INDEX(AA$5:AA$190,MATCH(LARGE(AQ$5:AQ$190,100),AQ$5:AQ$190,0))</f>
        <v>0</v>
      </c>
      <c r="H294" s="11">
        <f>INDEX(AB$5:AB$190,MATCH(LARGE(AQ$5:AQ$190,100),AQ$5:AQ$190,0))</f>
        <v>0</v>
      </c>
      <c r="I294" s="11">
        <f>INDEX(AC$5:AC$190,MATCH(LARGE(AQ$5:AQ$190,100),AQ$5:AQ$190,0))</f>
        <v>1.998001998001998E-2</v>
      </c>
      <c r="J294" s="11">
        <f>INDEX(AD$5:AD$190,MATCH(LARGE(AQ$5:AQ$190,100),AQ$5:AQ$190,0))</f>
        <v>1.2219045019205914E-4</v>
      </c>
      <c r="K294" s="11">
        <f>INDEX(AE$5:AE$190,MATCH(LARGE(AQ$5:AQ$190,100),AQ$5:AQ$190,0))</f>
        <v>2.4505354873842807E-3</v>
      </c>
      <c r="L294" s="11">
        <f>INDEX(AF$5:AF$190,MATCH(LARGE(AQ$5:AQ$190,100),AQ$5:AQ$190,0))</f>
        <v>1.3513513513513514E-2</v>
      </c>
      <c r="M294" s="11">
        <f>INDEX(AG$5:AG$190,MATCH(LARGE(AQ$5:AQ$190,100),AQ$5:AQ$190,0))</f>
        <v>5.1020408163265307E-2</v>
      </c>
      <c r="N294" s="11">
        <f>INDEX(AH$5:AH$190,MATCH(LARGE(AQ$5:AQ$190,100),AQ$5:AQ$190,0))</f>
        <v>4.7435637509946104E-3</v>
      </c>
      <c r="O294" s="11">
        <f>INDEX(AI$5:AI$190,MATCH(LARGE(AQ$5:AQ$190,100),AQ$5:AQ$190,0))</f>
        <v>1</v>
      </c>
      <c r="P294" s="11">
        <f>INDEX(AJ$5:AJ$190,MATCH(LARGE(AQ$5:AQ$190,100),AQ$5:AQ$190,0))</f>
        <v>0</v>
      </c>
      <c r="Q294" s="11">
        <f>INDEX(AK$5:AK$190,MATCH(LARGE(AQ$5:AQ$190,100),AQ$5:AQ$190,0))</f>
        <v>3.787878787878788E-2</v>
      </c>
      <c r="R294" s="11">
        <f>INDEX(AL$5:AL$190,MATCH(LARGE(AQ$5:AQ$190,100),AQ$5:AQ$190,0))</f>
        <v>0.80869953771177772</v>
      </c>
      <c r="S294" s="11">
        <f>INDEX(AM$5:AM$190,MATCH(LARGE(AQ$5:AQ$190,100),AQ$5:AQ$190,0))</f>
        <v>0.16666666666666666</v>
      </c>
      <c r="T294" s="11">
        <f>INDEX(AN$5:AN$190,MATCH(LARGE(AQ$5:AQ$190,100),AQ$5:AQ$190,0))</f>
        <v>3.2258064516129031E-2</v>
      </c>
      <c r="U294" s="11">
        <f>INDEX(AO$5:AO$190,MATCH(LARGE(AQ$5:AQ$190,100),AQ$5:AQ$190,0))</f>
        <v>0</v>
      </c>
      <c r="V294" s="11">
        <f>INDEX(AP$5:AP$190,MATCH(LARGE(AQ$5:AQ$190,100),AQ$5:AQ$190,0))</f>
        <v>0</v>
      </c>
    </row>
    <row r="295" spans="1:22" ht="15" customHeight="1" x14ac:dyDescent="0.2">
      <c r="A295" s="3">
        <v>101</v>
      </c>
      <c r="B295" s="3" t="str">
        <f>INDEX($A$5:$A$190,MATCH(LARGE(AQ$5:AQ$190,101),AQ$5:AQ$190,0))</f>
        <v>Game: getHits()</v>
      </c>
      <c r="C295" s="11">
        <f>INDEX(W$5:W$190,MATCH(LARGE(AQ$5:AQ$190,101),AQ$5:AQ$190,0))</f>
        <v>2.6315789473684209E-2</v>
      </c>
      <c r="D295" s="11">
        <f>INDEX(X$5:X$190,MATCH(LARGE(AQ$5:AQ$190,101),AQ$5:AQ$190,0))</f>
        <v>0</v>
      </c>
      <c r="E295" s="11">
        <f>INDEX(Y$5:Y$190,MATCH(LARGE(AQ$5:AQ$190,101),AQ$5:AQ$190,0))</f>
        <v>0</v>
      </c>
      <c r="F295" s="11">
        <f>INDEX(Z$5:Z$190,MATCH(LARGE(AQ$5:AQ$190,101),AQ$5:AQ$190,0))</f>
        <v>0</v>
      </c>
      <c r="G295" s="11">
        <f>INDEX(AA$5:AA$190,MATCH(LARGE(AQ$5:AQ$190,101),AQ$5:AQ$190,0))</f>
        <v>0</v>
      </c>
      <c r="H295" s="11">
        <f>INDEX(AB$5:AB$190,MATCH(LARGE(AQ$5:AQ$190,101),AQ$5:AQ$190,0))</f>
        <v>0</v>
      </c>
      <c r="I295" s="11">
        <f>INDEX(AC$5:AC$190,MATCH(LARGE(AQ$5:AQ$190,101),AQ$5:AQ$190,0))</f>
        <v>1.998001998001998E-2</v>
      </c>
      <c r="J295" s="11">
        <f>INDEX(AD$5:AD$190,MATCH(LARGE(AQ$5:AQ$190,101),AQ$5:AQ$190,0))</f>
        <v>1.2219045019205914E-4</v>
      </c>
      <c r="K295" s="11">
        <f>INDEX(AE$5:AE$190,MATCH(LARGE(AQ$5:AQ$190,101),AQ$5:AQ$190,0))</f>
        <v>2.4505354873842807E-3</v>
      </c>
      <c r="L295" s="11">
        <f>INDEX(AF$5:AF$190,MATCH(LARGE(AQ$5:AQ$190,101),AQ$5:AQ$190,0))</f>
        <v>1.3513513513513514E-2</v>
      </c>
      <c r="M295" s="11">
        <f>INDEX(AG$5:AG$190,MATCH(LARGE(AQ$5:AQ$190,101),AQ$5:AQ$190,0))</f>
        <v>5.1020408163265307E-2</v>
      </c>
      <c r="N295" s="11">
        <f>INDEX(AH$5:AH$190,MATCH(LARGE(AQ$5:AQ$190,101),AQ$5:AQ$190,0))</f>
        <v>4.7435637509946104E-3</v>
      </c>
      <c r="O295" s="11">
        <f>INDEX(AI$5:AI$190,MATCH(LARGE(AQ$5:AQ$190,101),AQ$5:AQ$190,0))</f>
        <v>1</v>
      </c>
      <c r="P295" s="11">
        <f>INDEX(AJ$5:AJ$190,MATCH(LARGE(AQ$5:AQ$190,101),AQ$5:AQ$190,0))</f>
        <v>0</v>
      </c>
      <c r="Q295" s="11">
        <f>INDEX(AK$5:AK$190,MATCH(LARGE(AQ$5:AQ$190,101),AQ$5:AQ$190,0))</f>
        <v>3.787878787878788E-2</v>
      </c>
      <c r="R295" s="11">
        <f>INDEX(AL$5:AL$190,MATCH(LARGE(AQ$5:AQ$190,101),AQ$5:AQ$190,0))</f>
        <v>0.80869953771177772</v>
      </c>
      <c r="S295" s="11">
        <f>INDEX(AM$5:AM$190,MATCH(LARGE(AQ$5:AQ$190,101),AQ$5:AQ$190,0))</f>
        <v>0.16666666666666666</v>
      </c>
      <c r="T295" s="11">
        <f>INDEX(AN$5:AN$190,MATCH(LARGE(AQ$5:AQ$190,101),AQ$5:AQ$190,0))</f>
        <v>3.2258064516129031E-2</v>
      </c>
      <c r="U295" s="11">
        <f>INDEX(AO$5:AO$190,MATCH(LARGE(AQ$5:AQ$190,101),AQ$5:AQ$190,0))</f>
        <v>0</v>
      </c>
      <c r="V295" s="11">
        <f>INDEX(AP$5:AP$190,MATCH(LARGE(AQ$5:AQ$190,101),AQ$5:AQ$190,0))</f>
        <v>0</v>
      </c>
    </row>
    <row r="296" spans="1:22" ht="15" customHeight="1" x14ac:dyDescent="0.2">
      <c r="A296" s="3">
        <v>102</v>
      </c>
      <c r="B296" s="3" t="str">
        <f>INDEX($A$5:$A$190,MATCH(LARGE(AQ$5:AQ$190,102),AQ$5:AQ$190,0))</f>
        <v>Game: getAlienFleet()</v>
      </c>
      <c r="C296" s="11">
        <f>INDEX(W$5:W$190,MATCH(LARGE(AQ$5:AQ$190,102),AQ$5:AQ$190,0))</f>
        <v>2.6315789473684209E-2</v>
      </c>
      <c r="D296" s="11">
        <f>INDEX(X$5:X$190,MATCH(LARGE(AQ$5:AQ$190,102),AQ$5:AQ$190,0))</f>
        <v>0</v>
      </c>
      <c r="E296" s="11">
        <f>INDEX(Y$5:Y$190,MATCH(LARGE(AQ$5:AQ$190,102),AQ$5:AQ$190,0))</f>
        <v>0</v>
      </c>
      <c r="F296" s="11">
        <f>INDEX(Z$5:Z$190,MATCH(LARGE(AQ$5:AQ$190,102),AQ$5:AQ$190,0))</f>
        <v>0</v>
      </c>
      <c r="G296" s="11">
        <f>INDEX(AA$5:AA$190,MATCH(LARGE(AQ$5:AQ$190,102),AQ$5:AQ$190,0))</f>
        <v>0</v>
      </c>
      <c r="H296" s="11">
        <f>INDEX(AB$5:AB$190,MATCH(LARGE(AQ$5:AQ$190,102),AQ$5:AQ$190,0))</f>
        <v>0</v>
      </c>
      <c r="I296" s="11">
        <f>INDEX(AC$5:AC$190,MATCH(LARGE(AQ$5:AQ$190,102),AQ$5:AQ$190,0))</f>
        <v>9.99000999000999E-3</v>
      </c>
      <c r="J296" s="11">
        <f>INDEX(AD$5:AD$190,MATCH(LARGE(AQ$5:AQ$190,102),AQ$5:AQ$190,0))</f>
        <v>2.5022432701167647E-5</v>
      </c>
      <c r="K296" s="11">
        <f>INDEX(AE$5:AE$190,MATCH(LARGE(AQ$5:AQ$190,102),AQ$5:AQ$190,0))</f>
        <v>8.1684516246142676E-4</v>
      </c>
      <c r="L296" s="11">
        <f>INDEX(AF$5:AF$190,MATCH(LARGE(AQ$5:AQ$190,102),AQ$5:AQ$190,0))</f>
        <v>8.1081081081081086E-3</v>
      </c>
      <c r="M296" s="11">
        <f>INDEX(AG$5:AG$190,MATCH(LARGE(AQ$5:AQ$190,102),AQ$5:AQ$190,0))</f>
        <v>3.0612244897959183E-2</v>
      </c>
      <c r="N296" s="11">
        <f>INDEX(AH$5:AH$190,MATCH(LARGE(AQ$5:AQ$190,102),AQ$5:AQ$190,0))</f>
        <v>1.9428034798446346E-3</v>
      </c>
      <c r="O296" s="11">
        <f>INDEX(AI$5:AI$190,MATCH(LARGE(AQ$5:AQ$190,102),AQ$5:AQ$190,0))</f>
        <v>1</v>
      </c>
      <c r="P296" s="11">
        <f>INDEX(AJ$5:AJ$190,MATCH(LARGE(AQ$5:AQ$190,102),AQ$5:AQ$190,0))</f>
        <v>0</v>
      </c>
      <c r="Q296" s="11">
        <f>INDEX(AK$5:AK$190,MATCH(LARGE(AQ$5:AQ$190,102),AQ$5:AQ$190,0))</f>
        <v>3.787878787878788E-2</v>
      </c>
      <c r="R296" s="11">
        <f>INDEX(AL$5:AL$190,MATCH(LARGE(AQ$5:AQ$190,102),AQ$5:AQ$190,0))</f>
        <v>0.84081645863000642</v>
      </c>
      <c r="S296" s="11">
        <f>INDEX(AM$5:AM$190,MATCH(LARGE(AQ$5:AQ$190,102),AQ$5:AQ$190,0))</f>
        <v>0.16666666666666666</v>
      </c>
      <c r="T296" s="11">
        <f>INDEX(AN$5:AN$190,MATCH(LARGE(AQ$5:AQ$190,102),AQ$5:AQ$190,0))</f>
        <v>3.2258064516129031E-2</v>
      </c>
      <c r="U296" s="11">
        <f>INDEX(AO$5:AO$190,MATCH(LARGE(AQ$5:AQ$190,102),AQ$5:AQ$190,0))</f>
        <v>0</v>
      </c>
      <c r="V296" s="11">
        <f>INDEX(AP$5:AP$190,MATCH(LARGE(AQ$5:AQ$190,102),AQ$5:AQ$190,0))</f>
        <v>0</v>
      </c>
    </row>
    <row r="297" spans="1:22" ht="15" customHeight="1" x14ac:dyDescent="0.2">
      <c r="A297" s="3">
        <v>103</v>
      </c>
      <c r="B297" s="3" t="str">
        <f>INDEX($A$5:$A$190,MATCH(LARGE(AQ$5:AQ$190,103),AQ$5:AQ$190,0))</f>
        <v>Game: getAlienFleet()</v>
      </c>
      <c r="C297" s="11">
        <f>INDEX(W$5:W$190,MATCH(LARGE(AQ$5:AQ$190,103),AQ$5:AQ$190,0))</f>
        <v>2.6315789473684209E-2</v>
      </c>
      <c r="D297" s="11">
        <f>INDEX(X$5:X$190,MATCH(LARGE(AQ$5:AQ$190,103),AQ$5:AQ$190,0))</f>
        <v>0</v>
      </c>
      <c r="E297" s="11">
        <f>INDEX(Y$5:Y$190,MATCH(LARGE(AQ$5:AQ$190,103),AQ$5:AQ$190,0))</f>
        <v>0</v>
      </c>
      <c r="F297" s="11">
        <f>INDEX(Z$5:Z$190,MATCH(LARGE(AQ$5:AQ$190,103),AQ$5:AQ$190,0))</f>
        <v>0</v>
      </c>
      <c r="G297" s="11">
        <f>INDEX(AA$5:AA$190,MATCH(LARGE(AQ$5:AQ$190,103),AQ$5:AQ$190,0))</f>
        <v>0</v>
      </c>
      <c r="H297" s="11">
        <f>INDEX(AB$5:AB$190,MATCH(LARGE(AQ$5:AQ$190,103),AQ$5:AQ$190,0))</f>
        <v>0</v>
      </c>
      <c r="I297" s="11">
        <f>INDEX(AC$5:AC$190,MATCH(LARGE(AQ$5:AQ$190,103),AQ$5:AQ$190,0))</f>
        <v>9.99000999000999E-3</v>
      </c>
      <c r="J297" s="11">
        <f>INDEX(AD$5:AD$190,MATCH(LARGE(AQ$5:AQ$190,103),AQ$5:AQ$190,0))</f>
        <v>2.5022432701167647E-5</v>
      </c>
      <c r="K297" s="11">
        <f>INDEX(AE$5:AE$190,MATCH(LARGE(AQ$5:AQ$190,103),AQ$5:AQ$190,0))</f>
        <v>8.1684516246142676E-4</v>
      </c>
      <c r="L297" s="11">
        <f>INDEX(AF$5:AF$190,MATCH(LARGE(AQ$5:AQ$190,103),AQ$5:AQ$190,0))</f>
        <v>8.1081081081081086E-3</v>
      </c>
      <c r="M297" s="11">
        <f>INDEX(AG$5:AG$190,MATCH(LARGE(AQ$5:AQ$190,103),AQ$5:AQ$190,0))</f>
        <v>3.0612244897959183E-2</v>
      </c>
      <c r="N297" s="11">
        <f>INDEX(AH$5:AH$190,MATCH(LARGE(AQ$5:AQ$190,103),AQ$5:AQ$190,0))</f>
        <v>1.9428034798446346E-3</v>
      </c>
      <c r="O297" s="11">
        <f>INDEX(AI$5:AI$190,MATCH(LARGE(AQ$5:AQ$190,103),AQ$5:AQ$190,0))</f>
        <v>1</v>
      </c>
      <c r="P297" s="11">
        <f>INDEX(AJ$5:AJ$190,MATCH(LARGE(AQ$5:AQ$190,103),AQ$5:AQ$190,0))</f>
        <v>0</v>
      </c>
      <c r="Q297" s="11">
        <f>INDEX(AK$5:AK$190,MATCH(LARGE(AQ$5:AQ$190,103),AQ$5:AQ$190,0))</f>
        <v>3.787878787878788E-2</v>
      </c>
      <c r="R297" s="11">
        <f>INDEX(AL$5:AL$190,MATCH(LARGE(AQ$5:AQ$190,103),AQ$5:AQ$190,0))</f>
        <v>0.84081645863000642</v>
      </c>
      <c r="S297" s="11">
        <f>INDEX(AM$5:AM$190,MATCH(LARGE(AQ$5:AQ$190,103),AQ$5:AQ$190,0))</f>
        <v>0.16666666666666666</v>
      </c>
      <c r="T297" s="11">
        <f>INDEX(AN$5:AN$190,MATCH(LARGE(AQ$5:AQ$190,103),AQ$5:AQ$190,0))</f>
        <v>3.2258064516129031E-2</v>
      </c>
      <c r="U297" s="11">
        <f>INDEX(AO$5:AO$190,MATCH(LARGE(AQ$5:AQ$190,103),AQ$5:AQ$190,0))</f>
        <v>0</v>
      </c>
      <c r="V297" s="11">
        <f>INDEX(AP$5:AP$190,MATCH(LARGE(AQ$5:AQ$190,103),AQ$5:AQ$190,0))</f>
        <v>0</v>
      </c>
    </row>
    <row r="298" spans="1:22" ht="15" customHeight="1" x14ac:dyDescent="0.2">
      <c r="A298" s="3">
        <v>104</v>
      </c>
      <c r="B298" s="3" t="str">
        <f>INDEX($A$5:$A$190,MATCH(LARGE(AQ$5:AQ$190,104),AQ$5:AQ$190,0))</f>
        <v>Game: getAlienFleet()</v>
      </c>
      <c r="C298" s="11">
        <f>INDEX(W$5:W$190,MATCH(LARGE(AQ$5:AQ$190,104),AQ$5:AQ$190,0))</f>
        <v>2.6315789473684209E-2</v>
      </c>
      <c r="D298" s="11">
        <f>INDEX(X$5:X$190,MATCH(LARGE(AQ$5:AQ$190,104),AQ$5:AQ$190,0))</f>
        <v>0</v>
      </c>
      <c r="E298" s="11">
        <f>INDEX(Y$5:Y$190,MATCH(LARGE(AQ$5:AQ$190,104),AQ$5:AQ$190,0))</f>
        <v>0</v>
      </c>
      <c r="F298" s="11">
        <f>INDEX(Z$5:Z$190,MATCH(LARGE(AQ$5:AQ$190,104),AQ$5:AQ$190,0))</f>
        <v>0</v>
      </c>
      <c r="G298" s="11">
        <f>INDEX(AA$5:AA$190,MATCH(LARGE(AQ$5:AQ$190,104),AQ$5:AQ$190,0))</f>
        <v>0</v>
      </c>
      <c r="H298" s="11">
        <f>INDEX(AB$5:AB$190,MATCH(LARGE(AQ$5:AQ$190,104),AQ$5:AQ$190,0))</f>
        <v>0</v>
      </c>
      <c r="I298" s="11">
        <f>INDEX(AC$5:AC$190,MATCH(LARGE(AQ$5:AQ$190,104),AQ$5:AQ$190,0))</f>
        <v>9.99000999000999E-3</v>
      </c>
      <c r="J298" s="11">
        <f>INDEX(AD$5:AD$190,MATCH(LARGE(AQ$5:AQ$190,104),AQ$5:AQ$190,0))</f>
        <v>2.5022432701167647E-5</v>
      </c>
      <c r="K298" s="11">
        <f>INDEX(AE$5:AE$190,MATCH(LARGE(AQ$5:AQ$190,104),AQ$5:AQ$190,0))</f>
        <v>8.1684516246142676E-4</v>
      </c>
      <c r="L298" s="11">
        <f>INDEX(AF$5:AF$190,MATCH(LARGE(AQ$5:AQ$190,104),AQ$5:AQ$190,0))</f>
        <v>8.1081081081081086E-3</v>
      </c>
      <c r="M298" s="11">
        <f>INDEX(AG$5:AG$190,MATCH(LARGE(AQ$5:AQ$190,104),AQ$5:AQ$190,0))</f>
        <v>3.0612244897959183E-2</v>
      </c>
      <c r="N298" s="11">
        <f>INDEX(AH$5:AH$190,MATCH(LARGE(AQ$5:AQ$190,104),AQ$5:AQ$190,0))</f>
        <v>1.9428034798446346E-3</v>
      </c>
      <c r="O298" s="11">
        <f>INDEX(AI$5:AI$190,MATCH(LARGE(AQ$5:AQ$190,104),AQ$5:AQ$190,0))</f>
        <v>1</v>
      </c>
      <c r="P298" s="11">
        <f>INDEX(AJ$5:AJ$190,MATCH(LARGE(AQ$5:AQ$190,104),AQ$5:AQ$190,0))</f>
        <v>0</v>
      </c>
      <c r="Q298" s="11">
        <f>INDEX(AK$5:AK$190,MATCH(LARGE(AQ$5:AQ$190,104),AQ$5:AQ$190,0))</f>
        <v>3.787878787878788E-2</v>
      </c>
      <c r="R298" s="11">
        <f>INDEX(AL$5:AL$190,MATCH(LARGE(AQ$5:AQ$190,104),AQ$5:AQ$190,0))</f>
        <v>0.84081645863000642</v>
      </c>
      <c r="S298" s="11">
        <f>INDEX(AM$5:AM$190,MATCH(LARGE(AQ$5:AQ$190,104),AQ$5:AQ$190,0))</f>
        <v>0.16666666666666666</v>
      </c>
      <c r="T298" s="11">
        <f>INDEX(AN$5:AN$190,MATCH(LARGE(AQ$5:AQ$190,104),AQ$5:AQ$190,0))</f>
        <v>3.2258064516129031E-2</v>
      </c>
      <c r="U298" s="11">
        <f>INDEX(AO$5:AO$190,MATCH(LARGE(AQ$5:AQ$190,104),AQ$5:AQ$190,0))</f>
        <v>0</v>
      </c>
      <c r="V298" s="11">
        <f>INDEX(AP$5:AP$190,MATCH(LARGE(AQ$5:AQ$190,104),AQ$5:AQ$190,0))</f>
        <v>0</v>
      </c>
    </row>
    <row r="299" spans="1:22" ht="15" customHeight="1" x14ac:dyDescent="0.2">
      <c r="A299" s="3">
        <v>105</v>
      </c>
      <c r="B299" s="3" t="str">
        <f>INDEX($A$5:$A$190,MATCH(LARGE(AQ$5:AQ$190,105),AQ$5:AQ$190,0))</f>
        <v>Game: getAlienFleet()</v>
      </c>
      <c r="C299" s="11">
        <f>INDEX(W$5:W$190,MATCH(LARGE(AQ$5:AQ$190,105),AQ$5:AQ$190,0))</f>
        <v>2.6315789473684209E-2</v>
      </c>
      <c r="D299" s="11">
        <f>INDEX(X$5:X$190,MATCH(LARGE(AQ$5:AQ$190,105),AQ$5:AQ$190,0))</f>
        <v>0</v>
      </c>
      <c r="E299" s="11">
        <f>INDEX(Y$5:Y$190,MATCH(LARGE(AQ$5:AQ$190,105),AQ$5:AQ$190,0))</f>
        <v>0</v>
      </c>
      <c r="F299" s="11">
        <f>INDEX(Z$5:Z$190,MATCH(LARGE(AQ$5:AQ$190,105),AQ$5:AQ$190,0))</f>
        <v>0</v>
      </c>
      <c r="G299" s="11">
        <f>INDEX(AA$5:AA$190,MATCH(LARGE(AQ$5:AQ$190,105),AQ$5:AQ$190,0))</f>
        <v>0</v>
      </c>
      <c r="H299" s="11">
        <f>INDEX(AB$5:AB$190,MATCH(LARGE(AQ$5:AQ$190,105),AQ$5:AQ$190,0))</f>
        <v>0</v>
      </c>
      <c r="I299" s="11">
        <f>INDEX(AC$5:AC$190,MATCH(LARGE(AQ$5:AQ$190,105),AQ$5:AQ$190,0))</f>
        <v>9.99000999000999E-3</v>
      </c>
      <c r="J299" s="11">
        <f>INDEX(AD$5:AD$190,MATCH(LARGE(AQ$5:AQ$190,105),AQ$5:AQ$190,0))</f>
        <v>2.5022432701167647E-5</v>
      </c>
      <c r="K299" s="11">
        <f>INDEX(AE$5:AE$190,MATCH(LARGE(AQ$5:AQ$190,105),AQ$5:AQ$190,0))</f>
        <v>8.1684516246142676E-4</v>
      </c>
      <c r="L299" s="11">
        <f>INDEX(AF$5:AF$190,MATCH(LARGE(AQ$5:AQ$190,105),AQ$5:AQ$190,0))</f>
        <v>8.1081081081081086E-3</v>
      </c>
      <c r="M299" s="11">
        <f>INDEX(AG$5:AG$190,MATCH(LARGE(AQ$5:AQ$190,105),AQ$5:AQ$190,0))</f>
        <v>3.0612244897959183E-2</v>
      </c>
      <c r="N299" s="11">
        <f>INDEX(AH$5:AH$190,MATCH(LARGE(AQ$5:AQ$190,105),AQ$5:AQ$190,0))</f>
        <v>1.9428034798446346E-3</v>
      </c>
      <c r="O299" s="11">
        <f>INDEX(AI$5:AI$190,MATCH(LARGE(AQ$5:AQ$190,105),AQ$5:AQ$190,0))</f>
        <v>1</v>
      </c>
      <c r="P299" s="11">
        <f>INDEX(AJ$5:AJ$190,MATCH(LARGE(AQ$5:AQ$190,105),AQ$5:AQ$190,0))</f>
        <v>0</v>
      </c>
      <c r="Q299" s="11">
        <f>INDEX(AK$5:AK$190,MATCH(LARGE(AQ$5:AQ$190,105),AQ$5:AQ$190,0))</f>
        <v>3.787878787878788E-2</v>
      </c>
      <c r="R299" s="11">
        <f>INDEX(AL$5:AL$190,MATCH(LARGE(AQ$5:AQ$190,105),AQ$5:AQ$190,0))</f>
        <v>0.84081645863000642</v>
      </c>
      <c r="S299" s="11">
        <f>INDEX(AM$5:AM$190,MATCH(LARGE(AQ$5:AQ$190,105),AQ$5:AQ$190,0))</f>
        <v>0.16666666666666666</v>
      </c>
      <c r="T299" s="11">
        <f>INDEX(AN$5:AN$190,MATCH(LARGE(AQ$5:AQ$190,105),AQ$5:AQ$190,0))</f>
        <v>3.2258064516129031E-2</v>
      </c>
      <c r="U299" s="11">
        <f>INDEX(AO$5:AO$190,MATCH(LARGE(AQ$5:AQ$190,105),AQ$5:AQ$190,0))</f>
        <v>0</v>
      </c>
      <c r="V299" s="11">
        <f>INDEX(AP$5:AP$190,MATCH(LARGE(AQ$5:AQ$190,105),AQ$5:AQ$190,0))</f>
        <v>0</v>
      </c>
    </row>
    <row r="300" spans="1:22" ht="15" customHeight="1" x14ac:dyDescent="0.2">
      <c r="A300" s="3">
        <v>106</v>
      </c>
      <c r="B300" s="3" t="str">
        <f>INDEX($A$5:$A$190,MATCH(LARGE(AQ$5:AQ$190,106),AQ$5:AQ$190,0))</f>
        <v>Position: getClassicColumn()</v>
      </c>
      <c r="C300" s="11">
        <f>INDEX(W$5:W$190,MATCH(LARGE(AQ$5:AQ$190,106),AQ$5:AQ$190,0))</f>
        <v>2.6315789473684209E-2</v>
      </c>
      <c r="D300" s="11">
        <f>INDEX(X$5:X$190,MATCH(LARGE(AQ$5:AQ$190,106),AQ$5:AQ$190,0))</f>
        <v>0</v>
      </c>
      <c r="E300" s="11">
        <f>INDEX(Y$5:Y$190,MATCH(LARGE(AQ$5:AQ$190,106),AQ$5:AQ$190,0))</f>
        <v>0</v>
      </c>
      <c r="F300" s="11">
        <f>INDEX(Z$5:Z$190,MATCH(LARGE(AQ$5:AQ$190,106),AQ$5:AQ$190,0))</f>
        <v>0</v>
      </c>
      <c r="G300" s="11">
        <f>INDEX(AA$5:AA$190,MATCH(LARGE(AQ$5:AQ$190,106),AQ$5:AQ$190,0))</f>
        <v>0</v>
      </c>
      <c r="H300" s="11">
        <f>INDEX(AB$5:AB$190,MATCH(LARGE(AQ$5:AQ$190,106),AQ$5:AQ$190,0))</f>
        <v>0</v>
      </c>
      <c r="I300" s="11">
        <f>INDEX(AC$5:AC$190,MATCH(LARGE(AQ$5:AQ$190,106),AQ$5:AQ$190,0))</f>
        <v>1.998001998001998E-2</v>
      </c>
      <c r="J300" s="11">
        <f>INDEX(AD$5:AD$190,MATCH(LARGE(AQ$5:AQ$190,106),AQ$5:AQ$190,0))</f>
        <v>1.6323915401315274E-4</v>
      </c>
      <c r="K300" s="11">
        <f>INDEX(AE$5:AE$190,MATCH(LARGE(AQ$5:AQ$190,106),AQ$5:AQ$190,0))</f>
        <v>2.9950989290252316E-3</v>
      </c>
      <c r="L300" s="11">
        <f>INDEX(AF$5:AF$190,MATCH(LARGE(AQ$5:AQ$190,106),AQ$5:AQ$190,0))</f>
        <v>1.6216216216216217E-2</v>
      </c>
      <c r="M300" s="11">
        <f>INDEX(AG$5:AG$190,MATCH(LARGE(AQ$5:AQ$190,106),AQ$5:AQ$190,0))</f>
        <v>6.1224489795918366E-2</v>
      </c>
      <c r="N300" s="11">
        <f>INDEX(AH$5:AH$190,MATCH(LARGE(AQ$5:AQ$190,106),AQ$5:AQ$190,0))</f>
        <v>6.3371455575709935E-3</v>
      </c>
      <c r="O300" s="11">
        <f>INDEX(AI$5:AI$190,MATCH(LARGE(AQ$5:AQ$190,106),AQ$5:AQ$190,0))</f>
        <v>1</v>
      </c>
      <c r="P300" s="11">
        <f>INDEX(AJ$5:AJ$190,MATCH(LARGE(AQ$5:AQ$190,106),AQ$5:AQ$190,0))</f>
        <v>0</v>
      </c>
      <c r="Q300" s="11">
        <f>INDEX(AK$5:AK$190,MATCH(LARGE(AQ$5:AQ$190,106),AQ$5:AQ$190,0))</f>
        <v>6.0606060606060608E-2</v>
      </c>
      <c r="R300" s="11">
        <f>INDEX(AL$5:AL$190,MATCH(LARGE(AQ$5:AQ$190,106),AQ$5:AQ$190,0))</f>
        <v>0.7523667737126295</v>
      </c>
      <c r="S300" s="11">
        <f>INDEX(AM$5:AM$190,MATCH(LARGE(AQ$5:AQ$190,106),AQ$5:AQ$190,0))</f>
        <v>0.16666666666666666</v>
      </c>
      <c r="T300" s="11">
        <f>INDEX(AN$5:AN$190,MATCH(LARGE(AQ$5:AQ$190,106),AQ$5:AQ$190,0))</f>
        <v>3.2258064516129031E-2</v>
      </c>
      <c r="U300" s="11">
        <f>INDEX(AO$5:AO$190,MATCH(LARGE(AQ$5:AQ$190,106),AQ$5:AQ$190,0))</f>
        <v>0</v>
      </c>
      <c r="V300" s="11">
        <f>INDEX(AP$5:AP$190,MATCH(LARGE(AQ$5:AQ$190,106),AQ$5:AQ$190,0))</f>
        <v>0</v>
      </c>
    </row>
    <row r="301" spans="1:22" ht="15" customHeight="1" x14ac:dyDescent="0.2">
      <c r="A301" s="3">
        <v>107</v>
      </c>
      <c r="B301" s="3" t="str">
        <f>INDEX($A$5:$A$190,MATCH(LARGE(AQ$5:AQ$190,107),AQ$5:AQ$190,0))</f>
        <v>Position: getClassicRow()</v>
      </c>
      <c r="C301" s="11">
        <f>INDEX(W$5:W$190,MATCH(LARGE(AQ$5:AQ$190,107),AQ$5:AQ$190,0))</f>
        <v>2.6315789473684209E-2</v>
      </c>
      <c r="D301" s="11">
        <f>INDEX(X$5:X$190,MATCH(LARGE(AQ$5:AQ$190,107),AQ$5:AQ$190,0))</f>
        <v>0</v>
      </c>
      <c r="E301" s="11">
        <f>INDEX(Y$5:Y$190,MATCH(LARGE(AQ$5:AQ$190,107),AQ$5:AQ$190,0))</f>
        <v>0</v>
      </c>
      <c r="F301" s="11">
        <f>INDEX(Z$5:Z$190,MATCH(LARGE(AQ$5:AQ$190,107),AQ$5:AQ$190,0))</f>
        <v>0</v>
      </c>
      <c r="G301" s="11">
        <f>INDEX(AA$5:AA$190,MATCH(LARGE(AQ$5:AQ$190,107),AQ$5:AQ$190,0))</f>
        <v>0</v>
      </c>
      <c r="H301" s="11">
        <f>INDEX(AB$5:AB$190,MATCH(LARGE(AQ$5:AQ$190,107),AQ$5:AQ$190,0))</f>
        <v>0</v>
      </c>
      <c r="I301" s="11">
        <f>INDEX(AC$5:AC$190,MATCH(LARGE(AQ$5:AQ$190,107),AQ$5:AQ$190,0))</f>
        <v>1.998001998001998E-2</v>
      </c>
      <c r="J301" s="11">
        <f>INDEX(AD$5:AD$190,MATCH(LARGE(AQ$5:AQ$190,107),AQ$5:AQ$190,0))</f>
        <v>1.9044550426694707E-4</v>
      </c>
      <c r="K301" s="11">
        <f>INDEX(AE$5:AE$190,MATCH(LARGE(AQ$5:AQ$190,107),AQ$5:AQ$190,0))</f>
        <v>3.267380649845707E-3</v>
      </c>
      <c r="L301" s="11">
        <f>INDEX(AF$5:AF$190,MATCH(LARGE(AQ$5:AQ$190,107),AQ$5:AQ$190,0))</f>
        <v>1.891891891891892E-2</v>
      </c>
      <c r="M301" s="11">
        <f>INDEX(AG$5:AG$190,MATCH(LARGE(AQ$5:AQ$190,107),AQ$5:AQ$190,0))</f>
        <v>6.1224489795918366E-2</v>
      </c>
      <c r="N301" s="11">
        <f>INDEX(AH$5:AH$190,MATCH(LARGE(AQ$5:AQ$190,107),AQ$5:AQ$190,0))</f>
        <v>7.3933092445150712E-3</v>
      </c>
      <c r="O301" s="11">
        <f>INDEX(AI$5:AI$190,MATCH(LARGE(AQ$5:AQ$190,107),AQ$5:AQ$190,0))</f>
        <v>1</v>
      </c>
      <c r="P301" s="11">
        <f>INDEX(AJ$5:AJ$190,MATCH(LARGE(AQ$5:AQ$190,107),AQ$5:AQ$190,0))</f>
        <v>0</v>
      </c>
      <c r="Q301" s="11">
        <f>INDEX(AK$5:AK$190,MATCH(LARGE(AQ$5:AQ$190,107),AQ$5:AQ$190,0))</f>
        <v>6.0606060606060608E-2</v>
      </c>
      <c r="R301" s="11">
        <f>INDEX(AL$5:AL$190,MATCH(LARGE(AQ$5:AQ$190,107),AQ$5:AQ$190,0))</f>
        <v>0.74657877483180968</v>
      </c>
      <c r="S301" s="11">
        <f>INDEX(AM$5:AM$190,MATCH(LARGE(AQ$5:AQ$190,107),AQ$5:AQ$190,0))</f>
        <v>0.16666666666666666</v>
      </c>
      <c r="T301" s="11">
        <f>INDEX(AN$5:AN$190,MATCH(LARGE(AQ$5:AQ$190,107),AQ$5:AQ$190,0))</f>
        <v>3.2258064516129031E-2</v>
      </c>
      <c r="U301" s="11">
        <f>INDEX(AO$5:AO$190,MATCH(LARGE(AQ$5:AQ$190,107),AQ$5:AQ$190,0))</f>
        <v>0</v>
      </c>
      <c r="V301" s="11">
        <f>INDEX(AP$5:AP$190,MATCH(LARGE(AQ$5:AQ$190,107),AQ$5:AQ$190,0))</f>
        <v>0</v>
      </c>
    </row>
    <row r="302" spans="1:22" ht="15" customHeight="1" x14ac:dyDescent="0.2">
      <c r="A302" s="3">
        <v>108</v>
      </c>
      <c r="B302" s="3" t="str">
        <f>INDEX($A$5:$A$190,MATCH(LARGE(AQ$5:AQ$190,108),AQ$5:AQ$190,0))</f>
        <v>Fleet: Fleet()</v>
      </c>
      <c r="C302" s="11">
        <f>INDEX(W$5:W$190,MATCH(LARGE(AQ$5:AQ$190,108),AQ$5:AQ$190,0))</f>
        <v>2.6315789473684209E-2</v>
      </c>
      <c r="D302" s="11">
        <f>INDEX(X$5:X$190,MATCH(LARGE(AQ$5:AQ$190,108),AQ$5:AQ$190,0))</f>
        <v>0</v>
      </c>
      <c r="E302" s="11">
        <f>INDEX(Y$5:Y$190,MATCH(LARGE(AQ$5:AQ$190,108),AQ$5:AQ$190,0))</f>
        <v>0</v>
      </c>
      <c r="F302" s="11">
        <f>INDEX(Z$5:Z$190,MATCH(LARGE(AQ$5:AQ$190,108),AQ$5:AQ$190,0))</f>
        <v>0</v>
      </c>
      <c r="G302" s="11">
        <f>INDEX(AA$5:AA$190,MATCH(LARGE(AQ$5:AQ$190,108),AQ$5:AQ$190,0))</f>
        <v>0</v>
      </c>
      <c r="H302" s="11">
        <f>INDEX(AB$5:AB$190,MATCH(LARGE(AQ$5:AQ$190,108),AQ$5:AQ$190,0))</f>
        <v>0</v>
      </c>
      <c r="I302" s="11">
        <f>INDEX(AC$5:AC$190,MATCH(LARGE(AQ$5:AQ$190,108),AQ$5:AQ$190,0))</f>
        <v>9.99000999000999E-3</v>
      </c>
      <c r="J302" s="11">
        <f>INDEX(AD$5:AD$190,MATCH(LARGE(AQ$5:AQ$190,108),AQ$5:AQ$190,0))</f>
        <v>2.5022432701167647E-5</v>
      </c>
      <c r="K302" s="11">
        <f>INDEX(AE$5:AE$190,MATCH(LARGE(AQ$5:AQ$190,108),AQ$5:AQ$190,0))</f>
        <v>8.1684516246142676E-4</v>
      </c>
      <c r="L302" s="11">
        <f>INDEX(AF$5:AF$190,MATCH(LARGE(AQ$5:AQ$190,108),AQ$5:AQ$190,0))</f>
        <v>8.1081081081081086E-3</v>
      </c>
      <c r="M302" s="11">
        <f>INDEX(AG$5:AG$190,MATCH(LARGE(AQ$5:AQ$190,108),AQ$5:AQ$190,0))</f>
        <v>3.0612244897959183E-2</v>
      </c>
      <c r="N302" s="11">
        <f>INDEX(AH$5:AH$190,MATCH(LARGE(AQ$5:AQ$190,108),AQ$5:AQ$190,0))</f>
        <v>1.9428034798446346E-3</v>
      </c>
      <c r="O302" s="11">
        <f>INDEX(AI$5:AI$190,MATCH(LARGE(AQ$5:AQ$190,108),AQ$5:AQ$190,0))</f>
        <v>1</v>
      </c>
      <c r="P302" s="11">
        <f>INDEX(AJ$5:AJ$190,MATCH(LARGE(AQ$5:AQ$190,108),AQ$5:AQ$190,0))</f>
        <v>0</v>
      </c>
      <c r="Q302" s="11">
        <f>INDEX(AK$5:AK$190,MATCH(LARGE(AQ$5:AQ$190,108),AQ$5:AQ$190,0))</f>
        <v>5.3030303030303032E-2</v>
      </c>
      <c r="R302" s="11">
        <f>INDEX(AL$5:AL$190,MATCH(LARGE(AQ$5:AQ$190,108),AQ$5:AQ$190,0))</f>
        <v>0.80753650907663455</v>
      </c>
      <c r="S302" s="11">
        <f>INDEX(AM$5:AM$190,MATCH(LARGE(AQ$5:AQ$190,108),AQ$5:AQ$190,0))</f>
        <v>0.16666666666666666</v>
      </c>
      <c r="T302" s="11">
        <f>INDEX(AN$5:AN$190,MATCH(LARGE(AQ$5:AQ$190,108),AQ$5:AQ$190,0))</f>
        <v>3.2258064516129031E-2</v>
      </c>
      <c r="U302" s="11">
        <f>INDEX(AO$5:AO$190,MATCH(LARGE(AQ$5:AQ$190,108),AQ$5:AQ$190,0))</f>
        <v>0</v>
      </c>
      <c r="V302" s="11">
        <f>INDEX(AP$5:AP$190,MATCH(LARGE(AQ$5:AQ$190,108),AQ$5:AQ$190,0))</f>
        <v>0</v>
      </c>
    </row>
    <row r="303" spans="1:22" ht="15" customHeight="1" x14ac:dyDescent="0.2">
      <c r="A303" s="3">
        <v>109</v>
      </c>
      <c r="B303" s="3" t="str">
        <f>INDEX($A$5:$A$190,MATCH(LARGE(AQ$5:AQ$190,109),AQ$5:AQ$190,0))</f>
        <v>Fleet: Fleet()</v>
      </c>
      <c r="C303" s="11">
        <f>INDEX(W$5:W$190,MATCH(LARGE(AQ$5:AQ$190,109),AQ$5:AQ$190,0))</f>
        <v>2.6315789473684209E-2</v>
      </c>
      <c r="D303" s="11">
        <f>INDEX(X$5:X$190,MATCH(LARGE(AQ$5:AQ$190,109),AQ$5:AQ$190,0))</f>
        <v>0</v>
      </c>
      <c r="E303" s="11">
        <f>INDEX(Y$5:Y$190,MATCH(LARGE(AQ$5:AQ$190,109),AQ$5:AQ$190,0))</f>
        <v>0</v>
      </c>
      <c r="F303" s="11">
        <f>INDEX(Z$5:Z$190,MATCH(LARGE(AQ$5:AQ$190,109),AQ$5:AQ$190,0))</f>
        <v>0</v>
      </c>
      <c r="G303" s="11">
        <f>INDEX(AA$5:AA$190,MATCH(LARGE(AQ$5:AQ$190,109),AQ$5:AQ$190,0))</f>
        <v>0</v>
      </c>
      <c r="H303" s="11">
        <f>INDEX(AB$5:AB$190,MATCH(LARGE(AQ$5:AQ$190,109),AQ$5:AQ$190,0))</f>
        <v>0</v>
      </c>
      <c r="I303" s="11">
        <f>INDEX(AC$5:AC$190,MATCH(LARGE(AQ$5:AQ$190,109),AQ$5:AQ$190,0))</f>
        <v>9.99000999000999E-3</v>
      </c>
      <c r="J303" s="11">
        <f>INDEX(AD$5:AD$190,MATCH(LARGE(AQ$5:AQ$190,109),AQ$5:AQ$190,0))</f>
        <v>2.5022432701167647E-5</v>
      </c>
      <c r="K303" s="11">
        <f>INDEX(AE$5:AE$190,MATCH(LARGE(AQ$5:AQ$190,109),AQ$5:AQ$190,0))</f>
        <v>8.1684516246142676E-4</v>
      </c>
      <c r="L303" s="11">
        <f>INDEX(AF$5:AF$190,MATCH(LARGE(AQ$5:AQ$190,109),AQ$5:AQ$190,0))</f>
        <v>8.1081081081081086E-3</v>
      </c>
      <c r="M303" s="11">
        <f>INDEX(AG$5:AG$190,MATCH(LARGE(AQ$5:AQ$190,109),AQ$5:AQ$190,0))</f>
        <v>3.0612244897959183E-2</v>
      </c>
      <c r="N303" s="11">
        <f>INDEX(AH$5:AH$190,MATCH(LARGE(AQ$5:AQ$190,109),AQ$5:AQ$190,0))</f>
        <v>1.9428034798446346E-3</v>
      </c>
      <c r="O303" s="11">
        <f>INDEX(AI$5:AI$190,MATCH(LARGE(AQ$5:AQ$190,109),AQ$5:AQ$190,0))</f>
        <v>1</v>
      </c>
      <c r="P303" s="11">
        <f>INDEX(AJ$5:AJ$190,MATCH(LARGE(AQ$5:AQ$190,109),AQ$5:AQ$190,0))</f>
        <v>0</v>
      </c>
      <c r="Q303" s="11">
        <f>INDEX(AK$5:AK$190,MATCH(LARGE(AQ$5:AQ$190,109),AQ$5:AQ$190,0))</f>
        <v>5.3030303030303032E-2</v>
      </c>
      <c r="R303" s="11">
        <f>INDEX(AL$5:AL$190,MATCH(LARGE(AQ$5:AQ$190,109),AQ$5:AQ$190,0))</f>
        <v>0.80753650907663455</v>
      </c>
      <c r="S303" s="11">
        <f>INDEX(AM$5:AM$190,MATCH(LARGE(AQ$5:AQ$190,109),AQ$5:AQ$190,0))</f>
        <v>0.16666666666666666</v>
      </c>
      <c r="T303" s="11">
        <f>INDEX(AN$5:AN$190,MATCH(LARGE(AQ$5:AQ$190,109),AQ$5:AQ$190,0))</f>
        <v>3.2258064516129031E-2</v>
      </c>
      <c r="U303" s="11">
        <f>INDEX(AO$5:AO$190,MATCH(LARGE(AQ$5:AQ$190,109),AQ$5:AQ$190,0))</f>
        <v>0</v>
      </c>
      <c r="V303" s="11">
        <f>INDEX(AP$5:AP$190,MATCH(LARGE(AQ$5:AQ$190,109),AQ$5:AQ$190,0))</f>
        <v>0</v>
      </c>
    </row>
    <row r="304" spans="1:22" ht="15" customHeight="1" x14ac:dyDescent="0.2">
      <c r="A304" s="3">
        <v>110</v>
      </c>
      <c r="B304" s="3" t="str">
        <f>INDEX($A$5:$A$190,MATCH(LARGE(AQ$5:AQ$190,110),AQ$5:AQ$190,0))</f>
        <v>Position: occupy()</v>
      </c>
      <c r="C304" s="11">
        <f>INDEX(W$5:W$190,MATCH(LARGE(AQ$5:AQ$190,110),AQ$5:AQ$190,0))</f>
        <v>2.6315789473684209E-2</v>
      </c>
      <c r="D304" s="11">
        <f>INDEX(X$5:X$190,MATCH(LARGE(AQ$5:AQ$190,110),AQ$5:AQ$190,0))</f>
        <v>0</v>
      </c>
      <c r="E304" s="11">
        <f>INDEX(Y$5:Y$190,MATCH(LARGE(AQ$5:AQ$190,110),AQ$5:AQ$190,0))</f>
        <v>0</v>
      </c>
      <c r="F304" s="11">
        <f>INDEX(Z$5:Z$190,MATCH(LARGE(AQ$5:AQ$190,110),AQ$5:AQ$190,0))</f>
        <v>0</v>
      </c>
      <c r="G304" s="11">
        <f>INDEX(AA$5:AA$190,MATCH(LARGE(AQ$5:AQ$190,110),AQ$5:AQ$190,0))</f>
        <v>0</v>
      </c>
      <c r="H304" s="11">
        <f>INDEX(AB$5:AB$190,MATCH(LARGE(AQ$5:AQ$190,110),AQ$5:AQ$190,0))</f>
        <v>0</v>
      </c>
      <c r="I304" s="11">
        <f>INDEX(AC$5:AC$190,MATCH(LARGE(AQ$5:AQ$190,110),AQ$5:AQ$190,0))</f>
        <v>9.99000999000999E-3</v>
      </c>
      <c r="J304" s="11">
        <f>INDEX(AD$5:AD$190,MATCH(LARGE(AQ$5:AQ$190,110),AQ$5:AQ$190,0))</f>
        <v>4.2099615472321428E-5</v>
      </c>
      <c r="K304" s="11">
        <f>INDEX(AE$5:AE$190,MATCH(LARGE(AQ$5:AQ$190,110),AQ$5:AQ$190,0))</f>
        <v>1.1798874568887275E-3</v>
      </c>
      <c r="L304" s="11">
        <f>INDEX(AF$5:AF$190,MATCH(LARGE(AQ$5:AQ$190,110),AQ$5:AQ$190,0))</f>
        <v>1.0810810810810811E-2</v>
      </c>
      <c r="M304" s="11">
        <f>INDEX(AG$5:AG$190,MATCH(LARGE(AQ$5:AQ$190,110),AQ$5:AQ$190,0))</f>
        <v>4.0816326530612242E-2</v>
      </c>
      <c r="N304" s="11">
        <f>INDEX(AH$5:AH$190,MATCH(LARGE(AQ$5:AQ$190,110),AQ$5:AQ$190,0))</f>
        <v>3.2687181305089651E-3</v>
      </c>
      <c r="O304" s="11">
        <f>INDEX(AI$5:AI$190,MATCH(LARGE(AQ$5:AQ$190,110),AQ$5:AQ$190,0))</f>
        <v>1</v>
      </c>
      <c r="P304" s="11">
        <f>INDEX(AJ$5:AJ$190,MATCH(LARGE(AQ$5:AQ$190,110),AQ$5:AQ$190,0))</f>
        <v>0</v>
      </c>
      <c r="Q304" s="11">
        <f>INDEX(AK$5:AK$190,MATCH(LARGE(AQ$5:AQ$190,110),AQ$5:AQ$190,0))</f>
        <v>5.3030303030303032E-2</v>
      </c>
      <c r="R304" s="11">
        <f>INDEX(AL$5:AL$190,MATCH(LARGE(AQ$5:AQ$190,110),AQ$5:AQ$190,0))</f>
        <v>0.78553083800702417</v>
      </c>
      <c r="S304" s="11">
        <f>INDEX(AM$5:AM$190,MATCH(LARGE(AQ$5:AQ$190,110),AQ$5:AQ$190,0))</f>
        <v>0.16666666666666666</v>
      </c>
      <c r="T304" s="11">
        <f>INDEX(AN$5:AN$190,MATCH(LARGE(AQ$5:AQ$190,110),AQ$5:AQ$190,0))</f>
        <v>3.2258064516129031E-2</v>
      </c>
      <c r="U304" s="11">
        <f>INDEX(AO$5:AO$190,MATCH(LARGE(AQ$5:AQ$190,110),AQ$5:AQ$190,0))</f>
        <v>0</v>
      </c>
      <c r="V304" s="11">
        <f>INDEX(AP$5:AP$190,MATCH(LARGE(AQ$5:AQ$190,110),AQ$5:AQ$190,0))</f>
        <v>0</v>
      </c>
    </row>
    <row r="305" spans="1:22" ht="15" customHeight="1" x14ac:dyDescent="0.2">
      <c r="A305" s="3">
        <v>111</v>
      </c>
      <c r="B305" s="3" t="str">
        <f>INDEX($A$5:$A$190,MATCH(LARGE(AQ$5:AQ$190,111),AQ$5:AQ$190,0))</f>
        <v>Position: occupy()</v>
      </c>
      <c r="C305" s="11">
        <f>INDEX(W$5:W$190,MATCH(LARGE(AQ$5:AQ$190,111),AQ$5:AQ$190,0))</f>
        <v>2.6315789473684209E-2</v>
      </c>
      <c r="D305" s="11">
        <f>INDEX(X$5:X$190,MATCH(LARGE(AQ$5:AQ$190,111),AQ$5:AQ$190,0))</f>
        <v>0</v>
      </c>
      <c r="E305" s="11">
        <f>INDEX(Y$5:Y$190,MATCH(LARGE(AQ$5:AQ$190,111),AQ$5:AQ$190,0))</f>
        <v>0</v>
      </c>
      <c r="F305" s="11">
        <f>INDEX(Z$5:Z$190,MATCH(LARGE(AQ$5:AQ$190,111),AQ$5:AQ$190,0))</f>
        <v>0</v>
      </c>
      <c r="G305" s="11">
        <f>INDEX(AA$5:AA$190,MATCH(LARGE(AQ$5:AQ$190,111),AQ$5:AQ$190,0))</f>
        <v>0</v>
      </c>
      <c r="H305" s="11">
        <f>INDEX(AB$5:AB$190,MATCH(LARGE(AQ$5:AQ$190,111),AQ$5:AQ$190,0))</f>
        <v>0</v>
      </c>
      <c r="I305" s="11">
        <f>INDEX(AC$5:AC$190,MATCH(LARGE(AQ$5:AQ$190,111),AQ$5:AQ$190,0))</f>
        <v>9.99000999000999E-3</v>
      </c>
      <c r="J305" s="11">
        <f>INDEX(AD$5:AD$190,MATCH(LARGE(AQ$5:AQ$190,111),AQ$5:AQ$190,0))</f>
        <v>4.2099615472321428E-5</v>
      </c>
      <c r="K305" s="11">
        <f>INDEX(AE$5:AE$190,MATCH(LARGE(AQ$5:AQ$190,111),AQ$5:AQ$190,0))</f>
        <v>1.1798874568887275E-3</v>
      </c>
      <c r="L305" s="11">
        <f>INDEX(AF$5:AF$190,MATCH(LARGE(AQ$5:AQ$190,111),AQ$5:AQ$190,0))</f>
        <v>1.0810810810810811E-2</v>
      </c>
      <c r="M305" s="11">
        <f>INDEX(AG$5:AG$190,MATCH(LARGE(AQ$5:AQ$190,111),AQ$5:AQ$190,0))</f>
        <v>4.0816326530612242E-2</v>
      </c>
      <c r="N305" s="11">
        <f>INDEX(AH$5:AH$190,MATCH(LARGE(AQ$5:AQ$190,111),AQ$5:AQ$190,0))</f>
        <v>3.2687181305089651E-3</v>
      </c>
      <c r="O305" s="11">
        <f>INDEX(AI$5:AI$190,MATCH(LARGE(AQ$5:AQ$190,111),AQ$5:AQ$190,0))</f>
        <v>1</v>
      </c>
      <c r="P305" s="11">
        <f>INDEX(AJ$5:AJ$190,MATCH(LARGE(AQ$5:AQ$190,111),AQ$5:AQ$190,0))</f>
        <v>0</v>
      </c>
      <c r="Q305" s="11">
        <f>INDEX(AK$5:AK$190,MATCH(LARGE(AQ$5:AQ$190,111),AQ$5:AQ$190,0))</f>
        <v>5.3030303030303032E-2</v>
      </c>
      <c r="R305" s="11">
        <f>INDEX(AL$5:AL$190,MATCH(LARGE(AQ$5:AQ$190,111),AQ$5:AQ$190,0))</f>
        <v>0.78553083800702417</v>
      </c>
      <c r="S305" s="11">
        <f>INDEX(AM$5:AM$190,MATCH(LARGE(AQ$5:AQ$190,111),AQ$5:AQ$190,0))</f>
        <v>0.16666666666666666</v>
      </c>
      <c r="T305" s="11">
        <f>INDEX(AN$5:AN$190,MATCH(LARGE(AQ$5:AQ$190,111),AQ$5:AQ$190,0))</f>
        <v>3.2258064516129031E-2</v>
      </c>
      <c r="U305" s="11">
        <f>INDEX(AO$5:AO$190,MATCH(LARGE(AQ$5:AQ$190,111),AQ$5:AQ$190,0))</f>
        <v>0</v>
      </c>
      <c r="V305" s="11">
        <f>INDEX(AP$5:AP$190,MATCH(LARGE(AQ$5:AQ$190,111),AQ$5:AQ$190,0))</f>
        <v>0</v>
      </c>
    </row>
    <row r="306" spans="1:22" ht="15" customHeight="1" x14ac:dyDescent="0.2">
      <c r="A306" s="3">
        <v>112</v>
      </c>
      <c r="B306" s="3" t="str">
        <f>INDEX($A$5:$A$190,MATCH(LARGE(AQ$5:AQ$190,112),AQ$5:AQ$190,0))</f>
        <v>Ship: getPositions()</v>
      </c>
      <c r="C306" s="11">
        <f>INDEX(W$5:W$190,MATCH(LARGE(AQ$5:AQ$190,112),AQ$5:AQ$190,0))</f>
        <v>2.6315789473684209E-2</v>
      </c>
      <c r="D306" s="11">
        <f>INDEX(X$5:X$190,MATCH(LARGE(AQ$5:AQ$190,112),AQ$5:AQ$190,0))</f>
        <v>0</v>
      </c>
      <c r="E306" s="11">
        <f>INDEX(Y$5:Y$190,MATCH(LARGE(AQ$5:AQ$190,112),AQ$5:AQ$190,0))</f>
        <v>0</v>
      </c>
      <c r="F306" s="11">
        <f>INDEX(Z$5:Z$190,MATCH(LARGE(AQ$5:AQ$190,112),AQ$5:AQ$190,0))</f>
        <v>0</v>
      </c>
      <c r="G306" s="11">
        <f>INDEX(AA$5:AA$190,MATCH(LARGE(AQ$5:AQ$190,112),AQ$5:AQ$190,0))</f>
        <v>0</v>
      </c>
      <c r="H306" s="11">
        <f>INDEX(AB$5:AB$190,MATCH(LARGE(AQ$5:AQ$190,112),AQ$5:AQ$190,0))</f>
        <v>0</v>
      </c>
      <c r="I306" s="11">
        <f>INDEX(AC$5:AC$190,MATCH(LARGE(AQ$5:AQ$190,112),AQ$5:AQ$190,0))</f>
        <v>9.99000999000999E-3</v>
      </c>
      <c r="J306" s="11">
        <f>INDEX(AD$5:AD$190,MATCH(LARGE(AQ$5:AQ$190,112),AQ$5:AQ$190,0))</f>
        <v>2.5022432701167647E-5</v>
      </c>
      <c r="K306" s="11">
        <f>INDEX(AE$5:AE$190,MATCH(LARGE(AQ$5:AQ$190,112),AQ$5:AQ$190,0))</f>
        <v>8.1684516246142676E-4</v>
      </c>
      <c r="L306" s="11">
        <f>INDEX(AF$5:AF$190,MATCH(LARGE(AQ$5:AQ$190,112),AQ$5:AQ$190,0))</f>
        <v>8.1081081081081086E-3</v>
      </c>
      <c r="M306" s="11">
        <f>INDEX(AG$5:AG$190,MATCH(LARGE(AQ$5:AQ$190,112),AQ$5:AQ$190,0))</f>
        <v>3.0612244897959183E-2</v>
      </c>
      <c r="N306" s="11">
        <f>INDEX(AH$5:AH$190,MATCH(LARGE(AQ$5:AQ$190,112),AQ$5:AQ$190,0))</f>
        <v>1.9428034798446346E-3</v>
      </c>
      <c r="O306" s="11">
        <f>INDEX(AI$5:AI$190,MATCH(LARGE(AQ$5:AQ$190,112),AQ$5:AQ$190,0))</f>
        <v>1</v>
      </c>
      <c r="P306" s="11">
        <f>INDEX(AJ$5:AJ$190,MATCH(LARGE(AQ$5:AQ$190,112),AQ$5:AQ$190,0))</f>
        <v>0</v>
      </c>
      <c r="Q306" s="11">
        <f>INDEX(AK$5:AK$190,MATCH(LARGE(AQ$5:AQ$190,112),AQ$5:AQ$190,0))</f>
        <v>6.8181818181818177E-2</v>
      </c>
      <c r="R306" s="11">
        <f>INDEX(AL$5:AL$190,MATCH(LARGE(AQ$5:AQ$190,112),AQ$5:AQ$190,0))</f>
        <v>0.78268068704298399</v>
      </c>
      <c r="S306" s="11">
        <f>INDEX(AM$5:AM$190,MATCH(LARGE(AQ$5:AQ$190,112),AQ$5:AQ$190,0))</f>
        <v>0.16666666666666666</v>
      </c>
      <c r="T306" s="11">
        <f>INDEX(AN$5:AN$190,MATCH(LARGE(AQ$5:AQ$190,112),AQ$5:AQ$190,0))</f>
        <v>3.2258064516129031E-2</v>
      </c>
      <c r="U306" s="11">
        <f>INDEX(AO$5:AO$190,MATCH(LARGE(AQ$5:AQ$190,112),AQ$5:AQ$190,0))</f>
        <v>0</v>
      </c>
      <c r="V306" s="11">
        <f>INDEX(AP$5:AP$190,MATCH(LARGE(AQ$5:AQ$190,112),AQ$5:AQ$190,0))</f>
        <v>0</v>
      </c>
    </row>
    <row r="307" spans="1:22" ht="15" customHeight="1" x14ac:dyDescent="0.2">
      <c r="A307" s="3">
        <v>113</v>
      </c>
      <c r="B307" s="3" t="str">
        <f>INDEX($A$5:$A$190,MATCH(LARGE(AQ$5:AQ$190,113),AQ$5:AQ$190,0))</f>
        <v>Ship: getPositions()</v>
      </c>
      <c r="C307" s="11">
        <f>INDEX(W$5:W$190,MATCH(LARGE(AQ$5:AQ$190,113),AQ$5:AQ$190,0))</f>
        <v>2.6315789473684209E-2</v>
      </c>
      <c r="D307" s="11">
        <f>INDEX(X$5:X$190,MATCH(LARGE(AQ$5:AQ$190,113),AQ$5:AQ$190,0))</f>
        <v>0</v>
      </c>
      <c r="E307" s="11">
        <f>INDEX(Y$5:Y$190,MATCH(LARGE(AQ$5:AQ$190,113),AQ$5:AQ$190,0))</f>
        <v>0</v>
      </c>
      <c r="F307" s="11">
        <f>INDEX(Z$5:Z$190,MATCH(LARGE(AQ$5:AQ$190,113),AQ$5:AQ$190,0))</f>
        <v>0</v>
      </c>
      <c r="G307" s="11">
        <f>INDEX(AA$5:AA$190,MATCH(LARGE(AQ$5:AQ$190,113),AQ$5:AQ$190,0))</f>
        <v>0</v>
      </c>
      <c r="H307" s="11">
        <f>INDEX(AB$5:AB$190,MATCH(LARGE(AQ$5:AQ$190,113),AQ$5:AQ$190,0))</f>
        <v>0</v>
      </c>
      <c r="I307" s="11">
        <f>INDEX(AC$5:AC$190,MATCH(LARGE(AQ$5:AQ$190,113),AQ$5:AQ$190,0))</f>
        <v>9.99000999000999E-3</v>
      </c>
      <c r="J307" s="11">
        <f>INDEX(AD$5:AD$190,MATCH(LARGE(AQ$5:AQ$190,113),AQ$5:AQ$190,0))</f>
        <v>2.5022432701167647E-5</v>
      </c>
      <c r="K307" s="11">
        <f>INDEX(AE$5:AE$190,MATCH(LARGE(AQ$5:AQ$190,113),AQ$5:AQ$190,0))</f>
        <v>8.1684516246142676E-4</v>
      </c>
      <c r="L307" s="11">
        <f>INDEX(AF$5:AF$190,MATCH(LARGE(AQ$5:AQ$190,113),AQ$5:AQ$190,0))</f>
        <v>8.1081081081081086E-3</v>
      </c>
      <c r="M307" s="11">
        <f>INDEX(AG$5:AG$190,MATCH(LARGE(AQ$5:AQ$190,113),AQ$5:AQ$190,0))</f>
        <v>3.0612244897959183E-2</v>
      </c>
      <c r="N307" s="11">
        <f>INDEX(AH$5:AH$190,MATCH(LARGE(AQ$5:AQ$190,113),AQ$5:AQ$190,0))</f>
        <v>1.9428034798446346E-3</v>
      </c>
      <c r="O307" s="11">
        <f>INDEX(AI$5:AI$190,MATCH(LARGE(AQ$5:AQ$190,113),AQ$5:AQ$190,0))</f>
        <v>1</v>
      </c>
      <c r="P307" s="11">
        <f>INDEX(AJ$5:AJ$190,MATCH(LARGE(AQ$5:AQ$190,113),AQ$5:AQ$190,0))</f>
        <v>0</v>
      </c>
      <c r="Q307" s="11">
        <f>INDEX(AK$5:AK$190,MATCH(LARGE(AQ$5:AQ$190,113),AQ$5:AQ$190,0))</f>
        <v>6.8181818181818177E-2</v>
      </c>
      <c r="R307" s="11">
        <f>INDEX(AL$5:AL$190,MATCH(LARGE(AQ$5:AQ$190,113),AQ$5:AQ$190,0))</f>
        <v>0.78268068704298399</v>
      </c>
      <c r="S307" s="11">
        <f>INDEX(AM$5:AM$190,MATCH(LARGE(AQ$5:AQ$190,113),AQ$5:AQ$190,0))</f>
        <v>0.16666666666666666</v>
      </c>
      <c r="T307" s="11">
        <f>INDEX(AN$5:AN$190,MATCH(LARGE(AQ$5:AQ$190,113),AQ$5:AQ$190,0))</f>
        <v>3.2258064516129031E-2</v>
      </c>
      <c r="U307" s="11">
        <f>INDEX(AO$5:AO$190,MATCH(LARGE(AQ$5:AQ$190,113),AQ$5:AQ$190,0))</f>
        <v>0</v>
      </c>
      <c r="V307" s="11">
        <f>INDEX(AP$5:AP$190,MATCH(LARGE(AQ$5:AQ$190,113),AQ$5:AQ$190,0))</f>
        <v>0</v>
      </c>
    </row>
    <row r="308" spans="1:22" ht="15" customHeight="1" x14ac:dyDescent="0.2">
      <c r="A308" s="3">
        <v>114</v>
      </c>
      <c r="B308" s="3" t="str">
        <f>INDEX($A$5:$A$190,MATCH(LARGE(AQ$5:AQ$190,114),AQ$5:AQ$190,0))</f>
        <v>Compass: toString()</v>
      </c>
      <c r="C308" s="11">
        <f>INDEX(W$5:W$190,MATCH(LARGE(AQ$5:AQ$190,114),AQ$5:AQ$190,0))</f>
        <v>2.6315789473684209E-2</v>
      </c>
      <c r="D308" s="11">
        <f>INDEX(X$5:X$190,MATCH(LARGE(AQ$5:AQ$190,114),AQ$5:AQ$190,0))</f>
        <v>0</v>
      </c>
      <c r="E308" s="11">
        <f>INDEX(Y$5:Y$190,MATCH(LARGE(AQ$5:AQ$190,114),AQ$5:AQ$190,0))</f>
        <v>0</v>
      </c>
      <c r="F308" s="11">
        <f>INDEX(Z$5:Z$190,MATCH(LARGE(AQ$5:AQ$190,114),AQ$5:AQ$190,0))</f>
        <v>0</v>
      </c>
      <c r="G308" s="11">
        <f>INDEX(AA$5:AA$190,MATCH(LARGE(AQ$5:AQ$190,114),AQ$5:AQ$190,0))</f>
        <v>0</v>
      </c>
      <c r="H308" s="11">
        <f>INDEX(AB$5:AB$190,MATCH(LARGE(AQ$5:AQ$190,114),AQ$5:AQ$190,0))</f>
        <v>0</v>
      </c>
      <c r="I308" s="11">
        <f>INDEX(AC$5:AC$190,MATCH(LARGE(AQ$5:AQ$190,114),AQ$5:AQ$190,0))</f>
        <v>1.4985014985014986E-2</v>
      </c>
      <c r="J308" s="11">
        <f>INDEX(AD$5:AD$190,MATCH(LARGE(AQ$5:AQ$190,114),AQ$5:AQ$190,0))</f>
        <v>9.1642969205342693E-5</v>
      </c>
      <c r="K308" s="11">
        <f>INDEX(AE$5:AE$190,MATCH(LARGE(AQ$5:AQ$190,114),AQ$5:AQ$190,0))</f>
        <v>1.9967326193501547E-3</v>
      </c>
      <c r="L308" s="11">
        <f>INDEX(AF$5:AF$190,MATCH(LARGE(AQ$5:AQ$190,114),AQ$5:AQ$190,0))</f>
        <v>1.3513513513513514E-2</v>
      </c>
      <c r="M308" s="11">
        <f>INDEX(AG$5:AG$190,MATCH(LARGE(AQ$5:AQ$190,114),AQ$5:AQ$190,0))</f>
        <v>5.1020408163265307E-2</v>
      </c>
      <c r="N308" s="11">
        <f>INDEX(AH$5:AH$190,MATCH(LARGE(AQ$5:AQ$190,114),AQ$5:AQ$190,0))</f>
        <v>4.7435637509946104E-3</v>
      </c>
      <c r="O308" s="11">
        <f>INDEX(AI$5:AI$190,MATCH(LARGE(AQ$5:AQ$190,114),AQ$5:AQ$190,0))</f>
        <v>1</v>
      </c>
      <c r="P308" s="11">
        <f>INDEX(AJ$5:AJ$190,MATCH(LARGE(AQ$5:AQ$190,114),AQ$5:AQ$190,0))</f>
        <v>0</v>
      </c>
      <c r="Q308" s="11">
        <f>INDEX(AK$5:AK$190,MATCH(LARGE(AQ$5:AQ$190,114),AQ$5:AQ$190,0))</f>
        <v>7.575757575757576E-2</v>
      </c>
      <c r="R308" s="11">
        <f>INDEX(AL$5:AL$190,MATCH(LARGE(AQ$5:AQ$190,114),AQ$5:AQ$190,0))</f>
        <v>0.7401434889188635</v>
      </c>
      <c r="S308" s="11">
        <f>INDEX(AM$5:AM$190,MATCH(LARGE(AQ$5:AQ$190,114),AQ$5:AQ$190,0))</f>
        <v>0.16666666666666666</v>
      </c>
      <c r="T308" s="11">
        <f>INDEX(AN$5:AN$190,MATCH(LARGE(AQ$5:AQ$190,114),AQ$5:AQ$190,0))</f>
        <v>3.2258064516129031E-2</v>
      </c>
      <c r="U308" s="11">
        <f>INDEX(AO$5:AO$190,MATCH(LARGE(AQ$5:AQ$190,114),AQ$5:AQ$190,0))</f>
        <v>0</v>
      </c>
      <c r="V308" s="11">
        <f>INDEX(AP$5:AP$190,MATCH(LARGE(AQ$5:AQ$190,114),AQ$5:AQ$190,0))</f>
        <v>0</v>
      </c>
    </row>
    <row r="309" spans="1:22" ht="15" customHeight="1" x14ac:dyDescent="0.2">
      <c r="A309" s="3">
        <v>115</v>
      </c>
      <c r="B309" s="3" t="str">
        <f>INDEX($A$5:$A$190,MATCH(LARGE(AQ$5:AQ$190,115),AQ$5:AQ$190,0))</f>
        <v>Compass: getDirection()</v>
      </c>
      <c r="C309" s="11">
        <f>INDEX(W$5:W$190,MATCH(LARGE(AQ$5:AQ$190,115),AQ$5:AQ$190,0))</f>
        <v>2.6315789473684209E-2</v>
      </c>
      <c r="D309" s="11">
        <f>INDEX(X$5:X$190,MATCH(LARGE(AQ$5:AQ$190,115),AQ$5:AQ$190,0))</f>
        <v>0</v>
      </c>
      <c r="E309" s="11">
        <f>INDEX(Y$5:Y$190,MATCH(LARGE(AQ$5:AQ$190,115),AQ$5:AQ$190,0))</f>
        <v>0</v>
      </c>
      <c r="F309" s="11">
        <f>INDEX(Z$5:Z$190,MATCH(LARGE(AQ$5:AQ$190,115),AQ$5:AQ$190,0))</f>
        <v>0</v>
      </c>
      <c r="G309" s="11">
        <f>INDEX(AA$5:AA$190,MATCH(LARGE(AQ$5:AQ$190,115),AQ$5:AQ$190,0))</f>
        <v>0</v>
      </c>
      <c r="H309" s="11">
        <f>INDEX(AB$5:AB$190,MATCH(LARGE(AQ$5:AQ$190,115),AQ$5:AQ$190,0))</f>
        <v>0</v>
      </c>
      <c r="I309" s="11">
        <f>INDEX(AC$5:AC$190,MATCH(LARGE(AQ$5:AQ$190,115),AQ$5:AQ$190,0))</f>
        <v>1.4985014985014986E-2</v>
      </c>
      <c r="J309" s="11">
        <f>INDEX(AD$5:AD$190,MATCH(LARGE(AQ$5:AQ$190,115),AQ$5:AQ$190,0))</f>
        <v>6.3149423208482149E-5</v>
      </c>
      <c r="K309" s="11">
        <f>INDEX(AE$5:AE$190,MATCH(LARGE(AQ$5:AQ$190,115),AQ$5:AQ$190,0))</f>
        <v>1.5429297513160284E-3</v>
      </c>
      <c r="L309" s="11">
        <f>INDEX(AF$5:AF$190,MATCH(LARGE(AQ$5:AQ$190,115),AQ$5:AQ$190,0))</f>
        <v>1.0810810810810811E-2</v>
      </c>
      <c r="M309" s="11">
        <f>INDEX(AG$5:AG$190,MATCH(LARGE(AQ$5:AQ$190,115),AQ$5:AQ$190,0))</f>
        <v>4.0816326530612242E-2</v>
      </c>
      <c r="N309" s="11">
        <f>INDEX(AH$5:AH$190,MATCH(LARGE(AQ$5:AQ$190,115),AQ$5:AQ$190,0))</f>
        <v>3.2687181305089651E-3</v>
      </c>
      <c r="O309" s="11">
        <f>INDEX(AI$5:AI$190,MATCH(LARGE(AQ$5:AQ$190,115),AQ$5:AQ$190,0))</f>
        <v>1</v>
      </c>
      <c r="P309" s="11">
        <f>INDEX(AJ$5:AJ$190,MATCH(LARGE(AQ$5:AQ$190,115),AQ$5:AQ$190,0))</f>
        <v>0</v>
      </c>
      <c r="Q309" s="11">
        <f>INDEX(AK$5:AK$190,MATCH(LARGE(AQ$5:AQ$190,115),AQ$5:AQ$190,0))</f>
        <v>6.8181818181818177E-2</v>
      </c>
      <c r="R309" s="11">
        <f>INDEX(AL$5:AL$190,MATCH(LARGE(AQ$5:AQ$190,115),AQ$5:AQ$190,0))</f>
        <v>0.76067397196203135</v>
      </c>
      <c r="S309" s="11">
        <f>INDEX(AM$5:AM$190,MATCH(LARGE(AQ$5:AQ$190,115),AQ$5:AQ$190,0))</f>
        <v>0.16666666666666666</v>
      </c>
      <c r="T309" s="11">
        <f>INDEX(AN$5:AN$190,MATCH(LARGE(AQ$5:AQ$190,115),AQ$5:AQ$190,0))</f>
        <v>3.2258064516129031E-2</v>
      </c>
      <c r="U309" s="11">
        <f>INDEX(AO$5:AO$190,MATCH(LARGE(AQ$5:AQ$190,115),AQ$5:AQ$190,0))</f>
        <v>0</v>
      </c>
      <c r="V309" s="11">
        <f>INDEX(AP$5:AP$190,MATCH(LARGE(AQ$5:AQ$190,115),AQ$5:AQ$190,0))</f>
        <v>0</v>
      </c>
    </row>
    <row r="310" spans="1:22" ht="15" customHeight="1" x14ac:dyDescent="0.2">
      <c r="A310" s="3">
        <v>116</v>
      </c>
      <c r="B310" s="3" t="str">
        <f>INDEX($A$5:$A$190,MATCH(LARGE(AQ$5:AQ$190,116),AQ$5:AQ$190,0))</f>
        <v>Compass: getDirection()</v>
      </c>
      <c r="C310" s="11">
        <f>INDEX(W$5:W$190,MATCH(LARGE(AQ$5:AQ$190,116),AQ$5:AQ$190,0))</f>
        <v>2.6315789473684209E-2</v>
      </c>
      <c r="D310" s="11">
        <f>INDEX(X$5:X$190,MATCH(LARGE(AQ$5:AQ$190,116),AQ$5:AQ$190,0))</f>
        <v>0</v>
      </c>
      <c r="E310" s="11">
        <f>INDEX(Y$5:Y$190,MATCH(LARGE(AQ$5:AQ$190,116),AQ$5:AQ$190,0))</f>
        <v>0</v>
      </c>
      <c r="F310" s="11">
        <f>INDEX(Z$5:Z$190,MATCH(LARGE(AQ$5:AQ$190,116),AQ$5:AQ$190,0))</f>
        <v>0</v>
      </c>
      <c r="G310" s="11">
        <f>INDEX(AA$5:AA$190,MATCH(LARGE(AQ$5:AQ$190,116),AQ$5:AQ$190,0))</f>
        <v>0</v>
      </c>
      <c r="H310" s="11">
        <f>INDEX(AB$5:AB$190,MATCH(LARGE(AQ$5:AQ$190,116),AQ$5:AQ$190,0))</f>
        <v>0</v>
      </c>
      <c r="I310" s="11">
        <f>INDEX(AC$5:AC$190,MATCH(LARGE(AQ$5:AQ$190,116),AQ$5:AQ$190,0))</f>
        <v>1.4985014985014986E-2</v>
      </c>
      <c r="J310" s="11">
        <f>INDEX(AD$5:AD$190,MATCH(LARGE(AQ$5:AQ$190,116),AQ$5:AQ$190,0))</f>
        <v>6.3149423208482149E-5</v>
      </c>
      <c r="K310" s="11">
        <f>INDEX(AE$5:AE$190,MATCH(LARGE(AQ$5:AQ$190,116),AQ$5:AQ$190,0))</f>
        <v>1.5429297513160284E-3</v>
      </c>
      <c r="L310" s="11">
        <f>INDEX(AF$5:AF$190,MATCH(LARGE(AQ$5:AQ$190,116),AQ$5:AQ$190,0))</f>
        <v>1.0810810810810811E-2</v>
      </c>
      <c r="M310" s="11">
        <f>INDEX(AG$5:AG$190,MATCH(LARGE(AQ$5:AQ$190,116),AQ$5:AQ$190,0))</f>
        <v>4.0816326530612242E-2</v>
      </c>
      <c r="N310" s="11">
        <f>INDEX(AH$5:AH$190,MATCH(LARGE(AQ$5:AQ$190,116),AQ$5:AQ$190,0))</f>
        <v>3.2687181305089651E-3</v>
      </c>
      <c r="O310" s="11">
        <f>INDEX(AI$5:AI$190,MATCH(LARGE(AQ$5:AQ$190,116),AQ$5:AQ$190,0))</f>
        <v>1</v>
      </c>
      <c r="P310" s="11">
        <f>INDEX(AJ$5:AJ$190,MATCH(LARGE(AQ$5:AQ$190,116),AQ$5:AQ$190,0))</f>
        <v>0</v>
      </c>
      <c r="Q310" s="11">
        <f>INDEX(AK$5:AK$190,MATCH(LARGE(AQ$5:AQ$190,116),AQ$5:AQ$190,0))</f>
        <v>6.8181818181818177E-2</v>
      </c>
      <c r="R310" s="11">
        <f>INDEX(AL$5:AL$190,MATCH(LARGE(AQ$5:AQ$190,116),AQ$5:AQ$190,0))</f>
        <v>0.76067397196203135</v>
      </c>
      <c r="S310" s="11">
        <f>INDEX(AM$5:AM$190,MATCH(LARGE(AQ$5:AQ$190,116),AQ$5:AQ$190,0))</f>
        <v>0.16666666666666666</v>
      </c>
      <c r="T310" s="11">
        <f>INDEX(AN$5:AN$190,MATCH(LARGE(AQ$5:AQ$190,116),AQ$5:AQ$190,0))</f>
        <v>3.2258064516129031E-2</v>
      </c>
      <c r="U310" s="11">
        <f>INDEX(AO$5:AO$190,MATCH(LARGE(AQ$5:AQ$190,116),AQ$5:AQ$190,0))</f>
        <v>0</v>
      </c>
      <c r="V310" s="11">
        <f>INDEX(AP$5:AP$190,MATCH(LARGE(AQ$5:AQ$190,116),AQ$5:AQ$190,0))</f>
        <v>0</v>
      </c>
    </row>
    <row r="311" spans="1:22" ht="15" customHeight="1" x14ac:dyDescent="0.2">
      <c r="A311" s="3">
        <v>117</v>
      </c>
      <c r="B311" s="3" t="str">
        <f>INDEX($A$5:$A$190,MATCH(LARGE(AQ$5:AQ$190,117),AQ$5:AQ$190,0))</f>
        <v>Compass: getDirection()</v>
      </c>
      <c r="C311" s="11">
        <f>INDEX(W$5:W$190,MATCH(LARGE(AQ$5:AQ$190,117),AQ$5:AQ$190,0))</f>
        <v>2.6315789473684209E-2</v>
      </c>
      <c r="D311" s="11">
        <f>INDEX(X$5:X$190,MATCH(LARGE(AQ$5:AQ$190,117),AQ$5:AQ$190,0))</f>
        <v>0</v>
      </c>
      <c r="E311" s="11">
        <f>INDEX(Y$5:Y$190,MATCH(LARGE(AQ$5:AQ$190,117),AQ$5:AQ$190,0))</f>
        <v>0</v>
      </c>
      <c r="F311" s="11">
        <f>INDEX(Z$5:Z$190,MATCH(LARGE(AQ$5:AQ$190,117),AQ$5:AQ$190,0))</f>
        <v>0</v>
      </c>
      <c r="G311" s="11">
        <f>INDEX(AA$5:AA$190,MATCH(LARGE(AQ$5:AQ$190,117),AQ$5:AQ$190,0))</f>
        <v>0</v>
      </c>
      <c r="H311" s="11">
        <f>INDEX(AB$5:AB$190,MATCH(LARGE(AQ$5:AQ$190,117),AQ$5:AQ$190,0))</f>
        <v>0</v>
      </c>
      <c r="I311" s="11">
        <f>INDEX(AC$5:AC$190,MATCH(LARGE(AQ$5:AQ$190,117),AQ$5:AQ$190,0))</f>
        <v>1.4985014985014986E-2</v>
      </c>
      <c r="J311" s="11">
        <f>INDEX(AD$5:AD$190,MATCH(LARGE(AQ$5:AQ$190,117),AQ$5:AQ$190,0))</f>
        <v>6.3149423208482149E-5</v>
      </c>
      <c r="K311" s="11">
        <f>INDEX(AE$5:AE$190,MATCH(LARGE(AQ$5:AQ$190,117),AQ$5:AQ$190,0))</f>
        <v>1.5429297513160284E-3</v>
      </c>
      <c r="L311" s="11">
        <f>INDEX(AF$5:AF$190,MATCH(LARGE(AQ$5:AQ$190,117),AQ$5:AQ$190,0))</f>
        <v>1.0810810810810811E-2</v>
      </c>
      <c r="M311" s="11">
        <f>INDEX(AG$5:AG$190,MATCH(LARGE(AQ$5:AQ$190,117),AQ$5:AQ$190,0))</f>
        <v>4.0816326530612242E-2</v>
      </c>
      <c r="N311" s="11">
        <f>INDEX(AH$5:AH$190,MATCH(LARGE(AQ$5:AQ$190,117),AQ$5:AQ$190,0))</f>
        <v>3.2687181305089651E-3</v>
      </c>
      <c r="O311" s="11">
        <f>INDEX(AI$5:AI$190,MATCH(LARGE(AQ$5:AQ$190,117),AQ$5:AQ$190,0))</f>
        <v>1</v>
      </c>
      <c r="P311" s="11">
        <f>INDEX(AJ$5:AJ$190,MATCH(LARGE(AQ$5:AQ$190,117),AQ$5:AQ$190,0))</f>
        <v>0</v>
      </c>
      <c r="Q311" s="11">
        <f>INDEX(AK$5:AK$190,MATCH(LARGE(AQ$5:AQ$190,117),AQ$5:AQ$190,0))</f>
        <v>6.8181818181818177E-2</v>
      </c>
      <c r="R311" s="11">
        <f>INDEX(AL$5:AL$190,MATCH(LARGE(AQ$5:AQ$190,117),AQ$5:AQ$190,0))</f>
        <v>0.76067397196203135</v>
      </c>
      <c r="S311" s="11">
        <f>INDEX(AM$5:AM$190,MATCH(LARGE(AQ$5:AQ$190,117),AQ$5:AQ$190,0))</f>
        <v>0.16666666666666666</v>
      </c>
      <c r="T311" s="11">
        <f>INDEX(AN$5:AN$190,MATCH(LARGE(AQ$5:AQ$190,117),AQ$5:AQ$190,0))</f>
        <v>3.2258064516129031E-2</v>
      </c>
      <c r="U311" s="11">
        <f>INDEX(AO$5:AO$190,MATCH(LARGE(AQ$5:AQ$190,117),AQ$5:AQ$190,0))</f>
        <v>0</v>
      </c>
      <c r="V311" s="11">
        <f>INDEX(AP$5:AP$190,MATCH(LARGE(AQ$5:AQ$190,117),AQ$5:AQ$190,0))</f>
        <v>0</v>
      </c>
    </row>
    <row r="312" spans="1:22" ht="15" customHeight="1" x14ac:dyDescent="0.2">
      <c r="A312" s="3">
        <v>118</v>
      </c>
      <c r="B312" s="3" t="str">
        <f>INDEX($A$5:$A$190,MATCH(LARGE(AQ$5:AQ$190,118),AQ$5:AQ$190,0))</f>
        <v>Compass: getDirection()</v>
      </c>
      <c r="C312" s="11">
        <f>INDEX(W$5:W$190,MATCH(LARGE(AQ$5:AQ$190,118),AQ$5:AQ$190,0))</f>
        <v>2.6315789473684209E-2</v>
      </c>
      <c r="D312" s="11">
        <f>INDEX(X$5:X$190,MATCH(LARGE(AQ$5:AQ$190,118),AQ$5:AQ$190,0))</f>
        <v>0</v>
      </c>
      <c r="E312" s="11">
        <f>INDEX(Y$5:Y$190,MATCH(LARGE(AQ$5:AQ$190,118),AQ$5:AQ$190,0))</f>
        <v>0</v>
      </c>
      <c r="F312" s="11">
        <f>INDEX(Z$5:Z$190,MATCH(LARGE(AQ$5:AQ$190,118),AQ$5:AQ$190,0))</f>
        <v>0</v>
      </c>
      <c r="G312" s="11">
        <f>INDEX(AA$5:AA$190,MATCH(LARGE(AQ$5:AQ$190,118),AQ$5:AQ$190,0))</f>
        <v>0</v>
      </c>
      <c r="H312" s="11">
        <f>INDEX(AB$5:AB$190,MATCH(LARGE(AQ$5:AQ$190,118),AQ$5:AQ$190,0))</f>
        <v>0</v>
      </c>
      <c r="I312" s="11">
        <f>INDEX(AC$5:AC$190,MATCH(LARGE(AQ$5:AQ$190,118),AQ$5:AQ$190,0))</f>
        <v>1.4985014985014986E-2</v>
      </c>
      <c r="J312" s="11">
        <f>INDEX(AD$5:AD$190,MATCH(LARGE(AQ$5:AQ$190,118),AQ$5:AQ$190,0))</f>
        <v>6.3149423208482149E-5</v>
      </c>
      <c r="K312" s="11">
        <f>INDEX(AE$5:AE$190,MATCH(LARGE(AQ$5:AQ$190,118),AQ$5:AQ$190,0))</f>
        <v>1.5429297513160284E-3</v>
      </c>
      <c r="L312" s="11">
        <f>INDEX(AF$5:AF$190,MATCH(LARGE(AQ$5:AQ$190,118),AQ$5:AQ$190,0))</f>
        <v>1.0810810810810811E-2</v>
      </c>
      <c r="M312" s="11">
        <f>INDEX(AG$5:AG$190,MATCH(LARGE(AQ$5:AQ$190,118),AQ$5:AQ$190,0))</f>
        <v>4.0816326530612242E-2</v>
      </c>
      <c r="N312" s="11">
        <f>INDEX(AH$5:AH$190,MATCH(LARGE(AQ$5:AQ$190,118),AQ$5:AQ$190,0))</f>
        <v>3.2687181305089651E-3</v>
      </c>
      <c r="O312" s="11">
        <f>INDEX(AI$5:AI$190,MATCH(LARGE(AQ$5:AQ$190,118),AQ$5:AQ$190,0))</f>
        <v>1</v>
      </c>
      <c r="P312" s="11">
        <f>INDEX(AJ$5:AJ$190,MATCH(LARGE(AQ$5:AQ$190,118),AQ$5:AQ$190,0))</f>
        <v>0</v>
      </c>
      <c r="Q312" s="11">
        <f>INDEX(AK$5:AK$190,MATCH(LARGE(AQ$5:AQ$190,118),AQ$5:AQ$190,0))</f>
        <v>6.8181818181818177E-2</v>
      </c>
      <c r="R312" s="11">
        <f>INDEX(AL$5:AL$190,MATCH(LARGE(AQ$5:AQ$190,118),AQ$5:AQ$190,0))</f>
        <v>0.76067397196203135</v>
      </c>
      <c r="S312" s="11">
        <f>INDEX(AM$5:AM$190,MATCH(LARGE(AQ$5:AQ$190,118),AQ$5:AQ$190,0))</f>
        <v>0.16666666666666666</v>
      </c>
      <c r="T312" s="11">
        <f>INDEX(AN$5:AN$190,MATCH(LARGE(AQ$5:AQ$190,118),AQ$5:AQ$190,0))</f>
        <v>3.2258064516129031E-2</v>
      </c>
      <c r="U312" s="11">
        <f>INDEX(AO$5:AO$190,MATCH(LARGE(AQ$5:AQ$190,118),AQ$5:AQ$190,0))</f>
        <v>0</v>
      </c>
      <c r="V312" s="11">
        <f>INDEX(AP$5:AP$190,MATCH(LARGE(AQ$5:AQ$190,118),AQ$5:AQ$190,0))</f>
        <v>0</v>
      </c>
    </row>
    <row r="313" spans="1:22" ht="15" customHeight="1" x14ac:dyDescent="0.2">
      <c r="A313" s="3">
        <v>119</v>
      </c>
      <c r="B313" s="3" t="str">
        <f>INDEX($A$5:$A$190,MATCH(LARGE(AQ$5:AQ$190,119),AQ$5:AQ$190,0))</f>
        <v>Compass: getDirection()</v>
      </c>
      <c r="C313" s="11">
        <f>INDEX(W$5:W$190,MATCH(LARGE(AQ$5:AQ$190,119),AQ$5:AQ$190,0))</f>
        <v>2.6315789473684209E-2</v>
      </c>
      <c r="D313" s="11">
        <f>INDEX(X$5:X$190,MATCH(LARGE(AQ$5:AQ$190,119),AQ$5:AQ$190,0))</f>
        <v>0</v>
      </c>
      <c r="E313" s="11">
        <f>INDEX(Y$5:Y$190,MATCH(LARGE(AQ$5:AQ$190,119),AQ$5:AQ$190,0))</f>
        <v>0</v>
      </c>
      <c r="F313" s="11">
        <f>INDEX(Z$5:Z$190,MATCH(LARGE(AQ$5:AQ$190,119),AQ$5:AQ$190,0))</f>
        <v>0</v>
      </c>
      <c r="G313" s="11">
        <f>INDEX(AA$5:AA$190,MATCH(LARGE(AQ$5:AQ$190,119),AQ$5:AQ$190,0))</f>
        <v>0</v>
      </c>
      <c r="H313" s="11">
        <f>INDEX(AB$5:AB$190,MATCH(LARGE(AQ$5:AQ$190,119),AQ$5:AQ$190,0))</f>
        <v>0</v>
      </c>
      <c r="I313" s="11">
        <f>INDEX(AC$5:AC$190,MATCH(LARGE(AQ$5:AQ$190,119),AQ$5:AQ$190,0))</f>
        <v>1.4985014985014986E-2</v>
      </c>
      <c r="J313" s="11">
        <f>INDEX(AD$5:AD$190,MATCH(LARGE(AQ$5:AQ$190,119),AQ$5:AQ$190,0))</f>
        <v>6.3149423208482149E-5</v>
      </c>
      <c r="K313" s="11">
        <f>INDEX(AE$5:AE$190,MATCH(LARGE(AQ$5:AQ$190,119),AQ$5:AQ$190,0))</f>
        <v>1.5429297513160284E-3</v>
      </c>
      <c r="L313" s="11">
        <f>INDEX(AF$5:AF$190,MATCH(LARGE(AQ$5:AQ$190,119),AQ$5:AQ$190,0))</f>
        <v>1.0810810810810811E-2</v>
      </c>
      <c r="M313" s="11">
        <f>INDEX(AG$5:AG$190,MATCH(LARGE(AQ$5:AQ$190,119),AQ$5:AQ$190,0))</f>
        <v>4.0816326530612242E-2</v>
      </c>
      <c r="N313" s="11">
        <f>INDEX(AH$5:AH$190,MATCH(LARGE(AQ$5:AQ$190,119),AQ$5:AQ$190,0))</f>
        <v>3.2687181305089651E-3</v>
      </c>
      <c r="O313" s="11">
        <f>INDEX(AI$5:AI$190,MATCH(LARGE(AQ$5:AQ$190,119),AQ$5:AQ$190,0))</f>
        <v>1</v>
      </c>
      <c r="P313" s="11">
        <f>INDEX(AJ$5:AJ$190,MATCH(LARGE(AQ$5:AQ$190,119),AQ$5:AQ$190,0))</f>
        <v>0</v>
      </c>
      <c r="Q313" s="11">
        <f>INDEX(AK$5:AK$190,MATCH(LARGE(AQ$5:AQ$190,119),AQ$5:AQ$190,0))</f>
        <v>6.8181818181818177E-2</v>
      </c>
      <c r="R313" s="11">
        <f>INDEX(AL$5:AL$190,MATCH(LARGE(AQ$5:AQ$190,119),AQ$5:AQ$190,0))</f>
        <v>0.76067397196203135</v>
      </c>
      <c r="S313" s="11">
        <f>INDEX(AM$5:AM$190,MATCH(LARGE(AQ$5:AQ$190,119),AQ$5:AQ$190,0))</f>
        <v>0.16666666666666666</v>
      </c>
      <c r="T313" s="11">
        <f>INDEX(AN$5:AN$190,MATCH(LARGE(AQ$5:AQ$190,119),AQ$5:AQ$190,0))</f>
        <v>3.2258064516129031E-2</v>
      </c>
      <c r="U313" s="11">
        <f>INDEX(AO$5:AO$190,MATCH(LARGE(AQ$5:AQ$190,119),AQ$5:AQ$190,0))</f>
        <v>0</v>
      </c>
      <c r="V313" s="11">
        <f>INDEX(AP$5:AP$190,MATCH(LARGE(AQ$5:AQ$190,119),AQ$5:AQ$190,0))</f>
        <v>0</v>
      </c>
    </row>
    <row r="314" spans="1:22" ht="15" customHeight="1" x14ac:dyDescent="0.2">
      <c r="A314" s="3">
        <v>120</v>
      </c>
      <c r="B314" s="3" t="str">
        <f>INDEX($A$5:$A$190,MATCH(LARGE(AQ$5:AQ$190,120),AQ$5:AQ$190,0))</f>
        <v>Fleet: getShips()</v>
      </c>
      <c r="C314" s="11">
        <f>INDEX(W$5:W$190,MATCH(LARGE(AQ$5:AQ$190,120),AQ$5:AQ$190,0))</f>
        <v>2.6315789473684209E-2</v>
      </c>
      <c r="D314" s="11">
        <f>INDEX(X$5:X$190,MATCH(LARGE(AQ$5:AQ$190,120),AQ$5:AQ$190,0))</f>
        <v>0</v>
      </c>
      <c r="E314" s="11">
        <f>INDEX(Y$5:Y$190,MATCH(LARGE(AQ$5:AQ$190,120),AQ$5:AQ$190,0))</f>
        <v>0</v>
      </c>
      <c r="F314" s="11">
        <f>INDEX(Z$5:Z$190,MATCH(LARGE(AQ$5:AQ$190,120),AQ$5:AQ$190,0))</f>
        <v>0</v>
      </c>
      <c r="G314" s="11">
        <f>INDEX(AA$5:AA$190,MATCH(LARGE(AQ$5:AQ$190,120),AQ$5:AQ$190,0))</f>
        <v>0</v>
      </c>
      <c r="H314" s="11">
        <f>INDEX(AB$5:AB$190,MATCH(LARGE(AQ$5:AQ$190,120),AQ$5:AQ$190,0))</f>
        <v>0</v>
      </c>
      <c r="I314" s="11">
        <f>INDEX(AC$5:AC$190,MATCH(LARGE(AQ$5:AQ$190,120),AQ$5:AQ$190,0))</f>
        <v>9.99000999000999E-3</v>
      </c>
      <c r="J314" s="11">
        <f>INDEX(AD$5:AD$190,MATCH(LARGE(AQ$5:AQ$190,120),AQ$5:AQ$190,0))</f>
        <v>2.5022432701167647E-5</v>
      </c>
      <c r="K314" s="11">
        <f>INDEX(AE$5:AE$190,MATCH(LARGE(AQ$5:AQ$190,120),AQ$5:AQ$190,0))</f>
        <v>8.1684516246142676E-4</v>
      </c>
      <c r="L314" s="11">
        <f>INDEX(AF$5:AF$190,MATCH(LARGE(AQ$5:AQ$190,120),AQ$5:AQ$190,0))</f>
        <v>8.1081081081081086E-3</v>
      </c>
      <c r="M314" s="11">
        <f>INDEX(AG$5:AG$190,MATCH(LARGE(AQ$5:AQ$190,120),AQ$5:AQ$190,0))</f>
        <v>3.0612244897959183E-2</v>
      </c>
      <c r="N314" s="11">
        <f>INDEX(AH$5:AH$190,MATCH(LARGE(AQ$5:AQ$190,120),AQ$5:AQ$190,0))</f>
        <v>1.9428034798446346E-3</v>
      </c>
      <c r="O314" s="11">
        <f>INDEX(AI$5:AI$190,MATCH(LARGE(AQ$5:AQ$190,120),AQ$5:AQ$190,0))</f>
        <v>1</v>
      </c>
      <c r="P314" s="11">
        <f>INDEX(AJ$5:AJ$190,MATCH(LARGE(AQ$5:AQ$190,120),AQ$5:AQ$190,0))</f>
        <v>0</v>
      </c>
      <c r="Q314" s="11">
        <f>INDEX(AK$5:AK$190,MATCH(LARGE(AQ$5:AQ$190,120),AQ$5:AQ$190,0))</f>
        <v>7.575757575757576E-2</v>
      </c>
      <c r="R314" s="11">
        <f>INDEX(AL$5:AL$190,MATCH(LARGE(AQ$5:AQ$190,120),AQ$5:AQ$190,0))</f>
        <v>0.77225936582575028</v>
      </c>
      <c r="S314" s="11">
        <f>INDEX(AM$5:AM$190,MATCH(LARGE(AQ$5:AQ$190,120),AQ$5:AQ$190,0))</f>
        <v>0.16666666666666666</v>
      </c>
      <c r="T314" s="11">
        <f>INDEX(AN$5:AN$190,MATCH(LARGE(AQ$5:AQ$190,120),AQ$5:AQ$190,0))</f>
        <v>3.2258064516129031E-2</v>
      </c>
      <c r="U314" s="11">
        <f>INDEX(AO$5:AO$190,MATCH(LARGE(AQ$5:AQ$190,120),AQ$5:AQ$190,0))</f>
        <v>0</v>
      </c>
      <c r="V314" s="11">
        <f>INDEX(AP$5:AP$190,MATCH(LARGE(AQ$5:AQ$190,120),AQ$5:AQ$190,0))</f>
        <v>0</v>
      </c>
    </row>
    <row r="315" spans="1:22" ht="15" customHeight="1" x14ac:dyDescent="0.2">
      <c r="A315" s="3">
        <v>121</v>
      </c>
      <c r="B315" s="3" t="str">
        <f>INDEX($A$5:$A$190,MATCH(LARGE(AQ$5:AQ$190,121),AQ$5:AQ$190,0))</f>
        <v>Ship: getBearing()</v>
      </c>
      <c r="C315" s="11">
        <f>INDEX(W$5:W$190,MATCH(LARGE(AQ$5:AQ$190,121),AQ$5:AQ$190,0))</f>
        <v>2.6315789473684209E-2</v>
      </c>
      <c r="D315" s="11">
        <f>INDEX(X$5:X$190,MATCH(LARGE(AQ$5:AQ$190,121),AQ$5:AQ$190,0))</f>
        <v>0</v>
      </c>
      <c r="E315" s="11">
        <f>INDEX(Y$5:Y$190,MATCH(LARGE(AQ$5:AQ$190,121),AQ$5:AQ$190,0))</f>
        <v>0</v>
      </c>
      <c r="F315" s="11">
        <f>INDEX(Z$5:Z$190,MATCH(LARGE(AQ$5:AQ$190,121),AQ$5:AQ$190,0))</f>
        <v>0</v>
      </c>
      <c r="G315" s="11">
        <f>INDEX(AA$5:AA$190,MATCH(LARGE(AQ$5:AQ$190,121),AQ$5:AQ$190,0))</f>
        <v>0</v>
      </c>
      <c r="H315" s="11">
        <f>INDEX(AB$5:AB$190,MATCH(LARGE(AQ$5:AQ$190,121),AQ$5:AQ$190,0))</f>
        <v>0</v>
      </c>
      <c r="I315" s="11">
        <f>INDEX(AC$5:AC$190,MATCH(LARGE(AQ$5:AQ$190,121),AQ$5:AQ$190,0))</f>
        <v>9.99000999000999E-3</v>
      </c>
      <c r="J315" s="11">
        <f>INDEX(AD$5:AD$190,MATCH(LARGE(AQ$5:AQ$190,121),AQ$5:AQ$190,0))</f>
        <v>2.5022432701167647E-5</v>
      </c>
      <c r="K315" s="11">
        <f>INDEX(AE$5:AE$190,MATCH(LARGE(AQ$5:AQ$190,121),AQ$5:AQ$190,0))</f>
        <v>8.1684516246142676E-4</v>
      </c>
      <c r="L315" s="11">
        <f>INDEX(AF$5:AF$190,MATCH(LARGE(AQ$5:AQ$190,121),AQ$5:AQ$190,0))</f>
        <v>8.1081081081081086E-3</v>
      </c>
      <c r="M315" s="11">
        <f>INDEX(AG$5:AG$190,MATCH(LARGE(AQ$5:AQ$190,121),AQ$5:AQ$190,0))</f>
        <v>3.0612244897959183E-2</v>
      </c>
      <c r="N315" s="11">
        <f>INDEX(AH$5:AH$190,MATCH(LARGE(AQ$5:AQ$190,121),AQ$5:AQ$190,0))</f>
        <v>1.9428034798446346E-3</v>
      </c>
      <c r="O315" s="11">
        <f>INDEX(AI$5:AI$190,MATCH(LARGE(AQ$5:AQ$190,121),AQ$5:AQ$190,0))</f>
        <v>1</v>
      </c>
      <c r="P315" s="11">
        <f>INDEX(AJ$5:AJ$190,MATCH(LARGE(AQ$5:AQ$190,121),AQ$5:AQ$190,0))</f>
        <v>0</v>
      </c>
      <c r="Q315" s="11">
        <f>INDEX(AK$5:AK$190,MATCH(LARGE(AQ$5:AQ$190,121),AQ$5:AQ$190,0))</f>
        <v>0.11363636363636363</v>
      </c>
      <c r="R315" s="11">
        <f>INDEX(AL$5:AL$190,MATCH(LARGE(AQ$5:AQ$190,121),AQ$5:AQ$190,0))</f>
        <v>0.73215680215149848</v>
      </c>
      <c r="S315" s="11">
        <f>INDEX(AM$5:AM$190,MATCH(LARGE(AQ$5:AQ$190,121),AQ$5:AQ$190,0))</f>
        <v>0.16666666666666666</v>
      </c>
      <c r="T315" s="11">
        <f>INDEX(AN$5:AN$190,MATCH(LARGE(AQ$5:AQ$190,121),AQ$5:AQ$190,0))</f>
        <v>3.2258064516129031E-2</v>
      </c>
      <c r="U315" s="11">
        <f>INDEX(AO$5:AO$190,MATCH(LARGE(AQ$5:AQ$190,121),AQ$5:AQ$190,0))</f>
        <v>0</v>
      </c>
      <c r="V315" s="11">
        <f>INDEX(AP$5:AP$190,MATCH(LARGE(AQ$5:AQ$190,121),AQ$5:AQ$190,0))</f>
        <v>0</v>
      </c>
    </row>
    <row r="316" spans="1:22" ht="15" customHeight="1" x14ac:dyDescent="0.2">
      <c r="A316" s="3">
        <v>122</v>
      </c>
      <c r="B316" s="3" t="str">
        <f>INDEX($A$5:$A$190,MATCH(LARGE(AQ$5:AQ$190,122),AQ$5:AQ$190,0))</f>
        <v>Ship: getBearing()</v>
      </c>
      <c r="C316" s="11">
        <f>INDEX(W$5:W$190,MATCH(LARGE(AQ$5:AQ$190,122),AQ$5:AQ$190,0))</f>
        <v>2.6315789473684209E-2</v>
      </c>
      <c r="D316" s="11">
        <f>INDEX(X$5:X$190,MATCH(LARGE(AQ$5:AQ$190,122),AQ$5:AQ$190,0))</f>
        <v>0</v>
      </c>
      <c r="E316" s="11">
        <f>INDEX(Y$5:Y$190,MATCH(LARGE(AQ$5:AQ$190,122),AQ$5:AQ$190,0))</f>
        <v>0</v>
      </c>
      <c r="F316" s="11">
        <f>INDEX(Z$5:Z$190,MATCH(LARGE(AQ$5:AQ$190,122),AQ$5:AQ$190,0))</f>
        <v>0</v>
      </c>
      <c r="G316" s="11">
        <f>INDEX(AA$5:AA$190,MATCH(LARGE(AQ$5:AQ$190,122),AQ$5:AQ$190,0))</f>
        <v>0</v>
      </c>
      <c r="H316" s="11">
        <f>INDEX(AB$5:AB$190,MATCH(LARGE(AQ$5:AQ$190,122),AQ$5:AQ$190,0))</f>
        <v>0</v>
      </c>
      <c r="I316" s="11">
        <f>INDEX(AC$5:AC$190,MATCH(LARGE(AQ$5:AQ$190,122),AQ$5:AQ$190,0))</f>
        <v>9.99000999000999E-3</v>
      </c>
      <c r="J316" s="11">
        <f>INDEX(AD$5:AD$190,MATCH(LARGE(AQ$5:AQ$190,122),AQ$5:AQ$190,0))</f>
        <v>2.5022432701167647E-5</v>
      </c>
      <c r="K316" s="11">
        <f>INDEX(AE$5:AE$190,MATCH(LARGE(AQ$5:AQ$190,122),AQ$5:AQ$190,0))</f>
        <v>8.1684516246142676E-4</v>
      </c>
      <c r="L316" s="11">
        <f>INDEX(AF$5:AF$190,MATCH(LARGE(AQ$5:AQ$190,122),AQ$5:AQ$190,0))</f>
        <v>8.1081081081081086E-3</v>
      </c>
      <c r="M316" s="11">
        <f>INDEX(AG$5:AG$190,MATCH(LARGE(AQ$5:AQ$190,122),AQ$5:AQ$190,0))</f>
        <v>3.0612244897959183E-2</v>
      </c>
      <c r="N316" s="11">
        <f>INDEX(AH$5:AH$190,MATCH(LARGE(AQ$5:AQ$190,122),AQ$5:AQ$190,0))</f>
        <v>1.9428034798446346E-3</v>
      </c>
      <c r="O316" s="11">
        <f>INDEX(AI$5:AI$190,MATCH(LARGE(AQ$5:AQ$190,122),AQ$5:AQ$190,0))</f>
        <v>1</v>
      </c>
      <c r="P316" s="11">
        <f>INDEX(AJ$5:AJ$190,MATCH(LARGE(AQ$5:AQ$190,122),AQ$5:AQ$190,0))</f>
        <v>0</v>
      </c>
      <c r="Q316" s="11">
        <f>INDEX(AK$5:AK$190,MATCH(LARGE(AQ$5:AQ$190,122),AQ$5:AQ$190,0))</f>
        <v>0.11363636363636363</v>
      </c>
      <c r="R316" s="11">
        <f>INDEX(AL$5:AL$190,MATCH(LARGE(AQ$5:AQ$190,122),AQ$5:AQ$190,0))</f>
        <v>0.73215680215149848</v>
      </c>
      <c r="S316" s="11">
        <f>INDEX(AM$5:AM$190,MATCH(LARGE(AQ$5:AQ$190,122),AQ$5:AQ$190,0))</f>
        <v>0.16666666666666666</v>
      </c>
      <c r="T316" s="11">
        <f>INDEX(AN$5:AN$190,MATCH(LARGE(AQ$5:AQ$190,122),AQ$5:AQ$190,0))</f>
        <v>3.2258064516129031E-2</v>
      </c>
      <c r="U316" s="11">
        <f>INDEX(AO$5:AO$190,MATCH(LARGE(AQ$5:AQ$190,122),AQ$5:AQ$190,0))</f>
        <v>0</v>
      </c>
      <c r="V316" s="11">
        <f>INDEX(AP$5:AP$190,MATCH(LARGE(AQ$5:AQ$190,122),AQ$5:AQ$190,0))</f>
        <v>0</v>
      </c>
    </row>
    <row r="317" spans="1:22" ht="15" customHeight="1" x14ac:dyDescent="0.2">
      <c r="A317" s="3">
        <v>123</v>
      </c>
      <c r="B317" s="3" t="str">
        <f>INDEX($A$5:$A$190,MATCH(LARGE(AQ$5:AQ$190,123),AQ$5:AQ$190,0))</f>
        <v>Ship: getBearing()</v>
      </c>
      <c r="C317" s="11">
        <f>INDEX(W$5:W$190,MATCH(LARGE(AQ$5:AQ$190,123),AQ$5:AQ$190,0))</f>
        <v>2.6315789473684209E-2</v>
      </c>
      <c r="D317" s="11">
        <f>INDEX(X$5:X$190,MATCH(LARGE(AQ$5:AQ$190,123),AQ$5:AQ$190,0))</f>
        <v>0</v>
      </c>
      <c r="E317" s="11">
        <f>INDEX(Y$5:Y$190,MATCH(LARGE(AQ$5:AQ$190,123),AQ$5:AQ$190,0))</f>
        <v>0</v>
      </c>
      <c r="F317" s="11">
        <f>INDEX(Z$5:Z$190,MATCH(LARGE(AQ$5:AQ$190,123),AQ$5:AQ$190,0))</f>
        <v>0</v>
      </c>
      <c r="G317" s="11">
        <f>INDEX(AA$5:AA$190,MATCH(LARGE(AQ$5:AQ$190,123),AQ$5:AQ$190,0))</f>
        <v>0</v>
      </c>
      <c r="H317" s="11">
        <f>INDEX(AB$5:AB$190,MATCH(LARGE(AQ$5:AQ$190,123),AQ$5:AQ$190,0))</f>
        <v>0</v>
      </c>
      <c r="I317" s="11">
        <f>INDEX(AC$5:AC$190,MATCH(LARGE(AQ$5:AQ$190,123),AQ$5:AQ$190,0))</f>
        <v>9.99000999000999E-3</v>
      </c>
      <c r="J317" s="11">
        <f>INDEX(AD$5:AD$190,MATCH(LARGE(AQ$5:AQ$190,123),AQ$5:AQ$190,0))</f>
        <v>2.5022432701167647E-5</v>
      </c>
      <c r="K317" s="11">
        <f>INDEX(AE$5:AE$190,MATCH(LARGE(AQ$5:AQ$190,123),AQ$5:AQ$190,0))</f>
        <v>8.1684516246142676E-4</v>
      </c>
      <c r="L317" s="11">
        <f>INDEX(AF$5:AF$190,MATCH(LARGE(AQ$5:AQ$190,123),AQ$5:AQ$190,0))</f>
        <v>8.1081081081081086E-3</v>
      </c>
      <c r="M317" s="11">
        <f>INDEX(AG$5:AG$190,MATCH(LARGE(AQ$5:AQ$190,123),AQ$5:AQ$190,0))</f>
        <v>3.0612244897959183E-2</v>
      </c>
      <c r="N317" s="11">
        <f>INDEX(AH$5:AH$190,MATCH(LARGE(AQ$5:AQ$190,123),AQ$5:AQ$190,0))</f>
        <v>1.9428034798446346E-3</v>
      </c>
      <c r="O317" s="11">
        <f>INDEX(AI$5:AI$190,MATCH(LARGE(AQ$5:AQ$190,123),AQ$5:AQ$190,0))</f>
        <v>1</v>
      </c>
      <c r="P317" s="11">
        <f>INDEX(AJ$5:AJ$190,MATCH(LARGE(AQ$5:AQ$190,123),AQ$5:AQ$190,0))</f>
        <v>0</v>
      </c>
      <c r="Q317" s="11">
        <f>INDEX(AK$5:AK$190,MATCH(LARGE(AQ$5:AQ$190,123),AQ$5:AQ$190,0))</f>
        <v>0.11363636363636363</v>
      </c>
      <c r="R317" s="11">
        <f>INDEX(AL$5:AL$190,MATCH(LARGE(AQ$5:AQ$190,123),AQ$5:AQ$190,0))</f>
        <v>0.73215680215149848</v>
      </c>
      <c r="S317" s="11">
        <f>INDEX(AM$5:AM$190,MATCH(LARGE(AQ$5:AQ$190,123),AQ$5:AQ$190,0))</f>
        <v>0.16666666666666666</v>
      </c>
      <c r="T317" s="11">
        <f>INDEX(AN$5:AN$190,MATCH(LARGE(AQ$5:AQ$190,123),AQ$5:AQ$190,0))</f>
        <v>3.2258064516129031E-2</v>
      </c>
      <c r="U317" s="11">
        <f>INDEX(AO$5:AO$190,MATCH(LARGE(AQ$5:AQ$190,123),AQ$5:AQ$190,0))</f>
        <v>0</v>
      </c>
      <c r="V317" s="11">
        <f>INDEX(AP$5:AP$190,MATCH(LARGE(AQ$5:AQ$190,123),AQ$5:AQ$190,0))</f>
        <v>0</v>
      </c>
    </row>
    <row r="318" spans="1:22" ht="15" customHeight="1" x14ac:dyDescent="0.2">
      <c r="A318" s="3">
        <v>124</v>
      </c>
      <c r="B318" s="3" t="str">
        <f>INDEX($A$5:$A$190,MATCH(LARGE(AQ$5:AQ$190,124),AQ$5:AQ$190,0))</f>
        <v>Compass: randomBearing()</v>
      </c>
      <c r="C318" s="11">
        <f>INDEX(W$5:W$190,MATCH(LARGE(AQ$5:AQ$190,124),AQ$5:AQ$190,0))</f>
        <v>2.6315789473684209E-2</v>
      </c>
      <c r="D318" s="11">
        <f>INDEX(X$5:X$190,MATCH(LARGE(AQ$5:AQ$190,124),AQ$5:AQ$190,0))</f>
        <v>0</v>
      </c>
      <c r="E318" s="11">
        <f>INDEX(Y$5:Y$190,MATCH(LARGE(AQ$5:AQ$190,124),AQ$5:AQ$190,0))</f>
        <v>0.5</v>
      </c>
      <c r="F318" s="11">
        <f>INDEX(Z$5:Z$190,MATCH(LARGE(AQ$5:AQ$190,124),AQ$5:AQ$190,0))</f>
        <v>3.4482758620689655E-2</v>
      </c>
      <c r="G318" s="11">
        <f>INDEX(AA$5:AA$190,MATCH(LARGE(AQ$5:AQ$190,124),AQ$5:AQ$190,0))</f>
        <v>0</v>
      </c>
      <c r="H318" s="11">
        <f>INDEX(AB$5:AB$190,MATCH(LARGE(AQ$5:AQ$190,124),AQ$5:AQ$190,0))</f>
        <v>0.2</v>
      </c>
      <c r="I318" s="11">
        <f>INDEX(AC$5:AC$190,MATCH(LARGE(AQ$5:AQ$190,124),AQ$5:AQ$190,0))</f>
        <v>4.6620379620379619E-2</v>
      </c>
      <c r="J318" s="11">
        <f>INDEX(AD$5:AD$190,MATCH(LARGE(AQ$5:AQ$190,124),AQ$5:AQ$190,0))</f>
        <v>9.7896340838562633E-4</v>
      </c>
      <c r="K318" s="11">
        <f>INDEX(AE$5:AE$190,MATCH(LARGE(AQ$5:AQ$190,124),AQ$5:AQ$190,0))</f>
        <v>9.8929025231439469E-3</v>
      </c>
      <c r="L318" s="11">
        <f>INDEX(AF$5:AF$190,MATCH(LARGE(AQ$5:AQ$190,124),AQ$5:AQ$190,0))</f>
        <v>3.2432432432432434E-2</v>
      </c>
      <c r="M318" s="11">
        <f>INDEX(AG$5:AG$190,MATCH(LARGE(AQ$5:AQ$190,124),AQ$5:AQ$190,0))</f>
        <v>0.10204081632653061</v>
      </c>
      <c r="N318" s="11">
        <f>INDEX(AH$5:AH$190,MATCH(LARGE(AQ$5:AQ$190,124),AQ$5:AQ$190,0))</f>
        <v>1.6287654713536492E-2</v>
      </c>
      <c r="O318" s="11">
        <f>INDEX(AI$5:AI$190,MATCH(LARGE(AQ$5:AQ$190,124),AQ$5:AQ$190,0))</f>
        <v>0</v>
      </c>
      <c r="P318" s="11">
        <f>INDEX(AJ$5:AJ$190,MATCH(LARGE(AQ$5:AQ$190,124),AQ$5:AQ$190,0))</f>
        <v>0</v>
      </c>
      <c r="Q318" s="11">
        <f>INDEX(AK$5:AK$190,MATCH(LARGE(AQ$5:AQ$190,124),AQ$5:AQ$190,0))</f>
        <v>7.575757575757576E-2</v>
      </c>
      <c r="R318" s="11">
        <f>INDEX(AL$5:AL$190,MATCH(LARGE(AQ$5:AQ$190,124),AQ$5:AQ$190,0))</f>
        <v>0.69996158038260925</v>
      </c>
      <c r="S318" s="11">
        <f>INDEX(AM$5:AM$190,MATCH(LARGE(AQ$5:AQ$190,124),AQ$5:AQ$190,0))</f>
        <v>0.16666666666666666</v>
      </c>
      <c r="T318" s="11">
        <f>INDEX(AN$5:AN$190,MATCH(LARGE(AQ$5:AQ$190,124),AQ$5:AQ$190,0))</f>
        <v>9.6774193548387094E-2</v>
      </c>
      <c r="U318" s="11">
        <f>INDEX(AO$5:AO$190,MATCH(LARGE(AQ$5:AQ$190,124),AQ$5:AQ$190,0))</f>
        <v>0</v>
      </c>
      <c r="V318" s="11">
        <f>INDEX(AP$5:AP$190,MATCH(LARGE(AQ$5:AQ$190,124),AQ$5:AQ$190,0))</f>
        <v>0</v>
      </c>
    </row>
    <row r="319" spans="1:22" ht="15" customHeight="1" x14ac:dyDescent="0.2">
      <c r="A319" s="3">
        <v>125</v>
      </c>
      <c r="B319" s="3" t="str">
        <f>INDEX($A$5:$A$190,MATCH(LARGE(AQ$5:AQ$190,125),AQ$5:AQ$190,0))</f>
        <v>Fleet: printStatus()</v>
      </c>
      <c r="C319" s="11">
        <f>INDEX(W$5:W$190,MATCH(LARGE(AQ$5:AQ$190,125),AQ$5:AQ$190,0))</f>
        <v>2.6315789473684209E-2</v>
      </c>
      <c r="D319" s="11">
        <f>INDEX(X$5:X$190,MATCH(LARGE(AQ$5:AQ$190,125),AQ$5:AQ$190,0))</f>
        <v>0</v>
      </c>
      <c r="E319" s="11">
        <f>INDEX(Y$5:Y$190,MATCH(LARGE(AQ$5:AQ$190,125),AQ$5:AQ$190,0))</f>
        <v>0.5</v>
      </c>
      <c r="F319" s="11">
        <f>INDEX(Z$5:Z$190,MATCH(LARGE(AQ$5:AQ$190,125),AQ$5:AQ$190,0))</f>
        <v>6.8965517241379309E-2</v>
      </c>
      <c r="G319" s="11">
        <f>INDEX(AA$5:AA$190,MATCH(LARGE(AQ$5:AQ$190,125),AQ$5:AQ$190,0))</f>
        <v>0</v>
      </c>
      <c r="H319" s="11">
        <f>INDEX(AB$5:AB$190,MATCH(LARGE(AQ$5:AQ$190,125),AQ$5:AQ$190,0))</f>
        <v>0.2</v>
      </c>
      <c r="I319" s="11">
        <f>INDEX(AC$5:AC$190,MATCH(LARGE(AQ$5:AQ$190,125),AQ$5:AQ$190,0))</f>
        <v>3.4965034965034968E-2</v>
      </c>
      <c r="J319" s="11">
        <f>INDEX(AD$5:AD$190,MATCH(LARGE(AQ$5:AQ$190,125),AQ$5:AQ$190,0))</f>
        <v>8.2833151047085371E-4</v>
      </c>
      <c r="K319" s="11">
        <f>INDEX(AE$5:AE$190,MATCH(LARGE(AQ$5:AQ$190,125),AQ$5:AQ$190,0))</f>
        <v>8.8037756398620451E-3</v>
      </c>
      <c r="L319" s="11">
        <f>INDEX(AF$5:AF$190,MATCH(LARGE(AQ$5:AQ$190,125),AQ$5:AQ$190,0))</f>
        <v>3.5135135135135137E-2</v>
      </c>
      <c r="M319" s="11">
        <f>INDEX(AG$5:AG$190,MATCH(LARGE(AQ$5:AQ$190,125),AQ$5:AQ$190,0))</f>
        <v>0.11224489795918367</v>
      </c>
      <c r="N319" s="11">
        <f>INDEX(AH$5:AH$190,MATCH(LARGE(AQ$5:AQ$190,125),AQ$5:AQ$190,0))</f>
        <v>1.8375344124515934E-2</v>
      </c>
      <c r="O319" s="11">
        <f>INDEX(AI$5:AI$190,MATCH(LARGE(AQ$5:AQ$190,125),AQ$5:AQ$190,0))</f>
        <v>0</v>
      </c>
      <c r="P319" s="11">
        <f>INDEX(AJ$5:AJ$190,MATCH(LARGE(AQ$5:AQ$190,125),AQ$5:AQ$190,0))</f>
        <v>0</v>
      </c>
      <c r="Q319" s="11">
        <f>INDEX(AK$5:AK$190,MATCH(LARGE(AQ$5:AQ$190,125),AQ$5:AQ$190,0))</f>
        <v>0.10606060606060606</v>
      </c>
      <c r="R319" s="11">
        <f>INDEX(AL$5:AL$190,MATCH(LARGE(AQ$5:AQ$190,125),AQ$5:AQ$190,0))</f>
        <v>0.66285219722627065</v>
      </c>
      <c r="S319" s="11">
        <f>INDEX(AM$5:AM$190,MATCH(LARGE(AQ$5:AQ$190,125),AQ$5:AQ$190,0))</f>
        <v>0.16666666666666666</v>
      </c>
      <c r="T319" s="11">
        <f>INDEX(AN$5:AN$190,MATCH(LARGE(AQ$5:AQ$190,125),AQ$5:AQ$190,0))</f>
        <v>3.2258064516129031E-2</v>
      </c>
      <c r="U319" s="11">
        <f>INDEX(AO$5:AO$190,MATCH(LARGE(AQ$5:AQ$190,125),AQ$5:AQ$190,0))</f>
        <v>0</v>
      </c>
      <c r="V319" s="11">
        <f>INDEX(AP$5:AP$190,MATCH(LARGE(AQ$5:AQ$190,125),AQ$5:AQ$190,0))</f>
        <v>0</v>
      </c>
    </row>
    <row r="320" spans="1:22" ht="15" customHeight="1" x14ac:dyDescent="0.2">
      <c r="A320" s="3">
        <v>126</v>
      </c>
      <c r="B320" s="3" t="str">
        <f>INDEX($A$5:$A$190,MATCH(LARGE(AQ$5:AQ$190,126),AQ$5:AQ$190,0))</f>
        <v>Fleet: printShipsByCategory(String)</v>
      </c>
      <c r="C320" s="11">
        <f>INDEX(W$5:W$190,MATCH(LARGE(AQ$5:AQ$190,126),AQ$5:AQ$190,0))</f>
        <v>2.6315789473684209E-2</v>
      </c>
      <c r="D320" s="11">
        <f>INDEX(X$5:X$190,MATCH(LARGE(AQ$5:AQ$190,126),AQ$5:AQ$190,0))</f>
        <v>0</v>
      </c>
      <c r="E320" s="11">
        <f>INDEX(Y$5:Y$190,MATCH(LARGE(AQ$5:AQ$190,126),AQ$5:AQ$190,0))</f>
        <v>0</v>
      </c>
      <c r="F320" s="11">
        <f>INDEX(Z$5:Z$190,MATCH(LARGE(AQ$5:AQ$190,126),AQ$5:AQ$190,0))</f>
        <v>0</v>
      </c>
      <c r="G320" s="11">
        <f>INDEX(AA$5:AA$190,MATCH(LARGE(AQ$5:AQ$190,126),AQ$5:AQ$190,0))</f>
        <v>0</v>
      </c>
      <c r="H320" s="11">
        <f>INDEX(AB$5:AB$190,MATCH(LARGE(AQ$5:AQ$190,126),AQ$5:AQ$190,0))</f>
        <v>0</v>
      </c>
      <c r="I320" s="11">
        <f>INDEX(AC$5:AC$190,MATCH(LARGE(AQ$5:AQ$190,126),AQ$5:AQ$190,0))</f>
        <v>4.4955044955044959E-2</v>
      </c>
      <c r="J320" s="11">
        <f>INDEX(AD$5:AD$190,MATCH(LARGE(AQ$5:AQ$190,126),AQ$5:AQ$190,0))</f>
        <v>6.3938790998588173E-4</v>
      </c>
      <c r="K320" s="11">
        <f>INDEX(AE$5:AE$190,MATCH(LARGE(AQ$5:AQ$190,126),AQ$5:AQ$190,0))</f>
        <v>7.442367035759667E-3</v>
      </c>
      <c r="L320" s="11">
        <f>INDEX(AF$5:AF$190,MATCH(LARGE(AQ$5:AQ$190,126),AQ$5:AQ$190,0))</f>
        <v>2.4324324324324326E-2</v>
      </c>
      <c r="M320" s="11">
        <f>INDEX(AG$5:AG$190,MATCH(LARGE(AQ$5:AQ$190,126),AQ$5:AQ$190,0))</f>
        <v>8.1632653061224483E-2</v>
      </c>
      <c r="N320" s="11">
        <f>INDEX(AH$5:AH$190,MATCH(LARGE(AQ$5:AQ$190,126),AQ$5:AQ$190,0))</f>
        <v>1.1031923690467757E-2</v>
      </c>
      <c r="O320" s="11">
        <f>INDEX(AI$5:AI$190,MATCH(LARGE(AQ$5:AQ$190,126),AQ$5:AQ$190,0))</f>
        <v>0</v>
      </c>
      <c r="P320" s="11">
        <f>INDEX(AJ$5:AJ$190,MATCH(LARGE(AQ$5:AQ$190,126),AQ$5:AQ$190,0))</f>
        <v>0</v>
      </c>
      <c r="Q320" s="11">
        <f>INDEX(AK$5:AK$190,MATCH(LARGE(AQ$5:AQ$190,126),AQ$5:AQ$190,0))</f>
        <v>8.3333333333333329E-2</v>
      </c>
      <c r="R320" s="11">
        <f>INDEX(AL$5:AL$190,MATCH(LARGE(AQ$5:AQ$190,126),AQ$5:AQ$190,0))</f>
        <v>0.70340681781166869</v>
      </c>
      <c r="S320" s="11">
        <f>INDEX(AM$5:AM$190,MATCH(LARGE(AQ$5:AQ$190,126),AQ$5:AQ$190,0))</f>
        <v>0.16666666666666666</v>
      </c>
      <c r="T320" s="11">
        <f>INDEX(AN$5:AN$190,MATCH(LARGE(AQ$5:AQ$190,126),AQ$5:AQ$190,0))</f>
        <v>3.2258064516129031E-2</v>
      </c>
      <c r="U320" s="11">
        <f>INDEX(AO$5:AO$190,MATCH(LARGE(AQ$5:AQ$190,126),AQ$5:AQ$190,0))</f>
        <v>0</v>
      </c>
      <c r="V320" s="11">
        <f>INDEX(AP$5:AP$190,MATCH(LARGE(AQ$5:AQ$190,126),AQ$5:AQ$190,0))</f>
        <v>0.25</v>
      </c>
    </row>
    <row r="321" spans="1:22" ht="15" customHeight="1" x14ac:dyDescent="0.2">
      <c r="A321" s="3">
        <v>127</v>
      </c>
      <c r="B321" s="3" t="str">
        <f>INDEX($A$5:$A$190,MATCH(LARGE(AQ$5:AQ$190,127),AQ$5:AQ$190,0))</f>
        <v>IFleet: addShip(IShip)</v>
      </c>
      <c r="C321" s="11">
        <f>INDEX(W$5:W$190,MATCH(LARGE(AQ$5:AQ$190,127),AQ$5:AQ$190,0))</f>
        <v>2.6315789473684209E-2</v>
      </c>
      <c r="D321" s="11">
        <f>INDEX(X$5:X$190,MATCH(LARGE(AQ$5:AQ$190,127),AQ$5:AQ$190,0))</f>
        <v>0</v>
      </c>
      <c r="E321" s="11">
        <f>INDEX(Y$5:Y$190,MATCH(LARGE(AQ$5:AQ$190,127),AQ$5:AQ$190,0))</f>
        <v>0</v>
      </c>
      <c r="F321" s="11">
        <f>INDEX(Z$5:Z$190,MATCH(LARGE(AQ$5:AQ$190,127),AQ$5:AQ$190,0))</f>
        <v>0</v>
      </c>
      <c r="G321" s="11">
        <f>INDEX(AA$5:AA$190,MATCH(LARGE(AQ$5:AQ$190,127),AQ$5:AQ$190,0))</f>
        <v>0</v>
      </c>
      <c r="H321" s="11">
        <f>INDEX(AB$5:AB$190,MATCH(LARGE(AQ$5:AQ$190,127),AQ$5:AQ$190,0))</f>
        <v>0</v>
      </c>
      <c r="I321" s="11">
        <f>INDEX(AC$5:AC$190,MATCH(LARGE(AQ$5:AQ$190,127),AQ$5:AQ$190,0))</f>
        <v>0</v>
      </c>
      <c r="J321" s="11">
        <f>INDEX(AD$5:AD$190,MATCH(LARGE(AQ$5:AQ$190,127),AQ$5:AQ$190,0))</f>
        <v>0</v>
      </c>
      <c r="K321" s="11">
        <f>INDEX(AE$5:AE$190,MATCH(LARGE(AQ$5:AQ$190,127),AQ$5:AQ$190,0))</f>
        <v>0</v>
      </c>
      <c r="L321" s="11">
        <f>INDEX(AF$5:AF$190,MATCH(LARGE(AQ$5:AQ$190,127),AQ$5:AQ$190,0))</f>
        <v>2.7027027027027029E-3</v>
      </c>
      <c r="M321" s="11">
        <f>INDEX(AG$5:AG$190,MATCH(LARGE(AQ$5:AQ$190,127),AQ$5:AQ$190,0))</f>
        <v>1.020408163265306E-2</v>
      </c>
      <c r="N321" s="11">
        <f>INDEX(AH$5:AH$190,MATCH(LARGE(AQ$5:AQ$190,127),AQ$5:AQ$190,0))</f>
        <v>0</v>
      </c>
      <c r="O321" s="11">
        <f>INDEX(AI$5:AI$190,MATCH(LARGE(AQ$5:AQ$190,127),AQ$5:AQ$190,0))</f>
        <v>0</v>
      </c>
      <c r="P321" s="11">
        <f>INDEX(AJ$5:AJ$190,MATCH(LARGE(AQ$5:AQ$190,127),AQ$5:AQ$190,0))</f>
        <v>0.33333333333333331</v>
      </c>
      <c r="Q321" s="11">
        <f>INDEX(AK$5:AK$190,MATCH(LARGE(AQ$5:AQ$190,127),AQ$5:AQ$190,0))</f>
        <v>0</v>
      </c>
      <c r="R321" s="11">
        <f>INDEX(AL$5:AL$190,MATCH(LARGE(AQ$5:AQ$190,127),AQ$5:AQ$190,0))</f>
        <v>0</v>
      </c>
      <c r="S321" s="11">
        <f>INDEX(AM$5:AM$190,MATCH(LARGE(AQ$5:AQ$190,127),AQ$5:AQ$190,0))</f>
        <v>0.16666666666666666</v>
      </c>
      <c r="T321" s="11">
        <f>INDEX(AN$5:AN$190,MATCH(LARGE(AQ$5:AQ$190,127),AQ$5:AQ$190,0))</f>
        <v>0</v>
      </c>
      <c r="U321" s="11">
        <f>INDEX(AO$5:AO$190,MATCH(LARGE(AQ$5:AQ$190,127),AQ$5:AQ$190,0))</f>
        <v>0.33333333333333331</v>
      </c>
      <c r="V321" s="11">
        <f>INDEX(AP$5:AP$190,MATCH(LARGE(AQ$5:AQ$190,127),AQ$5:AQ$190,0))</f>
        <v>0.25</v>
      </c>
    </row>
    <row r="322" spans="1:22" ht="15" customHeight="1" x14ac:dyDescent="0.2">
      <c r="A322" s="3">
        <v>128</v>
      </c>
      <c r="B322" s="3" t="str">
        <f>INDEX($A$5:$A$190,MATCH(LARGE(AQ$5:AQ$190,128),AQ$5:AQ$190,0))</f>
        <v>IFleet: addShip(IShip)</v>
      </c>
      <c r="C322" s="11">
        <f>INDEX(W$5:W$190,MATCH(LARGE(AQ$5:AQ$190,128),AQ$5:AQ$190,0))</f>
        <v>2.6315789473684209E-2</v>
      </c>
      <c r="D322" s="11">
        <f>INDEX(X$5:X$190,MATCH(LARGE(AQ$5:AQ$190,128),AQ$5:AQ$190,0))</f>
        <v>0</v>
      </c>
      <c r="E322" s="11">
        <f>INDEX(Y$5:Y$190,MATCH(LARGE(AQ$5:AQ$190,128),AQ$5:AQ$190,0))</f>
        <v>0</v>
      </c>
      <c r="F322" s="11">
        <f>INDEX(Z$5:Z$190,MATCH(LARGE(AQ$5:AQ$190,128),AQ$5:AQ$190,0))</f>
        <v>0</v>
      </c>
      <c r="G322" s="11">
        <f>INDEX(AA$5:AA$190,MATCH(LARGE(AQ$5:AQ$190,128),AQ$5:AQ$190,0))</f>
        <v>0</v>
      </c>
      <c r="H322" s="11">
        <f>INDEX(AB$5:AB$190,MATCH(LARGE(AQ$5:AQ$190,128),AQ$5:AQ$190,0))</f>
        <v>0</v>
      </c>
      <c r="I322" s="11">
        <f>INDEX(AC$5:AC$190,MATCH(LARGE(AQ$5:AQ$190,128),AQ$5:AQ$190,0))</f>
        <v>0</v>
      </c>
      <c r="J322" s="11">
        <f>INDEX(AD$5:AD$190,MATCH(LARGE(AQ$5:AQ$190,128),AQ$5:AQ$190,0))</f>
        <v>0</v>
      </c>
      <c r="K322" s="11">
        <f>INDEX(AE$5:AE$190,MATCH(LARGE(AQ$5:AQ$190,128),AQ$5:AQ$190,0))</f>
        <v>0</v>
      </c>
      <c r="L322" s="11">
        <f>INDEX(AF$5:AF$190,MATCH(LARGE(AQ$5:AQ$190,128),AQ$5:AQ$190,0))</f>
        <v>2.7027027027027029E-3</v>
      </c>
      <c r="M322" s="11">
        <f>INDEX(AG$5:AG$190,MATCH(LARGE(AQ$5:AQ$190,128),AQ$5:AQ$190,0))</f>
        <v>1.020408163265306E-2</v>
      </c>
      <c r="N322" s="11">
        <f>INDEX(AH$5:AH$190,MATCH(LARGE(AQ$5:AQ$190,128),AQ$5:AQ$190,0))</f>
        <v>0</v>
      </c>
      <c r="O322" s="11">
        <f>INDEX(AI$5:AI$190,MATCH(LARGE(AQ$5:AQ$190,128),AQ$5:AQ$190,0))</f>
        <v>0</v>
      </c>
      <c r="P322" s="11">
        <f>INDEX(AJ$5:AJ$190,MATCH(LARGE(AQ$5:AQ$190,128),AQ$5:AQ$190,0))</f>
        <v>0.33333333333333331</v>
      </c>
      <c r="Q322" s="11">
        <f>INDEX(AK$5:AK$190,MATCH(LARGE(AQ$5:AQ$190,128),AQ$5:AQ$190,0))</f>
        <v>0</v>
      </c>
      <c r="R322" s="11">
        <f>INDEX(AL$5:AL$190,MATCH(LARGE(AQ$5:AQ$190,128),AQ$5:AQ$190,0))</f>
        <v>0</v>
      </c>
      <c r="S322" s="11">
        <f>INDEX(AM$5:AM$190,MATCH(LARGE(AQ$5:AQ$190,128),AQ$5:AQ$190,0))</f>
        <v>0.16666666666666666</v>
      </c>
      <c r="T322" s="11">
        <f>INDEX(AN$5:AN$190,MATCH(LARGE(AQ$5:AQ$190,128),AQ$5:AQ$190,0))</f>
        <v>0</v>
      </c>
      <c r="U322" s="11">
        <f>INDEX(AO$5:AO$190,MATCH(LARGE(AQ$5:AQ$190,128),AQ$5:AQ$190,0))</f>
        <v>0.33333333333333331</v>
      </c>
      <c r="V322" s="11">
        <f>INDEX(AP$5:AP$190,MATCH(LARGE(AQ$5:AQ$190,128),AQ$5:AQ$190,0))</f>
        <v>0.25</v>
      </c>
    </row>
    <row r="323" spans="1:22" ht="15" customHeight="1" x14ac:dyDescent="0.2">
      <c r="A323" s="3">
        <v>129</v>
      </c>
      <c r="B323" s="3" t="str">
        <f>INDEX($A$5:$A$190,MATCH(LARGE(AQ$5:AQ$190,129),AQ$5:AQ$190,0))</f>
        <v>IFleet: addShip(IShip)</v>
      </c>
      <c r="C323" s="11">
        <f>INDEX(W$5:W$190,MATCH(LARGE(AQ$5:AQ$190,129),AQ$5:AQ$190,0))</f>
        <v>2.6315789473684209E-2</v>
      </c>
      <c r="D323" s="11">
        <f>INDEX(X$5:X$190,MATCH(LARGE(AQ$5:AQ$190,129),AQ$5:AQ$190,0))</f>
        <v>0</v>
      </c>
      <c r="E323" s="11">
        <f>INDEX(Y$5:Y$190,MATCH(LARGE(AQ$5:AQ$190,129),AQ$5:AQ$190,0))</f>
        <v>0</v>
      </c>
      <c r="F323" s="11">
        <f>INDEX(Z$5:Z$190,MATCH(LARGE(AQ$5:AQ$190,129),AQ$5:AQ$190,0))</f>
        <v>0</v>
      </c>
      <c r="G323" s="11">
        <f>INDEX(AA$5:AA$190,MATCH(LARGE(AQ$5:AQ$190,129),AQ$5:AQ$190,0))</f>
        <v>0</v>
      </c>
      <c r="H323" s="11">
        <f>INDEX(AB$5:AB$190,MATCH(LARGE(AQ$5:AQ$190,129),AQ$5:AQ$190,0))</f>
        <v>0</v>
      </c>
      <c r="I323" s="11">
        <f>INDEX(AC$5:AC$190,MATCH(LARGE(AQ$5:AQ$190,129),AQ$5:AQ$190,0))</f>
        <v>0</v>
      </c>
      <c r="J323" s="11">
        <f>INDEX(AD$5:AD$190,MATCH(LARGE(AQ$5:AQ$190,129),AQ$5:AQ$190,0))</f>
        <v>0</v>
      </c>
      <c r="K323" s="11">
        <f>INDEX(AE$5:AE$190,MATCH(LARGE(AQ$5:AQ$190,129),AQ$5:AQ$190,0))</f>
        <v>0</v>
      </c>
      <c r="L323" s="11">
        <f>INDEX(AF$5:AF$190,MATCH(LARGE(AQ$5:AQ$190,129),AQ$5:AQ$190,0))</f>
        <v>2.7027027027027029E-3</v>
      </c>
      <c r="M323" s="11">
        <f>INDEX(AG$5:AG$190,MATCH(LARGE(AQ$5:AQ$190,129),AQ$5:AQ$190,0))</f>
        <v>1.020408163265306E-2</v>
      </c>
      <c r="N323" s="11">
        <f>INDEX(AH$5:AH$190,MATCH(LARGE(AQ$5:AQ$190,129),AQ$5:AQ$190,0))</f>
        <v>0</v>
      </c>
      <c r="O323" s="11">
        <f>INDEX(AI$5:AI$190,MATCH(LARGE(AQ$5:AQ$190,129),AQ$5:AQ$190,0))</f>
        <v>0</v>
      </c>
      <c r="P323" s="11">
        <f>INDEX(AJ$5:AJ$190,MATCH(LARGE(AQ$5:AQ$190,129),AQ$5:AQ$190,0))</f>
        <v>0.33333333333333331</v>
      </c>
      <c r="Q323" s="11">
        <f>INDEX(AK$5:AK$190,MATCH(LARGE(AQ$5:AQ$190,129),AQ$5:AQ$190,0))</f>
        <v>0</v>
      </c>
      <c r="R323" s="11">
        <f>INDEX(AL$5:AL$190,MATCH(LARGE(AQ$5:AQ$190,129),AQ$5:AQ$190,0))</f>
        <v>0</v>
      </c>
      <c r="S323" s="11">
        <f>INDEX(AM$5:AM$190,MATCH(LARGE(AQ$5:AQ$190,129),AQ$5:AQ$190,0))</f>
        <v>0.16666666666666666</v>
      </c>
      <c r="T323" s="11">
        <f>INDEX(AN$5:AN$190,MATCH(LARGE(AQ$5:AQ$190,129),AQ$5:AQ$190,0))</f>
        <v>0</v>
      </c>
      <c r="U323" s="11">
        <f>INDEX(AO$5:AO$190,MATCH(LARGE(AQ$5:AQ$190,129),AQ$5:AQ$190,0))</f>
        <v>0.33333333333333331</v>
      </c>
      <c r="V323" s="11">
        <f>INDEX(AP$5:AP$190,MATCH(LARGE(AQ$5:AQ$190,129),AQ$5:AQ$190,0))</f>
        <v>0.25</v>
      </c>
    </row>
    <row r="324" spans="1:22" ht="15" customHeight="1" x14ac:dyDescent="0.2">
      <c r="A324" s="3">
        <v>130</v>
      </c>
      <c r="B324" s="3" t="str">
        <f>INDEX($A$5:$A$190,MATCH(LARGE(AQ$5:AQ$190,130),AQ$5:AQ$190,0))</f>
        <v>IFleet: addShip(IShip)</v>
      </c>
      <c r="C324" s="11">
        <f>INDEX(W$5:W$190,MATCH(LARGE(AQ$5:AQ$190,130),AQ$5:AQ$190,0))</f>
        <v>2.6315789473684209E-2</v>
      </c>
      <c r="D324" s="11">
        <f>INDEX(X$5:X$190,MATCH(LARGE(AQ$5:AQ$190,130),AQ$5:AQ$190,0))</f>
        <v>0</v>
      </c>
      <c r="E324" s="11">
        <f>INDEX(Y$5:Y$190,MATCH(LARGE(AQ$5:AQ$190,130),AQ$5:AQ$190,0))</f>
        <v>0</v>
      </c>
      <c r="F324" s="11">
        <f>INDEX(Z$5:Z$190,MATCH(LARGE(AQ$5:AQ$190,130),AQ$5:AQ$190,0))</f>
        <v>0</v>
      </c>
      <c r="G324" s="11">
        <f>INDEX(AA$5:AA$190,MATCH(LARGE(AQ$5:AQ$190,130),AQ$5:AQ$190,0))</f>
        <v>0</v>
      </c>
      <c r="H324" s="11">
        <f>INDEX(AB$5:AB$190,MATCH(LARGE(AQ$5:AQ$190,130),AQ$5:AQ$190,0))</f>
        <v>0</v>
      </c>
      <c r="I324" s="11">
        <f>INDEX(AC$5:AC$190,MATCH(LARGE(AQ$5:AQ$190,130),AQ$5:AQ$190,0))</f>
        <v>0</v>
      </c>
      <c r="J324" s="11">
        <f>INDEX(AD$5:AD$190,MATCH(LARGE(AQ$5:AQ$190,130),AQ$5:AQ$190,0))</f>
        <v>0</v>
      </c>
      <c r="K324" s="11">
        <f>INDEX(AE$5:AE$190,MATCH(LARGE(AQ$5:AQ$190,130),AQ$5:AQ$190,0))</f>
        <v>0</v>
      </c>
      <c r="L324" s="11">
        <f>INDEX(AF$5:AF$190,MATCH(LARGE(AQ$5:AQ$190,130),AQ$5:AQ$190,0))</f>
        <v>2.7027027027027029E-3</v>
      </c>
      <c r="M324" s="11">
        <f>INDEX(AG$5:AG$190,MATCH(LARGE(AQ$5:AQ$190,130),AQ$5:AQ$190,0))</f>
        <v>1.020408163265306E-2</v>
      </c>
      <c r="N324" s="11">
        <f>INDEX(AH$5:AH$190,MATCH(LARGE(AQ$5:AQ$190,130),AQ$5:AQ$190,0))</f>
        <v>0</v>
      </c>
      <c r="O324" s="11">
        <f>INDEX(AI$5:AI$190,MATCH(LARGE(AQ$5:AQ$190,130),AQ$5:AQ$190,0))</f>
        <v>0</v>
      </c>
      <c r="P324" s="11">
        <f>INDEX(AJ$5:AJ$190,MATCH(LARGE(AQ$5:AQ$190,130),AQ$5:AQ$190,0))</f>
        <v>0.33333333333333331</v>
      </c>
      <c r="Q324" s="11">
        <f>INDEX(AK$5:AK$190,MATCH(LARGE(AQ$5:AQ$190,130),AQ$5:AQ$190,0))</f>
        <v>0</v>
      </c>
      <c r="R324" s="11">
        <f>INDEX(AL$5:AL$190,MATCH(LARGE(AQ$5:AQ$190,130),AQ$5:AQ$190,0))</f>
        <v>0</v>
      </c>
      <c r="S324" s="11">
        <f>INDEX(AM$5:AM$190,MATCH(LARGE(AQ$5:AQ$190,130),AQ$5:AQ$190,0))</f>
        <v>0.16666666666666666</v>
      </c>
      <c r="T324" s="11">
        <f>INDEX(AN$5:AN$190,MATCH(LARGE(AQ$5:AQ$190,130),AQ$5:AQ$190,0))</f>
        <v>0</v>
      </c>
      <c r="U324" s="11">
        <f>INDEX(AO$5:AO$190,MATCH(LARGE(AQ$5:AQ$190,130),AQ$5:AQ$190,0))</f>
        <v>0.33333333333333331</v>
      </c>
      <c r="V324" s="11">
        <f>INDEX(AP$5:AP$190,MATCH(LARGE(AQ$5:AQ$190,130),AQ$5:AQ$190,0))</f>
        <v>0.25</v>
      </c>
    </row>
    <row r="325" spans="1:22" ht="15" customHeight="1" x14ac:dyDescent="0.2">
      <c r="A325" s="3">
        <v>131</v>
      </c>
      <c r="B325" s="3" t="str">
        <f>INDEX($A$5:$A$190,MATCH(LARGE(AQ$5:AQ$190,131),AQ$5:AQ$190,0))</f>
        <v>IFleet: addShip(IShip)</v>
      </c>
      <c r="C325" s="11">
        <f>INDEX(W$5:W$190,MATCH(LARGE(AQ$5:AQ$190,131),AQ$5:AQ$190,0))</f>
        <v>2.6315789473684209E-2</v>
      </c>
      <c r="D325" s="11">
        <f>INDEX(X$5:X$190,MATCH(LARGE(AQ$5:AQ$190,131),AQ$5:AQ$190,0))</f>
        <v>0</v>
      </c>
      <c r="E325" s="11">
        <f>INDEX(Y$5:Y$190,MATCH(LARGE(AQ$5:AQ$190,131),AQ$5:AQ$190,0))</f>
        <v>0</v>
      </c>
      <c r="F325" s="11">
        <f>INDEX(Z$5:Z$190,MATCH(LARGE(AQ$5:AQ$190,131),AQ$5:AQ$190,0))</f>
        <v>0</v>
      </c>
      <c r="G325" s="11">
        <f>INDEX(AA$5:AA$190,MATCH(LARGE(AQ$5:AQ$190,131),AQ$5:AQ$190,0))</f>
        <v>0</v>
      </c>
      <c r="H325" s="11">
        <f>INDEX(AB$5:AB$190,MATCH(LARGE(AQ$5:AQ$190,131),AQ$5:AQ$190,0))</f>
        <v>0</v>
      </c>
      <c r="I325" s="11">
        <f>INDEX(AC$5:AC$190,MATCH(LARGE(AQ$5:AQ$190,131),AQ$5:AQ$190,0))</f>
        <v>0</v>
      </c>
      <c r="J325" s="11">
        <f>INDEX(AD$5:AD$190,MATCH(LARGE(AQ$5:AQ$190,131),AQ$5:AQ$190,0))</f>
        <v>0</v>
      </c>
      <c r="K325" s="11">
        <f>INDEX(AE$5:AE$190,MATCH(LARGE(AQ$5:AQ$190,131),AQ$5:AQ$190,0))</f>
        <v>0</v>
      </c>
      <c r="L325" s="11">
        <f>INDEX(AF$5:AF$190,MATCH(LARGE(AQ$5:AQ$190,131),AQ$5:AQ$190,0))</f>
        <v>2.7027027027027029E-3</v>
      </c>
      <c r="M325" s="11">
        <f>INDEX(AG$5:AG$190,MATCH(LARGE(AQ$5:AQ$190,131),AQ$5:AQ$190,0))</f>
        <v>1.020408163265306E-2</v>
      </c>
      <c r="N325" s="11">
        <f>INDEX(AH$5:AH$190,MATCH(LARGE(AQ$5:AQ$190,131),AQ$5:AQ$190,0))</f>
        <v>0</v>
      </c>
      <c r="O325" s="11">
        <f>INDEX(AI$5:AI$190,MATCH(LARGE(AQ$5:AQ$190,131),AQ$5:AQ$190,0))</f>
        <v>0</v>
      </c>
      <c r="P325" s="11">
        <f>INDEX(AJ$5:AJ$190,MATCH(LARGE(AQ$5:AQ$190,131),AQ$5:AQ$190,0))</f>
        <v>0.33333333333333331</v>
      </c>
      <c r="Q325" s="11">
        <f>INDEX(AK$5:AK$190,MATCH(LARGE(AQ$5:AQ$190,131),AQ$5:AQ$190,0))</f>
        <v>0</v>
      </c>
      <c r="R325" s="11">
        <f>INDEX(AL$5:AL$190,MATCH(LARGE(AQ$5:AQ$190,131),AQ$5:AQ$190,0))</f>
        <v>0</v>
      </c>
      <c r="S325" s="11">
        <f>INDEX(AM$5:AM$190,MATCH(LARGE(AQ$5:AQ$190,131),AQ$5:AQ$190,0))</f>
        <v>0.16666666666666666</v>
      </c>
      <c r="T325" s="11">
        <f>INDEX(AN$5:AN$190,MATCH(LARGE(AQ$5:AQ$190,131),AQ$5:AQ$190,0))</f>
        <v>0</v>
      </c>
      <c r="U325" s="11">
        <f>INDEX(AO$5:AO$190,MATCH(LARGE(AQ$5:AQ$190,131),AQ$5:AQ$190,0))</f>
        <v>0.33333333333333331</v>
      </c>
      <c r="V325" s="11">
        <f>INDEX(AP$5:AP$190,MATCH(LARGE(AQ$5:AQ$190,131),AQ$5:AQ$190,0))</f>
        <v>0.25</v>
      </c>
    </row>
    <row r="326" spans="1:22" ht="15" customHeight="1" x14ac:dyDescent="0.2">
      <c r="A326" s="3">
        <v>132</v>
      </c>
      <c r="B326" s="3" t="str">
        <f>INDEX($A$5:$A$190,MATCH(LARGE(AQ$5:AQ$190,132),AQ$5:AQ$190,0))</f>
        <v>IFleet: getShipsLike(String)</v>
      </c>
      <c r="C326" s="11">
        <f>INDEX(W$5:W$190,MATCH(LARGE(AQ$5:AQ$190,132),AQ$5:AQ$190,0))</f>
        <v>2.6315789473684209E-2</v>
      </c>
      <c r="D326" s="11">
        <f>INDEX(X$5:X$190,MATCH(LARGE(AQ$5:AQ$190,132),AQ$5:AQ$190,0))</f>
        <v>0</v>
      </c>
      <c r="E326" s="11">
        <f>INDEX(Y$5:Y$190,MATCH(LARGE(AQ$5:AQ$190,132),AQ$5:AQ$190,0))</f>
        <v>0</v>
      </c>
      <c r="F326" s="11">
        <f>INDEX(Z$5:Z$190,MATCH(LARGE(AQ$5:AQ$190,132),AQ$5:AQ$190,0))</f>
        <v>0</v>
      </c>
      <c r="G326" s="11">
        <f>INDEX(AA$5:AA$190,MATCH(LARGE(AQ$5:AQ$190,132),AQ$5:AQ$190,0))</f>
        <v>0</v>
      </c>
      <c r="H326" s="11">
        <f>INDEX(AB$5:AB$190,MATCH(LARGE(AQ$5:AQ$190,132),AQ$5:AQ$190,0))</f>
        <v>0</v>
      </c>
      <c r="I326" s="11">
        <f>INDEX(AC$5:AC$190,MATCH(LARGE(AQ$5:AQ$190,132),AQ$5:AQ$190,0))</f>
        <v>0</v>
      </c>
      <c r="J326" s="11">
        <f>INDEX(AD$5:AD$190,MATCH(LARGE(AQ$5:AQ$190,132),AQ$5:AQ$190,0))</f>
        <v>0</v>
      </c>
      <c r="K326" s="11">
        <f>INDEX(AE$5:AE$190,MATCH(LARGE(AQ$5:AQ$190,132),AQ$5:AQ$190,0))</f>
        <v>0</v>
      </c>
      <c r="L326" s="11">
        <f>INDEX(AF$5:AF$190,MATCH(LARGE(AQ$5:AQ$190,132),AQ$5:AQ$190,0))</f>
        <v>0</v>
      </c>
      <c r="M326" s="11">
        <f>INDEX(AG$5:AG$190,MATCH(LARGE(AQ$5:AQ$190,132),AQ$5:AQ$190,0))</f>
        <v>0</v>
      </c>
      <c r="N326" s="11">
        <f>INDEX(AH$5:AH$190,MATCH(LARGE(AQ$5:AQ$190,132),AQ$5:AQ$190,0))</f>
        <v>0</v>
      </c>
      <c r="O326" s="11">
        <f>INDEX(AI$5:AI$190,MATCH(LARGE(AQ$5:AQ$190,132),AQ$5:AQ$190,0))</f>
        <v>0</v>
      </c>
      <c r="P326" s="11">
        <f>INDEX(AJ$5:AJ$190,MATCH(LARGE(AQ$5:AQ$190,132),AQ$5:AQ$190,0))</f>
        <v>0.33333333333333331</v>
      </c>
      <c r="Q326" s="11">
        <f>INDEX(AK$5:AK$190,MATCH(LARGE(AQ$5:AQ$190,132),AQ$5:AQ$190,0))</f>
        <v>0</v>
      </c>
      <c r="R326" s="11">
        <f>INDEX(AL$5:AL$190,MATCH(LARGE(AQ$5:AQ$190,132),AQ$5:AQ$190,0))</f>
        <v>0</v>
      </c>
      <c r="S326" s="11">
        <f>INDEX(AM$5:AM$190,MATCH(LARGE(AQ$5:AQ$190,132),AQ$5:AQ$190,0))</f>
        <v>0.16666666666666666</v>
      </c>
      <c r="T326" s="11">
        <f>INDEX(AN$5:AN$190,MATCH(LARGE(AQ$5:AQ$190,132),AQ$5:AQ$190,0))</f>
        <v>0</v>
      </c>
      <c r="U326" s="11">
        <f>INDEX(AO$5:AO$190,MATCH(LARGE(AQ$5:AQ$190,132),AQ$5:AQ$190,0))</f>
        <v>0.33333333333333331</v>
      </c>
      <c r="V326" s="11">
        <f>INDEX(AP$5:AP$190,MATCH(LARGE(AQ$5:AQ$190,132),AQ$5:AQ$190,0))</f>
        <v>0.25</v>
      </c>
    </row>
    <row r="327" spans="1:22" ht="15" customHeight="1" x14ac:dyDescent="0.2">
      <c r="A327" s="3">
        <v>133</v>
      </c>
      <c r="B327" s="3" t="str">
        <f>INDEX($A$5:$A$190,MATCH(LARGE(AQ$5:AQ$190,133),AQ$5:AQ$190,0))</f>
        <v>IFleet: getShipsLike(String)</v>
      </c>
      <c r="C327" s="11">
        <f>INDEX(W$5:W$190,MATCH(LARGE(AQ$5:AQ$190,133),AQ$5:AQ$190,0))</f>
        <v>2.6315789473684209E-2</v>
      </c>
      <c r="D327" s="11">
        <f>INDEX(X$5:X$190,MATCH(LARGE(AQ$5:AQ$190,133),AQ$5:AQ$190,0))</f>
        <v>0</v>
      </c>
      <c r="E327" s="11">
        <f>INDEX(Y$5:Y$190,MATCH(LARGE(AQ$5:AQ$190,133),AQ$5:AQ$190,0))</f>
        <v>0</v>
      </c>
      <c r="F327" s="11">
        <f>INDEX(Z$5:Z$190,MATCH(LARGE(AQ$5:AQ$190,133),AQ$5:AQ$190,0))</f>
        <v>0</v>
      </c>
      <c r="G327" s="11">
        <f>INDEX(AA$5:AA$190,MATCH(LARGE(AQ$5:AQ$190,133),AQ$5:AQ$190,0))</f>
        <v>0</v>
      </c>
      <c r="H327" s="11">
        <f>INDEX(AB$5:AB$190,MATCH(LARGE(AQ$5:AQ$190,133),AQ$5:AQ$190,0))</f>
        <v>0</v>
      </c>
      <c r="I327" s="11">
        <f>INDEX(AC$5:AC$190,MATCH(LARGE(AQ$5:AQ$190,133),AQ$5:AQ$190,0))</f>
        <v>0</v>
      </c>
      <c r="J327" s="11">
        <f>INDEX(AD$5:AD$190,MATCH(LARGE(AQ$5:AQ$190,133),AQ$5:AQ$190,0))</f>
        <v>0</v>
      </c>
      <c r="K327" s="11">
        <f>INDEX(AE$5:AE$190,MATCH(LARGE(AQ$5:AQ$190,133),AQ$5:AQ$190,0))</f>
        <v>0</v>
      </c>
      <c r="L327" s="11">
        <f>INDEX(AF$5:AF$190,MATCH(LARGE(AQ$5:AQ$190,133),AQ$5:AQ$190,0))</f>
        <v>0</v>
      </c>
      <c r="M327" s="11">
        <f>INDEX(AG$5:AG$190,MATCH(LARGE(AQ$5:AQ$190,133),AQ$5:AQ$190,0))</f>
        <v>0</v>
      </c>
      <c r="N327" s="11">
        <f>INDEX(AH$5:AH$190,MATCH(LARGE(AQ$5:AQ$190,133),AQ$5:AQ$190,0))</f>
        <v>0</v>
      </c>
      <c r="O327" s="11">
        <f>INDEX(AI$5:AI$190,MATCH(LARGE(AQ$5:AQ$190,133),AQ$5:AQ$190,0))</f>
        <v>0</v>
      </c>
      <c r="P327" s="11">
        <f>INDEX(AJ$5:AJ$190,MATCH(LARGE(AQ$5:AQ$190,133),AQ$5:AQ$190,0))</f>
        <v>0.33333333333333331</v>
      </c>
      <c r="Q327" s="11">
        <f>INDEX(AK$5:AK$190,MATCH(LARGE(AQ$5:AQ$190,133),AQ$5:AQ$190,0))</f>
        <v>0</v>
      </c>
      <c r="R327" s="11">
        <f>INDEX(AL$5:AL$190,MATCH(LARGE(AQ$5:AQ$190,133),AQ$5:AQ$190,0))</f>
        <v>0</v>
      </c>
      <c r="S327" s="11">
        <f>INDEX(AM$5:AM$190,MATCH(LARGE(AQ$5:AQ$190,133),AQ$5:AQ$190,0))</f>
        <v>0.16666666666666666</v>
      </c>
      <c r="T327" s="11">
        <f>INDEX(AN$5:AN$190,MATCH(LARGE(AQ$5:AQ$190,133),AQ$5:AQ$190,0))</f>
        <v>0</v>
      </c>
      <c r="U327" s="11">
        <f>INDEX(AO$5:AO$190,MATCH(LARGE(AQ$5:AQ$190,133),AQ$5:AQ$190,0))</f>
        <v>0.33333333333333331</v>
      </c>
      <c r="V327" s="11">
        <f>INDEX(AP$5:AP$190,MATCH(LARGE(AQ$5:AQ$190,133),AQ$5:AQ$190,0))</f>
        <v>0.25</v>
      </c>
    </row>
    <row r="328" spans="1:22" ht="15" customHeight="1" x14ac:dyDescent="0.2">
      <c r="A328" s="3">
        <v>134</v>
      </c>
      <c r="B328" s="3" t="str">
        <f>INDEX($A$5:$A$190,MATCH(LARGE(AQ$5:AQ$190,134),AQ$5:AQ$190,0))</f>
        <v>Fleet: printFloatingShips()</v>
      </c>
      <c r="C328" s="11">
        <f>INDEX(W$5:W$190,MATCH(LARGE(AQ$5:AQ$190,134),AQ$5:AQ$190,0))</f>
        <v>2.6315789473684209E-2</v>
      </c>
      <c r="D328" s="11">
        <f>INDEX(X$5:X$190,MATCH(LARGE(AQ$5:AQ$190,134),AQ$5:AQ$190,0))</f>
        <v>0</v>
      </c>
      <c r="E328" s="11">
        <f>INDEX(Y$5:Y$190,MATCH(LARGE(AQ$5:AQ$190,134),AQ$5:AQ$190,0))</f>
        <v>0</v>
      </c>
      <c r="F328" s="11">
        <f>INDEX(Z$5:Z$190,MATCH(LARGE(AQ$5:AQ$190,134),AQ$5:AQ$190,0))</f>
        <v>0</v>
      </c>
      <c r="G328" s="11">
        <f>INDEX(AA$5:AA$190,MATCH(LARGE(AQ$5:AQ$190,134),AQ$5:AQ$190,0))</f>
        <v>0</v>
      </c>
      <c r="H328" s="11">
        <f>INDEX(AB$5:AB$190,MATCH(LARGE(AQ$5:AQ$190,134),AQ$5:AQ$190,0))</f>
        <v>0</v>
      </c>
      <c r="I328" s="11">
        <f>INDEX(AC$5:AC$190,MATCH(LARGE(AQ$5:AQ$190,134),AQ$5:AQ$190,0))</f>
        <v>0</v>
      </c>
      <c r="J328" s="11">
        <f>INDEX(AD$5:AD$190,MATCH(LARGE(AQ$5:AQ$190,134),AQ$5:AQ$190,0))</f>
        <v>0</v>
      </c>
      <c r="K328" s="11">
        <f>INDEX(AE$5:AE$190,MATCH(LARGE(AQ$5:AQ$190,134),AQ$5:AQ$190,0))</f>
        <v>0</v>
      </c>
      <c r="L328" s="11">
        <f>INDEX(AF$5:AF$190,MATCH(LARGE(AQ$5:AQ$190,134),AQ$5:AQ$190,0))</f>
        <v>1.0810810810810811E-2</v>
      </c>
      <c r="M328" s="11">
        <f>INDEX(AG$5:AG$190,MATCH(LARGE(AQ$5:AQ$190,134),AQ$5:AQ$190,0))</f>
        <v>4.0816326530612242E-2</v>
      </c>
      <c r="N328" s="11">
        <f>INDEX(AH$5:AH$190,MATCH(LARGE(AQ$5:AQ$190,134),AQ$5:AQ$190,0))</f>
        <v>3.2687181305089651E-3</v>
      </c>
      <c r="O328" s="11">
        <f>INDEX(AI$5:AI$190,MATCH(LARGE(AQ$5:AQ$190,134),AQ$5:AQ$190,0))</f>
        <v>0</v>
      </c>
      <c r="P328" s="11">
        <f>INDEX(AJ$5:AJ$190,MATCH(LARGE(AQ$5:AQ$190,134),AQ$5:AQ$190,0))</f>
        <v>0</v>
      </c>
      <c r="Q328" s="11">
        <f>INDEX(AK$5:AK$190,MATCH(LARGE(AQ$5:AQ$190,134),AQ$5:AQ$190,0))</f>
        <v>5.3030303030303032E-2</v>
      </c>
      <c r="R328" s="11">
        <f>INDEX(AL$5:AL$190,MATCH(LARGE(AQ$5:AQ$190,134),AQ$5:AQ$190,0))</f>
        <v>0.78553083800702417</v>
      </c>
      <c r="S328" s="11">
        <f>INDEX(AM$5:AM$190,MATCH(LARGE(AQ$5:AQ$190,134),AQ$5:AQ$190,0))</f>
        <v>0.16666666666666666</v>
      </c>
      <c r="T328" s="11">
        <f>INDEX(AN$5:AN$190,MATCH(LARGE(AQ$5:AQ$190,134),AQ$5:AQ$190,0))</f>
        <v>0</v>
      </c>
      <c r="U328" s="11">
        <f>INDEX(AO$5:AO$190,MATCH(LARGE(AQ$5:AQ$190,134),AQ$5:AQ$190,0))</f>
        <v>0</v>
      </c>
      <c r="V328" s="11">
        <f>INDEX(AP$5:AP$190,MATCH(LARGE(AQ$5:AQ$190,134),AQ$5:AQ$190,0))</f>
        <v>0</v>
      </c>
    </row>
    <row r="329" spans="1:22" ht="15" customHeight="1" x14ac:dyDescent="0.2">
      <c r="A329" s="3">
        <v>135</v>
      </c>
      <c r="B329" s="3" t="str">
        <f>INDEX($A$5:$A$190,MATCH(LARGE(AQ$5:AQ$190,135),AQ$5:AQ$190,0))</f>
        <v>IMove: processEnemyFire(boolean)</v>
      </c>
      <c r="C329" s="11">
        <f>INDEX(W$5:W$190,MATCH(LARGE(AQ$5:AQ$190,135),AQ$5:AQ$190,0))</f>
        <v>2.6315789473684209E-2</v>
      </c>
      <c r="D329" s="11">
        <f>INDEX(X$5:X$190,MATCH(LARGE(AQ$5:AQ$190,135),AQ$5:AQ$190,0))</f>
        <v>0</v>
      </c>
      <c r="E329" s="11">
        <f>INDEX(Y$5:Y$190,MATCH(LARGE(AQ$5:AQ$190,135),AQ$5:AQ$190,0))</f>
        <v>0</v>
      </c>
      <c r="F329" s="11">
        <f>INDEX(Z$5:Z$190,MATCH(LARGE(AQ$5:AQ$190,135),AQ$5:AQ$190,0))</f>
        <v>0</v>
      </c>
      <c r="G329" s="11">
        <f>INDEX(AA$5:AA$190,MATCH(LARGE(AQ$5:AQ$190,135),AQ$5:AQ$190,0))</f>
        <v>0</v>
      </c>
      <c r="H329" s="11">
        <f>INDEX(AB$5:AB$190,MATCH(LARGE(AQ$5:AQ$190,135),AQ$5:AQ$190,0))</f>
        <v>0</v>
      </c>
      <c r="I329" s="11">
        <f>INDEX(AC$5:AC$190,MATCH(LARGE(AQ$5:AQ$190,135),AQ$5:AQ$190,0))</f>
        <v>0</v>
      </c>
      <c r="J329" s="11">
        <f>INDEX(AD$5:AD$190,MATCH(LARGE(AQ$5:AQ$190,135),AQ$5:AQ$190,0))</f>
        <v>0</v>
      </c>
      <c r="K329" s="11">
        <f>INDEX(AE$5:AE$190,MATCH(LARGE(AQ$5:AQ$190,135),AQ$5:AQ$190,0))</f>
        <v>0</v>
      </c>
      <c r="L329" s="11">
        <f>INDEX(AF$5:AF$190,MATCH(LARGE(AQ$5:AQ$190,135),AQ$5:AQ$190,0))</f>
        <v>2.7027027027027029E-3</v>
      </c>
      <c r="M329" s="11">
        <f>INDEX(AG$5:AG$190,MATCH(LARGE(AQ$5:AQ$190,135),AQ$5:AQ$190,0))</f>
        <v>1.020408163265306E-2</v>
      </c>
      <c r="N329" s="11">
        <f>INDEX(AH$5:AH$190,MATCH(LARGE(AQ$5:AQ$190,135),AQ$5:AQ$190,0))</f>
        <v>0</v>
      </c>
      <c r="O329" s="11">
        <f>INDEX(AI$5:AI$190,MATCH(LARGE(AQ$5:AQ$190,135),AQ$5:AQ$190,0))</f>
        <v>0</v>
      </c>
      <c r="P329" s="11">
        <f>INDEX(AJ$5:AJ$190,MATCH(LARGE(AQ$5:AQ$190,135),AQ$5:AQ$190,0))</f>
        <v>0.33333333333333331</v>
      </c>
      <c r="Q329" s="11">
        <f>INDEX(AK$5:AK$190,MATCH(LARGE(AQ$5:AQ$190,135),AQ$5:AQ$190,0))</f>
        <v>0</v>
      </c>
      <c r="R329" s="11">
        <f>INDEX(AL$5:AL$190,MATCH(LARGE(AQ$5:AQ$190,135),AQ$5:AQ$190,0))</f>
        <v>0</v>
      </c>
      <c r="S329" s="11">
        <f>INDEX(AM$5:AM$190,MATCH(LARGE(AQ$5:AQ$190,135),AQ$5:AQ$190,0))</f>
        <v>0.16666666666666666</v>
      </c>
      <c r="T329" s="11">
        <f>INDEX(AN$5:AN$190,MATCH(LARGE(AQ$5:AQ$190,135),AQ$5:AQ$190,0))</f>
        <v>0</v>
      </c>
      <c r="U329" s="11">
        <f>INDEX(AO$5:AO$190,MATCH(LARGE(AQ$5:AQ$190,135),AQ$5:AQ$190,0))</f>
        <v>8.3333333333333329E-2</v>
      </c>
      <c r="V329" s="11">
        <f>INDEX(AP$5:AP$190,MATCH(LARGE(AQ$5:AQ$190,135),AQ$5:AQ$190,0))</f>
        <v>0.25</v>
      </c>
    </row>
    <row r="330" spans="1:22" ht="15" customHeight="1" x14ac:dyDescent="0.2">
      <c r="A330" s="3">
        <v>136</v>
      </c>
      <c r="B330" s="3" t="str">
        <f>INDEX($A$5:$A$190,MATCH(LARGE(AQ$5:AQ$190,136),AQ$5:AQ$190,0))</f>
        <v>IFleet: printStatus()</v>
      </c>
      <c r="C330" s="11">
        <f>INDEX(W$5:W$190,MATCH(LARGE(AQ$5:AQ$190,136),AQ$5:AQ$190,0))</f>
        <v>2.6315789473684209E-2</v>
      </c>
      <c r="D330" s="11">
        <f>INDEX(X$5:X$190,MATCH(LARGE(AQ$5:AQ$190,136),AQ$5:AQ$190,0))</f>
        <v>0</v>
      </c>
      <c r="E330" s="11">
        <f>INDEX(Y$5:Y$190,MATCH(LARGE(AQ$5:AQ$190,136),AQ$5:AQ$190,0))</f>
        <v>0</v>
      </c>
      <c r="F330" s="11">
        <f>INDEX(Z$5:Z$190,MATCH(LARGE(AQ$5:AQ$190,136),AQ$5:AQ$190,0))</f>
        <v>0</v>
      </c>
      <c r="G330" s="11">
        <f>INDEX(AA$5:AA$190,MATCH(LARGE(AQ$5:AQ$190,136),AQ$5:AQ$190,0))</f>
        <v>0</v>
      </c>
      <c r="H330" s="11">
        <f>INDEX(AB$5:AB$190,MATCH(LARGE(AQ$5:AQ$190,136),AQ$5:AQ$190,0))</f>
        <v>0</v>
      </c>
      <c r="I330" s="11">
        <f>INDEX(AC$5:AC$190,MATCH(LARGE(AQ$5:AQ$190,136),AQ$5:AQ$190,0))</f>
        <v>0</v>
      </c>
      <c r="J330" s="11">
        <f>INDEX(AD$5:AD$190,MATCH(LARGE(AQ$5:AQ$190,136),AQ$5:AQ$190,0))</f>
        <v>0</v>
      </c>
      <c r="K330" s="11">
        <f>INDEX(AE$5:AE$190,MATCH(LARGE(AQ$5:AQ$190,136),AQ$5:AQ$190,0))</f>
        <v>0</v>
      </c>
      <c r="L330" s="11">
        <f>INDEX(AF$5:AF$190,MATCH(LARGE(AQ$5:AQ$190,136),AQ$5:AQ$190,0))</f>
        <v>2.7027027027027029E-3</v>
      </c>
      <c r="M330" s="11">
        <f>INDEX(AG$5:AG$190,MATCH(LARGE(AQ$5:AQ$190,136),AQ$5:AQ$190,0))</f>
        <v>1.020408163265306E-2</v>
      </c>
      <c r="N330" s="11">
        <f>INDEX(AH$5:AH$190,MATCH(LARGE(AQ$5:AQ$190,136),AQ$5:AQ$190,0))</f>
        <v>0</v>
      </c>
      <c r="O330" s="11">
        <f>INDEX(AI$5:AI$190,MATCH(LARGE(AQ$5:AQ$190,136),AQ$5:AQ$190,0))</f>
        <v>0</v>
      </c>
      <c r="P330" s="11">
        <f>INDEX(AJ$5:AJ$190,MATCH(LARGE(AQ$5:AQ$190,136),AQ$5:AQ$190,0))</f>
        <v>0.33333333333333331</v>
      </c>
      <c r="Q330" s="11">
        <f>INDEX(AK$5:AK$190,MATCH(LARGE(AQ$5:AQ$190,136),AQ$5:AQ$190,0))</f>
        <v>0</v>
      </c>
      <c r="R330" s="11">
        <f>INDEX(AL$5:AL$190,MATCH(LARGE(AQ$5:AQ$190,136),AQ$5:AQ$190,0))</f>
        <v>0</v>
      </c>
      <c r="S330" s="11">
        <f>INDEX(AM$5:AM$190,MATCH(LARGE(AQ$5:AQ$190,136),AQ$5:AQ$190,0))</f>
        <v>0.16666666666666666</v>
      </c>
      <c r="T330" s="11">
        <f>INDEX(AN$5:AN$190,MATCH(LARGE(AQ$5:AQ$190,136),AQ$5:AQ$190,0))</f>
        <v>0</v>
      </c>
      <c r="U330" s="11">
        <f>INDEX(AO$5:AO$190,MATCH(LARGE(AQ$5:AQ$190,136),AQ$5:AQ$190,0))</f>
        <v>0.33333333333333331</v>
      </c>
      <c r="V330" s="11">
        <f>INDEX(AP$5:AP$190,MATCH(LARGE(AQ$5:AQ$190,136),AQ$5:AQ$190,0))</f>
        <v>0</v>
      </c>
    </row>
    <row r="331" spans="1:22" ht="15" customHeight="1" x14ac:dyDescent="0.2">
      <c r="A331" s="3">
        <v>137</v>
      </c>
      <c r="B331" s="3" t="str">
        <f>INDEX($A$5:$A$190,MATCH(LARGE(AQ$5:AQ$190,137),AQ$5:AQ$190,0))</f>
        <v>IFleet: printStatus()</v>
      </c>
      <c r="C331" s="11">
        <f>INDEX(W$5:W$190,MATCH(LARGE(AQ$5:AQ$190,137),AQ$5:AQ$190,0))</f>
        <v>2.6315789473684209E-2</v>
      </c>
      <c r="D331" s="11">
        <f>INDEX(X$5:X$190,MATCH(LARGE(AQ$5:AQ$190,137),AQ$5:AQ$190,0))</f>
        <v>0</v>
      </c>
      <c r="E331" s="11">
        <f>INDEX(Y$5:Y$190,MATCH(LARGE(AQ$5:AQ$190,137),AQ$5:AQ$190,0))</f>
        <v>0</v>
      </c>
      <c r="F331" s="11">
        <f>INDEX(Z$5:Z$190,MATCH(LARGE(AQ$5:AQ$190,137),AQ$5:AQ$190,0))</f>
        <v>0</v>
      </c>
      <c r="G331" s="11">
        <f>INDEX(AA$5:AA$190,MATCH(LARGE(AQ$5:AQ$190,137),AQ$5:AQ$190,0))</f>
        <v>0</v>
      </c>
      <c r="H331" s="11">
        <f>INDEX(AB$5:AB$190,MATCH(LARGE(AQ$5:AQ$190,137),AQ$5:AQ$190,0))</f>
        <v>0</v>
      </c>
      <c r="I331" s="11">
        <f>INDEX(AC$5:AC$190,MATCH(LARGE(AQ$5:AQ$190,137),AQ$5:AQ$190,0))</f>
        <v>0</v>
      </c>
      <c r="J331" s="11">
        <f>INDEX(AD$5:AD$190,MATCH(LARGE(AQ$5:AQ$190,137),AQ$5:AQ$190,0))</f>
        <v>0</v>
      </c>
      <c r="K331" s="11">
        <f>INDEX(AE$5:AE$190,MATCH(LARGE(AQ$5:AQ$190,137),AQ$5:AQ$190,0))</f>
        <v>0</v>
      </c>
      <c r="L331" s="11">
        <f>INDEX(AF$5:AF$190,MATCH(LARGE(AQ$5:AQ$190,137),AQ$5:AQ$190,0))</f>
        <v>2.7027027027027029E-3</v>
      </c>
      <c r="M331" s="11">
        <f>INDEX(AG$5:AG$190,MATCH(LARGE(AQ$5:AQ$190,137),AQ$5:AQ$190,0))</f>
        <v>1.020408163265306E-2</v>
      </c>
      <c r="N331" s="11">
        <f>INDEX(AH$5:AH$190,MATCH(LARGE(AQ$5:AQ$190,137),AQ$5:AQ$190,0))</f>
        <v>0</v>
      </c>
      <c r="O331" s="11">
        <f>INDEX(AI$5:AI$190,MATCH(LARGE(AQ$5:AQ$190,137),AQ$5:AQ$190,0))</f>
        <v>0</v>
      </c>
      <c r="P331" s="11">
        <f>INDEX(AJ$5:AJ$190,MATCH(LARGE(AQ$5:AQ$190,137),AQ$5:AQ$190,0))</f>
        <v>0.33333333333333331</v>
      </c>
      <c r="Q331" s="11">
        <f>INDEX(AK$5:AK$190,MATCH(LARGE(AQ$5:AQ$190,137),AQ$5:AQ$190,0))</f>
        <v>0</v>
      </c>
      <c r="R331" s="11">
        <f>INDEX(AL$5:AL$190,MATCH(LARGE(AQ$5:AQ$190,137),AQ$5:AQ$190,0))</f>
        <v>0</v>
      </c>
      <c r="S331" s="11">
        <f>INDEX(AM$5:AM$190,MATCH(LARGE(AQ$5:AQ$190,137),AQ$5:AQ$190,0))</f>
        <v>0.16666666666666666</v>
      </c>
      <c r="T331" s="11">
        <f>INDEX(AN$5:AN$190,MATCH(LARGE(AQ$5:AQ$190,137),AQ$5:AQ$190,0))</f>
        <v>0</v>
      </c>
      <c r="U331" s="11">
        <f>INDEX(AO$5:AO$190,MATCH(LARGE(AQ$5:AQ$190,137),AQ$5:AQ$190,0))</f>
        <v>0.33333333333333331</v>
      </c>
      <c r="V331" s="11">
        <f>INDEX(AP$5:AP$190,MATCH(LARGE(AQ$5:AQ$190,137),AQ$5:AQ$190,0))</f>
        <v>0</v>
      </c>
    </row>
    <row r="332" spans="1:22" ht="15" customHeight="1" x14ac:dyDescent="0.2">
      <c r="A332" s="3">
        <v>138</v>
      </c>
      <c r="B332" s="3" t="str">
        <f>INDEX($A$5:$A$190,MATCH(LARGE(AQ$5:AQ$190,138),AQ$5:AQ$190,0))</f>
        <v>IFleet: printStatus()</v>
      </c>
      <c r="C332" s="11">
        <f>INDEX(W$5:W$190,MATCH(LARGE(AQ$5:AQ$190,138),AQ$5:AQ$190,0))</f>
        <v>2.6315789473684209E-2</v>
      </c>
      <c r="D332" s="11">
        <f>INDEX(X$5:X$190,MATCH(LARGE(AQ$5:AQ$190,138),AQ$5:AQ$190,0))</f>
        <v>0</v>
      </c>
      <c r="E332" s="11">
        <f>INDEX(Y$5:Y$190,MATCH(LARGE(AQ$5:AQ$190,138),AQ$5:AQ$190,0))</f>
        <v>0</v>
      </c>
      <c r="F332" s="11">
        <f>INDEX(Z$5:Z$190,MATCH(LARGE(AQ$5:AQ$190,138),AQ$5:AQ$190,0))</f>
        <v>0</v>
      </c>
      <c r="G332" s="11">
        <f>INDEX(AA$5:AA$190,MATCH(LARGE(AQ$5:AQ$190,138),AQ$5:AQ$190,0))</f>
        <v>0</v>
      </c>
      <c r="H332" s="11">
        <f>INDEX(AB$5:AB$190,MATCH(LARGE(AQ$5:AQ$190,138),AQ$5:AQ$190,0))</f>
        <v>0</v>
      </c>
      <c r="I332" s="11">
        <f>INDEX(AC$5:AC$190,MATCH(LARGE(AQ$5:AQ$190,138),AQ$5:AQ$190,0))</f>
        <v>0</v>
      </c>
      <c r="J332" s="11">
        <f>INDEX(AD$5:AD$190,MATCH(LARGE(AQ$5:AQ$190,138),AQ$5:AQ$190,0))</f>
        <v>0</v>
      </c>
      <c r="K332" s="11">
        <f>INDEX(AE$5:AE$190,MATCH(LARGE(AQ$5:AQ$190,138),AQ$5:AQ$190,0))</f>
        <v>0</v>
      </c>
      <c r="L332" s="11">
        <f>INDEX(AF$5:AF$190,MATCH(LARGE(AQ$5:AQ$190,138),AQ$5:AQ$190,0))</f>
        <v>2.7027027027027029E-3</v>
      </c>
      <c r="M332" s="11">
        <f>INDEX(AG$5:AG$190,MATCH(LARGE(AQ$5:AQ$190,138),AQ$5:AQ$190,0))</f>
        <v>1.020408163265306E-2</v>
      </c>
      <c r="N332" s="11">
        <f>INDEX(AH$5:AH$190,MATCH(LARGE(AQ$5:AQ$190,138),AQ$5:AQ$190,0))</f>
        <v>0</v>
      </c>
      <c r="O332" s="11">
        <f>INDEX(AI$5:AI$190,MATCH(LARGE(AQ$5:AQ$190,138),AQ$5:AQ$190,0))</f>
        <v>0</v>
      </c>
      <c r="P332" s="11">
        <f>INDEX(AJ$5:AJ$190,MATCH(LARGE(AQ$5:AQ$190,138),AQ$5:AQ$190,0))</f>
        <v>0.33333333333333331</v>
      </c>
      <c r="Q332" s="11">
        <f>INDEX(AK$5:AK$190,MATCH(LARGE(AQ$5:AQ$190,138),AQ$5:AQ$190,0))</f>
        <v>0</v>
      </c>
      <c r="R332" s="11">
        <f>INDEX(AL$5:AL$190,MATCH(LARGE(AQ$5:AQ$190,138),AQ$5:AQ$190,0))</f>
        <v>0</v>
      </c>
      <c r="S332" s="11">
        <f>INDEX(AM$5:AM$190,MATCH(LARGE(AQ$5:AQ$190,138),AQ$5:AQ$190,0))</f>
        <v>0.16666666666666666</v>
      </c>
      <c r="T332" s="11">
        <f>INDEX(AN$5:AN$190,MATCH(LARGE(AQ$5:AQ$190,138),AQ$5:AQ$190,0))</f>
        <v>0</v>
      </c>
      <c r="U332" s="11">
        <f>INDEX(AO$5:AO$190,MATCH(LARGE(AQ$5:AQ$190,138),AQ$5:AQ$190,0))</f>
        <v>0.33333333333333331</v>
      </c>
      <c r="V332" s="11">
        <f>INDEX(AP$5:AP$190,MATCH(LARGE(AQ$5:AQ$190,138),AQ$5:AQ$190,0))</f>
        <v>0</v>
      </c>
    </row>
    <row r="333" spans="1:22" ht="15" customHeight="1" x14ac:dyDescent="0.2">
      <c r="A333" s="3">
        <v>139</v>
      </c>
      <c r="B333" s="3" t="str">
        <f>INDEX($A$5:$A$190,MATCH(LARGE(AQ$5:AQ$190,139),AQ$5:AQ$190,0))</f>
        <v>IFleet: printStatus()</v>
      </c>
      <c r="C333" s="11">
        <f>INDEX(W$5:W$190,MATCH(LARGE(AQ$5:AQ$190,139),AQ$5:AQ$190,0))</f>
        <v>2.6315789473684209E-2</v>
      </c>
      <c r="D333" s="11">
        <f>INDEX(X$5:X$190,MATCH(LARGE(AQ$5:AQ$190,139),AQ$5:AQ$190,0))</f>
        <v>0</v>
      </c>
      <c r="E333" s="11">
        <f>INDEX(Y$5:Y$190,MATCH(LARGE(AQ$5:AQ$190,139),AQ$5:AQ$190,0))</f>
        <v>0</v>
      </c>
      <c r="F333" s="11">
        <f>INDEX(Z$5:Z$190,MATCH(LARGE(AQ$5:AQ$190,139),AQ$5:AQ$190,0))</f>
        <v>0</v>
      </c>
      <c r="G333" s="11">
        <f>INDEX(AA$5:AA$190,MATCH(LARGE(AQ$5:AQ$190,139),AQ$5:AQ$190,0))</f>
        <v>0</v>
      </c>
      <c r="H333" s="11">
        <f>INDEX(AB$5:AB$190,MATCH(LARGE(AQ$5:AQ$190,139),AQ$5:AQ$190,0))</f>
        <v>0</v>
      </c>
      <c r="I333" s="11">
        <f>INDEX(AC$5:AC$190,MATCH(LARGE(AQ$5:AQ$190,139),AQ$5:AQ$190,0))</f>
        <v>0</v>
      </c>
      <c r="J333" s="11">
        <f>INDEX(AD$5:AD$190,MATCH(LARGE(AQ$5:AQ$190,139),AQ$5:AQ$190,0))</f>
        <v>0</v>
      </c>
      <c r="K333" s="11">
        <f>INDEX(AE$5:AE$190,MATCH(LARGE(AQ$5:AQ$190,139),AQ$5:AQ$190,0))</f>
        <v>0</v>
      </c>
      <c r="L333" s="11">
        <f>INDEX(AF$5:AF$190,MATCH(LARGE(AQ$5:AQ$190,139),AQ$5:AQ$190,0))</f>
        <v>2.7027027027027029E-3</v>
      </c>
      <c r="M333" s="11">
        <f>INDEX(AG$5:AG$190,MATCH(LARGE(AQ$5:AQ$190,139),AQ$5:AQ$190,0))</f>
        <v>1.020408163265306E-2</v>
      </c>
      <c r="N333" s="11">
        <f>INDEX(AH$5:AH$190,MATCH(LARGE(AQ$5:AQ$190,139),AQ$5:AQ$190,0))</f>
        <v>0</v>
      </c>
      <c r="O333" s="11">
        <f>INDEX(AI$5:AI$190,MATCH(LARGE(AQ$5:AQ$190,139),AQ$5:AQ$190,0))</f>
        <v>0</v>
      </c>
      <c r="P333" s="11">
        <f>INDEX(AJ$5:AJ$190,MATCH(LARGE(AQ$5:AQ$190,139),AQ$5:AQ$190,0))</f>
        <v>0.33333333333333331</v>
      </c>
      <c r="Q333" s="11">
        <f>INDEX(AK$5:AK$190,MATCH(LARGE(AQ$5:AQ$190,139),AQ$5:AQ$190,0))</f>
        <v>0</v>
      </c>
      <c r="R333" s="11">
        <f>INDEX(AL$5:AL$190,MATCH(LARGE(AQ$5:AQ$190,139),AQ$5:AQ$190,0))</f>
        <v>0</v>
      </c>
      <c r="S333" s="11">
        <f>INDEX(AM$5:AM$190,MATCH(LARGE(AQ$5:AQ$190,139),AQ$5:AQ$190,0))</f>
        <v>0.16666666666666666</v>
      </c>
      <c r="T333" s="11">
        <f>INDEX(AN$5:AN$190,MATCH(LARGE(AQ$5:AQ$190,139),AQ$5:AQ$190,0))</f>
        <v>0</v>
      </c>
      <c r="U333" s="11">
        <f>INDEX(AO$5:AO$190,MATCH(LARGE(AQ$5:AQ$190,139),AQ$5:AQ$190,0))</f>
        <v>0.33333333333333331</v>
      </c>
      <c r="V333" s="11">
        <f>INDEX(AP$5:AP$190,MATCH(LARGE(AQ$5:AQ$190,139),AQ$5:AQ$190,0))</f>
        <v>0</v>
      </c>
    </row>
    <row r="334" spans="1:22" ht="15" customHeight="1" x14ac:dyDescent="0.2">
      <c r="A334" s="3">
        <v>140</v>
      </c>
      <c r="B334" s="3" t="str">
        <f>INDEX($A$5:$A$190,MATCH(LARGE(AQ$5:AQ$190,140),AQ$5:AQ$190,0))</f>
        <v>IFleet: printStatus()</v>
      </c>
      <c r="C334" s="11">
        <f>INDEX(W$5:W$190,MATCH(LARGE(AQ$5:AQ$190,140),AQ$5:AQ$190,0))</f>
        <v>2.6315789473684209E-2</v>
      </c>
      <c r="D334" s="11">
        <f>INDEX(X$5:X$190,MATCH(LARGE(AQ$5:AQ$190,140),AQ$5:AQ$190,0))</f>
        <v>0</v>
      </c>
      <c r="E334" s="11">
        <f>INDEX(Y$5:Y$190,MATCH(LARGE(AQ$5:AQ$190,140),AQ$5:AQ$190,0))</f>
        <v>0</v>
      </c>
      <c r="F334" s="11">
        <f>INDEX(Z$5:Z$190,MATCH(LARGE(AQ$5:AQ$190,140),AQ$5:AQ$190,0))</f>
        <v>0</v>
      </c>
      <c r="G334" s="11">
        <f>INDEX(AA$5:AA$190,MATCH(LARGE(AQ$5:AQ$190,140),AQ$5:AQ$190,0))</f>
        <v>0</v>
      </c>
      <c r="H334" s="11">
        <f>INDEX(AB$5:AB$190,MATCH(LARGE(AQ$5:AQ$190,140),AQ$5:AQ$190,0))</f>
        <v>0</v>
      </c>
      <c r="I334" s="11">
        <f>INDEX(AC$5:AC$190,MATCH(LARGE(AQ$5:AQ$190,140),AQ$5:AQ$190,0))</f>
        <v>0</v>
      </c>
      <c r="J334" s="11">
        <f>INDEX(AD$5:AD$190,MATCH(LARGE(AQ$5:AQ$190,140),AQ$5:AQ$190,0))</f>
        <v>0</v>
      </c>
      <c r="K334" s="11">
        <f>INDEX(AE$5:AE$190,MATCH(LARGE(AQ$5:AQ$190,140),AQ$5:AQ$190,0))</f>
        <v>0</v>
      </c>
      <c r="L334" s="11">
        <f>INDEX(AF$5:AF$190,MATCH(LARGE(AQ$5:AQ$190,140),AQ$5:AQ$190,0))</f>
        <v>2.7027027027027029E-3</v>
      </c>
      <c r="M334" s="11">
        <f>INDEX(AG$5:AG$190,MATCH(LARGE(AQ$5:AQ$190,140),AQ$5:AQ$190,0))</f>
        <v>1.020408163265306E-2</v>
      </c>
      <c r="N334" s="11">
        <f>INDEX(AH$5:AH$190,MATCH(LARGE(AQ$5:AQ$190,140),AQ$5:AQ$190,0))</f>
        <v>0</v>
      </c>
      <c r="O334" s="11">
        <f>INDEX(AI$5:AI$190,MATCH(LARGE(AQ$5:AQ$190,140),AQ$5:AQ$190,0))</f>
        <v>0</v>
      </c>
      <c r="P334" s="11">
        <f>INDEX(AJ$5:AJ$190,MATCH(LARGE(AQ$5:AQ$190,140),AQ$5:AQ$190,0))</f>
        <v>0.33333333333333331</v>
      </c>
      <c r="Q334" s="11">
        <f>INDEX(AK$5:AK$190,MATCH(LARGE(AQ$5:AQ$190,140),AQ$5:AQ$190,0))</f>
        <v>0</v>
      </c>
      <c r="R334" s="11">
        <f>INDEX(AL$5:AL$190,MATCH(LARGE(AQ$5:AQ$190,140),AQ$5:AQ$190,0))</f>
        <v>0</v>
      </c>
      <c r="S334" s="11">
        <f>INDEX(AM$5:AM$190,MATCH(LARGE(AQ$5:AQ$190,140),AQ$5:AQ$190,0))</f>
        <v>0.16666666666666666</v>
      </c>
      <c r="T334" s="11">
        <f>INDEX(AN$5:AN$190,MATCH(LARGE(AQ$5:AQ$190,140),AQ$5:AQ$190,0))</f>
        <v>0</v>
      </c>
      <c r="U334" s="11">
        <f>INDEX(AO$5:AO$190,MATCH(LARGE(AQ$5:AQ$190,140),AQ$5:AQ$190,0))</f>
        <v>0.33333333333333331</v>
      </c>
      <c r="V334" s="11">
        <f>INDEX(AP$5:AP$190,MATCH(LARGE(AQ$5:AQ$190,140),AQ$5:AQ$190,0))</f>
        <v>0</v>
      </c>
    </row>
    <row r="335" spans="1:22" ht="15" customHeight="1" x14ac:dyDescent="0.2">
      <c r="A335" s="3">
        <v>141</v>
      </c>
      <c r="B335" s="3" t="str">
        <f>INDEX($A$5:$A$190,MATCH(LARGE(AQ$5:AQ$190,141),AQ$5:AQ$190,0))</f>
        <v>IFleet: printStatus()</v>
      </c>
      <c r="C335" s="11">
        <f>INDEX(W$5:W$190,MATCH(LARGE(AQ$5:AQ$190,141),AQ$5:AQ$190,0))</f>
        <v>2.6315789473684209E-2</v>
      </c>
      <c r="D335" s="11">
        <f>INDEX(X$5:X$190,MATCH(LARGE(AQ$5:AQ$190,141),AQ$5:AQ$190,0))</f>
        <v>0</v>
      </c>
      <c r="E335" s="11">
        <f>INDEX(Y$5:Y$190,MATCH(LARGE(AQ$5:AQ$190,141),AQ$5:AQ$190,0))</f>
        <v>0</v>
      </c>
      <c r="F335" s="11">
        <f>INDEX(Z$5:Z$190,MATCH(LARGE(AQ$5:AQ$190,141),AQ$5:AQ$190,0))</f>
        <v>0</v>
      </c>
      <c r="G335" s="11">
        <f>INDEX(AA$5:AA$190,MATCH(LARGE(AQ$5:AQ$190,141),AQ$5:AQ$190,0))</f>
        <v>0</v>
      </c>
      <c r="H335" s="11">
        <f>INDEX(AB$5:AB$190,MATCH(LARGE(AQ$5:AQ$190,141),AQ$5:AQ$190,0))</f>
        <v>0</v>
      </c>
      <c r="I335" s="11">
        <f>INDEX(AC$5:AC$190,MATCH(LARGE(AQ$5:AQ$190,141),AQ$5:AQ$190,0))</f>
        <v>0</v>
      </c>
      <c r="J335" s="11">
        <f>INDEX(AD$5:AD$190,MATCH(LARGE(AQ$5:AQ$190,141),AQ$5:AQ$190,0))</f>
        <v>0</v>
      </c>
      <c r="K335" s="11">
        <f>INDEX(AE$5:AE$190,MATCH(LARGE(AQ$5:AQ$190,141),AQ$5:AQ$190,0))</f>
        <v>0</v>
      </c>
      <c r="L335" s="11">
        <f>INDEX(AF$5:AF$190,MATCH(LARGE(AQ$5:AQ$190,141),AQ$5:AQ$190,0))</f>
        <v>2.7027027027027029E-3</v>
      </c>
      <c r="M335" s="11">
        <f>INDEX(AG$5:AG$190,MATCH(LARGE(AQ$5:AQ$190,141),AQ$5:AQ$190,0))</f>
        <v>1.020408163265306E-2</v>
      </c>
      <c r="N335" s="11">
        <f>INDEX(AH$5:AH$190,MATCH(LARGE(AQ$5:AQ$190,141),AQ$5:AQ$190,0))</f>
        <v>0</v>
      </c>
      <c r="O335" s="11">
        <f>INDEX(AI$5:AI$190,MATCH(LARGE(AQ$5:AQ$190,141),AQ$5:AQ$190,0))</f>
        <v>0</v>
      </c>
      <c r="P335" s="11">
        <f>INDEX(AJ$5:AJ$190,MATCH(LARGE(AQ$5:AQ$190,141),AQ$5:AQ$190,0))</f>
        <v>0.33333333333333331</v>
      </c>
      <c r="Q335" s="11">
        <f>INDEX(AK$5:AK$190,MATCH(LARGE(AQ$5:AQ$190,141),AQ$5:AQ$190,0))</f>
        <v>0</v>
      </c>
      <c r="R335" s="11">
        <f>INDEX(AL$5:AL$190,MATCH(LARGE(AQ$5:AQ$190,141),AQ$5:AQ$190,0))</f>
        <v>0</v>
      </c>
      <c r="S335" s="11">
        <f>INDEX(AM$5:AM$190,MATCH(LARGE(AQ$5:AQ$190,141),AQ$5:AQ$190,0))</f>
        <v>0.16666666666666666</v>
      </c>
      <c r="T335" s="11">
        <f>INDEX(AN$5:AN$190,MATCH(LARGE(AQ$5:AQ$190,141),AQ$5:AQ$190,0))</f>
        <v>0</v>
      </c>
      <c r="U335" s="11">
        <f>INDEX(AO$5:AO$190,MATCH(LARGE(AQ$5:AQ$190,141),AQ$5:AQ$190,0))</f>
        <v>0.33333333333333331</v>
      </c>
      <c r="V335" s="11">
        <f>INDEX(AP$5:AP$190,MATCH(LARGE(AQ$5:AQ$190,141),AQ$5:AQ$190,0))</f>
        <v>0</v>
      </c>
    </row>
    <row r="336" spans="1:22" ht="15" customHeight="1" x14ac:dyDescent="0.2">
      <c r="A336" s="3">
        <v>142</v>
      </c>
      <c r="B336" s="3" t="str">
        <f>INDEX($A$5:$A$190,MATCH(LARGE(AQ$5:AQ$190,142),AQ$5:AQ$190,0))</f>
        <v>IFleet: printStatus()</v>
      </c>
      <c r="C336" s="11">
        <f>INDEX(W$5:W$190,MATCH(LARGE(AQ$5:AQ$190,142),AQ$5:AQ$190,0))</f>
        <v>2.6315789473684209E-2</v>
      </c>
      <c r="D336" s="11">
        <f>INDEX(X$5:X$190,MATCH(LARGE(AQ$5:AQ$190,142),AQ$5:AQ$190,0))</f>
        <v>0</v>
      </c>
      <c r="E336" s="11">
        <f>INDEX(Y$5:Y$190,MATCH(LARGE(AQ$5:AQ$190,142),AQ$5:AQ$190,0))</f>
        <v>0</v>
      </c>
      <c r="F336" s="11">
        <f>INDEX(Z$5:Z$190,MATCH(LARGE(AQ$5:AQ$190,142),AQ$5:AQ$190,0))</f>
        <v>0</v>
      </c>
      <c r="G336" s="11">
        <f>INDEX(AA$5:AA$190,MATCH(LARGE(AQ$5:AQ$190,142),AQ$5:AQ$190,0))</f>
        <v>0</v>
      </c>
      <c r="H336" s="11">
        <f>INDEX(AB$5:AB$190,MATCH(LARGE(AQ$5:AQ$190,142),AQ$5:AQ$190,0))</f>
        <v>0</v>
      </c>
      <c r="I336" s="11">
        <f>INDEX(AC$5:AC$190,MATCH(LARGE(AQ$5:AQ$190,142),AQ$5:AQ$190,0))</f>
        <v>0</v>
      </c>
      <c r="J336" s="11">
        <f>INDEX(AD$5:AD$190,MATCH(LARGE(AQ$5:AQ$190,142),AQ$5:AQ$190,0))</f>
        <v>0</v>
      </c>
      <c r="K336" s="11">
        <f>INDEX(AE$5:AE$190,MATCH(LARGE(AQ$5:AQ$190,142),AQ$5:AQ$190,0))</f>
        <v>0</v>
      </c>
      <c r="L336" s="11">
        <f>INDEX(AF$5:AF$190,MATCH(LARGE(AQ$5:AQ$190,142),AQ$5:AQ$190,0))</f>
        <v>2.7027027027027029E-3</v>
      </c>
      <c r="M336" s="11">
        <f>INDEX(AG$5:AG$190,MATCH(LARGE(AQ$5:AQ$190,142),AQ$5:AQ$190,0))</f>
        <v>1.020408163265306E-2</v>
      </c>
      <c r="N336" s="11">
        <f>INDEX(AH$5:AH$190,MATCH(LARGE(AQ$5:AQ$190,142),AQ$5:AQ$190,0))</f>
        <v>0</v>
      </c>
      <c r="O336" s="11">
        <f>INDEX(AI$5:AI$190,MATCH(LARGE(AQ$5:AQ$190,142),AQ$5:AQ$190,0))</f>
        <v>0</v>
      </c>
      <c r="P336" s="11">
        <f>INDEX(AJ$5:AJ$190,MATCH(LARGE(AQ$5:AQ$190,142),AQ$5:AQ$190,0))</f>
        <v>0.33333333333333331</v>
      </c>
      <c r="Q336" s="11">
        <f>INDEX(AK$5:AK$190,MATCH(LARGE(AQ$5:AQ$190,142),AQ$5:AQ$190,0))</f>
        <v>0</v>
      </c>
      <c r="R336" s="11">
        <f>INDEX(AL$5:AL$190,MATCH(LARGE(AQ$5:AQ$190,142),AQ$5:AQ$190,0))</f>
        <v>0</v>
      </c>
      <c r="S336" s="11">
        <f>INDEX(AM$5:AM$190,MATCH(LARGE(AQ$5:AQ$190,142),AQ$5:AQ$190,0))</f>
        <v>0.16666666666666666</v>
      </c>
      <c r="T336" s="11">
        <f>INDEX(AN$5:AN$190,MATCH(LARGE(AQ$5:AQ$190,142),AQ$5:AQ$190,0))</f>
        <v>0</v>
      </c>
      <c r="U336" s="11">
        <f>INDEX(AO$5:AO$190,MATCH(LARGE(AQ$5:AQ$190,142),AQ$5:AQ$190,0))</f>
        <v>0.33333333333333331</v>
      </c>
      <c r="V336" s="11">
        <f>INDEX(AP$5:AP$190,MATCH(LARGE(AQ$5:AQ$190,142),AQ$5:AQ$190,0))</f>
        <v>0</v>
      </c>
    </row>
    <row r="337" spans="1:22" ht="15" customHeight="1" x14ac:dyDescent="0.2">
      <c r="A337" s="3">
        <v>143</v>
      </c>
      <c r="B337" s="3" t="str">
        <f>INDEX($A$5:$A$190,MATCH(LARGE(AQ$5:AQ$190,143),AQ$5:AQ$190,0))</f>
        <v>IFleet: getFloatingShips()</v>
      </c>
      <c r="C337" s="11">
        <f>INDEX(W$5:W$190,MATCH(LARGE(AQ$5:AQ$190,143),AQ$5:AQ$190,0))</f>
        <v>2.6315789473684209E-2</v>
      </c>
      <c r="D337" s="11">
        <f>INDEX(X$5:X$190,MATCH(LARGE(AQ$5:AQ$190,143),AQ$5:AQ$190,0))</f>
        <v>0</v>
      </c>
      <c r="E337" s="11">
        <f>INDEX(Y$5:Y$190,MATCH(LARGE(AQ$5:AQ$190,143),AQ$5:AQ$190,0))</f>
        <v>0</v>
      </c>
      <c r="F337" s="11">
        <f>INDEX(Z$5:Z$190,MATCH(LARGE(AQ$5:AQ$190,143),AQ$5:AQ$190,0))</f>
        <v>0</v>
      </c>
      <c r="G337" s="11">
        <f>INDEX(AA$5:AA$190,MATCH(LARGE(AQ$5:AQ$190,143),AQ$5:AQ$190,0))</f>
        <v>0</v>
      </c>
      <c r="H337" s="11">
        <f>INDEX(AB$5:AB$190,MATCH(LARGE(AQ$5:AQ$190,143),AQ$5:AQ$190,0))</f>
        <v>0</v>
      </c>
      <c r="I337" s="11">
        <f>INDEX(AC$5:AC$190,MATCH(LARGE(AQ$5:AQ$190,143),AQ$5:AQ$190,0))</f>
        <v>0</v>
      </c>
      <c r="J337" s="11">
        <f>INDEX(AD$5:AD$190,MATCH(LARGE(AQ$5:AQ$190,143),AQ$5:AQ$190,0))</f>
        <v>0</v>
      </c>
      <c r="K337" s="11">
        <f>INDEX(AE$5:AE$190,MATCH(LARGE(AQ$5:AQ$190,143),AQ$5:AQ$190,0))</f>
        <v>0</v>
      </c>
      <c r="L337" s="11">
        <f>INDEX(AF$5:AF$190,MATCH(LARGE(AQ$5:AQ$190,143),AQ$5:AQ$190,0))</f>
        <v>0</v>
      </c>
      <c r="M337" s="11">
        <f>INDEX(AG$5:AG$190,MATCH(LARGE(AQ$5:AQ$190,143),AQ$5:AQ$190,0))</f>
        <v>0</v>
      </c>
      <c r="N337" s="11">
        <f>INDEX(AH$5:AH$190,MATCH(LARGE(AQ$5:AQ$190,143),AQ$5:AQ$190,0))</f>
        <v>0</v>
      </c>
      <c r="O337" s="11">
        <f>INDEX(AI$5:AI$190,MATCH(LARGE(AQ$5:AQ$190,143),AQ$5:AQ$190,0))</f>
        <v>0</v>
      </c>
      <c r="P337" s="11">
        <f>INDEX(AJ$5:AJ$190,MATCH(LARGE(AQ$5:AQ$190,143),AQ$5:AQ$190,0))</f>
        <v>0.33333333333333331</v>
      </c>
      <c r="Q337" s="11">
        <f>INDEX(AK$5:AK$190,MATCH(LARGE(AQ$5:AQ$190,143),AQ$5:AQ$190,0))</f>
        <v>0</v>
      </c>
      <c r="R337" s="11">
        <f>INDEX(AL$5:AL$190,MATCH(LARGE(AQ$5:AQ$190,143),AQ$5:AQ$190,0))</f>
        <v>0</v>
      </c>
      <c r="S337" s="11">
        <f>INDEX(AM$5:AM$190,MATCH(LARGE(AQ$5:AQ$190,143),AQ$5:AQ$190,0))</f>
        <v>0.16666666666666666</v>
      </c>
      <c r="T337" s="11">
        <f>INDEX(AN$5:AN$190,MATCH(LARGE(AQ$5:AQ$190,143),AQ$5:AQ$190,0))</f>
        <v>0</v>
      </c>
      <c r="U337" s="11">
        <f>INDEX(AO$5:AO$190,MATCH(LARGE(AQ$5:AQ$190,143),AQ$5:AQ$190,0))</f>
        <v>0.33333333333333331</v>
      </c>
      <c r="V337" s="11">
        <f>INDEX(AP$5:AP$190,MATCH(LARGE(AQ$5:AQ$190,143),AQ$5:AQ$190,0))</f>
        <v>0</v>
      </c>
    </row>
    <row r="338" spans="1:22" ht="15" customHeight="1" x14ac:dyDescent="0.2">
      <c r="A338" s="3">
        <v>144</v>
      </c>
      <c r="B338" s="3" t="str">
        <f>INDEX($A$5:$A$190,MATCH(LARGE(AQ$5:AQ$190,144),AQ$5:AQ$190,0))</f>
        <v>IFleet: getFloatingShips()</v>
      </c>
      <c r="C338" s="11">
        <f>INDEX(W$5:W$190,MATCH(LARGE(AQ$5:AQ$190,144),AQ$5:AQ$190,0))</f>
        <v>2.6315789473684209E-2</v>
      </c>
      <c r="D338" s="11">
        <f>INDEX(X$5:X$190,MATCH(LARGE(AQ$5:AQ$190,144),AQ$5:AQ$190,0))</f>
        <v>0</v>
      </c>
      <c r="E338" s="11">
        <f>INDEX(Y$5:Y$190,MATCH(LARGE(AQ$5:AQ$190,144),AQ$5:AQ$190,0))</f>
        <v>0</v>
      </c>
      <c r="F338" s="11">
        <f>INDEX(Z$5:Z$190,MATCH(LARGE(AQ$5:AQ$190,144),AQ$5:AQ$190,0))</f>
        <v>0</v>
      </c>
      <c r="G338" s="11">
        <f>INDEX(AA$5:AA$190,MATCH(LARGE(AQ$5:AQ$190,144),AQ$5:AQ$190,0))</f>
        <v>0</v>
      </c>
      <c r="H338" s="11">
        <f>INDEX(AB$5:AB$190,MATCH(LARGE(AQ$5:AQ$190,144),AQ$5:AQ$190,0))</f>
        <v>0</v>
      </c>
      <c r="I338" s="11">
        <f>INDEX(AC$5:AC$190,MATCH(LARGE(AQ$5:AQ$190,144),AQ$5:AQ$190,0))</f>
        <v>0</v>
      </c>
      <c r="J338" s="11">
        <f>INDEX(AD$5:AD$190,MATCH(LARGE(AQ$5:AQ$190,144),AQ$5:AQ$190,0))</f>
        <v>0</v>
      </c>
      <c r="K338" s="11">
        <f>INDEX(AE$5:AE$190,MATCH(LARGE(AQ$5:AQ$190,144),AQ$5:AQ$190,0))</f>
        <v>0</v>
      </c>
      <c r="L338" s="11">
        <f>INDEX(AF$5:AF$190,MATCH(LARGE(AQ$5:AQ$190,144),AQ$5:AQ$190,0))</f>
        <v>0</v>
      </c>
      <c r="M338" s="11">
        <f>INDEX(AG$5:AG$190,MATCH(LARGE(AQ$5:AQ$190,144),AQ$5:AQ$190,0))</f>
        <v>0</v>
      </c>
      <c r="N338" s="11">
        <f>INDEX(AH$5:AH$190,MATCH(LARGE(AQ$5:AQ$190,144),AQ$5:AQ$190,0))</f>
        <v>0</v>
      </c>
      <c r="O338" s="11">
        <f>INDEX(AI$5:AI$190,MATCH(LARGE(AQ$5:AQ$190,144),AQ$5:AQ$190,0))</f>
        <v>0</v>
      </c>
      <c r="P338" s="11">
        <f>INDEX(AJ$5:AJ$190,MATCH(LARGE(AQ$5:AQ$190,144),AQ$5:AQ$190,0))</f>
        <v>0.33333333333333331</v>
      </c>
      <c r="Q338" s="11">
        <f>INDEX(AK$5:AK$190,MATCH(LARGE(AQ$5:AQ$190,144),AQ$5:AQ$190,0))</f>
        <v>0</v>
      </c>
      <c r="R338" s="11">
        <f>INDEX(AL$5:AL$190,MATCH(LARGE(AQ$5:AQ$190,144),AQ$5:AQ$190,0))</f>
        <v>0</v>
      </c>
      <c r="S338" s="11">
        <f>INDEX(AM$5:AM$190,MATCH(LARGE(AQ$5:AQ$190,144),AQ$5:AQ$190,0))</f>
        <v>0.16666666666666666</v>
      </c>
      <c r="T338" s="11">
        <f>INDEX(AN$5:AN$190,MATCH(LARGE(AQ$5:AQ$190,144),AQ$5:AQ$190,0))</f>
        <v>0</v>
      </c>
      <c r="U338" s="11">
        <f>INDEX(AO$5:AO$190,MATCH(LARGE(AQ$5:AQ$190,144),AQ$5:AQ$190,0))</f>
        <v>0.33333333333333331</v>
      </c>
      <c r="V338" s="11">
        <f>INDEX(AP$5:AP$190,MATCH(LARGE(AQ$5:AQ$190,144),AQ$5:AQ$190,0))</f>
        <v>0</v>
      </c>
    </row>
    <row r="339" spans="1:22" ht="15" customHeight="1" x14ac:dyDescent="0.2">
      <c r="A339" s="3">
        <v>145</v>
      </c>
      <c r="B339" s="3" t="str">
        <f>INDEX($A$5:$A$190,MATCH(LARGE(AQ$5:AQ$190,145),AQ$5:AQ$190,0))</f>
        <v>IFleet: getFloatingShips()</v>
      </c>
      <c r="C339" s="11">
        <f>INDEX(W$5:W$190,MATCH(LARGE(AQ$5:AQ$190,145),AQ$5:AQ$190,0))</f>
        <v>2.6315789473684209E-2</v>
      </c>
      <c r="D339" s="11">
        <f>INDEX(X$5:X$190,MATCH(LARGE(AQ$5:AQ$190,145),AQ$5:AQ$190,0))</f>
        <v>0</v>
      </c>
      <c r="E339" s="11">
        <f>INDEX(Y$5:Y$190,MATCH(LARGE(AQ$5:AQ$190,145),AQ$5:AQ$190,0))</f>
        <v>0</v>
      </c>
      <c r="F339" s="11">
        <f>INDEX(Z$5:Z$190,MATCH(LARGE(AQ$5:AQ$190,145),AQ$5:AQ$190,0))</f>
        <v>0</v>
      </c>
      <c r="G339" s="11">
        <f>INDEX(AA$5:AA$190,MATCH(LARGE(AQ$5:AQ$190,145),AQ$5:AQ$190,0))</f>
        <v>0</v>
      </c>
      <c r="H339" s="11">
        <f>INDEX(AB$5:AB$190,MATCH(LARGE(AQ$5:AQ$190,145),AQ$5:AQ$190,0))</f>
        <v>0</v>
      </c>
      <c r="I339" s="11">
        <f>INDEX(AC$5:AC$190,MATCH(LARGE(AQ$5:AQ$190,145),AQ$5:AQ$190,0))</f>
        <v>0</v>
      </c>
      <c r="J339" s="11">
        <f>INDEX(AD$5:AD$190,MATCH(LARGE(AQ$5:AQ$190,145),AQ$5:AQ$190,0))</f>
        <v>0</v>
      </c>
      <c r="K339" s="11">
        <f>INDEX(AE$5:AE$190,MATCH(LARGE(AQ$5:AQ$190,145),AQ$5:AQ$190,0))</f>
        <v>0</v>
      </c>
      <c r="L339" s="11">
        <f>INDEX(AF$5:AF$190,MATCH(LARGE(AQ$5:AQ$190,145),AQ$5:AQ$190,0))</f>
        <v>0</v>
      </c>
      <c r="M339" s="11">
        <f>INDEX(AG$5:AG$190,MATCH(LARGE(AQ$5:AQ$190,145),AQ$5:AQ$190,0))</f>
        <v>0</v>
      </c>
      <c r="N339" s="11">
        <f>INDEX(AH$5:AH$190,MATCH(LARGE(AQ$5:AQ$190,145),AQ$5:AQ$190,0))</f>
        <v>0</v>
      </c>
      <c r="O339" s="11">
        <f>INDEX(AI$5:AI$190,MATCH(LARGE(AQ$5:AQ$190,145),AQ$5:AQ$190,0))</f>
        <v>0</v>
      </c>
      <c r="P339" s="11">
        <f>INDEX(AJ$5:AJ$190,MATCH(LARGE(AQ$5:AQ$190,145),AQ$5:AQ$190,0))</f>
        <v>0.33333333333333331</v>
      </c>
      <c r="Q339" s="11">
        <f>INDEX(AK$5:AK$190,MATCH(LARGE(AQ$5:AQ$190,145),AQ$5:AQ$190,0))</f>
        <v>0</v>
      </c>
      <c r="R339" s="11">
        <f>INDEX(AL$5:AL$190,MATCH(LARGE(AQ$5:AQ$190,145),AQ$5:AQ$190,0))</f>
        <v>0</v>
      </c>
      <c r="S339" s="11">
        <f>INDEX(AM$5:AM$190,MATCH(LARGE(AQ$5:AQ$190,145),AQ$5:AQ$190,0))</f>
        <v>0.16666666666666666</v>
      </c>
      <c r="T339" s="11">
        <f>INDEX(AN$5:AN$190,MATCH(LARGE(AQ$5:AQ$190,145),AQ$5:AQ$190,0))</f>
        <v>0</v>
      </c>
      <c r="U339" s="11">
        <f>INDEX(AO$5:AO$190,MATCH(LARGE(AQ$5:AQ$190,145),AQ$5:AQ$190,0))</f>
        <v>0.33333333333333331</v>
      </c>
      <c r="V339" s="11">
        <f>INDEX(AP$5:AP$190,MATCH(LARGE(AQ$5:AQ$190,145),AQ$5:AQ$190,0))</f>
        <v>0</v>
      </c>
    </row>
    <row r="340" spans="1:22" ht="15" customHeight="1" x14ac:dyDescent="0.2">
      <c r="A340" s="3">
        <v>146</v>
      </c>
      <c r="B340" s="3" t="str">
        <f>INDEX($A$5:$A$190,MATCH(LARGE(AQ$5:AQ$190,146),AQ$5:AQ$190,0))</f>
        <v>IFleet: getFloatingShips()</v>
      </c>
      <c r="C340" s="11">
        <f>INDEX(W$5:W$190,MATCH(LARGE(AQ$5:AQ$190,146),AQ$5:AQ$190,0))</f>
        <v>2.6315789473684209E-2</v>
      </c>
      <c r="D340" s="11">
        <f>INDEX(X$5:X$190,MATCH(LARGE(AQ$5:AQ$190,146),AQ$5:AQ$190,0))</f>
        <v>0</v>
      </c>
      <c r="E340" s="11">
        <f>INDEX(Y$5:Y$190,MATCH(LARGE(AQ$5:AQ$190,146),AQ$5:AQ$190,0))</f>
        <v>0</v>
      </c>
      <c r="F340" s="11">
        <f>INDEX(Z$5:Z$190,MATCH(LARGE(AQ$5:AQ$190,146),AQ$5:AQ$190,0))</f>
        <v>0</v>
      </c>
      <c r="G340" s="11">
        <f>INDEX(AA$5:AA$190,MATCH(LARGE(AQ$5:AQ$190,146),AQ$5:AQ$190,0))</f>
        <v>0</v>
      </c>
      <c r="H340" s="11">
        <f>INDEX(AB$5:AB$190,MATCH(LARGE(AQ$5:AQ$190,146),AQ$5:AQ$190,0))</f>
        <v>0</v>
      </c>
      <c r="I340" s="11">
        <f>INDEX(AC$5:AC$190,MATCH(LARGE(AQ$5:AQ$190,146),AQ$5:AQ$190,0))</f>
        <v>0</v>
      </c>
      <c r="J340" s="11">
        <f>INDEX(AD$5:AD$190,MATCH(LARGE(AQ$5:AQ$190,146),AQ$5:AQ$190,0))</f>
        <v>0</v>
      </c>
      <c r="K340" s="11">
        <f>INDEX(AE$5:AE$190,MATCH(LARGE(AQ$5:AQ$190,146),AQ$5:AQ$190,0))</f>
        <v>0</v>
      </c>
      <c r="L340" s="11">
        <f>INDEX(AF$5:AF$190,MATCH(LARGE(AQ$5:AQ$190,146),AQ$5:AQ$190,0))</f>
        <v>0</v>
      </c>
      <c r="M340" s="11">
        <f>INDEX(AG$5:AG$190,MATCH(LARGE(AQ$5:AQ$190,146),AQ$5:AQ$190,0))</f>
        <v>0</v>
      </c>
      <c r="N340" s="11">
        <f>INDEX(AH$5:AH$190,MATCH(LARGE(AQ$5:AQ$190,146),AQ$5:AQ$190,0))</f>
        <v>0</v>
      </c>
      <c r="O340" s="11">
        <f>INDEX(AI$5:AI$190,MATCH(LARGE(AQ$5:AQ$190,146),AQ$5:AQ$190,0))</f>
        <v>0</v>
      </c>
      <c r="P340" s="11">
        <f>INDEX(AJ$5:AJ$190,MATCH(LARGE(AQ$5:AQ$190,146),AQ$5:AQ$190,0))</f>
        <v>0.33333333333333331</v>
      </c>
      <c r="Q340" s="11">
        <f>INDEX(AK$5:AK$190,MATCH(LARGE(AQ$5:AQ$190,146),AQ$5:AQ$190,0))</f>
        <v>0</v>
      </c>
      <c r="R340" s="11">
        <f>INDEX(AL$5:AL$190,MATCH(LARGE(AQ$5:AQ$190,146),AQ$5:AQ$190,0))</f>
        <v>0</v>
      </c>
      <c r="S340" s="11">
        <f>INDEX(AM$5:AM$190,MATCH(LARGE(AQ$5:AQ$190,146),AQ$5:AQ$190,0))</f>
        <v>0.16666666666666666</v>
      </c>
      <c r="T340" s="11">
        <f>INDEX(AN$5:AN$190,MATCH(LARGE(AQ$5:AQ$190,146),AQ$5:AQ$190,0))</f>
        <v>0</v>
      </c>
      <c r="U340" s="11">
        <f>INDEX(AO$5:AO$190,MATCH(LARGE(AQ$5:AQ$190,146),AQ$5:AQ$190,0))</f>
        <v>0.33333333333333331</v>
      </c>
      <c r="V340" s="11">
        <f>INDEX(AP$5:AP$190,MATCH(LARGE(AQ$5:AQ$190,146),AQ$5:AQ$190,0))</f>
        <v>0</v>
      </c>
    </row>
    <row r="341" spans="1:22" ht="15" customHeight="1" x14ac:dyDescent="0.2">
      <c r="A341" s="3">
        <v>147</v>
      </c>
      <c r="B341" s="3" t="str">
        <f>INDEX($A$5:$A$190,MATCH(LARGE(AQ$5:AQ$190,147),AQ$5:AQ$190,0))</f>
        <v>IFleet: getFloatingShips()</v>
      </c>
      <c r="C341" s="11">
        <f>INDEX(W$5:W$190,MATCH(LARGE(AQ$5:AQ$190,147),AQ$5:AQ$190,0))</f>
        <v>2.6315789473684209E-2</v>
      </c>
      <c r="D341" s="11">
        <f>INDEX(X$5:X$190,MATCH(LARGE(AQ$5:AQ$190,147),AQ$5:AQ$190,0))</f>
        <v>0</v>
      </c>
      <c r="E341" s="11">
        <f>INDEX(Y$5:Y$190,MATCH(LARGE(AQ$5:AQ$190,147),AQ$5:AQ$190,0))</f>
        <v>0</v>
      </c>
      <c r="F341" s="11">
        <f>INDEX(Z$5:Z$190,MATCH(LARGE(AQ$5:AQ$190,147),AQ$5:AQ$190,0))</f>
        <v>0</v>
      </c>
      <c r="G341" s="11">
        <f>INDEX(AA$5:AA$190,MATCH(LARGE(AQ$5:AQ$190,147),AQ$5:AQ$190,0))</f>
        <v>0</v>
      </c>
      <c r="H341" s="11">
        <f>INDEX(AB$5:AB$190,MATCH(LARGE(AQ$5:AQ$190,147),AQ$5:AQ$190,0))</f>
        <v>0</v>
      </c>
      <c r="I341" s="11">
        <f>INDEX(AC$5:AC$190,MATCH(LARGE(AQ$5:AQ$190,147),AQ$5:AQ$190,0))</f>
        <v>0</v>
      </c>
      <c r="J341" s="11">
        <f>INDEX(AD$5:AD$190,MATCH(LARGE(AQ$5:AQ$190,147),AQ$5:AQ$190,0))</f>
        <v>0</v>
      </c>
      <c r="K341" s="11">
        <f>INDEX(AE$5:AE$190,MATCH(LARGE(AQ$5:AQ$190,147),AQ$5:AQ$190,0))</f>
        <v>0</v>
      </c>
      <c r="L341" s="11">
        <f>INDEX(AF$5:AF$190,MATCH(LARGE(AQ$5:AQ$190,147),AQ$5:AQ$190,0))</f>
        <v>0</v>
      </c>
      <c r="M341" s="11">
        <f>INDEX(AG$5:AG$190,MATCH(LARGE(AQ$5:AQ$190,147),AQ$5:AQ$190,0))</f>
        <v>0</v>
      </c>
      <c r="N341" s="11">
        <f>INDEX(AH$5:AH$190,MATCH(LARGE(AQ$5:AQ$190,147),AQ$5:AQ$190,0))</f>
        <v>0</v>
      </c>
      <c r="O341" s="11">
        <f>INDEX(AI$5:AI$190,MATCH(LARGE(AQ$5:AQ$190,147),AQ$5:AQ$190,0))</f>
        <v>0</v>
      </c>
      <c r="P341" s="11">
        <f>INDEX(AJ$5:AJ$190,MATCH(LARGE(AQ$5:AQ$190,147),AQ$5:AQ$190,0))</f>
        <v>0.33333333333333331</v>
      </c>
      <c r="Q341" s="11">
        <f>INDEX(AK$5:AK$190,MATCH(LARGE(AQ$5:AQ$190,147),AQ$5:AQ$190,0))</f>
        <v>0</v>
      </c>
      <c r="R341" s="11">
        <f>INDEX(AL$5:AL$190,MATCH(LARGE(AQ$5:AQ$190,147),AQ$5:AQ$190,0))</f>
        <v>0</v>
      </c>
      <c r="S341" s="11">
        <f>INDEX(AM$5:AM$190,MATCH(LARGE(AQ$5:AQ$190,147),AQ$5:AQ$190,0))</f>
        <v>0.16666666666666666</v>
      </c>
      <c r="T341" s="11">
        <f>INDEX(AN$5:AN$190,MATCH(LARGE(AQ$5:AQ$190,147),AQ$5:AQ$190,0))</f>
        <v>0</v>
      </c>
      <c r="U341" s="11">
        <f>INDEX(AO$5:AO$190,MATCH(LARGE(AQ$5:AQ$190,147),AQ$5:AQ$190,0))</f>
        <v>0.33333333333333331</v>
      </c>
      <c r="V341" s="11">
        <f>INDEX(AP$5:AP$190,MATCH(LARGE(AQ$5:AQ$190,147),AQ$5:AQ$190,0))</f>
        <v>0</v>
      </c>
    </row>
    <row r="342" spans="1:22" ht="15" customHeight="1" x14ac:dyDescent="0.2">
      <c r="A342" s="3">
        <v>148</v>
      </c>
      <c r="B342" s="3" t="str">
        <f>INDEX($A$5:$A$190,MATCH(LARGE(AQ$5:AQ$190,148),AQ$5:AQ$190,0))</f>
        <v>IFleet: getFloatingShips()</v>
      </c>
      <c r="C342" s="11">
        <f>INDEX(W$5:W$190,MATCH(LARGE(AQ$5:AQ$190,148),AQ$5:AQ$190,0))</f>
        <v>2.6315789473684209E-2</v>
      </c>
      <c r="D342" s="11">
        <f>INDEX(X$5:X$190,MATCH(LARGE(AQ$5:AQ$190,148),AQ$5:AQ$190,0))</f>
        <v>0</v>
      </c>
      <c r="E342" s="11">
        <f>INDEX(Y$5:Y$190,MATCH(LARGE(AQ$5:AQ$190,148),AQ$5:AQ$190,0))</f>
        <v>0</v>
      </c>
      <c r="F342" s="11">
        <f>INDEX(Z$5:Z$190,MATCH(LARGE(AQ$5:AQ$190,148),AQ$5:AQ$190,0))</f>
        <v>0</v>
      </c>
      <c r="G342" s="11">
        <f>INDEX(AA$5:AA$190,MATCH(LARGE(AQ$5:AQ$190,148),AQ$5:AQ$190,0))</f>
        <v>0</v>
      </c>
      <c r="H342" s="11">
        <f>INDEX(AB$5:AB$190,MATCH(LARGE(AQ$5:AQ$190,148),AQ$5:AQ$190,0))</f>
        <v>0</v>
      </c>
      <c r="I342" s="11">
        <f>INDEX(AC$5:AC$190,MATCH(LARGE(AQ$5:AQ$190,148),AQ$5:AQ$190,0))</f>
        <v>0</v>
      </c>
      <c r="J342" s="11">
        <f>INDEX(AD$5:AD$190,MATCH(LARGE(AQ$5:AQ$190,148),AQ$5:AQ$190,0))</f>
        <v>0</v>
      </c>
      <c r="K342" s="11">
        <f>INDEX(AE$5:AE$190,MATCH(LARGE(AQ$5:AQ$190,148),AQ$5:AQ$190,0))</f>
        <v>0</v>
      </c>
      <c r="L342" s="11">
        <f>INDEX(AF$5:AF$190,MATCH(LARGE(AQ$5:AQ$190,148),AQ$5:AQ$190,0))</f>
        <v>0</v>
      </c>
      <c r="M342" s="11">
        <f>INDEX(AG$5:AG$190,MATCH(LARGE(AQ$5:AQ$190,148),AQ$5:AQ$190,0))</f>
        <v>0</v>
      </c>
      <c r="N342" s="11">
        <f>INDEX(AH$5:AH$190,MATCH(LARGE(AQ$5:AQ$190,148),AQ$5:AQ$190,0))</f>
        <v>0</v>
      </c>
      <c r="O342" s="11">
        <f>INDEX(AI$5:AI$190,MATCH(LARGE(AQ$5:AQ$190,148),AQ$5:AQ$190,0))</f>
        <v>0</v>
      </c>
      <c r="P342" s="11">
        <f>INDEX(AJ$5:AJ$190,MATCH(LARGE(AQ$5:AQ$190,148),AQ$5:AQ$190,0))</f>
        <v>0.33333333333333331</v>
      </c>
      <c r="Q342" s="11">
        <f>INDEX(AK$5:AK$190,MATCH(LARGE(AQ$5:AQ$190,148),AQ$5:AQ$190,0))</f>
        <v>0</v>
      </c>
      <c r="R342" s="11">
        <f>INDEX(AL$5:AL$190,MATCH(LARGE(AQ$5:AQ$190,148),AQ$5:AQ$190,0))</f>
        <v>0</v>
      </c>
      <c r="S342" s="11">
        <f>INDEX(AM$5:AM$190,MATCH(LARGE(AQ$5:AQ$190,148),AQ$5:AQ$190,0))</f>
        <v>0.16666666666666666</v>
      </c>
      <c r="T342" s="11">
        <f>INDEX(AN$5:AN$190,MATCH(LARGE(AQ$5:AQ$190,148),AQ$5:AQ$190,0))</f>
        <v>0</v>
      </c>
      <c r="U342" s="11">
        <f>INDEX(AO$5:AO$190,MATCH(LARGE(AQ$5:AQ$190,148),AQ$5:AQ$190,0))</f>
        <v>0.33333333333333331</v>
      </c>
      <c r="V342" s="11">
        <f>INDEX(AP$5:AP$190,MATCH(LARGE(AQ$5:AQ$190,148),AQ$5:AQ$190,0))</f>
        <v>0</v>
      </c>
    </row>
    <row r="343" spans="1:22" ht="15" customHeight="1" x14ac:dyDescent="0.2">
      <c r="A343" s="3">
        <v>149</v>
      </c>
      <c r="B343" s="3" t="str">
        <f>INDEX($A$5:$A$190,MATCH(LARGE(AQ$5:AQ$190,149),AQ$5:AQ$190,0))</f>
        <v>IFleet: getFloatingShips()</v>
      </c>
      <c r="C343" s="11">
        <f>INDEX(W$5:W$190,MATCH(LARGE(AQ$5:AQ$190,149),AQ$5:AQ$190,0))</f>
        <v>2.6315789473684209E-2</v>
      </c>
      <c r="D343" s="11">
        <f>INDEX(X$5:X$190,MATCH(LARGE(AQ$5:AQ$190,149),AQ$5:AQ$190,0))</f>
        <v>0</v>
      </c>
      <c r="E343" s="11">
        <f>INDEX(Y$5:Y$190,MATCH(LARGE(AQ$5:AQ$190,149),AQ$5:AQ$190,0))</f>
        <v>0</v>
      </c>
      <c r="F343" s="11">
        <f>INDEX(Z$5:Z$190,MATCH(LARGE(AQ$5:AQ$190,149),AQ$5:AQ$190,0))</f>
        <v>0</v>
      </c>
      <c r="G343" s="11">
        <f>INDEX(AA$5:AA$190,MATCH(LARGE(AQ$5:AQ$190,149),AQ$5:AQ$190,0))</f>
        <v>0</v>
      </c>
      <c r="H343" s="11">
        <f>INDEX(AB$5:AB$190,MATCH(LARGE(AQ$5:AQ$190,149),AQ$5:AQ$190,0))</f>
        <v>0</v>
      </c>
      <c r="I343" s="11">
        <f>INDEX(AC$5:AC$190,MATCH(LARGE(AQ$5:AQ$190,149),AQ$5:AQ$190,0))</f>
        <v>0</v>
      </c>
      <c r="J343" s="11">
        <f>INDEX(AD$5:AD$190,MATCH(LARGE(AQ$5:AQ$190,149),AQ$5:AQ$190,0))</f>
        <v>0</v>
      </c>
      <c r="K343" s="11">
        <f>INDEX(AE$5:AE$190,MATCH(LARGE(AQ$5:AQ$190,149),AQ$5:AQ$190,0))</f>
        <v>0</v>
      </c>
      <c r="L343" s="11">
        <f>INDEX(AF$5:AF$190,MATCH(LARGE(AQ$5:AQ$190,149),AQ$5:AQ$190,0))</f>
        <v>0</v>
      </c>
      <c r="M343" s="11">
        <f>INDEX(AG$5:AG$190,MATCH(LARGE(AQ$5:AQ$190,149),AQ$5:AQ$190,0))</f>
        <v>0</v>
      </c>
      <c r="N343" s="11">
        <f>INDEX(AH$5:AH$190,MATCH(LARGE(AQ$5:AQ$190,149),AQ$5:AQ$190,0))</f>
        <v>0</v>
      </c>
      <c r="O343" s="11">
        <f>INDEX(AI$5:AI$190,MATCH(LARGE(AQ$5:AQ$190,149),AQ$5:AQ$190,0))</f>
        <v>0</v>
      </c>
      <c r="P343" s="11">
        <f>INDEX(AJ$5:AJ$190,MATCH(LARGE(AQ$5:AQ$190,149),AQ$5:AQ$190,0))</f>
        <v>0.33333333333333331</v>
      </c>
      <c r="Q343" s="11">
        <f>INDEX(AK$5:AK$190,MATCH(LARGE(AQ$5:AQ$190,149),AQ$5:AQ$190,0))</f>
        <v>0</v>
      </c>
      <c r="R343" s="11">
        <f>INDEX(AL$5:AL$190,MATCH(LARGE(AQ$5:AQ$190,149),AQ$5:AQ$190,0))</f>
        <v>0</v>
      </c>
      <c r="S343" s="11">
        <f>INDEX(AM$5:AM$190,MATCH(LARGE(AQ$5:AQ$190,149),AQ$5:AQ$190,0))</f>
        <v>0.16666666666666666</v>
      </c>
      <c r="T343" s="11">
        <f>INDEX(AN$5:AN$190,MATCH(LARGE(AQ$5:AQ$190,149),AQ$5:AQ$190,0))</f>
        <v>0</v>
      </c>
      <c r="U343" s="11">
        <f>INDEX(AO$5:AO$190,MATCH(LARGE(AQ$5:AQ$190,149),AQ$5:AQ$190,0))</f>
        <v>0.33333333333333331</v>
      </c>
      <c r="V343" s="11">
        <f>INDEX(AP$5:AP$190,MATCH(LARGE(AQ$5:AQ$190,149),AQ$5:AQ$190,0))</f>
        <v>0</v>
      </c>
    </row>
    <row r="344" spans="1:22" ht="15" customHeight="1" x14ac:dyDescent="0.2">
      <c r="A344" s="3">
        <v>150</v>
      </c>
      <c r="B344" s="3" t="str">
        <f>INDEX($A$5:$A$190,MATCH(LARGE(AQ$5:AQ$190,150),AQ$5:AQ$190,0))</f>
        <v>IFleet: getFloatingShips()</v>
      </c>
      <c r="C344" s="11">
        <f>INDEX(W$5:W$190,MATCH(LARGE(AQ$5:AQ$190,150),AQ$5:AQ$190,0))</f>
        <v>2.6315789473684209E-2</v>
      </c>
      <c r="D344" s="11">
        <f>INDEX(X$5:X$190,MATCH(LARGE(AQ$5:AQ$190,150),AQ$5:AQ$190,0))</f>
        <v>0</v>
      </c>
      <c r="E344" s="11">
        <f>INDEX(Y$5:Y$190,MATCH(LARGE(AQ$5:AQ$190,150),AQ$5:AQ$190,0))</f>
        <v>0</v>
      </c>
      <c r="F344" s="11">
        <f>INDEX(Z$5:Z$190,MATCH(LARGE(AQ$5:AQ$190,150),AQ$5:AQ$190,0))</f>
        <v>0</v>
      </c>
      <c r="G344" s="11">
        <f>INDEX(AA$5:AA$190,MATCH(LARGE(AQ$5:AQ$190,150),AQ$5:AQ$190,0))</f>
        <v>0</v>
      </c>
      <c r="H344" s="11">
        <f>INDEX(AB$5:AB$190,MATCH(LARGE(AQ$5:AQ$190,150),AQ$5:AQ$190,0))</f>
        <v>0</v>
      </c>
      <c r="I344" s="11">
        <f>INDEX(AC$5:AC$190,MATCH(LARGE(AQ$5:AQ$190,150),AQ$5:AQ$190,0))</f>
        <v>0</v>
      </c>
      <c r="J344" s="11">
        <f>INDEX(AD$5:AD$190,MATCH(LARGE(AQ$5:AQ$190,150),AQ$5:AQ$190,0))</f>
        <v>0</v>
      </c>
      <c r="K344" s="11">
        <f>INDEX(AE$5:AE$190,MATCH(LARGE(AQ$5:AQ$190,150),AQ$5:AQ$190,0))</f>
        <v>0</v>
      </c>
      <c r="L344" s="11">
        <f>INDEX(AF$5:AF$190,MATCH(LARGE(AQ$5:AQ$190,150),AQ$5:AQ$190,0))</f>
        <v>0</v>
      </c>
      <c r="M344" s="11">
        <f>INDEX(AG$5:AG$190,MATCH(LARGE(AQ$5:AQ$190,150),AQ$5:AQ$190,0))</f>
        <v>0</v>
      </c>
      <c r="N344" s="11">
        <f>INDEX(AH$5:AH$190,MATCH(LARGE(AQ$5:AQ$190,150),AQ$5:AQ$190,0))</f>
        <v>0</v>
      </c>
      <c r="O344" s="11">
        <f>INDEX(AI$5:AI$190,MATCH(LARGE(AQ$5:AQ$190,150),AQ$5:AQ$190,0))</f>
        <v>0</v>
      </c>
      <c r="P344" s="11">
        <f>INDEX(AJ$5:AJ$190,MATCH(LARGE(AQ$5:AQ$190,150),AQ$5:AQ$190,0))</f>
        <v>0.33333333333333331</v>
      </c>
      <c r="Q344" s="11">
        <f>INDEX(AK$5:AK$190,MATCH(LARGE(AQ$5:AQ$190,150),AQ$5:AQ$190,0))</f>
        <v>0</v>
      </c>
      <c r="R344" s="11">
        <f>INDEX(AL$5:AL$190,MATCH(LARGE(AQ$5:AQ$190,150),AQ$5:AQ$190,0))</f>
        <v>0</v>
      </c>
      <c r="S344" s="11">
        <f>INDEX(AM$5:AM$190,MATCH(LARGE(AQ$5:AQ$190,150),AQ$5:AQ$190,0))</f>
        <v>0.16666666666666666</v>
      </c>
      <c r="T344" s="11">
        <f>INDEX(AN$5:AN$190,MATCH(LARGE(AQ$5:AQ$190,150),AQ$5:AQ$190,0))</f>
        <v>0</v>
      </c>
      <c r="U344" s="11">
        <f>INDEX(AO$5:AO$190,MATCH(LARGE(AQ$5:AQ$190,150),AQ$5:AQ$190,0))</f>
        <v>0.33333333333333331</v>
      </c>
      <c r="V344" s="11">
        <f>INDEX(AP$5:AP$190,MATCH(LARGE(AQ$5:AQ$190,150),AQ$5:AQ$190,0))</f>
        <v>0</v>
      </c>
    </row>
    <row r="345" spans="1:22" ht="15" customHeight="1" x14ac:dyDescent="0.2">
      <c r="A345" s="3">
        <v>151</v>
      </c>
      <c r="B345" s="3" t="str">
        <f>INDEX($A$5:$A$190,MATCH(LARGE(AQ$5:AQ$190,151),AQ$5:AQ$190,0))</f>
        <v>IFleet: getFloatingShips()</v>
      </c>
      <c r="C345" s="11">
        <f>INDEX(W$5:W$190,MATCH(LARGE(AQ$5:AQ$190,151),AQ$5:AQ$190,0))</f>
        <v>2.6315789473684209E-2</v>
      </c>
      <c r="D345" s="11">
        <f>INDEX(X$5:X$190,MATCH(LARGE(AQ$5:AQ$190,151),AQ$5:AQ$190,0))</f>
        <v>0</v>
      </c>
      <c r="E345" s="11">
        <f>INDEX(Y$5:Y$190,MATCH(LARGE(AQ$5:AQ$190,151),AQ$5:AQ$190,0))</f>
        <v>0</v>
      </c>
      <c r="F345" s="11">
        <f>INDEX(Z$5:Z$190,MATCH(LARGE(AQ$5:AQ$190,151),AQ$5:AQ$190,0))</f>
        <v>0</v>
      </c>
      <c r="G345" s="11">
        <f>INDEX(AA$5:AA$190,MATCH(LARGE(AQ$5:AQ$190,151),AQ$5:AQ$190,0))</f>
        <v>0</v>
      </c>
      <c r="H345" s="11">
        <f>INDEX(AB$5:AB$190,MATCH(LARGE(AQ$5:AQ$190,151),AQ$5:AQ$190,0))</f>
        <v>0</v>
      </c>
      <c r="I345" s="11">
        <f>INDEX(AC$5:AC$190,MATCH(LARGE(AQ$5:AQ$190,151),AQ$5:AQ$190,0))</f>
        <v>0</v>
      </c>
      <c r="J345" s="11">
        <f>INDEX(AD$5:AD$190,MATCH(LARGE(AQ$5:AQ$190,151),AQ$5:AQ$190,0))</f>
        <v>0</v>
      </c>
      <c r="K345" s="11">
        <f>INDEX(AE$5:AE$190,MATCH(LARGE(AQ$5:AQ$190,151),AQ$5:AQ$190,0))</f>
        <v>0</v>
      </c>
      <c r="L345" s="11">
        <f>INDEX(AF$5:AF$190,MATCH(LARGE(AQ$5:AQ$190,151),AQ$5:AQ$190,0))</f>
        <v>0</v>
      </c>
      <c r="M345" s="11">
        <f>INDEX(AG$5:AG$190,MATCH(LARGE(AQ$5:AQ$190,151),AQ$5:AQ$190,0))</f>
        <v>0</v>
      </c>
      <c r="N345" s="11">
        <f>INDEX(AH$5:AH$190,MATCH(LARGE(AQ$5:AQ$190,151),AQ$5:AQ$190,0))</f>
        <v>0</v>
      </c>
      <c r="O345" s="11">
        <f>INDEX(AI$5:AI$190,MATCH(LARGE(AQ$5:AQ$190,151),AQ$5:AQ$190,0))</f>
        <v>0</v>
      </c>
      <c r="P345" s="11">
        <f>INDEX(AJ$5:AJ$190,MATCH(LARGE(AQ$5:AQ$190,151),AQ$5:AQ$190,0))</f>
        <v>0.33333333333333331</v>
      </c>
      <c r="Q345" s="11">
        <f>INDEX(AK$5:AK$190,MATCH(LARGE(AQ$5:AQ$190,151),AQ$5:AQ$190,0))</f>
        <v>0</v>
      </c>
      <c r="R345" s="11">
        <f>INDEX(AL$5:AL$190,MATCH(LARGE(AQ$5:AQ$190,151),AQ$5:AQ$190,0))</f>
        <v>0</v>
      </c>
      <c r="S345" s="11">
        <f>INDEX(AM$5:AM$190,MATCH(LARGE(AQ$5:AQ$190,151),AQ$5:AQ$190,0))</f>
        <v>0.16666666666666666</v>
      </c>
      <c r="T345" s="11">
        <f>INDEX(AN$5:AN$190,MATCH(LARGE(AQ$5:AQ$190,151),AQ$5:AQ$190,0))</f>
        <v>0</v>
      </c>
      <c r="U345" s="11">
        <f>INDEX(AO$5:AO$190,MATCH(LARGE(AQ$5:AQ$190,151),AQ$5:AQ$190,0))</f>
        <v>0.33333333333333331</v>
      </c>
      <c r="V345" s="11">
        <f>INDEX(AP$5:AP$190,MATCH(LARGE(AQ$5:AQ$190,151),AQ$5:AQ$190,0))</f>
        <v>0</v>
      </c>
    </row>
    <row r="346" spans="1:22" ht="15" customHeight="1" x14ac:dyDescent="0.2">
      <c r="A346" s="3">
        <v>152</v>
      </c>
      <c r="B346" s="3" t="str">
        <f>INDEX($A$5:$A$190,MATCH(LARGE(AQ$5:AQ$190,152),AQ$5:AQ$190,0))</f>
        <v>IGame: printAlienBoard(boolean, boolean)</v>
      </c>
      <c r="C346" s="11">
        <f>INDEX(W$5:W$190,MATCH(LARGE(AQ$5:AQ$190,152),AQ$5:AQ$190,0))</f>
        <v>2.6315789473684209E-2</v>
      </c>
      <c r="D346" s="11">
        <f>INDEX(X$5:X$190,MATCH(LARGE(AQ$5:AQ$190,152),AQ$5:AQ$190,0))</f>
        <v>0</v>
      </c>
      <c r="E346" s="11">
        <f>INDEX(Y$5:Y$190,MATCH(LARGE(AQ$5:AQ$190,152),AQ$5:AQ$190,0))</f>
        <v>0</v>
      </c>
      <c r="F346" s="11">
        <f>INDEX(Z$5:Z$190,MATCH(LARGE(AQ$5:AQ$190,152),AQ$5:AQ$190,0))</f>
        <v>0</v>
      </c>
      <c r="G346" s="11">
        <f>INDEX(AA$5:AA$190,MATCH(LARGE(AQ$5:AQ$190,152),AQ$5:AQ$190,0))</f>
        <v>0</v>
      </c>
      <c r="H346" s="11">
        <f>INDEX(AB$5:AB$190,MATCH(LARGE(AQ$5:AQ$190,152),AQ$5:AQ$190,0))</f>
        <v>0</v>
      </c>
      <c r="I346" s="11">
        <f>INDEX(AC$5:AC$190,MATCH(LARGE(AQ$5:AQ$190,152),AQ$5:AQ$190,0))</f>
        <v>0</v>
      </c>
      <c r="J346" s="11">
        <f>INDEX(AD$5:AD$190,MATCH(LARGE(AQ$5:AQ$190,152),AQ$5:AQ$190,0))</f>
        <v>0</v>
      </c>
      <c r="K346" s="11">
        <f>INDEX(AE$5:AE$190,MATCH(LARGE(AQ$5:AQ$190,152),AQ$5:AQ$190,0))</f>
        <v>0</v>
      </c>
      <c r="L346" s="11">
        <f>INDEX(AF$5:AF$190,MATCH(LARGE(AQ$5:AQ$190,152),AQ$5:AQ$190,0))</f>
        <v>8.1081081081081086E-3</v>
      </c>
      <c r="M346" s="11">
        <f>INDEX(AG$5:AG$190,MATCH(LARGE(AQ$5:AQ$190,152),AQ$5:AQ$190,0))</f>
        <v>2.0408163265306121E-2</v>
      </c>
      <c r="N346" s="11">
        <f>INDEX(AH$5:AH$190,MATCH(LARGE(AQ$5:AQ$190,152),AQ$5:AQ$190,0))</f>
        <v>1.2257692989408619E-3</v>
      </c>
      <c r="O346" s="11">
        <f>INDEX(AI$5:AI$190,MATCH(LARGE(AQ$5:AQ$190,152),AQ$5:AQ$190,0))</f>
        <v>0</v>
      </c>
      <c r="P346" s="11">
        <f>INDEX(AJ$5:AJ$190,MATCH(LARGE(AQ$5:AQ$190,152),AQ$5:AQ$190,0))</f>
        <v>0</v>
      </c>
      <c r="Q346" s="11">
        <f>INDEX(AK$5:AK$190,MATCH(LARGE(AQ$5:AQ$190,152),AQ$5:AQ$190,0))</f>
        <v>0</v>
      </c>
      <c r="R346" s="11">
        <f>INDEX(AL$5:AL$190,MATCH(LARGE(AQ$5:AQ$190,152),AQ$5:AQ$190,0))</f>
        <v>0</v>
      </c>
      <c r="S346" s="11">
        <f>INDEX(AM$5:AM$190,MATCH(LARGE(AQ$5:AQ$190,152),AQ$5:AQ$190,0))</f>
        <v>0.16666666666666666</v>
      </c>
      <c r="T346" s="11">
        <f>INDEX(AN$5:AN$190,MATCH(LARGE(AQ$5:AQ$190,152),AQ$5:AQ$190,0))</f>
        <v>0</v>
      </c>
      <c r="U346" s="11">
        <f>INDEX(AO$5:AO$190,MATCH(LARGE(AQ$5:AQ$190,152),AQ$5:AQ$190,0))</f>
        <v>0</v>
      </c>
      <c r="V346" s="11">
        <f>INDEX(AP$5:AP$190,MATCH(LARGE(AQ$5:AQ$190,152),AQ$5:AQ$190,0))</f>
        <v>0.5</v>
      </c>
    </row>
    <row r="347" spans="1:22" ht="15" customHeight="1" x14ac:dyDescent="0.2">
      <c r="A347" s="3">
        <v>153</v>
      </c>
      <c r="B347" s="3" t="str">
        <f>INDEX($A$5:$A$190,MATCH(LARGE(AQ$5:AQ$190,153),AQ$5:AQ$190,0))</f>
        <v>IGame: printAlienBoard(boolean, boolean)</v>
      </c>
      <c r="C347" s="11">
        <f>INDEX(W$5:W$190,MATCH(LARGE(AQ$5:AQ$190,153),AQ$5:AQ$190,0))</f>
        <v>2.6315789473684209E-2</v>
      </c>
      <c r="D347" s="11">
        <f>INDEX(X$5:X$190,MATCH(LARGE(AQ$5:AQ$190,153),AQ$5:AQ$190,0))</f>
        <v>0</v>
      </c>
      <c r="E347" s="11">
        <f>INDEX(Y$5:Y$190,MATCH(LARGE(AQ$5:AQ$190,153),AQ$5:AQ$190,0))</f>
        <v>0</v>
      </c>
      <c r="F347" s="11">
        <f>INDEX(Z$5:Z$190,MATCH(LARGE(AQ$5:AQ$190,153),AQ$5:AQ$190,0))</f>
        <v>0</v>
      </c>
      <c r="G347" s="11">
        <f>INDEX(AA$5:AA$190,MATCH(LARGE(AQ$5:AQ$190,153),AQ$5:AQ$190,0))</f>
        <v>0</v>
      </c>
      <c r="H347" s="11">
        <f>INDEX(AB$5:AB$190,MATCH(LARGE(AQ$5:AQ$190,153),AQ$5:AQ$190,0))</f>
        <v>0</v>
      </c>
      <c r="I347" s="11">
        <f>INDEX(AC$5:AC$190,MATCH(LARGE(AQ$5:AQ$190,153),AQ$5:AQ$190,0))</f>
        <v>0</v>
      </c>
      <c r="J347" s="11">
        <f>INDEX(AD$5:AD$190,MATCH(LARGE(AQ$5:AQ$190,153),AQ$5:AQ$190,0))</f>
        <v>0</v>
      </c>
      <c r="K347" s="11">
        <f>INDEX(AE$5:AE$190,MATCH(LARGE(AQ$5:AQ$190,153),AQ$5:AQ$190,0))</f>
        <v>0</v>
      </c>
      <c r="L347" s="11">
        <f>INDEX(AF$5:AF$190,MATCH(LARGE(AQ$5:AQ$190,153),AQ$5:AQ$190,0))</f>
        <v>8.1081081081081086E-3</v>
      </c>
      <c r="M347" s="11">
        <f>INDEX(AG$5:AG$190,MATCH(LARGE(AQ$5:AQ$190,153),AQ$5:AQ$190,0))</f>
        <v>2.0408163265306121E-2</v>
      </c>
      <c r="N347" s="11">
        <f>INDEX(AH$5:AH$190,MATCH(LARGE(AQ$5:AQ$190,153),AQ$5:AQ$190,0))</f>
        <v>1.2257692989408619E-3</v>
      </c>
      <c r="O347" s="11">
        <f>INDEX(AI$5:AI$190,MATCH(LARGE(AQ$5:AQ$190,153),AQ$5:AQ$190,0))</f>
        <v>0</v>
      </c>
      <c r="P347" s="11">
        <f>INDEX(AJ$5:AJ$190,MATCH(LARGE(AQ$5:AQ$190,153),AQ$5:AQ$190,0))</f>
        <v>0</v>
      </c>
      <c r="Q347" s="11">
        <f>INDEX(AK$5:AK$190,MATCH(LARGE(AQ$5:AQ$190,153),AQ$5:AQ$190,0))</f>
        <v>0</v>
      </c>
      <c r="R347" s="11">
        <f>INDEX(AL$5:AL$190,MATCH(LARGE(AQ$5:AQ$190,153),AQ$5:AQ$190,0))</f>
        <v>0</v>
      </c>
      <c r="S347" s="11">
        <f>INDEX(AM$5:AM$190,MATCH(LARGE(AQ$5:AQ$190,153),AQ$5:AQ$190,0))</f>
        <v>0.16666666666666666</v>
      </c>
      <c r="T347" s="11">
        <f>INDEX(AN$5:AN$190,MATCH(LARGE(AQ$5:AQ$190,153),AQ$5:AQ$190,0))</f>
        <v>0</v>
      </c>
      <c r="U347" s="11">
        <f>INDEX(AO$5:AO$190,MATCH(LARGE(AQ$5:AQ$190,153),AQ$5:AQ$190,0))</f>
        <v>0</v>
      </c>
      <c r="V347" s="11">
        <f>INDEX(AP$5:AP$190,MATCH(LARGE(AQ$5:AQ$190,153),AQ$5:AQ$190,0))</f>
        <v>0.5</v>
      </c>
    </row>
    <row r="348" spans="1:22" ht="15" customHeight="1" x14ac:dyDescent="0.2">
      <c r="A348" s="3">
        <v>154</v>
      </c>
      <c r="B348" s="3" t="str">
        <f>INDEX($A$5:$A$190,MATCH(LARGE(AQ$5:AQ$190,154),AQ$5:AQ$190,0))</f>
        <v>IGame: fireSingleShot(IPosition, boolean)</v>
      </c>
      <c r="C348" s="11">
        <f>INDEX(W$5:W$190,MATCH(LARGE(AQ$5:AQ$190,154),AQ$5:AQ$190,0))</f>
        <v>2.6315789473684209E-2</v>
      </c>
      <c r="D348" s="11">
        <f>INDEX(X$5:X$190,MATCH(LARGE(AQ$5:AQ$190,154),AQ$5:AQ$190,0))</f>
        <v>0</v>
      </c>
      <c r="E348" s="11">
        <f>INDEX(Y$5:Y$190,MATCH(LARGE(AQ$5:AQ$190,154),AQ$5:AQ$190,0))</f>
        <v>0</v>
      </c>
      <c r="F348" s="11">
        <f>INDEX(Z$5:Z$190,MATCH(LARGE(AQ$5:AQ$190,154),AQ$5:AQ$190,0))</f>
        <v>0</v>
      </c>
      <c r="G348" s="11">
        <f>INDEX(AA$5:AA$190,MATCH(LARGE(AQ$5:AQ$190,154),AQ$5:AQ$190,0))</f>
        <v>0</v>
      </c>
      <c r="H348" s="11">
        <f>INDEX(AB$5:AB$190,MATCH(LARGE(AQ$5:AQ$190,154),AQ$5:AQ$190,0))</f>
        <v>0</v>
      </c>
      <c r="I348" s="11">
        <f>INDEX(AC$5:AC$190,MATCH(LARGE(AQ$5:AQ$190,154),AQ$5:AQ$190,0))</f>
        <v>0</v>
      </c>
      <c r="J348" s="11">
        <f>INDEX(AD$5:AD$190,MATCH(LARGE(AQ$5:AQ$190,154),AQ$5:AQ$190,0))</f>
        <v>0</v>
      </c>
      <c r="K348" s="11">
        <f>INDEX(AE$5:AE$190,MATCH(LARGE(AQ$5:AQ$190,154),AQ$5:AQ$190,0))</f>
        <v>0</v>
      </c>
      <c r="L348" s="11">
        <f>INDEX(AF$5:AF$190,MATCH(LARGE(AQ$5:AQ$190,154),AQ$5:AQ$190,0))</f>
        <v>2.7027027027027029E-3</v>
      </c>
      <c r="M348" s="11">
        <f>INDEX(AG$5:AG$190,MATCH(LARGE(AQ$5:AQ$190,154),AQ$5:AQ$190,0))</f>
        <v>1.020408163265306E-2</v>
      </c>
      <c r="N348" s="11">
        <f>INDEX(AH$5:AH$190,MATCH(LARGE(AQ$5:AQ$190,154),AQ$5:AQ$190,0))</f>
        <v>0</v>
      </c>
      <c r="O348" s="11">
        <f>INDEX(AI$5:AI$190,MATCH(LARGE(AQ$5:AQ$190,154),AQ$5:AQ$190,0))</f>
        <v>0</v>
      </c>
      <c r="P348" s="11">
        <f>INDEX(AJ$5:AJ$190,MATCH(LARGE(AQ$5:AQ$190,154),AQ$5:AQ$190,0))</f>
        <v>0</v>
      </c>
      <c r="Q348" s="11">
        <f>INDEX(AK$5:AK$190,MATCH(LARGE(AQ$5:AQ$190,154),AQ$5:AQ$190,0))</f>
        <v>0</v>
      </c>
      <c r="R348" s="11">
        <f>INDEX(AL$5:AL$190,MATCH(LARGE(AQ$5:AQ$190,154),AQ$5:AQ$190,0))</f>
        <v>0</v>
      </c>
      <c r="S348" s="11">
        <f>INDEX(AM$5:AM$190,MATCH(LARGE(AQ$5:AQ$190,154),AQ$5:AQ$190,0))</f>
        <v>0.16666666666666666</v>
      </c>
      <c r="T348" s="11">
        <f>INDEX(AN$5:AN$190,MATCH(LARGE(AQ$5:AQ$190,154),AQ$5:AQ$190,0))</f>
        <v>0</v>
      </c>
      <c r="U348" s="11">
        <f>INDEX(AO$5:AO$190,MATCH(LARGE(AQ$5:AQ$190,154),AQ$5:AQ$190,0))</f>
        <v>0</v>
      </c>
      <c r="V348" s="11">
        <f>INDEX(AP$5:AP$190,MATCH(LARGE(AQ$5:AQ$190,154),AQ$5:AQ$190,0))</f>
        <v>0.5</v>
      </c>
    </row>
    <row r="349" spans="1:22" ht="15" customHeight="1" x14ac:dyDescent="0.2">
      <c r="A349" s="3">
        <v>155</v>
      </c>
      <c r="B349" s="3" t="str">
        <f>INDEX($A$5:$A$190,MATCH(LARGE(AQ$5:AQ$190,155),AQ$5:AQ$190,0))</f>
        <v>IMove: getNumber()</v>
      </c>
      <c r="C349" s="11">
        <f>INDEX(W$5:W$190,MATCH(LARGE(AQ$5:AQ$190,155),AQ$5:AQ$190,0))</f>
        <v>2.6315789473684209E-2</v>
      </c>
      <c r="D349" s="11">
        <f>INDEX(X$5:X$190,MATCH(LARGE(AQ$5:AQ$190,155),AQ$5:AQ$190,0))</f>
        <v>0</v>
      </c>
      <c r="E349" s="11">
        <f>INDEX(Y$5:Y$190,MATCH(LARGE(AQ$5:AQ$190,155),AQ$5:AQ$190,0))</f>
        <v>0</v>
      </c>
      <c r="F349" s="11">
        <f>INDEX(Z$5:Z$190,MATCH(LARGE(AQ$5:AQ$190,155),AQ$5:AQ$190,0))</f>
        <v>0</v>
      </c>
      <c r="G349" s="11">
        <f>INDEX(AA$5:AA$190,MATCH(LARGE(AQ$5:AQ$190,155),AQ$5:AQ$190,0))</f>
        <v>0</v>
      </c>
      <c r="H349" s="11">
        <f>INDEX(AB$5:AB$190,MATCH(LARGE(AQ$5:AQ$190,155),AQ$5:AQ$190,0))</f>
        <v>0</v>
      </c>
      <c r="I349" s="11">
        <f>INDEX(AC$5:AC$190,MATCH(LARGE(AQ$5:AQ$190,155),AQ$5:AQ$190,0))</f>
        <v>0</v>
      </c>
      <c r="J349" s="11">
        <f>INDEX(AD$5:AD$190,MATCH(LARGE(AQ$5:AQ$190,155),AQ$5:AQ$190,0))</f>
        <v>0</v>
      </c>
      <c r="K349" s="11">
        <f>INDEX(AE$5:AE$190,MATCH(LARGE(AQ$5:AQ$190,155),AQ$5:AQ$190,0))</f>
        <v>0</v>
      </c>
      <c r="L349" s="11">
        <f>INDEX(AF$5:AF$190,MATCH(LARGE(AQ$5:AQ$190,155),AQ$5:AQ$190,0))</f>
        <v>2.7027027027027029E-3</v>
      </c>
      <c r="M349" s="11">
        <f>INDEX(AG$5:AG$190,MATCH(LARGE(AQ$5:AQ$190,155),AQ$5:AQ$190,0))</f>
        <v>1.020408163265306E-2</v>
      </c>
      <c r="N349" s="11">
        <f>INDEX(AH$5:AH$190,MATCH(LARGE(AQ$5:AQ$190,155),AQ$5:AQ$190,0))</f>
        <v>0</v>
      </c>
      <c r="O349" s="11">
        <f>INDEX(AI$5:AI$190,MATCH(LARGE(AQ$5:AQ$190,155),AQ$5:AQ$190,0))</f>
        <v>0</v>
      </c>
      <c r="P349" s="11">
        <f>INDEX(AJ$5:AJ$190,MATCH(LARGE(AQ$5:AQ$190,155),AQ$5:AQ$190,0))</f>
        <v>0.33333333333333331</v>
      </c>
      <c r="Q349" s="11">
        <f>INDEX(AK$5:AK$190,MATCH(LARGE(AQ$5:AQ$190,155),AQ$5:AQ$190,0))</f>
        <v>0</v>
      </c>
      <c r="R349" s="11">
        <f>INDEX(AL$5:AL$190,MATCH(LARGE(AQ$5:AQ$190,155),AQ$5:AQ$190,0))</f>
        <v>0</v>
      </c>
      <c r="S349" s="11">
        <f>INDEX(AM$5:AM$190,MATCH(LARGE(AQ$5:AQ$190,155),AQ$5:AQ$190,0))</f>
        <v>0.16666666666666666</v>
      </c>
      <c r="T349" s="11">
        <f>INDEX(AN$5:AN$190,MATCH(LARGE(AQ$5:AQ$190,155),AQ$5:AQ$190,0))</f>
        <v>0</v>
      </c>
      <c r="U349" s="11">
        <f>INDEX(AO$5:AO$190,MATCH(LARGE(AQ$5:AQ$190,155),AQ$5:AQ$190,0))</f>
        <v>8.3333333333333329E-2</v>
      </c>
      <c r="V349" s="11">
        <f>INDEX(AP$5:AP$190,MATCH(LARGE(AQ$5:AQ$190,155),AQ$5:AQ$190,0))</f>
        <v>0</v>
      </c>
    </row>
    <row r="350" spans="1:22" ht="15" customHeight="1" x14ac:dyDescent="0.2">
      <c r="A350" s="3">
        <v>156</v>
      </c>
      <c r="B350" s="3" t="str">
        <f>INDEX($A$5:$A$190,MATCH(LARGE(AQ$5:AQ$190,156),AQ$5:AQ$190,0))</f>
        <v>IMove: getShotResults()</v>
      </c>
      <c r="C350" s="11">
        <f>INDEX(W$5:W$190,MATCH(LARGE(AQ$5:AQ$190,156),AQ$5:AQ$190,0))</f>
        <v>2.6315789473684209E-2</v>
      </c>
      <c r="D350" s="11">
        <f>INDEX(X$5:X$190,MATCH(LARGE(AQ$5:AQ$190,156),AQ$5:AQ$190,0))</f>
        <v>0</v>
      </c>
      <c r="E350" s="11">
        <f>INDEX(Y$5:Y$190,MATCH(LARGE(AQ$5:AQ$190,156),AQ$5:AQ$190,0))</f>
        <v>0</v>
      </c>
      <c r="F350" s="11">
        <f>INDEX(Z$5:Z$190,MATCH(LARGE(AQ$5:AQ$190,156),AQ$5:AQ$190,0))</f>
        <v>0</v>
      </c>
      <c r="G350" s="11">
        <f>INDEX(AA$5:AA$190,MATCH(LARGE(AQ$5:AQ$190,156),AQ$5:AQ$190,0))</f>
        <v>0</v>
      </c>
      <c r="H350" s="11">
        <f>INDEX(AB$5:AB$190,MATCH(LARGE(AQ$5:AQ$190,156),AQ$5:AQ$190,0))</f>
        <v>0</v>
      </c>
      <c r="I350" s="11">
        <f>INDEX(AC$5:AC$190,MATCH(LARGE(AQ$5:AQ$190,156),AQ$5:AQ$190,0))</f>
        <v>0</v>
      </c>
      <c r="J350" s="11">
        <f>INDEX(AD$5:AD$190,MATCH(LARGE(AQ$5:AQ$190,156),AQ$5:AQ$190,0))</f>
        <v>0</v>
      </c>
      <c r="K350" s="11">
        <f>INDEX(AE$5:AE$190,MATCH(LARGE(AQ$5:AQ$190,156),AQ$5:AQ$190,0))</f>
        <v>0</v>
      </c>
      <c r="L350" s="11">
        <f>INDEX(AF$5:AF$190,MATCH(LARGE(AQ$5:AQ$190,156),AQ$5:AQ$190,0))</f>
        <v>0</v>
      </c>
      <c r="M350" s="11">
        <f>INDEX(AG$5:AG$190,MATCH(LARGE(AQ$5:AQ$190,156),AQ$5:AQ$190,0))</f>
        <v>0</v>
      </c>
      <c r="N350" s="11">
        <f>INDEX(AH$5:AH$190,MATCH(LARGE(AQ$5:AQ$190,156),AQ$5:AQ$190,0))</f>
        <v>0</v>
      </c>
      <c r="O350" s="11">
        <f>INDEX(AI$5:AI$190,MATCH(LARGE(AQ$5:AQ$190,156),AQ$5:AQ$190,0))</f>
        <v>0</v>
      </c>
      <c r="P350" s="11">
        <f>INDEX(AJ$5:AJ$190,MATCH(LARGE(AQ$5:AQ$190,156),AQ$5:AQ$190,0))</f>
        <v>0.33333333333333331</v>
      </c>
      <c r="Q350" s="11">
        <f>INDEX(AK$5:AK$190,MATCH(LARGE(AQ$5:AQ$190,156),AQ$5:AQ$190,0))</f>
        <v>0</v>
      </c>
      <c r="R350" s="11">
        <f>INDEX(AL$5:AL$190,MATCH(LARGE(AQ$5:AQ$190,156),AQ$5:AQ$190,0))</f>
        <v>0</v>
      </c>
      <c r="S350" s="11">
        <f>INDEX(AM$5:AM$190,MATCH(LARGE(AQ$5:AQ$190,156),AQ$5:AQ$190,0))</f>
        <v>0.16666666666666666</v>
      </c>
      <c r="T350" s="11">
        <f>INDEX(AN$5:AN$190,MATCH(LARGE(AQ$5:AQ$190,156),AQ$5:AQ$190,0))</f>
        <v>0</v>
      </c>
      <c r="U350" s="11">
        <f>INDEX(AO$5:AO$190,MATCH(LARGE(AQ$5:AQ$190,156),AQ$5:AQ$190,0))</f>
        <v>8.3333333333333329E-2</v>
      </c>
      <c r="V350" s="11">
        <f>INDEX(AP$5:AP$190,MATCH(LARGE(AQ$5:AQ$190,156),AQ$5:AQ$190,0))</f>
        <v>0</v>
      </c>
    </row>
    <row r="351" spans="1:22" ht="15" customHeight="1" x14ac:dyDescent="0.2">
      <c r="A351" s="3">
        <v>157</v>
      </c>
      <c r="B351" s="3" t="str">
        <f>INDEX($A$5:$A$190,MATCH(LARGE(AQ$5:AQ$190,157),AQ$5:AQ$190,0))</f>
        <v>IMove: getShotResults()</v>
      </c>
      <c r="C351" s="11">
        <f>INDEX(W$5:W$190,MATCH(LARGE(AQ$5:AQ$190,157),AQ$5:AQ$190,0))</f>
        <v>2.6315789473684209E-2</v>
      </c>
      <c r="D351" s="11">
        <f>INDEX(X$5:X$190,MATCH(LARGE(AQ$5:AQ$190,157),AQ$5:AQ$190,0))</f>
        <v>0</v>
      </c>
      <c r="E351" s="11">
        <f>INDEX(Y$5:Y$190,MATCH(LARGE(AQ$5:AQ$190,157),AQ$5:AQ$190,0))</f>
        <v>0</v>
      </c>
      <c r="F351" s="11">
        <f>INDEX(Z$5:Z$190,MATCH(LARGE(AQ$5:AQ$190,157),AQ$5:AQ$190,0))</f>
        <v>0</v>
      </c>
      <c r="G351" s="11">
        <f>INDEX(AA$5:AA$190,MATCH(LARGE(AQ$5:AQ$190,157),AQ$5:AQ$190,0))</f>
        <v>0</v>
      </c>
      <c r="H351" s="11">
        <f>INDEX(AB$5:AB$190,MATCH(LARGE(AQ$5:AQ$190,157),AQ$5:AQ$190,0))</f>
        <v>0</v>
      </c>
      <c r="I351" s="11">
        <f>INDEX(AC$5:AC$190,MATCH(LARGE(AQ$5:AQ$190,157),AQ$5:AQ$190,0))</f>
        <v>0</v>
      </c>
      <c r="J351" s="11">
        <f>INDEX(AD$5:AD$190,MATCH(LARGE(AQ$5:AQ$190,157),AQ$5:AQ$190,0))</f>
        <v>0</v>
      </c>
      <c r="K351" s="11">
        <f>INDEX(AE$5:AE$190,MATCH(LARGE(AQ$5:AQ$190,157),AQ$5:AQ$190,0))</f>
        <v>0</v>
      </c>
      <c r="L351" s="11">
        <f>INDEX(AF$5:AF$190,MATCH(LARGE(AQ$5:AQ$190,157),AQ$5:AQ$190,0))</f>
        <v>0</v>
      </c>
      <c r="M351" s="11">
        <f>INDEX(AG$5:AG$190,MATCH(LARGE(AQ$5:AQ$190,157),AQ$5:AQ$190,0))</f>
        <v>0</v>
      </c>
      <c r="N351" s="11">
        <f>INDEX(AH$5:AH$190,MATCH(LARGE(AQ$5:AQ$190,157),AQ$5:AQ$190,0))</f>
        <v>0</v>
      </c>
      <c r="O351" s="11">
        <f>INDEX(AI$5:AI$190,MATCH(LARGE(AQ$5:AQ$190,157),AQ$5:AQ$190,0))</f>
        <v>0</v>
      </c>
      <c r="P351" s="11">
        <f>INDEX(AJ$5:AJ$190,MATCH(LARGE(AQ$5:AQ$190,157),AQ$5:AQ$190,0))</f>
        <v>0.33333333333333331</v>
      </c>
      <c r="Q351" s="11">
        <f>INDEX(AK$5:AK$190,MATCH(LARGE(AQ$5:AQ$190,157),AQ$5:AQ$190,0))</f>
        <v>0</v>
      </c>
      <c r="R351" s="11">
        <f>INDEX(AL$5:AL$190,MATCH(LARGE(AQ$5:AQ$190,157),AQ$5:AQ$190,0))</f>
        <v>0</v>
      </c>
      <c r="S351" s="11">
        <f>INDEX(AM$5:AM$190,MATCH(LARGE(AQ$5:AQ$190,157),AQ$5:AQ$190,0))</f>
        <v>0.16666666666666666</v>
      </c>
      <c r="T351" s="11">
        <f>INDEX(AN$5:AN$190,MATCH(LARGE(AQ$5:AQ$190,157),AQ$5:AQ$190,0))</f>
        <v>0</v>
      </c>
      <c r="U351" s="11">
        <f>INDEX(AO$5:AO$190,MATCH(LARGE(AQ$5:AQ$190,157),AQ$5:AQ$190,0))</f>
        <v>8.3333333333333329E-2</v>
      </c>
      <c r="V351" s="11">
        <f>INDEX(AP$5:AP$190,MATCH(LARGE(AQ$5:AQ$190,157),AQ$5:AQ$190,0))</f>
        <v>0</v>
      </c>
    </row>
    <row r="352" spans="1:22" ht="15" customHeight="1" x14ac:dyDescent="0.2">
      <c r="A352" s="3">
        <v>158</v>
      </c>
      <c r="B352" s="3" t="str">
        <f>INDEX($A$5:$A$190,MATCH(LARGE(AQ$5:AQ$190,158),AQ$5:AQ$190,0))</f>
        <v>IMove: getShotResults()</v>
      </c>
      <c r="C352" s="11">
        <f>INDEX(W$5:W$190,MATCH(LARGE(AQ$5:AQ$190,158),AQ$5:AQ$190,0))</f>
        <v>2.6315789473684209E-2</v>
      </c>
      <c r="D352" s="11">
        <f>INDEX(X$5:X$190,MATCH(LARGE(AQ$5:AQ$190,158),AQ$5:AQ$190,0))</f>
        <v>0</v>
      </c>
      <c r="E352" s="11">
        <f>INDEX(Y$5:Y$190,MATCH(LARGE(AQ$5:AQ$190,158),AQ$5:AQ$190,0))</f>
        <v>0</v>
      </c>
      <c r="F352" s="11">
        <f>INDEX(Z$5:Z$190,MATCH(LARGE(AQ$5:AQ$190,158),AQ$5:AQ$190,0))</f>
        <v>0</v>
      </c>
      <c r="G352" s="11">
        <f>INDEX(AA$5:AA$190,MATCH(LARGE(AQ$5:AQ$190,158),AQ$5:AQ$190,0))</f>
        <v>0</v>
      </c>
      <c r="H352" s="11">
        <f>INDEX(AB$5:AB$190,MATCH(LARGE(AQ$5:AQ$190,158),AQ$5:AQ$190,0))</f>
        <v>0</v>
      </c>
      <c r="I352" s="11">
        <f>INDEX(AC$5:AC$190,MATCH(LARGE(AQ$5:AQ$190,158),AQ$5:AQ$190,0))</f>
        <v>0</v>
      </c>
      <c r="J352" s="11">
        <f>INDEX(AD$5:AD$190,MATCH(LARGE(AQ$5:AQ$190,158),AQ$5:AQ$190,0))</f>
        <v>0</v>
      </c>
      <c r="K352" s="11">
        <f>INDEX(AE$5:AE$190,MATCH(LARGE(AQ$5:AQ$190,158),AQ$5:AQ$190,0))</f>
        <v>0</v>
      </c>
      <c r="L352" s="11">
        <f>INDEX(AF$5:AF$190,MATCH(LARGE(AQ$5:AQ$190,158),AQ$5:AQ$190,0))</f>
        <v>0</v>
      </c>
      <c r="M352" s="11">
        <f>INDEX(AG$5:AG$190,MATCH(LARGE(AQ$5:AQ$190,158),AQ$5:AQ$190,0))</f>
        <v>0</v>
      </c>
      <c r="N352" s="11">
        <f>INDEX(AH$5:AH$190,MATCH(LARGE(AQ$5:AQ$190,158),AQ$5:AQ$190,0))</f>
        <v>0</v>
      </c>
      <c r="O352" s="11">
        <f>INDEX(AI$5:AI$190,MATCH(LARGE(AQ$5:AQ$190,158),AQ$5:AQ$190,0))</f>
        <v>0</v>
      </c>
      <c r="P352" s="11">
        <f>INDEX(AJ$5:AJ$190,MATCH(LARGE(AQ$5:AQ$190,158),AQ$5:AQ$190,0))</f>
        <v>0.33333333333333331</v>
      </c>
      <c r="Q352" s="11">
        <f>INDEX(AK$5:AK$190,MATCH(LARGE(AQ$5:AQ$190,158),AQ$5:AQ$190,0))</f>
        <v>0</v>
      </c>
      <c r="R352" s="11">
        <f>INDEX(AL$5:AL$190,MATCH(LARGE(AQ$5:AQ$190,158),AQ$5:AQ$190,0))</f>
        <v>0</v>
      </c>
      <c r="S352" s="11">
        <f>INDEX(AM$5:AM$190,MATCH(LARGE(AQ$5:AQ$190,158),AQ$5:AQ$190,0))</f>
        <v>0.16666666666666666</v>
      </c>
      <c r="T352" s="11">
        <f>INDEX(AN$5:AN$190,MATCH(LARGE(AQ$5:AQ$190,158),AQ$5:AQ$190,0))</f>
        <v>0</v>
      </c>
      <c r="U352" s="11">
        <f>INDEX(AO$5:AO$190,MATCH(LARGE(AQ$5:AQ$190,158),AQ$5:AQ$190,0))</f>
        <v>8.3333333333333329E-2</v>
      </c>
      <c r="V352" s="11">
        <f>INDEX(AP$5:AP$190,MATCH(LARGE(AQ$5:AQ$190,158),AQ$5:AQ$190,0))</f>
        <v>0</v>
      </c>
    </row>
    <row r="353" spans="1:22" ht="15" customHeight="1" x14ac:dyDescent="0.2">
      <c r="A353" s="3">
        <v>159</v>
      </c>
      <c r="B353" s="3" t="str">
        <f>INDEX($A$5:$A$190,MATCH(LARGE(AQ$5:AQ$190,159),AQ$5:AQ$190,0))</f>
        <v>IGame: fireShots(List&lt;IPosition&gt;)</v>
      </c>
      <c r="C353" s="11">
        <f>INDEX(W$5:W$190,MATCH(LARGE(AQ$5:AQ$190,159),AQ$5:AQ$190,0))</f>
        <v>2.6315789473684209E-2</v>
      </c>
      <c r="D353" s="11">
        <f>INDEX(X$5:X$190,MATCH(LARGE(AQ$5:AQ$190,159),AQ$5:AQ$190,0))</f>
        <v>0</v>
      </c>
      <c r="E353" s="11">
        <f>INDEX(Y$5:Y$190,MATCH(LARGE(AQ$5:AQ$190,159),AQ$5:AQ$190,0))</f>
        <v>0</v>
      </c>
      <c r="F353" s="11">
        <f>INDEX(Z$5:Z$190,MATCH(LARGE(AQ$5:AQ$190,159),AQ$5:AQ$190,0))</f>
        <v>0</v>
      </c>
      <c r="G353" s="11">
        <f>INDEX(AA$5:AA$190,MATCH(LARGE(AQ$5:AQ$190,159),AQ$5:AQ$190,0))</f>
        <v>0</v>
      </c>
      <c r="H353" s="11">
        <f>INDEX(AB$5:AB$190,MATCH(LARGE(AQ$5:AQ$190,159),AQ$5:AQ$190,0))</f>
        <v>0</v>
      </c>
      <c r="I353" s="11">
        <f>INDEX(AC$5:AC$190,MATCH(LARGE(AQ$5:AQ$190,159),AQ$5:AQ$190,0))</f>
        <v>0</v>
      </c>
      <c r="J353" s="11">
        <f>INDEX(AD$5:AD$190,MATCH(LARGE(AQ$5:AQ$190,159),AQ$5:AQ$190,0))</f>
        <v>0</v>
      </c>
      <c r="K353" s="11">
        <f>INDEX(AE$5:AE$190,MATCH(LARGE(AQ$5:AQ$190,159),AQ$5:AQ$190,0))</f>
        <v>0</v>
      </c>
      <c r="L353" s="11">
        <f>INDEX(AF$5:AF$190,MATCH(LARGE(AQ$5:AQ$190,159),AQ$5:AQ$190,0))</f>
        <v>2.7027027027027029E-3</v>
      </c>
      <c r="M353" s="11">
        <f>INDEX(AG$5:AG$190,MATCH(LARGE(AQ$5:AQ$190,159),AQ$5:AQ$190,0))</f>
        <v>1.020408163265306E-2</v>
      </c>
      <c r="N353" s="11">
        <f>INDEX(AH$5:AH$190,MATCH(LARGE(AQ$5:AQ$190,159),AQ$5:AQ$190,0))</f>
        <v>0</v>
      </c>
      <c r="O353" s="11">
        <f>INDEX(AI$5:AI$190,MATCH(LARGE(AQ$5:AQ$190,159),AQ$5:AQ$190,0))</f>
        <v>0</v>
      </c>
      <c r="P353" s="11">
        <f>INDEX(AJ$5:AJ$190,MATCH(LARGE(AQ$5:AQ$190,159),AQ$5:AQ$190,0))</f>
        <v>0</v>
      </c>
      <c r="Q353" s="11">
        <f>INDEX(AK$5:AK$190,MATCH(LARGE(AQ$5:AQ$190,159),AQ$5:AQ$190,0))</f>
        <v>0</v>
      </c>
      <c r="R353" s="11">
        <f>INDEX(AL$5:AL$190,MATCH(LARGE(AQ$5:AQ$190,159),AQ$5:AQ$190,0))</f>
        <v>0</v>
      </c>
      <c r="S353" s="11">
        <f>INDEX(AM$5:AM$190,MATCH(LARGE(AQ$5:AQ$190,159),AQ$5:AQ$190,0))</f>
        <v>0.16666666666666666</v>
      </c>
      <c r="T353" s="11">
        <f>INDEX(AN$5:AN$190,MATCH(LARGE(AQ$5:AQ$190,159),AQ$5:AQ$190,0))</f>
        <v>0</v>
      </c>
      <c r="U353" s="11">
        <f>INDEX(AO$5:AO$190,MATCH(LARGE(AQ$5:AQ$190,159),AQ$5:AQ$190,0))</f>
        <v>0</v>
      </c>
      <c r="V353" s="11">
        <f>INDEX(AP$5:AP$190,MATCH(LARGE(AQ$5:AQ$190,159),AQ$5:AQ$190,0))</f>
        <v>0.25</v>
      </c>
    </row>
    <row r="354" spans="1:22" ht="15" customHeight="1" x14ac:dyDescent="0.2">
      <c r="A354" s="3">
        <v>160</v>
      </c>
      <c r="B354" s="3" t="str">
        <f>INDEX($A$5:$A$190,MATCH(LARGE(AQ$5:AQ$190,160),AQ$5:AQ$190,0))</f>
        <v>IGame: fireShots(List&lt;IPosition&gt;)</v>
      </c>
      <c r="C354" s="11">
        <f>INDEX(W$5:W$190,MATCH(LARGE(AQ$5:AQ$190,160),AQ$5:AQ$190,0))</f>
        <v>2.6315789473684209E-2</v>
      </c>
      <c r="D354" s="11">
        <f>INDEX(X$5:X$190,MATCH(LARGE(AQ$5:AQ$190,160),AQ$5:AQ$190,0))</f>
        <v>0</v>
      </c>
      <c r="E354" s="11">
        <f>INDEX(Y$5:Y$190,MATCH(LARGE(AQ$5:AQ$190,160),AQ$5:AQ$190,0))</f>
        <v>0</v>
      </c>
      <c r="F354" s="11">
        <f>INDEX(Z$5:Z$190,MATCH(LARGE(AQ$5:AQ$190,160),AQ$5:AQ$190,0))</f>
        <v>0</v>
      </c>
      <c r="G354" s="11">
        <f>INDEX(AA$5:AA$190,MATCH(LARGE(AQ$5:AQ$190,160),AQ$5:AQ$190,0))</f>
        <v>0</v>
      </c>
      <c r="H354" s="11">
        <f>INDEX(AB$5:AB$190,MATCH(LARGE(AQ$5:AQ$190,160),AQ$5:AQ$190,0))</f>
        <v>0</v>
      </c>
      <c r="I354" s="11">
        <f>INDEX(AC$5:AC$190,MATCH(LARGE(AQ$5:AQ$190,160),AQ$5:AQ$190,0))</f>
        <v>0</v>
      </c>
      <c r="J354" s="11">
        <f>INDEX(AD$5:AD$190,MATCH(LARGE(AQ$5:AQ$190,160),AQ$5:AQ$190,0))</f>
        <v>0</v>
      </c>
      <c r="K354" s="11">
        <f>INDEX(AE$5:AE$190,MATCH(LARGE(AQ$5:AQ$190,160),AQ$5:AQ$190,0))</f>
        <v>0</v>
      </c>
      <c r="L354" s="11">
        <f>INDEX(AF$5:AF$190,MATCH(LARGE(AQ$5:AQ$190,160),AQ$5:AQ$190,0))</f>
        <v>2.7027027027027029E-3</v>
      </c>
      <c r="M354" s="11">
        <f>INDEX(AG$5:AG$190,MATCH(LARGE(AQ$5:AQ$190,160),AQ$5:AQ$190,0))</f>
        <v>1.020408163265306E-2</v>
      </c>
      <c r="N354" s="11">
        <f>INDEX(AH$5:AH$190,MATCH(LARGE(AQ$5:AQ$190,160),AQ$5:AQ$190,0))</f>
        <v>0</v>
      </c>
      <c r="O354" s="11">
        <f>INDEX(AI$5:AI$190,MATCH(LARGE(AQ$5:AQ$190,160),AQ$5:AQ$190,0))</f>
        <v>0</v>
      </c>
      <c r="P354" s="11">
        <f>INDEX(AJ$5:AJ$190,MATCH(LARGE(AQ$5:AQ$190,160),AQ$5:AQ$190,0))</f>
        <v>0</v>
      </c>
      <c r="Q354" s="11">
        <f>INDEX(AK$5:AK$190,MATCH(LARGE(AQ$5:AQ$190,160),AQ$5:AQ$190,0))</f>
        <v>0</v>
      </c>
      <c r="R354" s="11">
        <f>INDEX(AL$5:AL$190,MATCH(LARGE(AQ$5:AQ$190,160),AQ$5:AQ$190,0))</f>
        <v>0</v>
      </c>
      <c r="S354" s="11">
        <f>INDEX(AM$5:AM$190,MATCH(LARGE(AQ$5:AQ$190,160),AQ$5:AQ$190,0))</f>
        <v>0.16666666666666666</v>
      </c>
      <c r="T354" s="11">
        <f>INDEX(AN$5:AN$190,MATCH(LARGE(AQ$5:AQ$190,160),AQ$5:AQ$190,0))</f>
        <v>0</v>
      </c>
      <c r="U354" s="11">
        <f>INDEX(AO$5:AO$190,MATCH(LARGE(AQ$5:AQ$190,160),AQ$5:AQ$190,0))</f>
        <v>0</v>
      </c>
      <c r="V354" s="11">
        <f>INDEX(AP$5:AP$190,MATCH(LARGE(AQ$5:AQ$190,160),AQ$5:AQ$190,0))</f>
        <v>0.25</v>
      </c>
    </row>
    <row r="355" spans="1:22" ht="15" customHeight="1" x14ac:dyDescent="0.2">
      <c r="A355" s="3">
        <v>161</v>
      </c>
      <c r="B355" s="3" t="str">
        <f>INDEX($A$5:$A$190,MATCH(LARGE(AQ$5:AQ$190,161),AQ$5:AQ$190,0))</f>
        <v>IGame: fireShots(List&lt;IPosition&gt;)</v>
      </c>
      <c r="C355" s="11">
        <f>INDEX(W$5:W$190,MATCH(LARGE(AQ$5:AQ$190,161),AQ$5:AQ$190,0))</f>
        <v>2.6315789473684209E-2</v>
      </c>
      <c r="D355" s="11">
        <f>INDEX(X$5:X$190,MATCH(LARGE(AQ$5:AQ$190,161),AQ$5:AQ$190,0))</f>
        <v>0</v>
      </c>
      <c r="E355" s="11">
        <f>INDEX(Y$5:Y$190,MATCH(LARGE(AQ$5:AQ$190,161),AQ$5:AQ$190,0))</f>
        <v>0</v>
      </c>
      <c r="F355" s="11">
        <f>INDEX(Z$5:Z$190,MATCH(LARGE(AQ$5:AQ$190,161),AQ$5:AQ$190,0))</f>
        <v>0</v>
      </c>
      <c r="G355" s="11">
        <f>INDEX(AA$5:AA$190,MATCH(LARGE(AQ$5:AQ$190,161),AQ$5:AQ$190,0))</f>
        <v>0</v>
      </c>
      <c r="H355" s="11">
        <f>INDEX(AB$5:AB$190,MATCH(LARGE(AQ$5:AQ$190,161),AQ$5:AQ$190,0))</f>
        <v>0</v>
      </c>
      <c r="I355" s="11">
        <f>INDEX(AC$5:AC$190,MATCH(LARGE(AQ$5:AQ$190,161),AQ$5:AQ$190,0))</f>
        <v>0</v>
      </c>
      <c r="J355" s="11">
        <f>INDEX(AD$5:AD$190,MATCH(LARGE(AQ$5:AQ$190,161),AQ$5:AQ$190,0))</f>
        <v>0</v>
      </c>
      <c r="K355" s="11">
        <f>INDEX(AE$5:AE$190,MATCH(LARGE(AQ$5:AQ$190,161),AQ$5:AQ$190,0))</f>
        <v>0</v>
      </c>
      <c r="L355" s="11">
        <f>INDEX(AF$5:AF$190,MATCH(LARGE(AQ$5:AQ$190,161),AQ$5:AQ$190,0))</f>
        <v>2.7027027027027029E-3</v>
      </c>
      <c r="M355" s="11">
        <f>INDEX(AG$5:AG$190,MATCH(LARGE(AQ$5:AQ$190,161),AQ$5:AQ$190,0))</f>
        <v>1.020408163265306E-2</v>
      </c>
      <c r="N355" s="11">
        <f>INDEX(AH$5:AH$190,MATCH(LARGE(AQ$5:AQ$190,161),AQ$5:AQ$190,0))</f>
        <v>0</v>
      </c>
      <c r="O355" s="11">
        <f>INDEX(AI$5:AI$190,MATCH(LARGE(AQ$5:AQ$190,161),AQ$5:AQ$190,0))</f>
        <v>0</v>
      </c>
      <c r="P355" s="11">
        <f>INDEX(AJ$5:AJ$190,MATCH(LARGE(AQ$5:AQ$190,161),AQ$5:AQ$190,0))</f>
        <v>0</v>
      </c>
      <c r="Q355" s="11">
        <f>INDEX(AK$5:AK$190,MATCH(LARGE(AQ$5:AQ$190,161),AQ$5:AQ$190,0))</f>
        <v>0</v>
      </c>
      <c r="R355" s="11">
        <f>INDEX(AL$5:AL$190,MATCH(LARGE(AQ$5:AQ$190,161),AQ$5:AQ$190,0))</f>
        <v>0</v>
      </c>
      <c r="S355" s="11">
        <f>INDEX(AM$5:AM$190,MATCH(LARGE(AQ$5:AQ$190,161),AQ$5:AQ$190,0))</f>
        <v>0.16666666666666666</v>
      </c>
      <c r="T355" s="11">
        <f>INDEX(AN$5:AN$190,MATCH(LARGE(AQ$5:AQ$190,161),AQ$5:AQ$190,0))</f>
        <v>0</v>
      </c>
      <c r="U355" s="11">
        <f>INDEX(AO$5:AO$190,MATCH(LARGE(AQ$5:AQ$190,161),AQ$5:AQ$190,0))</f>
        <v>0</v>
      </c>
      <c r="V355" s="11">
        <f>INDEX(AP$5:AP$190,MATCH(LARGE(AQ$5:AQ$190,161),AQ$5:AQ$190,0))</f>
        <v>0.25</v>
      </c>
    </row>
    <row r="356" spans="1:22" ht="15" customHeight="1" x14ac:dyDescent="0.2">
      <c r="A356" s="3">
        <v>162</v>
      </c>
      <c r="B356" s="3" t="str">
        <f>INDEX($A$5:$A$190,MATCH(LARGE(AQ$5:AQ$190,162),AQ$5:AQ$190,0))</f>
        <v>IGame: readEnemyFire(Scanner)</v>
      </c>
      <c r="C356" s="11">
        <f>INDEX(W$5:W$190,MATCH(LARGE(AQ$5:AQ$190,162),AQ$5:AQ$190,0))</f>
        <v>2.6315789473684209E-2</v>
      </c>
      <c r="D356" s="11">
        <f>INDEX(X$5:X$190,MATCH(LARGE(AQ$5:AQ$190,162),AQ$5:AQ$190,0))</f>
        <v>0</v>
      </c>
      <c r="E356" s="11">
        <f>INDEX(Y$5:Y$190,MATCH(LARGE(AQ$5:AQ$190,162),AQ$5:AQ$190,0))</f>
        <v>0</v>
      </c>
      <c r="F356" s="11">
        <f>INDEX(Z$5:Z$190,MATCH(LARGE(AQ$5:AQ$190,162),AQ$5:AQ$190,0))</f>
        <v>0</v>
      </c>
      <c r="G356" s="11">
        <f>INDEX(AA$5:AA$190,MATCH(LARGE(AQ$5:AQ$190,162),AQ$5:AQ$190,0))</f>
        <v>0</v>
      </c>
      <c r="H356" s="11">
        <f>INDEX(AB$5:AB$190,MATCH(LARGE(AQ$5:AQ$190,162),AQ$5:AQ$190,0))</f>
        <v>0</v>
      </c>
      <c r="I356" s="11">
        <f>INDEX(AC$5:AC$190,MATCH(LARGE(AQ$5:AQ$190,162),AQ$5:AQ$190,0))</f>
        <v>0</v>
      </c>
      <c r="J356" s="11">
        <f>INDEX(AD$5:AD$190,MATCH(LARGE(AQ$5:AQ$190,162),AQ$5:AQ$190,0))</f>
        <v>0</v>
      </c>
      <c r="K356" s="11">
        <f>INDEX(AE$5:AE$190,MATCH(LARGE(AQ$5:AQ$190,162),AQ$5:AQ$190,0))</f>
        <v>0</v>
      </c>
      <c r="L356" s="11">
        <f>INDEX(AF$5:AF$190,MATCH(LARGE(AQ$5:AQ$190,162),AQ$5:AQ$190,0))</f>
        <v>0</v>
      </c>
      <c r="M356" s="11">
        <f>INDEX(AG$5:AG$190,MATCH(LARGE(AQ$5:AQ$190,162),AQ$5:AQ$190,0))</f>
        <v>0</v>
      </c>
      <c r="N356" s="11">
        <f>INDEX(AH$5:AH$190,MATCH(LARGE(AQ$5:AQ$190,162),AQ$5:AQ$190,0))</f>
        <v>0</v>
      </c>
      <c r="O356" s="11">
        <f>INDEX(AI$5:AI$190,MATCH(LARGE(AQ$5:AQ$190,162),AQ$5:AQ$190,0))</f>
        <v>0</v>
      </c>
      <c r="P356" s="11">
        <f>INDEX(AJ$5:AJ$190,MATCH(LARGE(AQ$5:AQ$190,162),AQ$5:AQ$190,0))</f>
        <v>0</v>
      </c>
      <c r="Q356" s="11">
        <f>INDEX(AK$5:AK$190,MATCH(LARGE(AQ$5:AQ$190,162),AQ$5:AQ$190,0))</f>
        <v>0</v>
      </c>
      <c r="R356" s="11">
        <f>INDEX(AL$5:AL$190,MATCH(LARGE(AQ$5:AQ$190,162),AQ$5:AQ$190,0))</f>
        <v>0</v>
      </c>
      <c r="S356" s="11">
        <f>INDEX(AM$5:AM$190,MATCH(LARGE(AQ$5:AQ$190,162),AQ$5:AQ$190,0))</f>
        <v>0.16666666666666666</v>
      </c>
      <c r="T356" s="11">
        <f>INDEX(AN$5:AN$190,MATCH(LARGE(AQ$5:AQ$190,162),AQ$5:AQ$190,0))</f>
        <v>0</v>
      </c>
      <c r="U356" s="11">
        <f>INDEX(AO$5:AO$190,MATCH(LARGE(AQ$5:AQ$190,162),AQ$5:AQ$190,0))</f>
        <v>0</v>
      </c>
      <c r="V356" s="11">
        <f>INDEX(AP$5:AP$190,MATCH(LARGE(AQ$5:AQ$190,162),AQ$5:AQ$190,0))</f>
        <v>0.25</v>
      </c>
    </row>
    <row r="357" spans="1:22" ht="15" customHeight="1" x14ac:dyDescent="0.2">
      <c r="A357" s="3">
        <v>163</v>
      </c>
      <c r="B357" s="3" t="str">
        <f>INDEX($A$5:$A$190,MATCH(LARGE(AQ$5:AQ$190,163),AQ$5:AQ$190,0))</f>
        <v>Compass: valueOf(String)</v>
      </c>
      <c r="C357" s="11">
        <f>INDEX(W$5:W$190,MATCH(LARGE(AQ$5:AQ$190,163),AQ$5:AQ$190,0))</f>
        <v>2.6315789473684209E-2</v>
      </c>
      <c r="D357" s="11">
        <f>INDEX(X$5:X$190,MATCH(LARGE(AQ$5:AQ$190,163),AQ$5:AQ$190,0))</f>
        <v>0</v>
      </c>
      <c r="E357" s="11">
        <f>INDEX(Y$5:Y$190,MATCH(LARGE(AQ$5:AQ$190,163),AQ$5:AQ$190,0))</f>
        <v>0</v>
      </c>
      <c r="F357" s="11">
        <f>INDEX(Z$5:Z$190,MATCH(LARGE(AQ$5:AQ$190,163),AQ$5:AQ$190,0))</f>
        <v>0</v>
      </c>
      <c r="G357" s="11">
        <f>INDEX(AA$5:AA$190,MATCH(LARGE(AQ$5:AQ$190,163),AQ$5:AQ$190,0))</f>
        <v>0</v>
      </c>
      <c r="H357" s="11">
        <f>INDEX(AB$5:AB$190,MATCH(LARGE(AQ$5:AQ$190,163),AQ$5:AQ$190,0))</f>
        <v>0</v>
      </c>
      <c r="I357" s="11">
        <f>INDEX(AC$5:AC$190,MATCH(LARGE(AQ$5:AQ$190,163),AQ$5:AQ$190,0))</f>
        <v>0</v>
      </c>
      <c r="J357" s="11">
        <f>INDEX(AD$5:AD$190,MATCH(LARGE(AQ$5:AQ$190,163),AQ$5:AQ$190,0))</f>
        <v>0</v>
      </c>
      <c r="K357" s="11">
        <f>INDEX(AE$5:AE$190,MATCH(LARGE(AQ$5:AQ$190,163),AQ$5:AQ$190,0))</f>
        <v>0</v>
      </c>
      <c r="L357" s="11">
        <f>INDEX(AF$5:AF$190,MATCH(LARGE(AQ$5:AQ$190,163),AQ$5:AQ$190,0))</f>
        <v>0</v>
      </c>
      <c r="M357" s="11">
        <f>INDEX(AG$5:AG$190,MATCH(LARGE(AQ$5:AQ$190,163),AQ$5:AQ$190,0))</f>
        <v>0</v>
      </c>
      <c r="N357" s="11">
        <f>INDEX(AH$5:AH$190,MATCH(LARGE(AQ$5:AQ$190,163),AQ$5:AQ$190,0))</f>
        <v>0</v>
      </c>
      <c r="O357" s="11">
        <f>INDEX(AI$5:AI$190,MATCH(LARGE(AQ$5:AQ$190,163),AQ$5:AQ$190,0))</f>
        <v>0</v>
      </c>
      <c r="P357" s="11">
        <f>INDEX(AJ$5:AJ$190,MATCH(LARGE(AQ$5:AQ$190,163),AQ$5:AQ$190,0))</f>
        <v>0</v>
      </c>
      <c r="Q357" s="11">
        <f>INDEX(AK$5:AK$190,MATCH(LARGE(AQ$5:AQ$190,163),AQ$5:AQ$190,0))</f>
        <v>0</v>
      </c>
      <c r="R357" s="11">
        <f>INDEX(AL$5:AL$190,MATCH(LARGE(AQ$5:AQ$190,163),AQ$5:AQ$190,0))</f>
        <v>0</v>
      </c>
      <c r="S357" s="11">
        <f>INDEX(AM$5:AM$190,MATCH(LARGE(AQ$5:AQ$190,163),AQ$5:AQ$190,0))</f>
        <v>0</v>
      </c>
      <c r="T357" s="11">
        <f>INDEX(AN$5:AN$190,MATCH(LARGE(AQ$5:AQ$190,163),AQ$5:AQ$190,0))</f>
        <v>0</v>
      </c>
      <c r="U357" s="11">
        <f>INDEX(AO$5:AO$190,MATCH(LARGE(AQ$5:AQ$190,163),AQ$5:AQ$190,0))</f>
        <v>0</v>
      </c>
      <c r="V357" s="11">
        <f>INDEX(AP$5:AP$190,MATCH(LARGE(AQ$5:AQ$190,163),AQ$5:AQ$190,0))</f>
        <v>0.25</v>
      </c>
    </row>
    <row r="358" spans="1:22" ht="15" customHeight="1" x14ac:dyDescent="0.2">
      <c r="A358" s="3">
        <v>164</v>
      </c>
      <c r="B358" s="3" t="str">
        <f>INDEX($A$5:$A$190,MATCH(LARGE(AQ$5:AQ$190,164),AQ$5:AQ$190,0))</f>
        <v>GameResult: GameResult()</v>
      </c>
      <c r="C358" s="11">
        <f>INDEX(W$5:W$190,MATCH(LARGE(AQ$5:AQ$190,164),AQ$5:AQ$190,0))</f>
        <v>2.6315789473684209E-2</v>
      </c>
      <c r="D358" s="11">
        <f>INDEX(X$5:X$190,MATCH(LARGE(AQ$5:AQ$190,164),AQ$5:AQ$190,0))</f>
        <v>0</v>
      </c>
      <c r="E358" s="11">
        <f>INDEX(Y$5:Y$190,MATCH(LARGE(AQ$5:AQ$190,164),AQ$5:AQ$190,0))</f>
        <v>0</v>
      </c>
      <c r="F358" s="11">
        <f>INDEX(Z$5:Z$190,MATCH(LARGE(AQ$5:AQ$190,164),AQ$5:AQ$190,0))</f>
        <v>0</v>
      </c>
      <c r="G358" s="11">
        <f>INDEX(AA$5:AA$190,MATCH(LARGE(AQ$5:AQ$190,164),AQ$5:AQ$190,0))</f>
        <v>0</v>
      </c>
      <c r="H358" s="11">
        <f>INDEX(AB$5:AB$190,MATCH(LARGE(AQ$5:AQ$190,164),AQ$5:AQ$190,0))</f>
        <v>0</v>
      </c>
      <c r="I358" s="11">
        <f>INDEX(AC$5:AC$190,MATCH(LARGE(AQ$5:AQ$190,164),AQ$5:AQ$190,0))</f>
        <v>0</v>
      </c>
      <c r="J358" s="11">
        <f>INDEX(AD$5:AD$190,MATCH(LARGE(AQ$5:AQ$190,164),AQ$5:AQ$190,0))</f>
        <v>0</v>
      </c>
      <c r="K358" s="11">
        <f>INDEX(AE$5:AE$190,MATCH(LARGE(AQ$5:AQ$190,164),AQ$5:AQ$190,0))</f>
        <v>0</v>
      </c>
      <c r="L358" s="11">
        <f>INDEX(AF$5:AF$190,MATCH(LARGE(AQ$5:AQ$190,164),AQ$5:AQ$190,0))</f>
        <v>2.7027027027027029E-3</v>
      </c>
      <c r="M358" s="11">
        <f>INDEX(AG$5:AG$190,MATCH(LARGE(AQ$5:AQ$190,164),AQ$5:AQ$190,0))</f>
        <v>1.020408163265306E-2</v>
      </c>
      <c r="N358" s="11">
        <f>INDEX(AH$5:AH$190,MATCH(LARGE(AQ$5:AQ$190,164),AQ$5:AQ$190,0))</f>
        <v>0</v>
      </c>
      <c r="O358" s="11">
        <f>INDEX(AI$5:AI$190,MATCH(LARGE(AQ$5:AQ$190,164),AQ$5:AQ$190,0))</f>
        <v>0</v>
      </c>
      <c r="P358" s="11">
        <f>INDEX(AJ$5:AJ$190,MATCH(LARGE(AQ$5:AQ$190,164),AQ$5:AQ$190,0))</f>
        <v>0</v>
      </c>
      <c r="Q358" s="11">
        <f>INDEX(AK$5:AK$190,MATCH(LARGE(AQ$5:AQ$190,164),AQ$5:AQ$190,0))</f>
        <v>2.2727272727272728E-2</v>
      </c>
      <c r="R358" s="11">
        <f>INDEX(AL$5:AL$190,MATCH(LARGE(AQ$5:AQ$190,164),AQ$5:AQ$190,0))</f>
        <v>0</v>
      </c>
      <c r="S358" s="11">
        <f>INDEX(AM$5:AM$190,MATCH(LARGE(AQ$5:AQ$190,164),AQ$5:AQ$190,0))</f>
        <v>0.16666666666666666</v>
      </c>
      <c r="T358" s="11">
        <f>INDEX(AN$5:AN$190,MATCH(LARGE(AQ$5:AQ$190,164),AQ$5:AQ$190,0))</f>
        <v>0</v>
      </c>
      <c r="U358" s="11">
        <f>INDEX(AO$5:AO$190,MATCH(LARGE(AQ$5:AQ$190,164),AQ$5:AQ$190,0))</f>
        <v>0</v>
      </c>
      <c r="V358" s="11">
        <f>INDEX(AP$5:AP$190,MATCH(LARGE(AQ$5:AQ$190,164),AQ$5:AQ$190,0))</f>
        <v>0</v>
      </c>
    </row>
    <row r="359" spans="1:22" ht="15" customHeight="1" x14ac:dyDescent="0.2">
      <c r="A359" s="3">
        <v>165</v>
      </c>
      <c r="B359" s="3" t="str">
        <f>INDEX($A$5:$A$190,MATCH(LARGE(AQ$5:AQ$190,165),AQ$5:AQ$190,0))</f>
        <v>IGame: getHits()</v>
      </c>
      <c r="C359" s="11">
        <f>INDEX(W$5:W$190,MATCH(LARGE(AQ$5:AQ$190,165),AQ$5:AQ$190,0))</f>
        <v>2.6315789473684209E-2</v>
      </c>
      <c r="D359" s="11">
        <f>INDEX(X$5:X$190,MATCH(LARGE(AQ$5:AQ$190,165),AQ$5:AQ$190,0))</f>
        <v>0</v>
      </c>
      <c r="E359" s="11">
        <f>INDEX(Y$5:Y$190,MATCH(LARGE(AQ$5:AQ$190,165),AQ$5:AQ$190,0))</f>
        <v>0</v>
      </c>
      <c r="F359" s="11">
        <f>INDEX(Z$5:Z$190,MATCH(LARGE(AQ$5:AQ$190,165),AQ$5:AQ$190,0))</f>
        <v>0</v>
      </c>
      <c r="G359" s="11">
        <f>INDEX(AA$5:AA$190,MATCH(LARGE(AQ$5:AQ$190,165),AQ$5:AQ$190,0))</f>
        <v>0</v>
      </c>
      <c r="H359" s="11">
        <f>INDEX(AB$5:AB$190,MATCH(LARGE(AQ$5:AQ$190,165),AQ$5:AQ$190,0))</f>
        <v>0</v>
      </c>
      <c r="I359" s="11">
        <f>INDEX(AC$5:AC$190,MATCH(LARGE(AQ$5:AQ$190,165),AQ$5:AQ$190,0))</f>
        <v>0</v>
      </c>
      <c r="J359" s="11">
        <f>INDEX(AD$5:AD$190,MATCH(LARGE(AQ$5:AQ$190,165),AQ$5:AQ$190,0))</f>
        <v>0</v>
      </c>
      <c r="K359" s="11">
        <f>INDEX(AE$5:AE$190,MATCH(LARGE(AQ$5:AQ$190,165),AQ$5:AQ$190,0))</f>
        <v>0</v>
      </c>
      <c r="L359" s="11">
        <f>INDEX(AF$5:AF$190,MATCH(LARGE(AQ$5:AQ$190,165),AQ$5:AQ$190,0))</f>
        <v>2.7027027027027029E-3</v>
      </c>
      <c r="M359" s="11">
        <f>INDEX(AG$5:AG$190,MATCH(LARGE(AQ$5:AQ$190,165),AQ$5:AQ$190,0))</f>
        <v>1.020408163265306E-2</v>
      </c>
      <c r="N359" s="11">
        <f>INDEX(AH$5:AH$190,MATCH(LARGE(AQ$5:AQ$190,165),AQ$5:AQ$190,0))</f>
        <v>0</v>
      </c>
      <c r="O359" s="11">
        <f>INDEX(AI$5:AI$190,MATCH(LARGE(AQ$5:AQ$190,165),AQ$5:AQ$190,0))</f>
        <v>0</v>
      </c>
      <c r="P359" s="11">
        <f>INDEX(AJ$5:AJ$190,MATCH(LARGE(AQ$5:AQ$190,165),AQ$5:AQ$190,0))</f>
        <v>0</v>
      </c>
      <c r="Q359" s="11">
        <f>INDEX(AK$5:AK$190,MATCH(LARGE(AQ$5:AQ$190,165),AQ$5:AQ$190,0))</f>
        <v>0</v>
      </c>
      <c r="R359" s="11">
        <f>INDEX(AL$5:AL$190,MATCH(LARGE(AQ$5:AQ$190,165),AQ$5:AQ$190,0))</f>
        <v>0</v>
      </c>
      <c r="S359" s="11">
        <f>INDEX(AM$5:AM$190,MATCH(LARGE(AQ$5:AQ$190,165),AQ$5:AQ$190,0))</f>
        <v>0.16666666666666666</v>
      </c>
      <c r="T359" s="11">
        <f>INDEX(AN$5:AN$190,MATCH(LARGE(AQ$5:AQ$190,165),AQ$5:AQ$190,0))</f>
        <v>0</v>
      </c>
      <c r="U359" s="11">
        <f>INDEX(AO$5:AO$190,MATCH(LARGE(AQ$5:AQ$190,165),AQ$5:AQ$190,0))</f>
        <v>0</v>
      </c>
      <c r="V359" s="11">
        <f>INDEX(AP$5:AP$190,MATCH(LARGE(AQ$5:AQ$190,165),AQ$5:AQ$190,0))</f>
        <v>0</v>
      </c>
    </row>
    <row r="360" spans="1:22" ht="15" customHeight="1" x14ac:dyDescent="0.2">
      <c r="A360" s="3">
        <v>166</v>
      </c>
      <c r="B360" s="3" t="str">
        <f>INDEX($A$5:$A$190,MATCH(LARGE(AQ$5:AQ$190,166),AQ$5:AQ$190,0))</f>
        <v>IGame: getHits()</v>
      </c>
      <c r="C360" s="11">
        <f>INDEX(W$5:W$190,MATCH(LARGE(AQ$5:AQ$190,166),AQ$5:AQ$190,0))</f>
        <v>2.6315789473684209E-2</v>
      </c>
      <c r="D360" s="11">
        <f>INDEX(X$5:X$190,MATCH(LARGE(AQ$5:AQ$190,166),AQ$5:AQ$190,0))</f>
        <v>0</v>
      </c>
      <c r="E360" s="11">
        <f>INDEX(Y$5:Y$190,MATCH(LARGE(AQ$5:AQ$190,166),AQ$5:AQ$190,0))</f>
        <v>0</v>
      </c>
      <c r="F360" s="11">
        <f>INDEX(Z$5:Z$190,MATCH(LARGE(AQ$5:AQ$190,166),AQ$5:AQ$190,0))</f>
        <v>0</v>
      </c>
      <c r="G360" s="11">
        <f>INDEX(AA$5:AA$190,MATCH(LARGE(AQ$5:AQ$190,166),AQ$5:AQ$190,0))</f>
        <v>0</v>
      </c>
      <c r="H360" s="11">
        <f>INDEX(AB$5:AB$190,MATCH(LARGE(AQ$5:AQ$190,166),AQ$5:AQ$190,0))</f>
        <v>0</v>
      </c>
      <c r="I360" s="11">
        <f>INDEX(AC$5:AC$190,MATCH(LARGE(AQ$5:AQ$190,166),AQ$5:AQ$190,0))</f>
        <v>0</v>
      </c>
      <c r="J360" s="11">
        <f>INDEX(AD$5:AD$190,MATCH(LARGE(AQ$5:AQ$190,166),AQ$5:AQ$190,0))</f>
        <v>0</v>
      </c>
      <c r="K360" s="11">
        <f>INDEX(AE$5:AE$190,MATCH(LARGE(AQ$5:AQ$190,166),AQ$5:AQ$190,0))</f>
        <v>0</v>
      </c>
      <c r="L360" s="11">
        <f>INDEX(AF$5:AF$190,MATCH(LARGE(AQ$5:AQ$190,166),AQ$5:AQ$190,0))</f>
        <v>2.7027027027027029E-3</v>
      </c>
      <c r="M360" s="11">
        <f>INDEX(AG$5:AG$190,MATCH(LARGE(AQ$5:AQ$190,166),AQ$5:AQ$190,0))</f>
        <v>1.020408163265306E-2</v>
      </c>
      <c r="N360" s="11">
        <f>INDEX(AH$5:AH$190,MATCH(LARGE(AQ$5:AQ$190,166),AQ$5:AQ$190,0))</f>
        <v>0</v>
      </c>
      <c r="O360" s="11">
        <f>INDEX(AI$5:AI$190,MATCH(LARGE(AQ$5:AQ$190,166),AQ$5:AQ$190,0))</f>
        <v>0</v>
      </c>
      <c r="P360" s="11">
        <f>INDEX(AJ$5:AJ$190,MATCH(LARGE(AQ$5:AQ$190,166),AQ$5:AQ$190,0))</f>
        <v>0</v>
      </c>
      <c r="Q360" s="11">
        <f>INDEX(AK$5:AK$190,MATCH(LARGE(AQ$5:AQ$190,166),AQ$5:AQ$190,0))</f>
        <v>0</v>
      </c>
      <c r="R360" s="11">
        <f>INDEX(AL$5:AL$190,MATCH(LARGE(AQ$5:AQ$190,166),AQ$5:AQ$190,0))</f>
        <v>0</v>
      </c>
      <c r="S360" s="11">
        <f>INDEX(AM$5:AM$190,MATCH(LARGE(AQ$5:AQ$190,166),AQ$5:AQ$190,0))</f>
        <v>0.16666666666666666</v>
      </c>
      <c r="T360" s="11">
        <f>INDEX(AN$5:AN$190,MATCH(LARGE(AQ$5:AQ$190,166),AQ$5:AQ$190,0))</f>
        <v>0</v>
      </c>
      <c r="U360" s="11">
        <f>INDEX(AO$5:AO$190,MATCH(LARGE(AQ$5:AQ$190,166),AQ$5:AQ$190,0))</f>
        <v>0</v>
      </c>
      <c r="V360" s="11">
        <f>INDEX(AP$5:AP$190,MATCH(LARGE(AQ$5:AQ$190,166),AQ$5:AQ$190,0))</f>
        <v>0</v>
      </c>
    </row>
    <row r="361" spans="1:22" ht="15" customHeight="1" x14ac:dyDescent="0.2">
      <c r="A361" s="3">
        <v>167</v>
      </c>
      <c r="B361" s="3" t="str">
        <f>INDEX($A$5:$A$190,MATCH(LARGE(AQ$5:AQ$190,167),AQ$5:AQ$190,0))</f>
        <v>IGame: getHits()</v>
      </c>
      <c r="C361" s="11">
        <f>INDEX(W$5:W$190,MATCH(LARGE(AQ$5:AQ$190,167),AQ$5:AQ$190,0))</f>
        <v>2.6315789473684209E-2</v>
      </c>
      <c r="D361" s="11">
        <f>INDEX(X$5:X$190,MATCH(LARGE(AQ$5:AQ$190,167),AQ$5:AQ$190,0))</f>
        <v>0</v>
      </c>
      <c r="E361" s="11">
        <f>INDEX(Y$5:Y$190,MATCH(LARGE(AQ$5:AQ$190,167),AQ$5:AQ$190,0))</f>
        <v>0</v>
      </c>
      <c r="F361" s="11">
        <f>INDEX(Z$5:Z$190,MATCH(LARGE(AQ$5:AQ$190,167),AQ$5:AQ$190,0))</f>
        <v>0</v>
      </c>
      <c r="G361" s="11">
        <f>INDEX(AA$5:AA$190,MATCH(LARGE(AQ$5:AQ$190,167),AQ$5:AQ$190,0))</f>
        <v>0</v>
      </c>
      <c r="H361" s="11">
        <f>INDEX(AB$5:AB$190,MATCH(LARGE(AQ$5:AQ$190,167),AQ$5:AQ$190,0))</f>
        <v>0</v>
      </c>
      <c r="I361" s="11">
        <f>INDEX(AC$5:AC$190,MATCH(LARGE(AQ$5:AQ$190,167),AQ$5:AQ$190,0))</f>
        <v>0</v>
      </c>
      <c r="J361" s="11">
        <f>INDEX(AD$5:AD$190,MATCH(LARGE(AQ$5:AQ$190,167),AQ$5:AQ$190,0))</f>
        <v>0</v>
      </c>
      <c r="K361" s="11">
        <f>INDEX(AE$5:AE$190,MATCH(LARGE(AQ$5:AQ$190,167),AQ$5:AQ$190,0))</f>
        <v>0</v>
      </c>
      <c r="L361" s="11">
        <f>INDEX(AF$5:AF$190,MATCH(LARGE(AQ$5:AQ$190,167),AQ$5:AQ$190,0))</f>
        <v>2.7027027027027029E-3</v>
      </c>
      <c r="M361" s="11">
        <f>INDEX(AG$5:AG$190,MATCH(LARGE(AQ$5:AQ$190,167),AQ$5:AQ$190,0))</f>
        <v>1.020408163265306E-2</v>
      </c>
      <c r="N361" s="11">
        <f>INDEX(AH$5:AH$190,MATCH(LARGE(AQ$5:AQ$190,167),AQ$5:AQ$190,0))</f>
        <v>0</v>
      </c>
      <c r="O361" s="11">
        <f>INDEX(AI$5:AI$190,MATCH(LARGE(AQ$5:AQ$190,167),AQ$5:AQ$190,0))</f>
        <v>0</v>
      </c>
      <c r="P361" s="11">
        <f>INDEX(AJ$5:AJ$190,MATCH(LARGE(AQ$5:AQ$190,167),AQ$5:AQ$190,0))</f>
        <v>0</v>
      </c>
      <c r="Q361" s="11">
        <f>INDEX(AK$5:AK$190,MATCH(LARGE(AQ$5:AQ$190,167),AQ$5:AQ$190,0))</f>
        <v>0</v>
      </c>
      <c r="R361" s="11">
        <f>INDEX(AL$5:AL$190,MATCH(LARGE(AQ$5:AQ$190,167),AQ$5:AQ$190,0))</f>
        <v>0</v>
      </c>
      <c r="S361" s="11">
        <f>INDEX(AM$5:AM$190,MATCH(LARGE(AQ$5:AQ$190,167),AQ$5:AQ$190,0))</f>
        <v>0.16666666666666666</v>
      </c>
      <c r="T361" s="11">
        <f>INDEX(AN$5:AN$190,MATCH(LARGE(AQ$5:AQ$190,167),AQ$5:AQ$190,0))</f>
        <v>0</v>
      </c>
      <c r="U361" s="11">
        <f>INDEX(AO$5:AO$190,MATCH(LARGE(AQ$5:AQ$190,167),AQ$5:AQ$190,0))</f>
        <v>0</v>
      </c>
      <c r="V361" s="11">
        <f>INDEX(AP$5:AP$190,MATCH(LARGE(AQ$5:AQ$190,167),AQ$5:AQ$190,0))</f>
        <v>0</v>
      </c>
    </row>
    <row r="362" spans="1:22" ht="15" customHeight="1" x14ac:dyDescent="0.2">
      <c r="A362" s="3">
        <v>168</v>
      </c>
      <c r="B362" s="3" t="str">
        <f>INDEX($A$5:$A$190,MATCH(LARGE(AQ$5:AQ$190,168),AQ$5:AQ$190,0))</f>
        <v>IGame: getHits()</v>
      </c>
      <c r="C362" s="11">
        <f>INDEX(W$5:W$190,MATCH(LARGE(AQ$5:AQ$190,168),AQ$5:AQ$190,0))</f>
        <v>2.6315789473684209E-2</v>
      </c>
      <c r="D362" s="11">
        <f>INDEX(X$5:X$190,MATCH(LARGE(AQ$5:AQ$190,168),AQ$5:AQ$190,0))</f>
        <v>0</v>
      </c>
      <c r="E362" s="11">
        <f>INDEX(Y$5:Y$190,MATCH(LARGE(AQ$5:AQ$190,168),AQ$5:AQ$190,0))</f>
        <v>0</v>
      </c>
      <c r="F362" s="11">
        <f>INDEX(Z$5:Z$190,MATCH(LARGE(AQ$5:AQ$190,168),AQ$5:AQ$190,0))</f>
        <v>0</v>
      </c>
      <c r="G362" s="11">
        <f>INDEX(AA$5:AA$190,MATCH(LARGE(AQ$5:AQ$190,168),AQ$5:AQ$190,0))</f>
        <v>0</v>
      </c>
      <c r="H362" s="11">
        <f>INDEX(AB$5:AB$190,MATCH(LARGE(AQ$5:AQ$190,168),AQ$5:AQ$190,0))</f>
        <v>0</v>
      </c>
      <c r="I362" s="11">
        <f>INDEX(AC$5:AC$190,MATCH(LARGE(AQ$5:AQ$190,168),AQ$5:AQ$190,0))</f>
        <v>0</v>
      </c>
      <c r="J362" s="11">
        <f>INDEX(AD$5:AD$190,MATCH(LARGE(AQ$5:AQ$190,168),AQ$5:AQ$190,0))</f>
        <v>0</v>
      </c>
      <c r="K362" s="11">
        <f>INDEX(AE$5:AE$190,MATCH(LARGE(AQ$5:AQ$190,168),AQ$5:AQ$190,0))</f>
        <v>0</v>
      </c>
      <c r="L362" s="11">
        <f>INDEX(AF$5:AF$190,MATCH(LARGE(AQ$5:AQ$190,168),AQ$5:AQ$190,0))</f>
        <v>2.7027027027027029E-3</v>
      </c>
      <c r="M362" s="11">
        <f>INDEX(AG$5:AG$190,MATCH(LARGE(AQ$5:AQ$190,168),AQ$5:AQ$190,0))</f>
        <v>1.020408163265306E-2</v>
      </c>
      <c r="N362" s="11">
        <f>INDEX(AH$5:AH$190,MATCH(LARGE(AQ$5:AQ$190,168),AQ$5:AQ$190,0))</f>
        <v>0</v>
      </c>
      <c r="O362" s="11">
        <f>INDEX(AI$5:AI$190,MATCH(LARGE(AQ$5:AQ$190,168),AQ$5:AQ$190,0))</f>
        <v>0</v>
      </c>
      <c r="P362" s="11">
        <f>INDEX(AJ$5:AJ$190,MATCH(LARGE(AQ$5:AQ$190,168),AQ$5:AQ$190,0))</f>
        <v>0</v>
      </c>
      <c r="Q362" s="11">
        <f>INDEX(AK$5:AK$190,MATCH(LARGE(AQ$5:AQ$190,168),AQ$5:AQ$190,0))</f>
        <v>0</v>
      </c>
      <c r="R362" s="11">
        <f>INDEX(AL$5:AL$190,MATCH(LARGE(AQ$5:AQ$190,168),AQ$5:AQ$190,0))</f>
        <v>0</v>
      </c>
      <c r="S362" s="11">
        <f>INDEX(AM$5:AM$190,MATCH(LARGE(AQ$5:AQ$190,168),AQ$5:AQ$190,0))</f>
        <v>0.16666666666666666</v>
      </c>
      <c r="T362" s="11">
        <f>INDEX(AN$5:AN$190,MATCH(LARGE(AQ$5:AQ$190,168),AQ$5:AQ$190,0))</f>
        <v>0</v>
      </c>
      <c r="U362" s="11">
        <f>INDEX(AO$5:AO$190,MATCH(LARGE(AQ$5:AQ$190,168),AQ$5:AQ$190,0))</f>
        <v>0</v>
      </c>
      <c r="V362" s="11">
        <f>INDEX(AP$5:AP$190,MATCH(LARGE(AQ$5:AQ$190,168),AQ$5:AQ$190,0))</f>
        <v>0</v>
      </c>
    </row>
    <row r="363" spans="1:22" ht="15" customHeight="1" x14ac:dyDescent="0.2">
      <c r="A363" s="3">
        <v>169</v>
      </c>
      <c r="B363" s="3" t="str">
        <f>INDEX($A$5:$A$190,MATCH(LARGE(AQ$5:AQ$190,169),AQ$5:AQ$190,0))</f>
        <v>IGame: getHits()</v>
      </c>
      <c r="C363" s="11">
        <f>INDEX(W$5:W$190,MATCH(LARGE(AQ$5:AQ$190,169),AQ$5:AQ$190,0))</f>
        <v>2.6315789473684209E-2</v>
      </c>
      <c r="D363" s="11">
        <f>INDEX(X$5:X$190,MATCH(LARGE(AQ$5:AQ$190,169),AQ$5:AQ$190,0))</f>
        <v>0</v>
      </c>
      <c r="E363" s="11">
        <f>INDEX(Y$5:Y$190,MATCH(LARGE(AQ$5:AQ$190,169),AQ$5:AQ$190,0))</f>
        <v>0</v>
      </c>
      <c r="F363" s="11">
        <f>INDEX(Z$5:Z$190,MATCH(LARGE(AQ$5:AQ$190,169),AQ$5:AQ$190,0))</f>
        <v>0</v>
      </c>
      <c r="G363" s="11">
        <f>INDEX(AA$5:AA$190,MATCH(LARGE(AQ$5:AQ$190,169),AQ$5:AQ$190,0))</f>
        <v>0</v>
      </c>
      <c r="H363" s="11">
        <f>INDEX(AB$5:AB$190,MATCH(LARGE(AQ$5:AQ$190,169),AQ$5:AQ$190,0))</f>
        <v>0</v>
      </c>
      <c r="I363" s="11">
        <f>INDEX(AC$5:AC$190,MATCH(LARGE(AQ$5:AQ$190,169),AQ$5:AQ$190,0))</f>
        <v>0</v>
      </c>
      <c r="J363" s="11">
        <f>INDEX(AD$5:AD$190,MATCH(LARGE(AQ$5:AQ$190,169),AQ$5:AQ$190,0))</f>
        <v>0</v>
      </c>
      <c r="K363" s="11">
        <f>INDEX(AE$5:AE$190,MATCH(LARGE(AQ$5:AQ$190,169),AQ$5:AQ$190,0))</f>
        <v>0</v>
      </c>
      <c r="L363" s="11">
        <f>INDEX(AF$5:AF$190,MATCH(LARGE(AQ$5:AQ$190,169),AQ$5:AQ$190,0))</f>
        <v>2.7027027027027029E-3</v>
      </c>
      <c r="M363" s="11">
        <f>INDEX(AG$5:AG$190,MATCH(LARGE(AQ$5:AQ$190,169),AQ$5:AQ$190,0))</f>
        <v>1.020408163265306E-2</v>
      </c>
      <c r="N363" s="11">
        <f>INDEX(AH$5:AH$190,MATCH(LARGE(AQ$5:AQ$190,169),AQ$5:AQ$190,0))</f>
        <v>0</v>
      </c>
      <c r="O363" s="11">
        <f>INDEX(AI$5:AI$190,MATCH(LARGE(AQ$5:AQ$190,169),AQ$5:AQ$190,0))</f>
        <v>0</v>
      </c>
      <c r="P363" s="11">
        <f>INDEX(AJ$5:AJ$190,MATCH(LARGE(AQ$5:AQ$190,169),AQ$5:AQ$190,0))</f>
        <v>0</v>
      </c>
      <c r="Q363" s="11">
        <f>INDEX(AK$5:AK$190,MATCH(LARGE(AQ$5:AQ$190,169),AQ$5:AQ$190,0))</f>
        <v>0</v>
      </c>
      <c r="R363" s="11">
        <f>INDEX(AL$5:AL$190,MATCH(LARGE(AQ$5:AQ$190,169),AQ$5:AQ$190,0))</f>
        <v>0</v>
      </c>
      <c r="S363" s="11">
        <f>INDEX(AM$5:AM$190,MATCH(LARGE(AQ$5:AQ$190,169),AQ$5:AQ$190,0))</f>
        <v>0.16666666666666666</v>
      </c>
      <c r="T363" s="11">
        <f>INDEX(AN$5:AN$190,MATCH(LARGE(AQ$5:AQ$190,169),AQ$5:AQ$190,0))</f>
        <v>0</v>
      </c>
      <c r="U363" s="11">
        <f>INDEX(AO$5:AO$190,MATCH(LARGE(AQ$5:AQ$190,169),AQ$5:AQ$190,0))</f>
        <v>0</v>
      </c>
      <c r="V363" s="11">
        <f>INDEX(AP$5:AP$190,MATCH(LARGE(AQ$5:AQ$190,169),AQ$5:AQ$190,0))</f>
        <v>0</v>
      </c>
    </row>
    <row r="364" spans="1:22" ht="15" customHeight="1" x14ac:dyDescent="0.2">
      <c r="A364" s="3">
        <v>170</v>
      </c>
      <c r="B364" s="3" t="str">
        <f>INDEX($A$5:$A$190,MATCH(LARGE(AQ$5:AQ$190,170),AQ$5:AQ$190,0))</f>
        <v>IGame: getHits()</v>
      </c>
      <c r="C364" s="11">
        <f>INDEX(W$5:W$190,MATCH(LARGE(AQ$5:AQ$190,170),AQ$5:AQ$190,0))</f>
        <v>2.6315789473684209E-2</v>
      </c>
      <c r="D364" s="11">
        <f>INDEX(X$5:X$190,MATCH(LARGE(AQ$5:AQ$190,170),AQ$5:AQ$190,0))</f>
        <v>0</v>
      </c>
      <c r="E364" s="11">
        <f>INDEX(Y$5:Y$190,MATCH(LARGE(AQ$5:AQ$190,170),AQ$5:AQ$190,0))</f>
        <v>0</v>
      </c>
      <c r="F364" s="11">
        <f>INDEX(Z$5:Z$190,MATCH(LARGE(AQ$5:AQ$190,170),AQ$5:AQ$190,0))</f>
        <v>0</v>
      </c>
      <c r="G364" s="11">
        <f>INDEX(AA$5:AA$190,MATCH(LARGE(AQ$5:AQ$190,170),AQ$5:AQ$190,0))</f>
        <v>0</v>
      </c>
      <c r="H364" s="11">
        <f>INDEX(AB$5:AB$190,MATCH(LARGE(AQ$5:AQ$190,170),AQ$5:AQ$190,0))</f>
        <v>0</v>
      </c>
      <c r="I364" s="11">
        <f>INDEX(AC$5:AC$190,MATCH(LARGE(AQ$5:AQ$190,170),AQ$5:AQ$190,0))</f>
        <v>0</v>
      </c>
      <c r="J364" s="11">
        <f>INDEX(AD$5:AD$190,MATCH(LARGE(AQ$5:AQ$190,170),AQ$5:AQ$190,0))</f>
        <v>0</v>
      </c>
      <c r="K364" s="11">
        <f>INDEX(AE$5:AE$190,MATCH(LARGE(AQ$5:AQ$190,170),AQ$5:AQ$190,0))</f>
        <v>0</v>
      </c>
      <c r="L364" s="11">
        <f>INDEX(AF$5:AF$190,MATCH(LARGE(AQ$5:AQ$190,170),AQ$5:AQ$190,0))</f>
        <v>2.7027027027027029E-3</v>
      </c>
      <c r="M364" s="11">
        <f>INDEX(AG$5:AG$190,MATCH(LARGE(AQ$5:AQ$190,170),AQ$5:AQ$190,0))</f>
        <v>1.020408163265306E-2</v>
      </c>
      <c r="N364" s="11">
        <f>INDEX(AH$5:AH$190,MATCH(LARGE(AQ$5:AQ$190,170),AQ$5:AQ$190,0))</f>
        <v>0</v>
      </c>
      <c r="O364" s="11">
        <f>INDEX(AI$5:AI$190,MATCH(LARGE(AQ$5:AQ$190,170),AQ$5:AQ$190,0))</f>
        <v>0</v>
      </c>
      <c r="P364" s="11">
        <f>INDEX(AJ$5:AJ$190,MATCH(LARGE(AQ$5:AQ$190,170),AQ$5:AQ$190,0))</f>
        <v>0</v>
      </c>
      <c r="Q364" s="11">
        <f>INDEX(AK$5:AK$190,MATCH(LARGE(AQ$5:AQ$190,170),AQ$5:AQ$190,0))</f>
        <v>0</v>
      </c>
      <c r="R364" s="11">
        <f>INDEX(AL$5:AL$190,MATCH(LARGE(AQ$5:AQ$190,170),AQ$5:AQ$190,0))</f>
        <v>0</v>
      </c>
      <c r="S364" s="11">
        <f>INDEX(AM$5:AM$190,MATCH(LARGE(AQ$5:AQ$190,170),AQ$5:AQ$190,0))</f>
        <v>0.16666666666666666</v>
      </c>
      <c r="T364" s="11">
        <f>INDEX(AN$5:AN$190,MATCH(LARGE(AQ$5:AQ$190,170),AQ$5:AQ$190,0))</f>
        <v>0</v>
      </c>
      <c r="U364" s="11">
        <f>INDEX(AO$5:AO$190,MATCH(LARGE(AQ$5:AQ$190,170),AQ$5:AQ$190,0))</f>
        <v>0</v>
      </c>
      <c r="V364" s="11">
        <f>INDEX(AP$5:AP$190,MATCH(LARGE(AQ$5:AQ$190,170),AQ$5:AQ$190,0))</f>
        <v>0</v>
      </c>
    </row>
    <row r="365" spans="1:22" ht="15" customHeight="1" x14ac:dyDescent="0.2">
      <c r="A365" s="3">
        <v>171</v>
      </c>
      <c r="B365" s="3" t="str">
        <f>INDEX($A$5:$A$190,MATCH(LARGE(AQ$5:AQ$190,171),AQ$5:AQ$190,0))</f>
        <v>IGame: getHits()</v>
      </c>
      <c r="C365" s="11">
        <f>INDEX(W$5:W$190,MATCH(LARGE(AQ$5:AQ$190,171),AQ$5:AQ$190,0))</f>
        <v>2.6315789473684209E-2</v>
      </c>
      <c r="D365" s="11">
        <f>INDEX(X$5:X$190,MATCH(LARGE(AQ$5:AQ$190,171),AQ$5:AQ$190,0))</f>
        <v>0</v>
      </c>
      <c r="E365" s="11">
        <f>INDEX(Y$5:Y$190,MATCH(LARGE(AQ$5:AQ$190,171),AQ$5:AQ$190,0))</f>
        <v>0</v>
      </c>
      <c r="F365" s="11">
        <f>INDEX(Z$5:Z$190,MATCH(LARGE(AQ$5:AQ$190,171),AQ$5:AQ$190,0))</f>
        <v>0</v>
      </c>
      <c r="G365" s="11">
        <f>INDEX(AA$5:AA$190,MATCH(LARGE(AQ$5:AQ$190,171),AQ$5:AQ$190,0))</f>
        <v>0</v>
      </c>
      <c r="H365" s="11">
        <f>INDEX(AB$5:AB$190,MATCH(LARGE(AQ$5:AQ$190,171),AQ$5:AQ$190,0))</f>
        <v>0</v>
      </c>
      <c r="I365" s="11">
        <f>INDEX(AC$5:AC$190,MATCH(LARGE(AQ$5:AQ$190,171),AQ$5:AQ$190,0))</f>
        <v>0</v>
      </c>
      <c r="J365" s="11">
        <f>INDEX(AD$5:AD$190,MATCH(LARGE(AQ$5:AQ$190,171),AQ$5:AQ$190,0))</f>
        <v>0</v>
      </c>
      <c r="K365" s="11">
        <f>INDEX(AE$5:AE$190,MATCH(LARGE(AQ$5:AQ$190,171),AQ$5:AQ$190,0))</f>
        <v>0</v>
      </c>
      <c r="L365" s="11">
        <f>INDEX(AF$5:AF$190,MATCH(LARGE(AQ$5:AQ$190,171),AQ$5:AQ$190,0))</f>
        <v>2.7027027027027029E-3</v>
      </c>
      <c r="M365" s="11">
        <f>INDEX(AG$5:AG$190,MATCH(LARGE(AQ$5:AQ$190,171),AQ$5:AQ$190,0))</f>
        <v>1.020408163265306E-2</v>
      </c>
      <c r="N365" s="11">
        <f>INDEX(AH$5:AH$190,MATCH(LARGE(AQ$5:AQ$190,171),AQ$5:AQ$190,0))</f>
        <v>0</v>
      </c>
      <c r="O365" s="11">
        <f>INDEX(AI$5:AI$190,MATCH(LARGE(AQ$5:AQ$190,171),AQ$5:AQ$190,0))</f>
        <v>0</v>
      </c>
      <c r="P365" s="11">
        <f>INDEX(AJ$5:AJ$190,MATCH(LARGE(AQ$5:AQ$190,171),AQ$5:AQ$190,0))</f>
        <v>0</v>
      </c>
      <c r="Q365" s="11">
        <f>INDEX(AK$5:AK$190,MATCH(LARGE(AQ$5:AQ$190,171),AQ$5:AQ$190,0))</f>
        <v>0</v>
      </c>
      <c r="R365" s="11">
        <f>INDEX(AL$5:AL$190,MATCH(LARGE(AQ$5:AQ$190,171),AQ$5:AQ$190,0))</f>
        <v>0</v>
      </c>
      <c r="S365" s="11">
        <f>INDEX(AM$5:AM$190,MATCH(LARGE(AQ$5:AQ$190,171),AQ$5:AQ$190,0))</f>
        <v>0.16666666666666666</v>
      </c>
      <c r="T365" s="11">
        <f>INDEX(AN$5:AN$190,MATCH(LARGE(AQ$5:AQ$190,171),AQ$5:AQ$190,0))</f>
        <v>0</v>
      </c>
      <c r="U365" s="11">
        <f>INDEX(AO$5:AO$190,MATCH(LARGE(AQ$5:AQ$190,171),AQ$5:AQ$190,0))</f>
        <v>0</v>
      </c>
      <c r="V365" s="11">
        <f>INDEX(AP$5:AP$190,MATCH(LARGE(AQ$5:AQ$190,171),AQ$5:AQ$190,0))</f>
        <v>0</v>
      </c>
    </row>
    <row r="366" spans="1:22" ht="15" customHeight="1" x14ac:dyDescent="0.2">
      <c r="A366" s="3">
        <v>172</v>
      </c>
      <c r="B366" s="3" t="str">
        <f>INDEX($A$5:$A$190,MATCH(LARGE(AQ$5:AQ$190,172),AQ$5:AQ$190,0))</f>
        <v>IGame: getHits()</v>
      </c>
      <c r="C366" s="11">
        <f>INDEX(W$5:W$190,MATCH(LARGE(AQ$5:AQ$190,172),AQ$5:AQ$190,0))</f>
        <v>2.6315789473684209E-2</v>
      </c>
      <c r="D366" s="11">
        <f>INDEX(X$5:X$190,MATCH(LARGE(AQ$5:AQ$190,172),AQ$5:AQ$190,0))</f>
        <v>0</v>
      </c>
      <c r="E366" s="11">
        <f>INDEX(Y$5:Y$190,MATCH(LARGE(AQ$5:AQ$190,172),AQ$5:AQ$190,0))</f>
        <v>0</v>
      </c>
      <c r="F366" s="11">
        <f>INDEX(Z$5:Z$190,MATCH(LARGE(AQ$5:AQ$190,172),AQ$5:AQ$190,0))</f>
        <v>0</v>
      </c>
      <c r="G366" s="11">
        <f>INDEX(AA$5:AA$190,MATCH(LARGE(AQ$5:AQ$190,172),AQ$5:AQ$190,0))</f>
        <v>0</v>
      </c>
      <c r="H366" s="11">
        <f>INDEX(AB$5:AB$190,MATCH(LARGE(AQ$5:AQ$190,172),AQ$5:AQ$190,0))</f>
        <v>0</v>
      </c>
      <c r="I366" s="11">
        <f>INDEX(AC$5:AC$190,MATCH(LARGE(AQ$5:AQ$190,172),AQ$5:AQ$190,0))</f>
        <v>0</v>
      </c>
      <c r="J366" s="11">
        <f>INDEX(AD$5:AD$190,MATCH(LARGE(AQ$5:AQ$190,172),AQ$5:AQ$190,0))</f>
        <v>0</v>
      </c>
      <c r="K366" s="11">
        <f>INDEX(AE$5:AE$190,MATCH(LARGE(AQ$5:AQ$190,172),AQ$5:AQ$190,0))</f>
        <v>0</v>
      </c>
      <c r="L366" s="11">
        <f>INDEX(AF$5:AF$190,MATCH(LARGE(AQ$5:AQ$190,172),AQ$5:AQ$190,0))</f>
        <v>2.7027027027027029E-3</v>
      </c>
      <c r="M366" s="11">
        <f>INDEX(AG$5:AG$190,MATCH(LARGE(AQ$5:AQ$190,172),AQ$5:AQ$190,0))</f>
        <v>1.020408163265306E-2</v>
      </c>
      <c r="N366" s="11">
        <f>INDEX(AH$5:AH$190,MATCH(LARGE(AQ$5:AQ$190,172),AQ$5:AQ$190,0))</f>
        <v>0</v>
      </c>
      <c r="O366" s="11">
        <f>INDEX(AI$5:AI$190,MATCH(LARGE(AQ$5:AQ$190,172),AQ$5:AQ$190,0))</f>
        <v>0</v>
      </c>
      <c r="P366" s="11">
        <f>INDEX(AJ$5:AJ$190,MATCH(LARGE(AQ$5:AQ$190,172),AQ$5:AQ$190,0))</f>
        <v>0</v>
      </c>
      <c r="Q366" s="11">
        <f>INDEX(AK$5:AK$190,MATCH(LARGE(AQ$5:AQ$190,172),AQ$5:AQ$190,0))</f>
        <v>0</v>
      </c>
      <c r="R366" s="11">
        <f>INDEX(AL$5:AL$190,MATCH(LARGE(AQ$5:AQ$190,172),AQ$5:AQ$190,0))</f>
        <v>0</v>
      </c>
      <c r="S366" s="11">
        <f>INDEX(AM$5:AM$190,MATCH(LARGE(AQ$5:AQ$190,172),AQ$5:AQ$190,0))</f>
        <v>0.16666666666666666</v>
      </c>
      <c r="T366" s="11">
        <f>INDEX(AN$5:AN$190,MATCH(LARGE(AQ$5:AQ$190,172),AQ$5:AQ$190,0))</f>
        <v>0</v>
      </c>
      <c r="U366" s="11">
        <f>INDEX(AO$5:AO$190,MATCH(LARGE(AQ$5:AQ$190,172),AQ$5:AQ$190,0))</f>
        <v>0</v>
      </c>
      <c r="V366" s="11">
        <f>INDEX(AP$5:AP$190,MATCH(LARGE(AQ$5:AQ$190,172),AQ$5:AQ$190,0))</f>
        <v>0</v>
      </c>
    </row>
    <row r="367" spans="1:22" ht="15" customHeight="1" x14ac:dyDescent="0.2">
      <c r="A367" s="3">
        <v>173</v>
      </c>
      <c r="B367" s="3" t="str">
        <f>INDEX($A$5:$A$190,MATCH(LARGE(AQ$5:AQ$190,173),AQ$5:AQ$190,0))</f>
        <v>IGame: getHits()</v>
      </c>
      <c r="C367" s="11">
        <f>INDEX(W$5:W$190,MATCH(LARGE(AQ$5:AQ$190,173),AQ$5:AQ$190,0))</f>
        <v>2.6315789473684209E-2</v>
      </c>
      <c r="D367" s="11">
        <f>INDEX(X$5:X$190,MATCH(LARGE(AQ$5:AQ$190,173),AQ$5:AQ$190,0))</f>
        <v>0</v>
      </c>
      <c r="E367" s="11">
        <f>INDEX(Y$5:Y$190,MATCH(LARGE(AQ$5:AQ$190,173),AQ$5:AQ$190,0))</f>
        <v>0</v>
      </c>
      <c r="F367" s="11">
        <f>INDEX(Z$5:Z$190,MATCH(LARGE(AQ$5:AQ$190,173),AQ$5:AQ$190,0))</f>
        <v>0</v>
      </c>
      <c r="G367" s="11">
        <f>INDEX(AA$5:AA$190,MATCH(LARGE(AQ$5:AQ$190,173),AQ$5:AQ$190,0))</f>
        <v>0</v>
      </c>
      <c r="H367" s="11">
        <f>INDEX(AB$5:AB$190,MATCH(LARGE(AQ$5:AQ$190,173),AQ$5:AQ$190,0))</f>
        <v>0</v>
      </c>
      <c r="I367" s="11">
        <f>INDEX(AC$5:AC$190,MATCH(LARGE(AQ$5:AQ$190,173),AQ$5:AQ$190,0))</f>
        <v>0</v>
      </c>
      <c r="J367" s="11">
        <f>INDEX(AD$5:AD$190,MATCH(LARGE(AQ$5:AQ$190,173),AQ$5:AQ$190,0))</f>
        <v>0</v>
      </c>
      <c r="K367" s="11">
        <f>INDEX(AE$5:AE$190,MATCH(LARGE(AQ$5:AQ$190,173),AQ$5:AQ$190,0))</f>
        <v>0</v>
      </c>
      <c r="L367" s="11">
        <f>INDEX(AF$5:AF$190,MATCH(LARGE(AQ$5:AQ$190,173),AQ$5:AQ$190,0))</f>
        <v>2.7027027027027029E-3</v>
      </c>
      <c r="M367" s="11">
        <f>INDEX(AG$5:AG$190,MATCH(LARGE(AQ$5:AQ$190,173),AQ$5:AQ$190,0))</f>
        <v>1.020408163265306E-2</v>
      </c>
      <c r="N367" s="11">
        <f>INDEX(AH$5:AH$190,MATCH(LARGE(AQ$5:AQ$190,173),AQ$5:AQ$190,0))</f>
        <v>0</v>
      </c>
      <c r="O367" s="11">
        <f>INDEX(AI$5:AI$190,MATCH(LARGE(AQ$5:AQ$190,173),AQ$5:AQ$190,0))</f>
        <v>0</v>
      </c>
      <c r="P367" s="11">
        <f>INDEX(AJ$5:AJ$190,MATCH(LARGE(AQ$5:AQ$190,173),AQ$5:AQ$190,0))</f>
        <v>0</v>
      </c>
      <c r="Q367" s="11">
        <f>INDEX(AK$5:AK$190,MATCH(LARGE(AQ$5:AQ$190,173),AQ$5:AQ$190,0))</f>
        <v>0</v>
      </c>
      <c r="R367" s="11">
        <f>INDEX(AL$5:AL$190,MATCH(LARGE(AQ$5:AQ$190,173),AQ$5:AQ$190,0))</f>
        <v>0</v>
      </c>
      <c r="S367" s="11">
        <f>INDEX(AM$5:AM$190,MATCH(LARGE(AQ$5:AQ$190,173),AQ$5:AQ$190,0))</f>
        <v>0.16666666666666666</v>
      </c>
      <c r="T367" s="11">
        <f>INDEX(AN$5:AN$190,MATCH(LARGE(AQ$5:AQ$190,173),AQ$5:AQ$190,0))</f>
        <v>0</v>
      </c>
      <c r="U367" s="11">
        <f>INDEX(AO$5:AO$190,MATCH(LARGE(AQ$5:AQ$190,173),AQ$5:AQ$190,0))</f>
        <v>0</v>
      </c>
      <c r="V367" s="11">
        <f>INDEX(AP$5:AP$190,MATCH(LARGE(AQ$5:AQ$190,173),AQ$5:AQ$190,0))</f>
        <v>0</v>
      </c>
    </row>
    <row r="368" spans="1:22" ht="15" customHeight="1" x14ac:dyDescent="0.2">
      <c r="A368" s="3">
        <v>174</v>
      </c>
      <c r="B368" s="3" t="str">
        <f>INDEX($A$5:$A$190,MATCH(LARGE(AQ$5:AQ$190,174),AQ$5:AQ$190,0))</f>
        <v>IGame: getHits()</v>
      </c>
      <c r="C368" s="11">
        <f>INDEX(W$5:W$190,MATCH(LARGE(AQ$5:AQ$190,174),AQ$5:AQ$190,0))</f>
        <v>2.6315789473684209E-2</v>
      </c>
      <c r="D368" s="11">
        <f>INDEX(X$5:X$190,MATCH(LARGE(AQ$5:AQ$190,174),AQ$5:AQ$190,0))</f>
        <v>0</v>
      </c>
      <c r="E368" s="11">
        <f>INDEX(Y$5:Y$190,MATCH(LARGE(AQ$5:AQ$190,174),AQ$5:AQ$190,0))</f>
        <v>0</v>
      </c>
      <c r="F368" s="11">
        <f>INDEX(Z$5:Z$190,MATCH(LARGE(AQ$5:AQ$190,174),AQ$5:AQ$190,0))</f>
        <v>0</v>
      </c>
      <c r="G368" s="11">
        <f>INDEX(AA$5:AA$190,MATCH(LARGE(AQ$5:AQ$190,174),AQ$5:AQ$190,0))</f>
        <v>0</v>
      </c>
      <c r="H368" s="11">
        <f>INDEX(AB$5:AB$190,MATCH(LARGE(AQ$5:AQ$190,174),AQ$5:AQ$190,0))</f>
        <v>0</v>
      </c>
      <c r="I368" s="11">
        <f>INDEX(AC$5:AC$190,MATCH(LARGE(AQ$5:AQ$190,174),AQ$5:AQ$190,0))</f>
        <v>0</v>
      </c>
      <c r="J368" s="11">
        <f>INDEX(AD$5:AD$190,MATCH(LARGE(AQ$5:AQ$190,174),AQ$5:AQ$190,0))</f>
        <v>0</v>
      </c>
      <c r="K368" s="11">
        <f>INDEX(AE$5:AE$190,MATCH(LARGE(AQ$5:AQ$190,174),AQ$5:AQ$190,0))</f>
        <v>0</v>
      </c>
      <c r="L368" s="11">
        <f>INDEX(AF$5:AF$190,MATCH(LARGE(AQ$5:AQ$190,174),AQ$5:AQ$190,0))</f>
        <v>2.7027027027027029E-3</v>
      </c>
      <c r="M368" s="11">
        <f>INDEX(AG$5:AG$190,MATCH(LARGE(AQ$5:AQ$190,174),AQ$5:AQ$190,0))</f>
        <v>1.020408163265306E-2</v>
      </c>
      <c r="N368" s="11">
        <f>INDEX(AH$5:AH$190,MATCH(LARGE(AQ$5:AQ$190,174),AQ$5:AQ$190,0))</f>
        <v>0</v>
      </c>
      <c r="O368" s="11">
        <f>INDEX(AI$5:AI$190,MATCH(LARGE(AQ$5:AQ$190,174),AQ$5:AQ$190,0))</f>
        <v>0</v>
      </c>
      <c r="P368" s="11">
        <f>INDEX(AJ$5:AJ$190,MATCH(LARGE(AQ$5:AQ$190,174),AQ$5:AQ$190,0))</f>
        <v>0</v>
      </c>
      <c r="Q368" s="11">
        <f>INDEX(AK$5:AK$190,MATCH(LARGE(AQ$5:AQ$190,174),AQ$5:AQ$190,0))</f>
        <v>0</v>
      </c>
      <c r="R368" s="11">
        <f>INDEX(AL$5:AL$190,MATCH(LARGE(AQ$5:AQ$190,174),AQ$5:AQ$190,0))</f>
        <v>0</v>
      </c>
      <c r="S368" s="11">
        <f>INDEX(AM$5:AM$190,MATCH(LARGE(AQ$5:AQ$190,174),AQ$5:AQ$190,0))</f>
        <v>0.16666666666666666</v>
      </c>
      <c r="T368" s="11">
        <f>INDEX(AN$5:AN$190,MATCH(LARGE(AQ$5:AQ$190,174),AQ$5:AQ$190,0))</f>
        <v>0</v>
      </c>
      <c r="U368" s="11">
        <f>INDEX(AO$5:AO$190,MATCH(LARGE(AQ$5:AQ$190,174),AQ$5:AQ$190,0))</f>
        <v>0</v>
      </c>
      <c r="V368" s="11">
        <f>INDEX(AP$5:AP$190,MATCH(LARGE(AQ$5:AQ$190,174),AQ$5:AQ$190,0))</f>
        <v>0</v>
      </c>
    </row>
    <row r="369" spans="1:22" ht="15" customHeight="1" x14ac:dyDescent="0.2">
      <c r="A369" s="3">
        <v>175</v>
      </c>
      <c r="B369" s="3" t="str">
        <f>INDEX($A$5:$A$190,MATCH(LARGE(AQ$5:AQ$190,175),AQ$5:AQ$190,0))</f>
        <v>IGame: getHits()</v>
      </c>
      <c r="C369" s="11">
        <f>INDEX(W$5:W$190,MATCH(LARGE(AQ$5:AQ$190,175),AQ$5:AQ$190,0))</f>
        <v>2.6315789473684209E-2</v>
      </c>
      <c r="D369" s="11">
        <f>INDEX(X$5:X$190,MATCH(LARGE(AQ$5:AQ$190,175),AQ$5:AQ$190,0))</f>
        <v>0</v>
      </c>
      <c r="E369" s="11">
        <f>INDEX(Y$5:Y$190,MATCH(LARGE(AQ$5:AQ$190,175),AQ$5:AQ$190,0))</f>
        <v>0</v>
      </c>
      <c r="F369" s="11">
        <f>INDEX(Z$5:Z$190,MATCH(LARGE(AQ$5:AQ$190,175),AQ$5:AQ$190,0))</f>
        <v>0</v>
      </c>
      <c r="G369" s="11">
        <f>INDEX(AA$5:AA$190,MATCH(LARGE(AQ$5:AQ$190,175),AQ$5:AQ$190,0))</f>
        <v>0</v>
      </c>
      <c r="H369" s="11">
        <f>INDEX(AB$5:AB$190,MATCH(LARGE(AQ$5:AQ$190,175),AQ$5:AQ$190,0))</f>
        <v>0</v>
      </c>
      <c r="I369" s="11">
        <f>INDEX(AC$5:AC$190,MATCH(LARGE(AQ$5:AQ$190,175),AQ$5:AQ$190,0))</f>
        <v>0</v>
      </c>
      <c r="J369" s="11">
        <f>INDEX(AD$5:AD$190,MATCH(LARGE(AQ$5:AQ$190,175),AQ$5:AQ$190,0))</f>
        <v>0</v>
      </c>
      <c r="K369" s="11">
        <f>INDEX(AE$5:AE$190,MATCH(LARGE(AQ$5:AQ$190,175),AQ$5:AQ$190,0))</f>
        <v>0</v>
      </c>
      <c r="L369" s="11">
        <f>INDEX(AF$5:AF$190,MATCH(LARGE(AQ$5:AQ$190,175),AQ$5:AQ$190,0))</f>
        <v>2.7027027027027029E-3</v>
      </c>
      <c r="M369" s="11">
        <f>INDEX(AG$5:AG$190,MATCH(LARGE(AQ$5:AQ$190,175),AQ$5:AQ$190,0))</f>
        <v>1.020408163265306E-2</v>
      </c>
      <c r="N369" s="11">
        <f>INDEX(AH$5:AH$190,MATCH(LARGE(AQ$5:AQ$190,175),AQ$5:AQ$190,0))</f>
        <v>0</v>
      </c>
      <c r="O369" s="11">
        <f>INDEX(AI$5:AI$190,MATCH(LARGE(AQ$5:AQ$190,175),AQ$5:AQ$190,0))</f>
        <v>0</v>
      </c>
      <c r="P369" s="11">
        <f>INDEX(AJ$5:AJ$190,MATCH(LARGE(AQ$5:AQ$190,175),AQ$5:AQ$190,0))</f>
        <v>0</v>
      </c>
      <c r="Q369" s="11">
        <f>INDEX(AK$5:AK$190,MATCH(LARGE(AQ$5:AQ$190,175),AQ$5:AQ$190,0))</f>
        <v>0</v>
      </c>
      <c r="R369" s="11">
        <f>INDEX(AL$5:AL$190,MATCH(LARGE(AQ$5:AQ$190,175),AQ$5:AQ$190,0))</f>
        <v>0</v>
      </c>
      <c r="S369" s="11">
        <f>INDEX(AM$5:AM$190,MATCH(LARGE(AQ$5:AQ$190,175),AQ$5:AQ$190,0))</f>
        <v>0.16666666666666666</v>
      </c>
      <c r="T369" s="11">
        <f>INDEX(AN$5:AN$190,MATCH(LARGE(AQ$5:AQ$190,175),AQ$5:AQ$190,0))</f>
        <v>0</v>
      </c>
      <c r="U369" s="11">
        <f>INDEX(AO$5:AO$190,MATCH(LARGE(AQ$5:AQ$190,175),AQ$5:AQ$190,0))</f>
        <v>0</v>
      </c>
      <c r="V369" s="11">
        <f>INDEX(AP$5:AP$190,MATCH(LARGE(AQ$5:AQ$190,175),AQ$5:AQ$190,0))</f>
        <v>0</v>
      </c>
    </row>
    <row r="370" spans="1:22" ht="15" customHeight="1" x14ac:dyDescent="0.2">
      <c r="A370" s="3">
        <v>176</v>
      </c>
      <c r="B370" s="3" t="str">
        <f>INDEX($A$5:$A$190,MATCH(LARGE(AQ$5:AQ$190,176),AQ$5:AQ$190,0))</f>
        <v>IGame: getHits()</v>
      </c>
      <c r="C370" s="11">
        <f>INDEX(W$5:W$190,MATCH(LARGE(AQ$5:AQ$190,176),AQ$5:AQ$190,0))</f>
        <v>2.6315789473684209E-2</v>
      </c>
      <c r="D370" s="11">
        <f>INDEX(X$5:X$190,MATCH(LARGE(AQ$5:AQ$190,176),AQ$5:AQ$190,0))</f>
        <v>0</v>
      </c>
      <c r="E370" s="11">
        <f>INDEX(Y$5:Y$190,MATCH(LARGE(AQ$5:AQ$190,176),AQ$5:AQ$190,0))</f>
        <v>0</v>
      </c>
      <c r="F370" s="11">
        <f>INDEX(Z$5:Z$190,MATCH(LARGE(AQ$5:AQ$190,176),AQ$5:AQ$190,0))</f>
        <v>0</v>
      </c>
      <c r="G370" s="11">
        <f>INDEX(AA$5:AA$190,MATCH(LARGE(AQ$5:AQ$190,176),AQ$5:AQ$190,0))</f>
        <v>0</v>
      </c>
      <c r="H370" s="11">
        <f>INDEX(AB$5:AB$190,MATCH(LARGE(AQ$5:AQ$190,176),AQ$5:AQ$190,0))</f>
        <v>0</v>
      </c>
      <c r="I370" s="11">
        <f>INDEX(AC$5:AC$190,MATCH(LARGE(AQ$5:AQ$190,176),AQ$5:AQ$190,0))</f>
        <v>0</v>
      </c>
      <c r="J370" s="11">
        <f>INDEX(AD$5:AD$190,MATCH(LARGE(AQ$5:AQ$190,176),AQ$5:AQ$190,0))</f>
        <v>0</v>
      </c>
      <c r="K370" s="11">
        <f>INDEX(AE$5:AE$190,MATCH(LARGE(AQ$5:AQ$190,176),AQ$5:AQ$190,0))</f>
        <v>0</v>
      </c>
      <c r="L370" s="11">
        <f>INDEX(AF$5:AF$190,MATCH(LARGE(AQ$5:AQ$190,176),AQ$5:AQ$190,0))</f>
        <v>2.7027027027027029E-3</v>
      </c>
      <c r="M370" s="11">
        <f>INDEX(AG$5:AG$190,MATCH(LARGE(AQ$5:AQ$190,176),AQ$5:AQ$190,0))</f>
        <v>1.020408163265306E-2</v>
      </c>
      <c r="N370" s="11">
        <f>INDEX(AH$5:AH$190,MATCH(LARGE(AQ$5:AQ$190,176),AQ$5:AQ$190,0))</f>
        <v>0</v>
      </c>
      <c r="O370" s="11">
        <f>INDEX(AI$5:AI$190,MATCH(LARGE(AQ$5:AQ$190,176),AQ$5:AQ$190,0))</f>
        <v>0</v>
      </c>
      <c r="P370" s="11">
        <f>INDEX(AJ$5:AJ$190,MATCH(LARGE(AQ$5:AQ$190,176),AQ$5:AQ$190,0))</f>
        <v>0</v>
      </c>
      <c r="Q370" s="11">
        <f>INDEX(AK$5:AK$190,MATCH(LARGE(AQ$5:AQ$190,176),AQ$5:AQ$190,0))</f>
        <v>0</v>
      </c>
      <c r="R370" s="11">
        <f>INDEX(AL$5:AL$190,MATCH(LARGE(AQ$5:AQ$190,176),AQ$5:AQ$190,0))</f>
        <v>0</v>
      </c>
      <c r="S370" s="11">
        <f>INDEX(AM$5:AM$190,MATCH(LARGE(AQ$5:AQ$190,176),AQ$5:AQ$190,0))</f>
        <v>0.16666666666666666</v>
      </c>
      <c r="T370" s="11">
        <f>INDEX(AN$5:AN$190,MATCH(LARGE(AQ$5:AQ$190,176),AQ$5:AQ$190,0))</f>
        <v>0</v>
      </c>
      <c r="U370" s="11">
        <f>INDEX(AO$5:AO$190,MATCH(LARGE(AQ$5:AQ$190,176),AQ$5:AQ$190,0))</f>
        <v>0</v>
      </c>
      <c r="V370" s="11">
        <f>INDEX(AP$5:AP$190,MATCH(LARGE(AQ$5:AQ$190,176),AQ$5:AQ$190,0))</f>
        <v>0</v>
      </c>
    </row>
    <row r="371" spans="1:22" ht="15" customHeight="1" x14ac:dyDescent="0.2">
      <c r="A371" s="3">
        <v>177</v>
      </c>
      <c r="B371" s="3" t="str">
        <f>INDEX($A$5:$A$190,MATCH(LARGE(AQ$5:AQ$190,177),AQ$5:AQ$190,0))</f>
        <v>IGame: getHits()</v>
      </c>
      <c r="C371" s="11">
        <f>INDEX(W$5:W$190,MATCH(LARGE(AQ$5:AQ$190,177),AQ$5:AQ$190,0))</f>
        <v>2.6315789473684209E-2</v>
      </c>
      <c r="D371" s="11">
        <f>INDEX(X$5:X$190,MATCH(LARGE(AQ$5:AQ$190,177),AQ$5:AQ$190,0))</f>
        <v>0</v>
      </c>
      <c r="E371" s="11">
        <f>INDEX(Y$5:Y$190,MATCH(LARGE(AQ$5:AQ$190,177),AQ$5:AQ$190,0))</f>
        <v>0</v>
      </c>
      <c r="F371" s="11">
        <f>INDEX(Z$5:Z$190,MATCH(LARGE(AQ$5:AQ$190,177),AQ$5:AQ$190,0))</f>
        <v>0</v>
      </c>
      <c r="G371" s="11">
        <f>INDEX(AA$5:AA$190,MATCH(LARGE(AQ$5:AQ$190,177),AQ$5:AQ$190,0))</f>
        <v>0</v>
      </c>
      <c r="H371" s="11">
        <f>INDEX(AB$5:AB$190,MATCH(LARGE(AQ$5:AQ$190,177),AQ$5:AQ$190,0))</f>
        <v>0</v>
      </c>
      <c r="I371" s="11">
        <f>INDEX(AC$5:AC$190,MATCH(LARGE(AQ$5:AQ$190,177),AQ$5:AQ$190,0))</f>
        <v>0</v>
      </c>
      <c r="J371" s="11">
        <f>INDEX(AD$5:AD$190,MATCH(LARGE(AQ$5:AQ$190,177),AQ$5:AQ$190,0))</f>
        <v>0</v>
      </c>
      <c r="K371" s="11">
        <f>INDEX(AE$5:AE$190,MATCH(LARGE(AQ$5:AQ$190,177),AQ$5:AQ$190,0))</f>
        <v>0</v>
      </c>
      <c r="L371" s="11">
        <f>INDEX(AF$5:AF$190,MATCH(LARGE(AQ$5:AQ$190,177),AQ$5:AQ$190,0))</f>
        <v>2.7027027027027029E-3</v>
      </c>
      <c r="M371" s="11">
        <f>INDEX(AG$5:AG$190,MATCH(LARGE(AQ$5:AQ$190,177),AQ$5:AQ$190,0))</f>
        <v>1.020408163265306E-2</v>
      </c>
      <c r="N371" s="11">
        <f>INDEX(AH$5:AH$190,MATCH(LARGE(AQ$5:AQ$190,177),AQ$5:AQ$190,0))</f>
        <v>0</v>
      </c>
      <c r="O371" s="11">
        <f>INDEX(AI$5:AI$190,MATCH(LARGE(AQ$5:AQ$190,177),AQ$5:AQ$190,0))</f>
        <v>0</v>
      </c>
      <c r="P371" s="11">
        <f>INDEX(AJ$5:AJ$190,MATCH(LARGE(AQ$5:AQ$190,177),AQ$5:AQ$190,0))</f>
        <v>0</v>
      </c>
      <c r="Q371" s="11">
        <f>INDEX(AK$5:AK$190,MATCH(LARGE(AQ$5:AQ$190,177),AQ$5:AQ$190,0))</f>
        <v>0</v>
      </c>
      <c r="R371" s="11">
        <f>INDEX(AL$5:AL$190,MATCH(LARGE(AQ$5:AQ$190,177),AQ$5:AQ$190,0))</f>
        <v>0</v>
      </c>
      <c r="S371" s="11">
        <f>INDEX(AM$5:AM$190,MATCH(LARGE(AQ$5:AQ$190,177),AQ$5:AQ$190,0))</f>
        <v>0.16666666666666666</v>
      </c>
      <c r="T371" s="11">
        <f>INDEX(AN$5:AN$190,MATCH(LARGE(AQ$5:AQ$190,177),AQ$5:AQ$190,0))</f>
        <v>0</v>
      </c>
      <c r="U371" s="11">
        <f>INDEX(AO$5:AO$190,MATCH(LARGE(AQ$5:AQ$190,177),AQ$5:AQ$190,0))</f>
        <v>0</v>
      </c>
      <c r="V371" s="11">
        <f>INDEX(AP$5:AP$190,MATCH(LARGE(AQ$5:AQ$190,177),AQ$5:AQ$190,0))</f>
        <v>0</v>
      </c>
    </row>
    <row r="372" spans="1:22" ht="15" customHeight="1" x14ac:dyDescent="0.2">
      <c r="A372" s="3">
        <v>178</v>
      </c>
      <c r="B372" s="3" t="str">
        <f>INDEX($A$5:$A$190,MATCH(LARGE(AQ$5:AQ$190,178),AQ$5:AQ$190,0))</f>
        <v>IGame: getHits()</v>
      </c>
      <c r="C372" s="11">
        <f>INDEX(W$5:W$190,MATCH(LARGE(AQ$5:AQ$190,178),AQ$5:AQ$190,0))</f>
        <v>2.6315789473684209E-2</v>
      </c>
      <c r="D372" s="11">
        <f>INDEX(X$5:X$190,MATCH(LARGE(AQ$5:AQ$190,178),AQ$5:AQ$190,0))</f>
        <v>0</v>
      </c>
      <c r="E372" s="11">
        <f>INDEX(Y$5:Y$190,MATCH(LARGE(AQ$5:AQ$190,178),AQ$5:AQ$190,0))</f>
        <v>0</v>
      </c>
      <c r="F372" s="11">
        <f>INDEX(Z$5:Z$190,MATCH(LARGE(AQ$5:AQ$190,178),AQ$5:AQ$190,0))</f>
        <v>0</v>
      </c>
      <c r="G372" s="11">
        <f>INDEX(AA$5:AA$190,MATCH(LARGE(AQ$5:AQ$190,178),AQ$5:AQ$190,0))</f>
        <v>0</v>
      </c>
      <c r="H372" s="11">
        <f>INDEX(AB$5:AB$190,MATCH(LARGE(AQ$5:AQ$190,178),AQ$5:AQ$190,0))</f>
        <v>0</v>
      </c>
      <c r="I372" s="11">
        <f>INDEX(AC$5:AC$190,MATCH(LARGE(AQ$5:AQ$190,178),AQ$5:AQ$190,0))</f>
        <v>0</v>
      </c>
      <c r="J372" s="11">
        <f>INDEX(AD$5:AD$190,MATCH(LARGE(AQ$5:AQ$190,178),AQ$5:AQ$190,0))</f>
        <v>0</v>
      </c>
      <c r="K372" s="11">
        <f>INDEX(AE$5:AE$190,MATCH(LARGE(AQ$5:AQ$190,178),AQ$5:AQ$190,0))</f>
        <v>0</v>
      </c>
      <c r="L372" s="11">
        <f>INDEX(AF$5:AF$190,MATCH(LARGE(AQ$5:AQ$190,178),AQ$5:AQ$190,0))</f>
        <v>2.7027027027027029E-3</v>
      </c>
      <c r="M372" s="11">
        <f>INDEX(AG$5:AG$190,MATCH(LARGE(AQ$5:AQ$190,178),AQ$5:AQ$190,0))</f>
        <v>1.020408163265306E-2</v>
      </c>
      <c r="N372" s="11">
        <f>INDEX(AH$5:AH$190,MATCH(LARGE(AQ$5:AQ$190,178),AQ$5:AQ$190,0))</f>
        <v>0</v>
      </c>
      <c r="O372" s="11">
        <f>INDEX(AI$5:AI$190,MATCH(LARGE(AQ$5:AQ$190,178),AQ$5:AQ$190,0))</f>
        <v>0</v>
      </c>
      <c r="P372" s="11">
        <f>INDEX(AJ$5:AJ$190,MATCH(LARGE(AQ$5:AQ$190,178),AQ$5:AQ$190,0))</f>
        <v>0</v>
      </c>
      <c r="Q372" s="11">
        <f>INDEX(AK$5:AK$190,MATCH(LARGE(AQ$5:AQ$190,178),AQ$5:AQ$190,0))</f>
        <v>0</v>
      </c>
      <c r="R372" s="11">
        <f>INDEX(AL$5:AL$190,MATCH(LARGE(AQ$5:AQ$190,178),AQ$5:AQ$190,0))</f>
        <v>0</v>
      </c>
      <c r="S372" s="11">
        <f>INDEX(AM$5:AM$190,MATCH(LARGE(AQ$5:AQ$190,178),AQ$5:AQ$190,0))</f>
        <v>0.16666666666666666</v>
      </c>
      <c r="T372" s="11">
        <f>INDEX(AN$5:AN$190,MATCH(LARGE(AQ$5:AQ$190,178),AQ$5:AQ$190,0))</f>
        <v>0</v>
      </c>
      <c r="U372" s="11">
        <f>INDEX(AO$5:AO$190,MATCH(LARGE(AQ$5:AQ$190,178),AQ$5:AQ$190,0))</f>
        <v>0</v>
      </c>
      <c r="V372" s="11">
        <f>INDEX(AP$5:AP$190,MATCH(LARGE(AQ$5:AQ$190,178),AQ$5:AQ$190,0))</f>
        <v>0</v>
      </c>
    </row>
    <row r="373" spans="1:22" ht="15" customHeight="1" x14ac:dyDescent="0.2">
      <c r="A373" s="3">
        <v>179</v>
      </c>
      <c r="B373" s="3" t="str">
        <f>INDEX($A$5:$A$190,MATCH(LARGE(AQ$5:AQ$190,179),AQ$5:AQ$190,0))</f>
        <v>IGame: getHits()</v>
      </c>
      <c r="C373" s="11">
        <f>INDEX(W$5:W$190,MATCH(LARGE(AQ$5:AQ$190,179),AQ$5:AQ$190,0))</f>
        <v>2.6315789473684209E-2</v>
      </c>
      <c r="D373" s="11">
        <f>INDEX(X$5:X$190,MATCH(LARGE(AQ$5:AQ$190,179),AQ$5:AQ$190,0))</f>
        <v>0</v>
      </c>
      <c r="E373" s="11">
        <f>INDEX(Y$5:Y$190,MATCH(LARGE(AQ$5:AQ$190,179),AQ$5:AQ$190,0))</f>
        <v>0</v>
      </c>
      <c r="F373" s="11">
        <f>INDEX(Z$5:Z$190,MATCH(LARGE(AQ$5:AQ$190,179),AQ$5:AQ$190,0))</f>
        <v>0</v>
      </c>
      <c r="G373" s="11">
        <f>INDEX(AA$5:AA$190,MATCH(LARGE(AQ$5:AQ$190,179),AQ$5:AQ$190,0))</f>
        <v>0</v>
      </c>
      <c r="H373" s="11">
        <f>INDEX(AB$5:AB$190,MATCH(LARGE(AQ$5:AQ$190,179),AQ$5:AQ$190,0))</f>
        <v>0</v>
      </c>
      <c r="I373" s="11">
        <f>INDEX(AC$5:AC$190,MATCH(LARGE(AQ$5:AQ$190,179),AQ$5:AQ$190,0))</f>
        <v>0</v>
      </c>
      <c r="J373" s="11">
        <f>INDEX(AD$5:AD$190,MATCH(LARGE(AQ$5:AQ$190,179),AQ$5:AQ$190,0))</f>
        <v>0</v>
      </c>
      <c r="K373" s="11">
        <f>INDEX(AE$5:AE$190,MATCH(LARGE(AQ$5:AQ$190,179),AQ$5:AQ$190,0))</f>
        <v>0</v>
      </c>
      <c r="L373" s="11">
        <f>INDEX(AF$5:AF$190,MATCH(LARGE(AQ$5:AQ$190,179),AQ$5:AQ$190,0))</f>
        <v>2.7027027027027029E-3</v>
      </c>
      <c r="M373" s="11">
        <f>INDEX(AG$5:AG$190,MATCH(LARGE(AQ$5:AQ$190,179),AQ$5:AQ$190,0))</f>
        <v>1.020408163265306E-2</v>
      </c>
      <c r="N373" s="11">
        <f>INDEX(AH$5:AH$190,MATCH(LARGE(AQ$5:AQ$190,179),AQ$5:AQ$190,0))</f>
        <v>0</v>
      </c>
      <c r="O373" s="11">
        <f>INDEX(AI$5:AI$190,MATCH(LARGE(AQ$5:AQ$190,179),AQ$5:AQ$190,0))</f>
        <v>0</v>
      </c>
      <c r="P373" s="11">
        <f>INDEX(AJ$5:AJ$190,MATCH(LARGE(AQ$5:AQ$190,179),AQ$5:AQ$190,0))</f>
        <v>0</v>
      </c>
      <c r="Q373" s="11">
        <f>INDEX(AK$5:AK$190,MATCH(LARGE(AQ$5:AQ$190,179),AQ$5:AQ$190,0))</f>
        <v>0</v>
      </c>
      <c r="R373" s="11">
        <f>INDEX(AL$5:AL$190,MATCH(LARGE(AQ$5:AQ$190,179),AQ$5:AQ$190,0))</f>
        <v>0</v>
      </c>
      <c r="S373" s="11">
        <f>INDEX(AM$5:AM$190,MATCH(LARGE(AQ$5:AQ$190,179),AQ$5:AQ$190,0))</f>
        <v>0.16666666666666666</v>
      </c>
      <c r="T373" s="11">
        <f>INDEX(AN$5:AN$190,MATCH(LARGE(AQ$5:AQ$190,179),AQ$5:AQ$190,0))</f>
        <v>0</v>
      </c>
      <c r="U373" s="11">
        <f>INDEX(AO$5:AO$190,MATCH(LARGE(AQ$5:AQ$190,179),AQ$5:AQ$190,0))</f>
        <v>0</v>
      </c>
      <c r="V373" s="11">
        <f>INDEX(AP$5:AP$190,MATCH(LARGE(AQ$5:AQ$190,179),AQ$5:AQ$190,0))</f>
        <v>0</v>
      </c>
    </row>
    <row r="374" spans="1:22" ht="15" customHeight="1" x14ac:dyDescent="0.2">
      <c r="A374" s="3">
        <v>180</v>
      </c>
      <c r="B374" s="3" t="str">
        <f>INDEX($A$5:$A$190,MATCH(LARGE(AQ$5:AQ$190,180),AQ$5:AQ$190,0))</f>
        <v>IGame: getAlienFleet()</v>
      </c>
      <c r="C374" s="11">
        <f>INDEX(W$5:W$190,MATCH(LARGE(AQ$5:AQ$190,180),AQ$5:AQ$190,0))</f>
        <v>2.6315789473684209E-2</v>
      </c>
      <c r="D374" s="11">
        <f>INDEX(X$5:X$190,MATCH(LARGE(AQ$5:AQ$190,180),AQ$5:AQ$190,0))</f>
        <v>0</v>
      </c>
      <c r="E374" s="11">
        <f>INDEX(Y$5:Y$190,MATCH(LARGE(AQ$5:AQ$190,180),AQ$5:AQ$190,0))</f>
        <v>0</v>
      </c>
      <c r="F374" s="11">
        <f>INDEX(Z$5:Z$190,MATCH(LARGE(AQ$5:AQ$190,180),AQ$5:AQ$190,0))</f>
        <v>0</v>
      </c>
      <c r="G374" s="11">
        <f>INDEX(AA$5:AA$190,MATCH(LARGE(AQ$5:AQ$190,180),AQ$5:AQ$190,0))</f>
        <v>0</v>
      </c>
      <c r="H374" s="11">
        <f>INDEX(AB$5:AB$190,MATCH(LARGE(AQ$5:AQ$190,180),AQ$5:AQ$190,0))</f>
        <v>0</v>
      </c>
      <c r="I374" s="11">
        <f>INDEX(AC$5:AC$190,MATCH(LARGE(AQ$5:AQ$190,180),AQ$5:AQ$190,0))</f>
        <v>0</v>
      </c>
      <c r="J374" s="11">
        <f>INDEX(AD$5:AD$190,MATCH(LARGE(AQ$5:AQ$190,180),AQ$5:AQ$190,0))</f>
        <v>0</v>
      </c>
      <c r="K374" s="11">
        <f>INDEX(AE$5:AE$190,MATCH(LARGE(AQ$5:AQ$190,180),AQ$5:AQ$190,0))</f>
        <v>0</v>
      </c>
      <c r="L374" s="11">
        <f>INDEX(AF$5:AF$190,MATCH(LARGE(AQ$5:AQ$190,180),AQ$5:AQ$190,0))</f>
        <v>0</v>
      </c>
      <c r="M374" s="11">
        <f>INDEX(AG$5:AG$190,MATCH(LARGE(AQ$5:AQ$190,180),AQ$5:AQ$190,0))</f>
        <v>0</v>
      </c>
      <c r="N374" s="11">
        <f>INDEX(AH$5:AH$190,MATCH(LARGE(AQ$5:AQ$190,180),AQ$5:AQ$190,0))</f>
        <v>0</v>
      </c>
      <c r="O374" s="11">
        <f>INDEX(AI$5:AI$190,MATCH(LARGE(AQ$5:AQ$190,180),AQ$5:AQ$190,0))</f>
        <v>0</v>
      </c>
      <c r="P374" s="11">
        <f>INDEX(AJ$5:AJ$190,MATCH(LARGE(AQ$5:AQ$190,180),AQ$5:AQ$190,0))</f>
        <v>0</v>
      </c>
      <c r="Q374" s="11">
        <f>INDEX(AK$5:AK$190,MATCH(LARGE(AQ$5:AQ$190,180),AQ$5:AQ$190,0))</f>
        <v>0</v>
      </c>
      <c r="R374" s="11">
        <f>INDEX(AL$5:AL$190,MATCH(LARGE(AQ$5:AQ$190,180),AQ$5:AQ$190,0))</f>
        <v>0</v>
      </c>
      <c r="S374" s="11">
        <f>INDEX(AM$5:AM$190,MATCH(LARGE(AQ$5:AQ$190,180),AQ$5:AQ$190,0))</f>
        <v>0.16666666666666666</v>
      </c>
      <c r="T374" s="11">
        <f>INDEX(AN$5:AN$190,MATCH(LARGE(AQ$5:AQ$190,180),AQ$5:AQ$190,0))</f>
        <v>0</v>
      </c>
      <c r="U374" s="11">
        <f>INDEX(AO$5:AO$190,MATCH(LARGE(AQ$5:AQ$190,180),AQ$5:AQ$190,0))</f>
        <v>0</v>
      </c>
      <c r="V374" s="11">
        <f>INDEX(AP$5:AP$190,MATCH(LARGE(AQ$5:AQ$190,180),AQ$5:AQ$190,0))</f>
        <v>0</v>
      </c>
    </row>
    <row r="375" spans="1:22" ht="15" customHeight="1" x14ac:dyDescent="0.2">
      <c r="A375" s="3">
        <v>181</v>
      </c>
      <c r="B375" s="3" t="str">
        <f>INDEX($A$5:$A$190,MATCH(LARGE(AQ$5:AQ$190,181),AQ$5:AQ$190,0))</f>
        <v>IGame: getAlienFleet()</v>
      </c>
      <c r="C375" s="11">
        <f>INDEX(W$5:W$190,MATCH(LARGE(AQ$5:AQ$190,181),AQ$5:AQ$190,0))</f>
        <v>2.6315789473684209E-2</v>
      </c>
      <c r="D375" s="11">
        <f>INDEX(X$5:X$190,MATCH(LARGE(AQ$5:AQ$190,181),AQ$5:AQ$190,0))</f>
        <v>0</v>
      </c>
      <c r="E375" s="11">
        <f>INDEX(Y$5:Y$190,MATCH(LARGE(AQ$5:AQ$190,181),AQ$5:AQ$190,0))</f>
        <v>0</v>
      </c>
      <c r="F375" s="11">
        <f>INDEX(Z$5:Z$190,MATCH(LARGE(AQ$5:AQ$190,181),AQ$5:AQ$190,0))</f>
        <v>0</v>
      </c>
      <c r="G375" s="11">
        <f>INDEX(AA$5:AA$190,MATCH(LARGE(AQ$5:AQ$190,181),AQ$5:AQ$190,0))</f>
        <v>0</v>
      </c>
      <c r="H375" s="11">
        <f>INDEX(AB$5:AB$190,MATCH(LARGE(AQ$5:AQ$190,181),AQ$5:AQ$190,0))</f>
        <v>0</v>
      </c>
      <c r="I375" s="11">
        <f>INDEX(AC$5:AC$190,MATCH(LARGE(AQ$5:AQ$190,181),AQ$5:AQ$190,0))</f>
        <v>0</v>
      </c>
      <c r="J375" s="11">
        <f>INDEX(AD$5:AD$190,MATCH(LARGE(AQ$5:AQ$190,181),AQ$5:AQ$190,0))</f>
        <v>0</v>
      </c>
      <c r="K375" s="11">
        <f>INDEX(AE$5:AE$190,MATCH(LARGE(AQ$5:AQ$190,181),AQ$5:AQ$190,0))</f>
        <v>0</v>
      </c>
      <c r="L375" s="11">
        <f>INDEX(AF$5:AF$190,MATCH(LARGE(AQ$5:AQ$190,181),AQ$5:AQ$190,0))</f>
        <v>0</v>
      </c>
      <c r="M375" s="11">
        <f>INDEX(AG$5:AG$190,MATCH(LARGE(AQ$5:AQ$190,181),AQ$5:AQ$190,0))</f>
        <v>0</v>
      </c>
      <c r="N375" s="11">
        <f>INDEX(AH$5:AH$190,MATCH(LARGE(AQ$5:AQ$190,181),AQ$5:AQ$190,0))</f>
        <v>0</v>
      </c>
      <c r="O375" s="11">
        <f>INDEX(AI$5:AI$190,MATCH(LARGE(AQ$5:AQ$190,181),AQ$5:AQ$190,0))</f>
        <v>0</v>
      </c>
      <c r="P375" s="11">
        <f>INDEX(AJ$5:AJ$190,MATCH(LARGE(AQ$5:AQ$190,181),AQ$5:AQ$190,0))</f>
        <v>0</v>
      </c>
      <c r="Q375" s="11">
        <f>INDEX(AK$5:AK$190,MATCH(LARGE(AQ$5:AQ$190,181),AQ$5:AQ$190,0))</f>
        <v>0</v>
      </c>
      <c r="R375" s="11">
        <f>INDEX(AL$5:AL$190,MATCH(LARGE(AQ$5:AQ$190,181),AQ$5:AQ$190,0))</f>
        <v>0</v>
      </c>
      <c r="S375" s="11">
        <f>INDEX(AM$5:AM$190,MATCH(LARGE(AQ$5:AQ$190,181),AQ$5:AQ$190,0))</f>
        <v>0.16666666666666666</v>
      </c>
      <c r="T375" s="11">
        <f>INDEX(AN$5:AN$190,MATCH(LARGE(AQ$5:AQ$190,181),AQ$5:AQ$190,0))</f>
        <v>0</v>
      </c>
      <c r="U375" s="11">
        <f>INDEX(AO$5:AO$190,MATCH(LARGE(AQ$5:AQ$190,181),AQ$5:AQ$190,0))</f>
        <v>0</v>
      </c>
      <c r="V375" s="11">
        <f>INDEX(AP$5:AP$190,MATCH(LARGE(AQ$5:AQ$190,181),AQ$5:AQ$190,0))</f>
        <v>0</v>
      </c>
    </row>
    <row r="376" spans="1:22" ht="15" customHeight="1" x14ac:dyDescent="0.2">
      <c r="A376" s="3">
        <v>182</v>
      </c>
      <c r="B376" s="3" t="str">
        <f>INDEX($A$5:$A$190,MATCH(LARGE(AQ$5:AQ$190,182),AQ$5:AQ$190,0))</f>
        <v>IGame: getAlienFleet()</v>
      </c>
      <c r="C376" s="11">
        <f>INDEX(W$5:W$190,MATCH(LARGE(AQ$5:AQ$190,182),AQ$5:AQ$190,0))</f>
        <v>2.6315789473684209E-2</v>
      </c>
      <c r="D376" s="11">
        <f>INDEX(X$5:X$190,MATCH(LARGE(AQ$5:AQ$190,182),AQ$5:AQ$190,0))</f>
        <v>0</v>
      </c>
      <c r="E376" s="11">
        <f>INDEX(Y$5:Y$190,MATCH(LARGE(AQ$5:AQ$190,182),AQ$5:AQ$190,0))</f>
        <v>0</v>
      </c>
      <c r="F376" s="11">
        <f>INDEX(Z$5:Z$190,MATCH(LARGE(AQ$5:AQ$190,182),AQ$5:AQ$190,0))</f>
        <v>0</v>
      </c>
      <c r="G376" s="11">
        <f>INDEX(AA$5:AA$190,MATCH(LARGE(AQ$5:AQ$190,182),AQ$5:AQ$190,0))</f>
        <v>0</v>
      </c>
      <c r="H376" s="11">
        <f>INDEX(AB$5:AB$190,MATCH(LARGE(AQ$5:AQ$190,182),AQ$5:AQ$190,0))</f>
        <v>0</v>
      </c>
      <c r="I376" s="11">
        <f>INDEX(AC$5:AC$190,MATCH(LARGE(AQ$5:AQ$190,182),AQ$5:AQ$190,0))</f>
        <v>0</v>
      </c>
      <c r="J376" s="11">
        <f>INDEX(AD$5:AD$190,MATCH(LARGE(AQ$5:AQ$190,182),AQ$5:AQ$190,0))</f>
        <v>0</v>
      </c>
      <c r="K376" s="11">
        <f>INDEX(AE$5:AE$190,MATCH(LARGE(AQ$5:AQ$190,182),AQ$5:AQ$190,0))</f>
        <v>0</v>
      </c>
      <c r="L376" s="11">
        <f>INDEX(AF$5:AF$190,MATCH(LARGE(AQ$5:AQ$190,182),AQ$5:AQ$190,0))</f>
        <v>0</v>
      </c>
      <c r="M376" s="11">
        <f>INDEX(AG$5:AG$190,MATCH(LARGE(AQ$5:AQ$190,182),AQ$5:AQ$190,0))</f>
        <v>0</v>
      </c>
      <c r="N376" s="11">
        <f>INDEX(AH$5:AH$190,MATCH(LARGE(AQ$5:AQ$190,182),AQ$5:AQ$190,0))</f>
        <v>0</v>
      </c>
      <c r="O376" s="11">
        <f>INDEX(AI$5:AI$190,MATCH(LARGE(AQ$5:AQ$190,182),AQ$5:AQ$190,0))</f>
        <v>0</v>
      </c>
      <c r="P376" s="11">
        <f>INDEX(AJ$5:AJ$190,MATCH(LARGE(AQ$5:AQ$190,182),AQ$5:AQ$190,0))</f>
        <v>0</v>
      </c>
      <c r="Q376" s="11">
        <f>INDEX(AK$5:AK$190,MATCH(LARGE(AQ$5:AQ$190,182),AQ$5:AQ$190,0))</f>
        <v>0</v>
      </c>
      <c r="R376" s="11">
        <f>INDEX(AL$5:AL$190,MATCH(LARGE(AQ$5:AQ$190,182),AQ$5:AQ$190,0))</f>
        <v>0</v>
      </c>
      <c r="S376" s="11">
        <f>INDEX(AM$5:AM$190,MATCH(LARGE(AQ$5:AQ$190,182),AQ$5:AQ$190,0))</f>
        <v>0.16666666666666666</v>
      </c>
      <c r="T376" s="11">
        <f>INDEX(AN$5:AN$190,MATCH(LARGE(AQ$5:AQ$190,182),AQ$5:AQ$190,0))</f>
        <v>0</v>
      </c>
      <c r="U376" s="11">
        <f>INDEX(AO$5:AO$190,MATCH(LARGE(AQ$5:AQ$190,182),AQ$5:AQ$190,0))</f>
        <v>0</v>
      </c>
      <c r="V376" s="11">
        <f>INDEX(AP$5:AP$190,MATCH(LARGE(AQ$5:AQ$190,182),AQ$5:AQ$190,0))</f>
        <v>0</v>
      </c>
    </row>
    <row r="377" spans="1:22" ht="15" customHeight="1" x14ac:dyDescent="0.2">
      <c r="A377" s="3">
        <v>183</v>
      </c>
      <c r="B377" s="3" t="str">
        <f>INDEX($A$5:$A$190,MATCH(LARGE(AQ$5:AQ$190,183),AQ$5:AQ$190,0))</f>
        <v>IGame: getAlienFleet()</v>
      </c>
      <c r="C377" s="11">
        <f>INDEX(W$5:W$190,MATCH(LARGE(AQ$5:AQ$190,183),AQ$5:AQ$190,0))</f>
        <v>2.6315789473684209E-2</v>
      </c>
      <c r="D377" s="11">
        <f>INDEX(X$5:X$190,MATCH(LARGE(AQ$5:AQ$190,183),AQ$5:AQ$190,0))</f>
        <v>0</v>
      </c>
      <c r="E377" s="11">
        <f>INDEX(Y$5:Y$190,MATCH(LARGE(AQ$5:AQ$190,183),AQ$5:AQ$190,0))</f>
        <v>0</v>
      </c>
      <c r="F377" s="11">
        <f>INDEX(Z$5:Z$190,MATCH(LARGE(AQ$5:AQ$190,183),AQ$5:AQ$190,0))</f>
        <v>0</v>
      </c>
      <c r="G377" s="11">
        <f>INDEX(AA$5:AA$190,MATCH(LARGE(AQ$5:AQ$190,183),AQ$5:AQ$190,0))</f>
        <v>0</v>
      </c>
      <c r="H377" s="11">
        <f>INDEX(AB$5:AB$190,MATCH(LARGE(AQ$5:AQ$190,183),AQ$5:AQ$190,0))</f>
        <v>0</v>
      </c>
      <c r="I377" s="11">
        <f>INDEX(AC$5:AC$190,MATCH(LARGE(AQ$5:AQ$190,183),AQ$5:AQ$190,0))</f>
        <v>0</v>
      </c>
      <c r="J377" s="11">
        <f>INDEX(AD$5:AD$190,MATCH(LARGE(AQ$5:AQ$190,183),AQ$5:AQ$190,0))</f>
        <v>0</v>
      </c>
      <c r="K377" s="11">
        <f>INDEX(AE$5:AE$190,MATCH(LARGE(AQ$5:AQ$190,183),AQ$5:AQ$190,0))</f>
        <v>0</v>
      </c>
      <c r="L377" s="11">
        <f>INDEX(AF$5:AF$190,MATCH(LARGE(AQ$5:AQ$190,183),AQ$5:AQ$190,0))</f>
        <v>0</v>
      </c>
      <c r="M377" s="11">
        <f>INDEX(AG$5:AG$190,MATCH(LARGE(AQ$5:AQ$190,183),AQ$5:AQ$190,0))</f>
        <v>0</v>
      </c>
      <c r="N377" s="11">
        <f>INDEX(AH$5:AH$190,MATCH(LARGE(AQ$5:AQ$190,183),AQ$5:AQ$190,0))</f>
        <v>0</v>
      </c>
      <c r="O377" s="11">
        <f>INDEX(AI$5:AI$190,MATCH(LARGE(AQ$5:AQ$190,183),AQ$5:AQ$190,0))</f>
        <v>0</v>
      </c>
      <c r="P377" s="11">
        <f>INDEX(AJ$5:AJ$190,MATCH(LARGE(AQ$5:AQ$190,183),AQ$5:AQ$190,0))</f>
        <v>0</v>
      </c>
      <c r="Q377" s="11">
        <f>INDEX(AK$5:AK$190,MATCH(LARGE(AQ$5:AQ$190,183),AQ$5:AQ$190,0))</f>
        <v>0</v>
      </c>
      <c r="R377" s="11">
        <f>INDEX(AL$5:AL$190,MATCH(LARGE(AQ$5:AQ$190,183),AQ$5:AQ$190,0))</f>
        <v>0</v>
      </c>
      <c r="S377" s="11">
        <f>INDEX(AM$5:AM$190,MATCH(LARGE(AQ$5:AQ$190,183),AQ$5:AQ$190,0))</f>
        <v>0.16666666666666666</v>
      </c>
      <c r="T377" s="11">
        <f>INDEX(AN$5:AN$190,MATCH(LARGE(AQ$5:AQ$190,183),AQ$5:AQ$190,0))</f>
        <v>0</v>
      </c>
      <c r="U377" s="11">
        <f>INDEX(AO$5:AO$190,MATCH(LARGE(AQ$5:AQ$190,183),AQ$5:AQ$190,0))</f>
        <v>0</v>
      </c>
      <c r="V377" s="11">
        <f>INDEX(AP$5:AP$190,MATCH(LARGE(AQ$5:AQ$190,183),AQ$5:AQ$190,0))</f>
        <v>0</v>
      </c>
    </row>
    <row r="378" spans="1:22" ht="15" customHeight="1" x14ac:dyDescent="0.2">
      <c r="A378" s="3">
        <v>184</v>
      </c>
      <c r="B378" s="3" t="str">
        <f>INDEX($A$5:$A$190,MATCH(LARGE(AQ$5:AQ$190,184),AQ$5:AQ$190,0))</f>
        <v>IGame: getAlienFleet()</v>
      </c>
      <c r="C378" s="11">
        <f>INDEX(W$5:W$190,MATCH(LARGE(AQ$5:AQ$190,184),AQ$5:AQ$190,0))</f>
        <v>2.6315789473684209E-2</v>
      </c>
      <c r="D378" s="11">
        <f>INDEX(X$5:X$190,MATCH(LARGE(AQ$5:AQ$190,184),AQ$5:AQ$190,0))</f>
        <v>0</v>
      </c>
      <c r="E378" s="11">
        <f>INDEX(Y$5:Y$190,MATCH(LARGE(AQ$5:AQ$190,184),AQ$5:AQ$190,0))</f>
        <v>0</v>
      </c>
      <c r="F378" s="11">
        <f>INDEX(Z$5:Z$190,MATCH(LARGE(AQ$5:AQ$190,184),AQ$5:AQ$190,0))</f>
        <v>0</v>
      </c>
      <c r="G378" s="11">
        <f>INDEX(AA$5:AA$190,MATCH(LARGE(AQ$5:AQ$190,184),AQ$5:AQ$190,0))</f>
        <v>0</v>
      </c>
      <c r="H378" s="11">
        <f>INDEX(AB$5:AB$190,MATCH(LARGE(AQ$5:AQ$190,184),AQ$5:AQ$190,0))</f>
        <v>0</v>
      </c>
      <c r="I378" s="11">
        <f>INDEX(AC$5:AC$190,MATCH(LARGE(AQ$5:AQ$190,184),AQ$5:AQ$190,0))</f>
        <v>0</v>
      </c>
      <c r="J378" s="11">
        <f>INDEX(AD$5:AD$190,MATCH(LARGE(AQ$5:AQ$190,184),AQ$5:AQ$190,0))</f>
        <v>0</v>
      </c>
      <c r="K378" s="11">
        <f>INDEX(AE$5:AE$190,MATCH(LARGE(AQ$5:AQ$190,184),AQ$5:AQ$190,0))</f>
        <v>0</v>
      </c>
      <c r="L378" s="11">
        <f>INDEX(AF$5:AF$190,MATCH(LARGE(AQ$5:AQ$190,184),AQ$5:AQ$190,0))</f>
        <v>0</v>
      </c>
      <c r="M378" s="11">
        <f>INDEX(AG$5:AG$190,MATCH(LARGE(AQ$5:AQ$190,184),AQ$5:AQ$190,0))</f>
        <v>0</v>
      </c>
      <c r="N378" s="11">
        <f>INDEX(AH$5:AH$190,MATCH(LARGE(AQ$5:AQ$190,184),AQ$5:AQ$190,0))</f>
        <v>0</v>
      </c>
      <c r="O378" s="11">
        <f>INDEX(AI$5:AI$190,MATCH(LARGE(AQ$5:AQ$190,184),AQ$5:AQ$190,0))</f>
        <v>0</v>
      </c>
      <c r="P378" s="11">
        <f>INDEX(AJ$5:AJ$190,MATCH(LARGE(AQ$5:AQ$190,184),AQ$5:AQ$190,0))</f>
        <v>0</v>
      </c>
      <c r="Q378" s="11">
        <f>INDEX(AK$5:AK$190,MATCH(LARGE(AQ$5:AQ$190,184),AQ$5:AQ$190,0))</f>
        <v>0</v>
      </c>
      <c r="R378" s="11">
        <f>INDEX(AL$5:AL$190,MATCH(LARGE(AQ$5:AQ$190,184),AQ$5:AQ$190,0))</f>
        <v>0</v>
      </c>
      <c r="S378" s="11">
        <f>INDEX(AM$5:AM$190,MATCH(LARGE(AQ$5:AQ$190,184),AQ$5:AQ$190,0))</f>
        <v>0.16666666666666666</v>
      </c>
      <c r="T378" s="11">
        <f>INDEX(AN$5:AN$190,MATCH(LARGE(AQ$5:AQ$190,184),AQ$5:AQ$190,0))</f>
        <v>0</v>
      </c>
      <c r="U378" s="11">
        <f>INDEX(AO$5:AO$190,MATCH(LARGE(AQ$5:AQ$190,184),AQ$5:AQ$190,0))</f>
        <v>0</v>
      </c>
      <c r="V378" s="11">
        <f>INDEX(AP$5:AP$190,MATCH(LARGE(AQ$5:AQ$190,184),AQ$5:AQ$190,0))</f>
        <v>0</v>
      </c>
    </row>
    <row r="379" spans="1:22" ht="15" customHeight="1" x14ac:dyDescent="0.2">
      <c r="A379" s="3">
        <v>185</v>
      </c>
      <c r="B379" s="3" t="str">
        <f>INDEX($A$5:$A$190,MATCH(LARGE(AQ$5:AQ$190,185),AQ$5:AQ$190,0))</f>
        <v>IGame: getAlienFleet()</v>
      </c>
      <c r="C379" s="11">
        <f>INDEX(W$5:W$190,MATCH(LARGE(AQ$5:AQ$190,185),AQ$5:AQ$190,0))</f>
        <v>2.6315789473684209E-2</v>
      </c>
      <c r="D379" s="11">
        <f>INDEX(X$5:X$190,MATCH(LARGE(AQ$5:AQ$190,185),AQ$5:AQ$190,0))</f>
        <v>0</v>
      </c>
      <c r="E379" s="11">
        <f>INDEX(Y$5:Y$190,MATCH(LARGE(AQ$5:AQ$190,185),AQ$5:AQ$190,0))</f>
        <v>0</v>
      </c>
      <c r="F379" s="11">
        <f>INDEX(Z$5:Z$190,MATCH(LARGE(AQ$5:AQ$190,185),AQ$5:AQ$190,0))</f>
        <v>0</v>
      </c>
      <c r="G379" s="11">
        <f>INDEX(AA$5:AA$190,MATCH(LARGE(AQ$5:AQ$190,185),AQ$5:AQ$190,0))</f>
        <v>0</v>
      </c>
      <c r="H379" s="11">
        <f>INDEX(AB$5:AB$190,MATCH(LARGE(AQ$5:AQ$190,185),AQ$5:AQ$190,0))</f>
        <v>0</v>
      </c>
      <c r="I379" s="11">
        <f>INDEX(AC$5:AC$190,MATCH(LARGE(AQ$5:AQ$190,185),AQ$5:AQ$190,0))</f>
        <v>0</v>
      </c>
      <c r="J379" s="11">
        <f>INDEX(AD$5:AD$190,MATCH(LARGE(AQ$5:AQ$190,185),AQ$5:AQ$190,0))</f>
        <v>0</v>
      </c>
      <c r="K379" s="11">
        <f>INDEX(AE$5:AE$190,MATCH(LARGE(AQ$5:AQ$190,185),AQ$5:AQ$190,0))</f>
        <v>0</v>
      </c>
      <c r="L379" s="11">
        <f>INDEX(AF$5:AF$190,MATCH(LARGE(AQ$5:AQ$190,185),AQ$5:AQ$190,0))</f>
        <v>0</v>
      </c>
      <c r="M379" s="11">
        <f>INDEX(AG$5:AG$190,MATCH(LARGE(AQ$5:AQ$190,185),AQ$5:AQ$190,0))</f>
        <v>0</v>
      </c>
      <c r="N379" s="11">
        <f>INDEX(AH$5:AH$190,MATCH(LARGE(AQ$5:AQ$190,185),AQ$5:AQ$190,0))</f>
        <v>0</v>
      </c>
      <c r="O379" s="11">
        <f>INDEX(AI$5:AI$190,MATCH(LARGE(AQ$5:AQ$190,185),AQ$5:AQ$190,0))</f>
        <v>0</v>
      </c>
      <c r="P379" s="11">
        <f>INDEX(AJ$5:AJ$190,MATCH(LARGE(AQ$5:AQ$190,185),AQ$5:AQ$190,0))</f>
        <v>0</v>
      </c>
      <c r="Q379" s="11">
        <f>INDEX(AK$5:AK$190,MATCH(LARGE(AQ$5:AQ$190,185),AQ$5:AQ$190,0))</f>
        <v>0</v>
      </c>
      <c r="R379" s="11">
        <f>INDEX(AL$5:AL$190,MATCH(LARGE(AQ$5:AQ$190,185),AQ$5:AQ$190,0))</f>
        <v>0</v>
      </c>
      <c r="S379" s="11">
        <f>INDEX(AM$5:AM$190,MATCH(LARGE(AQ$5:AQ$190,185),AQ$5:AQ$190,0))</f>
        <v>0.16666666666666666</v>
      </c>
      <c r="T379" s="11">
        <f>INDEX(AN$5:AN$190,MATCH(LARGE(AQ$5:AQ$190,185),AQ$5:AQ$190,0))</f>
        <v>0</v>
      </c>
      <c r="U379" s="11">
        <f>INDEX(AO$5:AO$190,MATCH(LARGE(AQ$5:AQ$190,185),AQ$5:AQ$190,0))</f>
        <v>0</v>
      </c>
      <c r="V379" s="11">
        <f>INDEX(AP$5:AP$190,MATCH(LARGE(AQ$5:AQ$190,185),AQ$5:AQ$190,0))</f>
        <v>0</v>
      </c>
    </row>
    <row r="380" spans="1:22" ht="15" customHeight="1" x14ac:dyDescent="0.2">
      <c r="A380" s="3">
        <v>186</v>
      </c>
      <c r="B380" s="3" t="str">
        <f>INDEX($A$5:$A$190,MATCH(LARGE(AQ$5:AQ$190,186),AQ$5:AQ$190,0))</f>
        <v>Compass: values()</v>
      </c>
      <c r="C380" s="11">
        <f>INDEX(W$5:W$190,MATCH(LARGE(AQ$5:AQ$190,186),AQ$5:AQ$190,0))</f>
        <v>2.6315789473684209E-2</v>
      </c>
      <c r="D380" s="11">
        <f>INDEX(X$5:X$190,MATCH(LARGE(AQ$5:AQ$190,186),AQ$5:AQ$190,0))</f>
        <v>0</v>
      </c>
      <c r="E380" s="11">
        <f>INDEX(Y$5:Y$190,MATCH(LARGE(AQ$5:AQ$190,186),AQ$5:AQ$190,0))</f>
        <v>0</v>
      </c>
      <c r="F380" s="11">
        <f>INDEX(Z$5:Z$190,MATCH(LARGE(AQ$5:AQ$190,186),AQ$5:AQ$190,0))</f>
        <v>0</v>
      </c>
      <c r="G380" s="11">
        <f>INDEX(AA$5:AA$190,MATCH(LARGE(AQ$5:AQ$190,186),AQ$5:AQ$190,0))</f>
        <v>0</v>
      </c>
      <c r="H380" s="11">
        <f>INDEX(AB$5:AB$190,MATCH(LARGE(AQ$5:AQ$190,186),AQ$5:AQ$190,0))</f>
        <v>0</v>
      </c>
      <c r="I380" s="11">
        <f>INDEX(AC$5:AC$190,MATCH(LARGE(AQ$5:AQ$190,186),AQ$5:AQ$190,0))</f>
        <v>0</v>
      </c>
      <c r="J380" s="11">
        <f>INDEX(AD$5:AD$190,MATCH(LARGE(AQ$5:AQ$190,186),AQ$5:AQ$190,0))</f>
        <v>0</v>
      </c>
      <c r="K380" s="11">
        <f>INDEX(AE$5:AE$190,MATCH(LARGE(AQ$5:AQ$190,186),AQ$5:AQ$190,0))</f>
        <v>0</v>
      </c>
      <c r="L380" s="11">
        <f>INDEX(AF$5:AF$190,MATCH(LARGE(AQ$5:AQ$190,186),AQ$5:AQ$190,0))</f>
        <v>0</v>
      </c>
      <c r="M380" s="11">
        <f>INDEX(AG$5:AG$190,MATCH(LARGE(AQ$5:AQ$190,186),AQ$5:AQ$190,0))</f>
        <v>0</v>
      </c>
      <c r="N380" s="11">
        <f>INDEX(AH$5:AH$190,MATCH(LARGE(AQ$5:AQ$190,186),AQ$5:AQ$190,0))</f>
        <v>0</v>
      </c>
      <c r="O380" s="11">
        <f>INDEX(AI$5:AI$190,MATCH(LARGE(AQ$5:AQ$190,186),AQ$5:AQ$190,0))</f>
        <v>0</v>
      </c>
      <c r="P380" s="11">
        <f>INDEX(AJ$5:AJ$190,MATCH(LARGE(AQ$5:AQ$190,186),AQ$5:AQ$190,0))</f>
        <v>0</v>
      </c>
      <c r="Q380" s="11">
        <f>INDEX(AK$5:AK$190,MATCH(LARGE(AQ$5:AQ$190,186),AQ$5:AQ$190,0))</f>
        <v>0</v>
      </c>
      <c r="R380" s="11">
        <f>INDEX(AL$5:AL$190,MATCH(LARGE(AQ$5:AQ$190,186),AQ$5:AQ$190,0))</f>
        <v>0</v>
      </c>
      <c r="S380" s="11">
        <f>INDEX(AM$5:AM$190,MATCH(LARGE(AQ$5:AQ$190,186),AQ$5:AQ$190,0))</f>
        <v>0</v>
      </c>
      <c r="T380" s="11">
        <f>INDEX(AN$5:AN$190,MATCH(LARGE(AQ$5:AQ$190,186),AQ$5:AQ$190,0))</f>
        <v>0</v>
      </c>
      <c r="U380" s="11">
        <f>INDEX(AO$5:AO$190,MATCH(LARGE(AQ$5:AQ$190,186),AQ$5:AQ$190,0))</f>
        <v>0</v>
      </c>
      <c r="V380" s="11">
        <f>INDEX(AP$5:AP$190,MATCH(LARGE(AQ$5:AQ$190,186),AQ$5:AQ$190,0))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80"/>
  <sheetViews>
    <sheetView tabSelected="1" topLeftCell="A378" zoomScaleNormal="100" workbookViewId="0">
      <selection activeCell="S390" sqref="S390"/>
    </sheetView>
  </sheetViews>
  <sheetFormatPr baseColWidth="10" defaultColWidth="8.5" defaultRowHeight="16" x14ac:dyDescent="0.2"/>
  <cols>
    <col min="1" max="1" width="50" customWidth="1"/>
    <col min="2" max="8" width="12" customWidth="1"/>
    <col min="9" max="9" width="14" customWidth="1"/>
  </cols>
  <sheetData>
    <row r="1" spans="1:9" ht="15" customHeight="1" x14ac:dyDescent="0.2">
      <c r="A1" s="6" t="s">
        <v>544</v>
      </c>
      <c r="F1" s="6" t="s">
        <v>545</v>
      </c>
    </row>
    <row r="2" spans="1:9" ht="15" customHeight="1" x14ac:dyDescent="0.2">
      <c r="A2" s="7" t="s">
        <v>546</v>
      </c>
      <c r="B2" s="8">
        <f>MIN(B5:B190)</f>
        <v>0</v>
      </c>
      <c r="C2" s="8">
        <f>MIN(C5:C190)</f>
        <v>0</v>
      </c>
      <c r="D2" s="8">
        <f>MIN(D5:D190)</f>
        <v>0</v>
      </c>
    </row>
    <row r="3" spans="1:9" ht="15" customHeight="1" x14ac:dyDescent="0.2">
      <c r="A3" s="7" t="s">
        <v>547</v>
      </c>
      <c r="B3" s="8">
        <f>MAX(B5:B190)</f>
        <v>38</v>
      </c>
      <c r="C3" s="8">
        <f>MAX(C5:C190)</f>
        <v>132</v>
      </c>
      <c r="D3" s="8">
        <f>MAX(D5:D190)</f>
        <v>4</v>
      </c>
    </row>
    <row r="4" spans="1:9" ht="15" customHeight="1" x14ac:dyDescent="0.2">
      <c r="A4" s="1" t="s">
        <v>0</v>
      </c>
      <c r="B4" s="2" t="s">
        <v>1</v>
      </c>
      <c r="C4" s="2" t="s">
        <v>15</v>
      </c>
      <c r="D4" s="2" t="s">
        <v>20</v>
      </c>
      <c r="F4" s="9" t="s">
        <v>523</v>
      </c>
      <c r="G4" s="9" t="s">
        <v>537</v>
      </c>
      <c r="H4" s="9" t="s">
        <v>542</v>
      </c>
      <c r="I4" s="10" t="s">
        <v>543</v>
      </c>
    </row>
    <row r="5" spans="1:9" ht="15" customHeight="1" x14ac:dyDescent="0.2">
      <c r="A5" s="3" t="str">
        <f>MethodData!A2</f>
        <v>Barge: Barge(Compass, IPosition)</v>
      </c>
      <c r="B5" s="4">
        <f>MethodData!B2</f>
        <v>1</v>
      </c>
      <c r="C5" s="4">
        <f>MethodData!P2</f>
        <v>11</v>
      </c>
      <c r="D5" s="4">
        <f>MethodData!U2</f>
        <v>2</v>
      </c>
      <c r="F5" s="11">
        <f t="shared" ref="F5:F36" si="0">IF(B$3-B$2=0,0,(B5-B$2)/(B$3-B$2))</f>
        <v>2.6315789473684209E-2</v>
      </c>
      <c r="G5" s="11">
        <f t="shared" ref="G5:G36" si="1">IF(C$3-C$2=0,0,(C5-C$2)/(C$3-C$2))</f>
        <v>8.3333333333333329E-2</v>
      </c>
      <c r="H5" s="11">
        <f t="shared" ref="H5:H36" si="2">IF(D$3-D$2=0,0,(D5-D$2)/(D$3-D$2))</f>
        <v>0.5</v>
      </c>
      <c r="I5" s="11">
        <f t="shared" ref="I5:I36" si="3">SUM(F5:H5)</f>
        <v>0.60964912280701755</v>
      </c>
    </row>
    <row r="6" spans="1:9" ht="15" customHeight="1" x14ac:dyDescent="0.2">
      <c r="A6" s="3" t="str">
        <f>MethodData!A3</f>
        <v>BoardWindow: close()</v>
      </c>
      <c r="B6" s="4">
        <f>MethodData!B3</f>
        <v>2</v>
      </c>
      <c r="C6" s="4">
        <f>MethodData!P3</f>
        <v>6</v>
      </c>
      <c r="D6" s="4">
        <f>MethodData!U3</f>
        <v>0</v>
      </c>
      <c r="F6" s="11">
        <f t="shared" si="0"/>
        <v>5.2631578947368418E-2</v>
      </c>
      <c r="G6" s="11">
        <f t="shared" si="1"/>
        <v>4.5454545454545456E-2</v>
      </c>
      <c r="H6" s="11">
        <f t="shared" si="2"/>
        <v>0</v>
      </c>
      <c r="I6" s="11">
        <f t="shared" si="3"/>
        <v>9.8086124401913874E-2</v>
      </c>
    </row>
    <row r="7" spans="1:9" ht="15" customHeight="1" x14ac:dyDescent="0.2">
      <c r="A7" s="3" t="str">
        <f>MethodData!A4</f>
        <v>BoardWindow: createBoardPanel(char[][], List&lt;IPosition&gt;)</v>
      </c>
      <c r="B7" s="4">
        <f>MethodData!B4</f>
        <v>10</v>
      </c>
      <c r="C7" s="4">
        <f>MethodData!P4</f>
        <v>43</v>
      </c>
      <c r="D7" s="4">
        <f>MethodData!U4</f>
        <v>2</v>
      </c>
      <c r="F7" s="11">
        <f t="shared" si="0"/>
        <v>0.26315789473684209</v>
      </c>
      <c r="G7" s="11">
        <f t="shared" si="1"/>
        <v>0.32575757575757575</v>
      </c>
      <c r="H7" s="11">
        <f t="shared" si="2"/>
        <v>0.5</v>
      </c>
      <c r="I7" s="11">
        <f t="shared" si="3"/>
        <v>1.0889154704944177</v>
      </c>
    </row>
    <row r="8" spans="1:9" ht="15" customHeight="1" x14ac:dyDescent="0.2">
      <c r="A8" s="3" t="str">
        <f>MethodData!A5</f>
        <v>BoardWindow: show(char[][], char[][], List&lt;IPosition&gt;, List&lt;IPosition&gt;)</v>
      </c>
      <c r="B8" s="4">
        <f>MethodData!B5</f>
        <v>2</v>
      </c>
      <c r="C8" s="4">
        <f>MethodData!P5</f>
        <v>30</v>
      </c>
      <c r="D8" s="4">
        <f>MethodData!U5</f>
        <v>4</v>
      </c>
      <c r="F8" s="11">
        <f t="shared" si="0"/>
        <v>5.2631578947368418E-2</v>
      </c>
      <c r="G8" s="11">
        <f t="shared" si="1"/>
        <v>0.22727272727272727</v>
      </c>
      <c r="H8" s="11">
        <f t="shared" si="2"/>
        <v>1</v>
      </c>
      <c r="I8" s="11">
        <f t="shared" si="3"/>
        <v>1.2799043062200957</v>
      </c>
    </row>
    <row r="9" spans="1:9" ht="15" customHeight="1" x14ac:dyDescent="0.2">
      <c r="A9" s="3" t="str">
        <f>MethodData!A6</f>
        <v>Caravel: Caravel(Compass, IPosition)</v>
      </c>
      <c r="B9" s="4">
        <f>MethodData!B6</f>
        <v>9</v>
      </c>
      <c r="C9" s="4">
        <f>MethodData!P6</f>
        <v>27</v>
      </c>
      <c r="D9" s="4">
        <f>MethodData!U6</f>
        <v>2</v>
      </c>
      <c r="F9" s="11">
        <f t="shared" si="0"/>
        <v>0.23684210526315788</v>
      </c>
      <c r="G9" s="11">
        <f t="shared" si="1"/>
        <v>0.20454545454545456</v>
      </c>
      <c r="H9" s="11">
        <f t="shared" si="2"/>
        <v>0.5</v>
      </c>
      <c r="I9" s="11">
        <f t="shared" si="3"/>
        <v>0.94138755980861244</v>
      </c>
    </row>
    <row r="10" spans="1:9" ht="15" customHeight="1" x14ac:dyDescent="0.2">
      <c r="A10" s="3" t="str">
        <f>MethodData!A7</f>
        <v>Carrack: Carrack(Compass, IPosition)</v>
      </c>
      <c r="B10" s="4">
        <f>MethodData!B7</f>
        <v>9</v>
      </c>
      <c r="C10" s="4">
        <f>MethodData!P7</f>
        <v>27</v>
      </c>
      <c r="D10" s="4">
        <f>MethodData!U7</f>
        <v>2</v>
      </c>
      <c r="F10" s="11">
        <f t="shared" si="0"/>
        <v>0.23684210526315788</v>
      </c>
      <c r="G10" s="11">
        <f t="shared" si="1"/>
        <v>0.20454545454545456</v>
      </c>
      <c r="H10" s="11">
        <f t="shared" si="2"/>
        <v>0.5</v>
      </c>
      <c r="I10" s="11">
        <f t="shared" si="3"/>
        <v>0.94138755980861244</v>
      </c>
    </row>
    <row r="11" spans="1:9" ht="15" customHeight="1" x14ac:dyDescent="0.2">
      <c r="A11" s="3" t="str">
        <f>MethodData!A8</f>
        <v>Compass: Compass(char)</v>
      </c>
      <c r="B11" s="4">
        <f>MethodData!B8</f>
        <v>1</v>
      </c>
      <c r="C11" s="4">
        <f>MethodData!P8</f>
        <v>9</v>
      </c>
      <c r="D11" s="4">
        <f>MethodData!U8</f>
        <v>1</v>
      </c>
      <c r="F11" s="11">
        <f t="shared" si="0"/>
        <v>2.6315789473684209E-2</v>
      </c>
      <c r="G11" s="11">
        <f t="shared" si="1"/>
        <v>6.8181818181818177E-2</v>
      </c>
      <c r="H11" s="11">
        <f t="shared" si="2"/>
        <v>0.25</v>
      </c>
      <c r="I11" s="11">
        <f t="shared" si="3"/>
        <v>0.34449760765550241</v>
      </c>
    </row>
    <row r="12" spans="1:9" ht="15" customHeight="1" x14ac:dyDescent="0.2">
      <c r="A12" s="3" t="str">
        <f>MethodData!A9</f>
        <v>Compass: charToCompass(char)</v>
      </c>
      <c r="B12" s="4">
        <f>MethodData!B9</f>
        <v>6</v>
      </c>
      <c r="C12" s="4">
        <f>MethodData!P9</f>
        <v>28</v>
      </c>
      <c r="D12" s="4">
        <f>MethodData!U9</f>
        <v>1</v>
      </c>
      <c r="F12" s="11">
        <f t="shared" si="0"/>
        <v>0.15789473684210525</v>
      </c>
      <c r="G12" s="11">
        <f t="shared" si="1"/>
        <v>0.21212121212121213</v>
      </c>
      <c r="H12" s="11">
        <f t="shared" si="2"/>
        <v>0.25</v>
      </c>
      <c r="I12" s="11">
        <f t="shared" si="3"/>
        <v>0.62001594896331735</v>
      </c>
    </row>
    <row r="13" spans="1:9" ht="15" customHeight="1" x14ac:dyDescent="0.2">
      <c r="A13" s="3" t="str">
        <f>MethodData!A10</f>
        <v>Compass: getDirection()</v>
      </c>
      <c r="B13" s="4">
        <f>MethodData!B10</f>
        <v>1</v>
      </c>
      <c r="C13" s="4">
        <f>MethodData!P10</f>
        <v>9</v>
      </c>
      <c r="D13" s="4">
        <f>MethodData!U10</f>
        <v>0</v>
      </c>
      <c r="F13" s="11">
        <f t="shared" si="0"/>
        <v>2.6315789473684209E-2</v>
      </c>
      <c r="G13" s="11">
        <f t="shared" si="1"/>
        <v>6.8181818181818177E-2</v>
      </c>
      <c r="H13" s="11">
        <f t="shared" si="2"/>
        <v>0</v>
      </c>
      <c r="I13" s="11">
        <f t="shared" si="3"/>
        <v>9.4497607655502386E-2</v>
      </c>
    </row>
    <row r="14" spans="1:9" ht="15" customHeight="1" x14ac:dyDescent="0.2">
      <c r="A14" s="3" t="str">
        <f>MethodData!A11</f>
        <v>Compass: randomBearing()</v>
      </c>
      <c r="B14" s="4">
        <f>MethodData!B11</f>
        <v>1</v>
      </c>
      <c r="C14" s="4">
        <f>MethodData!P11</f>
        <v>10</v>
      </c>
      <c r="D14" s="4">
        <f>MethodData!U11</f>
        <v>0</v>
      </c>
      <c r="F14" s="11">
        <f t="shared" si="0"/>
        <v>2.6315789473684209E-2</v>
      </c>
      <c r="G14" s="11">
        <f t="shared" si="1"/>
        <v>7.575757575757576E-2</v>
      </c>
      <c r="H14" s="11">
        <f t="shared" si="2"/>
        <v>0</v>
      </c>
      <c r="I14" s="11">
        <f t="shared" si="3"/>
        <v>0.10207336523125997</v>
      </c>
    </row>
    <row r="15" spans="1:9" ht="15" customHeight="1" x14ac:dyDescent="0.2">
      <c r="A15" s="3" t="str">
        <f>MethodData!A12</f>
        <v>Compass: toString()</v>
      </c>
      <c r="B15" s="4">
        <f>MethodData!B12</f>
        <v>1</v>
      </c>
      <c r="C15" s="4">
        <f>MethodData!P12</f>
        <v>10</v>
      </c>
      <c r="D15" s="4">
        <f>MethodData!U12</f>
        <v>0</v>
      </c>
      <c r="F15" s="11">
        <f t="shared" si="0"/>
        <v>2.6315789473684209E-2</v>
      </c>
      <c r="G15" s="11">
        <f t="shared" si="1"/>
        <v>7.575757575757576E-2</v>
      </c>
      <c r="H15" s="11">
        <f t="shared" si="2"/>
        <v>0</v>
      </c>
      <c r="I15" s="11">
        <f t="shared" si="3"/>
        <v>0.10207336523125997</v>
      </c>
    </row>
    <row r="16" spans="1:9" ht="15" customHeight="1" x14ac:dyDescent="0.2">
      <c r="A16" s="3" t="str">
        <f>MethodData!A13</f>
        <v>Compass: valueOf(String)</v>
      </c>
      <c r="B16" s="4">
        <f>MethodData!B13</f>
        <v>1</v>
      </c>
      <c r="C16" s="4">
        <f>MethodData!P13</f>
        <v>0</v>
      </c>
      <c r="D16" s="4">
        <f>MethodData!U13</f>
        <v>1</v>
      </c>
      <c r="F16" s="11">
        <f t="shared" si="0"/>
        <v>2.6315789473684209E-2</v>
      </c>
      <c r="G16" s="11">
        <f t="shared" si="1"/>
        <v>0</v>
      </c>
      <c r="H16" s="11">
        <f t="shared" si="2"/>
        <v>0.25</v>
      </c>
      <c r="I16" s="11">
        <f t="shared" si="3"/>
        <v>0.27631578947368418</v>
      </c>
    </row>
    <row r="17" spans="1:9" ht="15" customHeight="1" x14ac:dyDescent="0.2">
      <c r="A17" s="3" t="str">
        <f>MethodData!A14</f>
        <v>Compass: values()</v>
      </c>
      <c r="B17" s="4">
        <f>MethodData!B14</f>
        <v>1</v>
      </c>
      <c r="C17" s="4">
        <f>MethodData!P14</f>
        <v>0</v>
      </c>
      <c r="D17" s="4">
        <f>MethodData!U14</f>
        <v>0</v>
      </c>
      <c r="F17" s="11">
        <f t="shared" si="0"/>
        <v>2.6315789473684209E-2</v>
      </c>
      <c r="G17" s="11">
        <f t="shared" si="1"/>
        <v>0</v>
      </c>
      <c r="H17" s="11">
        <f t="shared" si="2"/>
        <v>0</v>
      </c>
      <c r="I17" s="11">
        <f t="shared" si="3"/>
        <v>2.6315789473684209E-2</v>
      </c>
    </row>
    <row r="18" spans="1:9" ht="15" customHeight="1" x14ac:dyDescent="0.2">
      <c r="A18" s="3" t="str">
        <f>MethodData!A15</f>
        <v>Fleet: Fleet()</v>
      </c>
      <c r="B18" s="4">
        <f>MethodData!B15</f>
        <v>1</v>
      </c>
      <c r="C18" s="4">
        <f>MethodData!P15</f>
        <v>7</v>
      </c>
      <c r="D18" s="4">
        <f>MethodData!U15</f>
        <v>0</v>
      </c>
      <c r="F18" s="11">
        <f t="shared" si="0"/>
        <v>2.6315789473684209E-2</v>
      </c>
      <c r="G18" s="11">
        <f t="shared" si="1"/>
        <v>5.3030303030303032E-2</v>
      </c>
      <c r="H18" s="11">
        <f t="shared" si="2"/>
        <v>0</v>
      </c>
      <c r="I18" s="11">
        <f t="shared" si="3"/>
        <v>7.9346092503987248E-2</v>
      </c>
    </row>
    <row r="19" spans="1:9" ht="15" customHeight="1" x14ac:dyDescent="0.2">
      <c r="A19" s="3" t="str">
        <f>MethodData!A16</f>
        <v>Fleet: addShip(IShip)</v>
      </c>
      <c r="B19" s="4">
        <f>MethodData!B16</f>
        <v>4</v>
      </c>
      <c r="C19" s="4">
        <f>MethodData!P16</f>
        <v>23</v>
      </c>
      <c r="D19" s="4">
        <f>MethodData!U16</f>
        <v>1</v>
      </c>
      <c r="F19" s="11">
        <f t="shared" si="0"/>
        <v>0.10526315789473684</v>
      </c>
      <c r="G19" s="11">
        <f t="shared" si="1"/>
        <v>0.17424242424242425</v>
      </c>
      <c r="H19" s="11">
        <f t="shared" si="2"/>
        <v>0.25</v>
      </c>
      <c r="I19" s="11">
        <f t="shared" si="3"/>
        <v>0.52950558213716103</v>
      </c>
    </row>
    <row r="20" spans="1:9" ht="15" customHeight="1" x14ac:dyDescent="0.2">
      <c r="A20" s="3" t="str">
        <f>MethodData!A17</f>
        <v>Fleet: colisionRisk(IShip)</v>
      </c>
      <c r="B20" s="4">
        <f>MethodData!B17</f>
        <v>3</v>
      </c>
      <c r="C20" s="4">
        <f>MethodData!P17</f>
        <v>16</v>
      </c>
      <c r="D20" s="4">
        <f>MethodData!U17</f>
        <v>1</v>
      </c>
      <c r="F20" s="11">
        <f t="shared" si="0"/>
        <v>7.8947368421052627E-2</v>
      </c>
      <c r="G20" s="11">
        <f t="shared" si="1"/>
        <v>0.12121212121212122</v>
      </c>
      <c r="H20" s="11">
        <f t="shared" si="2"/>
        <v>0.25</v>
      </c>
      <c r="I20" s="11">
        <f t="shared" si="3"/>
        <v>0.45015948963317387</v>
      </c>
    </row>
    <row r="21" spans="1:9" ht="15" customHeight="1" x14ac:dyDescent="0.2">
      <c r="A21" s="3" t="str">
        <f>MethodData!A18</f>
        <v>Fleet: createRandom()</v>
      </c>
      <c r="B21" s="4">
        <f>MethodData!B18</f>
        <v>4</v>
      </c>
      <c r="C21" s="4">
        <f>MethodData!P18</f>
        <v>27</v>
      </c>
      <c r="D21" s="4">
        <f>MethodData!U18</f>
        <v>0</v>
      </c>
      <c r="F21" s="11">
        <f t="shared" si="0"/>
        <v>0.10526315789473684</v>
      </c>
      <c r="G21" s="11">
        <f t="shared" si="1"/>
        <v>0.20454545454545456</v>
      </c>
      <c r="H21" s="11">
        <f t="shared" si="2"/>
        <v>0</v>
      </c>
      <c r="I21" s="11">
        <f t="shared" si="3"/>
        <v>0.30980861244019142</v>
      </c>
    </row>
    <row r="22" spans="1:9" ht="15" customHeight="1" x14ac:dyDescent="0.2">
      <c r="A22" s="3" t="str">
        <f>MethodData!A19</f>
        <v>Fleet: getFloatingShips()</v>
      </c>
      <c r="B22" s="4">
        <f>MethodData!B19</f>
        <v>3</v>
      </c>
      <c r="C22" s="4">
        <f>MethodData!P19</f>
        <v>19</v>
      </c>
      <c r="D22" s="4">
        <f>MethodData!U19</f>
        <v>0</v>
      </c>
      <c r="F22" s="11">
        <f t="shared" si="0"/>
        <v>7.8947368421052627E-2</v>
      </c>
      <c r="G22" s="11">
        <f t="shared" si="1"/>
        <v>0.14393939393939395</v>
      </c>
      <c r="H22" s="11">
        <f t="shared" si="2"/>
        <v>0</v>
      </c>
      <c r="I22" s="11">
        <f t="shared" si="3"/>
        <v>0.22288676236044658</v>
      </c>
    </row>
    <row r="23" spans="1:9" ht="15" customHeight="1" x14ac:dyDescent="0.2">
      <c r="A23" s="3" t="str">
        <f>MethodData!A20</f>
        <v>Fleet: getShips()</v>
      </c>
      <c r="B23" s="4">
        <f>MethodData!B20</f>
        <v>1</v>
      </c>
      <c r="C23" s="4">
        <f>MethodData!P20</f>
        <v>10</v>
      </c>
      <c r="D23" s="4">
        <f>MethodData!U20</f>
        <v>0</v>
      </c>
      <c r="F23" s="11">
        <f t="shared" si="0"/>
        <v>2.6315789473684209E-2</v>
      </c>
      <c r="G23" s="11">
        <f t="shared" si="1"/>
        <v>7.575757575757576E-2</v>
      </c>
      <c r="H23" s="11">
        <f t="shared" si="2"/>
        <v>0</v>
      </c>
      <c r="I23" s="11">
        <f t="shared" si="3"/>
        <v>0.10207336523125997</v>
      </c>
    </row>
    <row r="24" spans="1:9" ht="15" customHeight="1" x14ac:dyDescent="0.2">
      <c r="A24" s="3" t="str">
        <f>MethodData!A21</f>
        <v>Fleet: getShipsLike(String)</v>
      </c>
      <c r="B24" s="4">
        <f>MethodData!B21</f>
        <v>3</v>
      </c>
      <c r="C24" s="4">
        <f>MethodData!P21</f>
        <v>21</v>
      </c>
      <c r="D24" s="4">
        <f>MethodData!U21</f>
        <v>1</v>
      </c>
      <c r="F24" s="11">
        <f t="shared" si="0"/>
        <v>7.8947368421052627E-2</v>
      </c>
      <c r="G24" s="11">
        <f t="shared" si="1"/>
        <v>0.15909090909090909</v>
      </c>
      <c r="H24" s="11">
        <f t="shared" si="2"/>
        <v>0.25</v>
      </c>
      <c r="I24" s="11">
        <f t="shared" si="3"/>
        <v>0.48803827751196172</v>
      </c>
    </row>
    <row r="25" spans="1:9" ht="15" customHeight="1" x14ac:dyDescent="0.2">
      <c r="A25" s="3" t="str">
        <f>MethodData!A22</f>
        <v>Fleet: getSunkShips()</v>
      </c>
      <c r="B25" s="4">
        <f>MethodData!B22</f>
        <v>3</v>
      </c>
      <c r="C25" s="4">
        <f>MethodData!P22</f>
        <v>19</v>
      </c>
      <c r="D25" s="4">
        <f>MethodData!U22</f>
        <v>0</v>
      </c>
      <c r="F25" s="11">
        <f t="shared" si="0"/>
        <v>7.8947368421052627E-2</v>
      </c>
      <c r="G25" s="11">
        <f t="shared" si="1"/>
        <v>0.14393939393939395</v>
      </c>
      <c r="H25" s="11">
        <f t="shared" si="2"/>
        <v>0</v>
      </c>
      <c r="I25" s="11">
        <f t="shared" si="3"/>
        <v>0.22288676236044658</v>
      </c>
    </row>
    <row r="26" spans="1:9" ht="15" customHeight="1" x14ac:dyDescent="0.2">
      <c r="A26" s="3" t="str">
        <f>MethodData!A23</f>
        <v>Fleet: isInsideBoard(IShip)</v>
      </c>
      <c r="B26" s="4">
        <f>MethodData!B23</f>
        <v>4</v>
      </c>
      <c r="C26" s="4">
        <f>MethodData!P23</f>
        <v>12</v>
      </c>
      <c r="D26" s="4">
        <f>MethodData!U23</f>
        <v>1</v>
      </c>
      <c r="F26" s="11">
        <f t="shared" si="0"/>
        <v>0.10526315789473684</v>
      </c>
      <c r="G26" s="11">
        <f t="shared" si="1"/>
        <v>9.0909090909090912E-2</v>
      </c>
      <c r="H26" s="11">
        <f t="shared" si="2"/>
        <v>0.25</v>
      </c>
      <c r="I26" s="11">
        <f t="shared" si="3"/>
        <v>0.44617224880382778</v>
      </c>
    </row>
    <row r="27" spans="1:9" ht="15" customHeight="1" x14ac:dyDescent="0.2">
      <c r="A27" s="3" t="str">
        <f>MethodData!A24</f>
        <v>Fleet: printAllShips()</v>
      </c>
      <c r="B27" s="4">
        <f>MethodData!B24</f>
        <v>1</v>
      </c>
      <c r="C27" s="4">
        <f>MethodData!P24</f>
        <v>7</v>
      </c>
      <c r="D27" s="4">
        <f>MethodData!U24</f>
        <v>0</v>
      </c>
      <c r="F27" s="11">
        <f t="shared" si="0"/>
        <v>2.6315789473684209E-2</v>
      </c>
      <c r="G27" s="11">
        <f t="shared" si="1"/>
        <v>5.3030303030303032E-2</v>
      </c>
      <c r="H27" s="11">
        <f t="shared" si="2"/>
        <v>0</v>
      </c>
      <c r="I27" s="11">
        <f t="shared" si="3"/>
        <v>7.9346092503987248E-2</v>
      </c>
    </row>
    <row r="28" spans="1:9" ht="15" customHeight="1" x14ac:dyDescent="0.2">
      <c r="A28" s="3" t="str">
        <f>MethodData!A25</f>
        <v>Fleet: printFloatingShips()</v>
      </c>
      <c r="B28" s="4">
        <f>MethodData!B25</f>
        <v>1</v>
      </c>
      <c r="C28" s="4">
        <f>MethodData!P25</f>
        <v>7</v>
      </c>
      <c r="D28" s="4">
        <f>MethodData!U25</f>
        <v>0</v>
      </c>
      <c r="F28" s="11">
        <f t="shared" si="0"/>
        <v>2.6315789473684209E-2</v>
      </c>
      <c r="G28" s="11">
        <f t="shared" si="1"/>
        <v>5.3030303030303032E-2</v>
      </c>
      <c r="H28" s="11">
        <f t="shared" si="2"/>
        <v>0</v>
      </c>
      <c r="I28" s="11">
        <f t="shared" si="3"/>
        <v>7.9346092503987248E-2</v>
      </c>
    </row>
    <row r="29" spans="1:9" ht="15" customHeight="1" x14ac:dyDescent="0.2">
      <c r="A29" s="3" t="str">
        <f>MethodData!A26</f>
        <v>Fleet: printShips(List&lt;IShip&gt;)</v>
      </c>
      <c r="B29" s="4">
        <f>MethodData!B26</f>
        <v>2</v>
      </c>
      <c r="C29" s="4">
        <f>MethodData!P26</f>
        <v>11</v>
      </c>
      <c r="D29" s="4">
        <f>MethodData!U26</f>
        <v>1</v>
      </c>
      <c r="F29" s="11">
        <f t="shared" si="0"/>
        <v>5.2631578947368418E-2</v>
      </c>
      <c r="G29" s="11">
        <f t="shared" si="1"/>
        <v>8.3333333333333329E-2</v>
      </c>
      <c r="H29" s="11">
        <f t="shared" si="2"/>
        <v>0.25</v>
      </c>
      <c r="I29" s="11">
        <f t="shared" si="3"/>
        <v>0.38596491228070173</v>
      </c>
    </row>
    <row r="30" spans="1:9" ht="15" customHeight="1" x14ac:dyDescent="0.2">
      <c r="A30" s="3" t="str">
        <f>MethodData!A27</f>
        <v>Fleet: printShipsByCategory(String)</v>
      </c>
      <c r="B30" s="4">
        <f>MethodData!B27</f>
        <v>1</v>
      </c>
      <c r="C30" s="4">
        <f>MethodData!P27</f>
        <v>11</v>
      </c>
      <c r="D30" s="4">
        <f>MethodData!U27</f>
        <v>1</v>
      </c>
      <c r="F30" s="11">
        <f t="shared" si="0"/>
        <v>2.6315789473684209E-2</v>
      </c>
      <c r="G30" s="11">
        <f t="shared" si="1"/>
        <v>8.3333333333333329E-2</v>
      </c>
      <c r="H30" s="11">
        <f t="shared" si="2"/>
        <v>0.25</v>
      </c>
      <c r="I30" s="11">
        <f t="shared" si="3"/>
        <v>0.35964912280701755</v>
      </c>
    </row>
    <row r="31" spans="1:9" ht="15" customHeight="1" x14ac:dyDescent="0.2">
      <c r="A31" s="3" t="str">
        <f>MethodData!A28</f>
        <v>Fleet: printStatus()</v>
      </c>
      <c r="B31" s="4">
        <f>MethodData!B28</f>
        <v>1</v>
      </c>
      <c r="C31" s="4">
        <f>MethodData!P28</f>
        <v>14</v>
      </c>
      <c r="D31" s="4">
        <f>MethodData!U28</f>
        <v>0</v>
      </c>
      <c r="F31" s="11">
        <f t="shared" si="0"/>
        <v>2.6315789473684209E-2</v>
      </c>
      <c r="G31" s="11">
        <f t="shared" si="1"/>
        <v>0.10606060606060606</v>
      </c>
      <c r="H31" s="11">
        <f t="shared" si="2"/>
        <v>0</v>
      </c>
      <c r="I31" s="11">
        <f t="shared" si="3"/>
        <v>0.13237639553429026</v>
      </c>
    </row>
    <row r="32" spans="1:9" ht="15" customHeight="1" x14ac:dyDescent="0.2">
      <c r="A32" s="3" t="str">
        <f>MethodData!A29</f>
        <v>Fleet: shipAt(IPosition)</v>
      </c>
      <c r="B32" s="4">
        <f>MethodData!B29</f>
        <v>3</v>
      </c>
      <c r="C32" s="4">
        <f>MethodData!P29</f>
        <v>20</v>
      </c>
      <c r="D32" s="4">
        <f>MethodData!U29</f>
        <v>1</v>
      </c>
      <c r="F32" s="11">
        <f t="shared" si="0"/>
        <v>7.8947368421052627E-2</v>
      </c>
      <c r="G32" s="11">
        <f t="shared" si="1"/>
        <v>0.15151515151515152</v>
      </c>
      <c r="H32" s="11">
        <f t="shared" si="2"/>
        <v>0.25</v>
      </c>
      <c r="I32" s="11">
        <f t="shared" si="3"/>
        <v>0.48046251993620415</v>
      </c>
    </row>
    <row r="33" spans="1:9" ht="15" customHeight="1" x14ac:dyDescent="0.2">
      <c r="A33" s="3" t="str">
        <f>MethodData!A30</f>
        <v>Frigate: Frigate(Compass, IPosition)</v>
      </c>
      <c r="B33" s="4">
        <f>MethodData!B30</f>
        <v>9</v>
      </c>
      <c r="C33" s="4">
        <f>MethodData!P30</f>
        <v>27</v>
      </c>
      <c r="D33" s="4">
        <f>MethodData!U30</f>
        <v>2</v>
      </c>
      <c r="F33" s="11">
        <f t="shared" si="0"/>
        <v>0.23684210526315788</v>
      </c>
      <c r="G33" s="11">
        <f t="shared" si="1"/>
        <v>0.20454545454545456</v>
      </c>
      <c r="H33" s="11">
        <f t="shared" si="2"/>
        <v>0.5</v>
      </c>
      <c r="I33" s="11">
        <f t="shared" si="3"/>
        <v>0.94138755980861244</v>
      </c>
    </row>
    <row r="34" spans="1:9" ht="15" customHeight="1" x14ac:dyDescent="0.2">
      <c r="A34" s="3" t="str">
        <f>MethodData!A31</f>
        <v>Galleon: Galleon(Compass, IPosition)</v>
      </c>
      <c r="B34" s="4">
        <f>MethodData!B31</f>
        <v>5</v>
      </c>
      <c r="C34" s="4">
        <f>MethodData!P31</f>
        <v>23</v>
      </c>
      <c r="D34" s="4">
        <f>MethodData!U31</f>
        <v>2</v>
      </c>
      <c r="F34" s="11">
        <f t="shared" si="0"/>
        <v>0.13157894736842105</v>
      </c>
      <c r="G34" s="11">
        <f t="shared" si="1"/>
        <v>0.17424242424242425</v>
      </c>
      <c r="H34" s="11">
        <f t="shared" si="2"/>
        <v>0.5</v>
      </c>
      <c r="I34" s="11">
        <f t="shared" si="3"/>
        <v>0.80582137161084533</v>
      </c>
    </row>
    <row r="35" spans="1:9" ht="15" customHeight="1" x14ac:dyDescent="0.2">
      <c r="A35" s="3" t="str">
        <f>MethodData!A32</f>
        <v>Galleon: fillEast(IPosition)</v>
      </c>
      <c r="B35" s="4">
        <f>MethodData!B32</f>
        <v>2</v>
      </c>
      <c r="C35" s="4">
        <f>MethodData!P32</f>
        <v>12</v>
      </c>
      <c r="D35" s="4">
        <f>MethodData!U32</f>
        <v>1</v>
      </c>
      <c r="F35" s="11">
        <f t="shared" si="0"/>
        <v>5.2631578947368418E-2</v>
      </c>
      <c r="G35" s="11">
        <f t="shared" si="1"/>
        <v>9.0909090909090912E-2</v>
      </c>
      <c r="H35" s="11">
        <f t="shared" si="2"/>
        <v>0.25</v>
      </c>
      <c r="I35" s="11">
        <f t="shared" si="3"/>
        <v>0.3935406698564593</v>
      </c>
    </row>
    <row r="36" spans="1:9" ht="15" customHeight="1" x14ac:dyDescent="0.2">
      <c r="A36" s="3" t="str">
        <f>MethodData!A33</f>
        <v>Galleon: fillNorth(IPosition)</v>
      </c>
      <c r="B36" s="4">
        <f>MethodData!B33</f>
        <v>2</v>
      </c>
      <c r="C36" s="4">
        <f>MethodData!P33</f>
        <v>12</v>
      </c>
      <c r="D36" s="4">
        <f>MethodData!U33</f>
        <v>1</v>
      </c>
      <c r="F36" s="11">
        <f t="shared" si="0"/>
        <v>5.2631578947368418E-2</v>
      </c>
      <c r="G36" s="11">
        <f t="shared" si="1"/>
        <v>9.0909090909090912E-2</v>
      </c>
      <c r="H36" s="11">
        <f t="shared" si="2"/>
        <v>0.25</v>
      </c>
      <c r="I36" s="11">
        <f t="shared" si="3"/>
        <v>0.3935406698564593</v>
      </c>
    </row>
    <row r="37" spans="1:9" ht="15" customHeight="1" x14ac:dyDescent="0.2">
      <c r="A37" s="3" t="str">
        <f>MethodData!A34</f>
        <v>Galleon: fillSouth(IPosition)</v>
      </c>
      <c r="B37" s="4">
        <f>MethodData!B34</f>
        <v>3</v>
      </c>
      <c r="C37" s="4">
        <f>MethodData!P34</f>
        <v>13</v>
      </c>
      <c r="D37" s="4">
        <f>MethodData!U34</f>
        <v>1</v>
      </c>
      <c r="F37" s="11">
        <f t="shared" ref="F37:F68" si="4">IF(B$3-B$2=0,0,(B37-B$2)/(B$3-B$2))</f>
        <v>7.8947368421052627E-2</v>
      </c>
      <c r="G37" s="11">
        <f t="shared" ref="G37:G68" si="5">IF(C$3-C$2=0,0,(C37-C$2)/(C$3-C$2))</f>
        <v>9.8484848484848481E-2</v>
      </c>
      <c r="H37" s="11">
        <f t="shared" ref="H37:H68" si="6">IF(D$3-D$2=0,0,(D37-D$2)/(D$3-D$2))</f>
        <v>0.25</v>
      </c>
      <c r="I37" s="11">
        <f t="shared" ref="I37:I68" si="7">SUM(F37:H37)</f>
        <v>0.42743221690590111</v>
      </c>
    </row>
    <row r="38" spans="1:9" ht="15" customHeight="1" x14ac:dyDescent="0.2">
      <c r="A38" s="3" t="str">
        <f>MethodData!A35</f>
        <v>Galleon: fillWest(IPosition)</v>
      </c>
      <c r="B38" s="4">
        <f>MethodData!B35</f>
        <v>2</v>
      </c>
      <c r="C38" s="4">
        <f>MethodData!P35</f>
        <v>12</v>
      </c>
      <c r="D38" s="4">
        <f>MethodData!U35</f>
        <v>1</v>
      </c>
      <c r="F38" s="11">
        <f t="shared" si="4"/>
        <v>5.2631578947368418E-2</v>
      </c>
      <c r="G38" s="11">
        <f t="shared" si="5"/>
        <v>9.0909090909090912E-2</v>
      </c>
      <c r="H38" s="11">
        <f t="shared" si="6"/>
        <v>0.25</v>
      </c>
      <c r="I38" s="11">
        <f t="shared" si="7"/>
        <v>0.3935406698564593</v>
      </c>
    </row>
    <row r="39" spans="1:9" ht="15" customHeight="1" x14ac:dyDescent="0.2">
      <c r="A39" s="3" t="str">
        <f>MethodData!A36</f>
        <v>Game: Game(IFleet)</v>
      </c>
      <c r="B39" s="4">
        <f>MethodData!B36</f>
        <v>1</v>
      </c>
      <c r="C39" s="4">
        <f>MethodData!P36</f>
        <v>14</v>
      </c>
      <c r="D39" s="4">
        <f>MethodData!U36</f>
        <v>1</v>
      </c>
      <c r="F39" s="11">
        <f t="shared" si="4"/>
        <v>2.6315789473684209E-2</v>
      </c>
      <c r="G39" s="11">
        <f t="shared" si="5"/>
        <v>0.10606060606060606</v>
      </c>
      <c r="H39" s="11">
        <f t="shared" si="6"/>
        <v>0.25</v>
      </c>
      <c r="I39" s="11">
        <f t="shared" si="7"/>
        <v>0.38237639553429026</v>
      </c>
    </row>
    <row r="40" spans="1:9" ht="15" customHeight="1" x14ac:dyDescent="0.2">
      <c r="A40" s="3" t="str">
        <f>MethodData!A37</f>
        <v>Game: buildMap(IFleet, List&lt;IMove&gt;, boolean, boolean)</v>
      </c>
      <c r="B40" s="4">
        <f>MethodData!B37</f>
        <v>18</v>
      </c>
      <c r="C40" s="4">
        <f>MethodData!P37</f>
        <v>43</v>
      </c>
      <c r="D40" s="4">
        <f>MethodData!U37</f>
        <v>4</v>
      </c>
      <c r="F40" s="11">
        <f t="shared" si="4"/>
        <v>0.47368421052631576</v>
      </c>
      <c r="G40" s="11">
        <f t="shared" si="5"/>
        <v>0.32575757575757575</v>
      </c>
      <c r="H40" s="11">
        <f t="shared" si="6"/>
        <v>1</v>
      </c>
      <c r="I40" s="11">
        <f t="shared" si="7"/>
        <v>1.7994417862838916</v>
      </c>
    </row>
    <row r="41" spans="1:9" ht="15" customHeight="1" x14ac:dyDescent="0.2">
      <c r="A41" s="3" t="str">
        <f>MethodData!A38</f>
        <v>Game: fireShots(List&lt;IPosition&gt;)</v>
      </c>
      <c r="B41" s="4">
        <f>MethodData!B38</f>
        <v>3</v>
      </c>
      <c r="C41" s="4">
        <f>MethodData!P38</f>
        <v>30</v>
      </c>
      <c r="D41" s="4">
        <f>MethodData!U38</f>
        <v>1</v>
      </c>
      <c r="F41" s="11">
        <f t="shared" si="4"/>
        <v>7.8947368421052627E-2</v>
      </c>
      <c r="G41" s="11">
        <f t="shared" si="5"/>
        <v>0.22727272727272727</v>
      </c>
      <c r="H41" s="11">
        <f t="shared" si="6"/>
        <v>0.25</v>
      </c>
      <c r="I41" s="11">
        <f t="shared" si="7"/>
        <v>0.55622009569377995</v>
      </c>
    </row>
    <row r="42" spans="1:9" ht="15" customHeight="1" x14ac:dyDescent="0.2">
      <c r="A42" s="3" t="str">
        <f>MethodData!A39</f>
        <v>Game: fireShotsAtAlien(List&lt;IPosition&gt;)</v>
      </c>
      <c r="B42" s="4">
        <f>MethodData!B39</f>
        <v>3</v>
      </c>
      <c r="C42" s="4">
        <f>MethodData!P39</f>
        <v>22</v>
      </c>
      <c r="D42" s="4">
        <f>MethodData!U39</f>
        <v>1</v>
      </c>
      <c r="F42" s="11">
        <f t="shared" si="4"/>
        <v>7.8947368421052627E-2</v>
      </c>
      <c r="G42" s="11">
        <f t="shared" si="5"/>
        <v>0.16666666666666666</v>
      </c>
      <c r="H42" s="11">
        <f t="shared" si="6"/>
        <v>0.25</v>
      </c>
      <c r="I42" s="11">
        <f t="shared" si="7"/>
        <v>0.49561403508771928</v>
      </c>
    </row>
    <row r="43" spans="1:9" ht="15" customHeight="1" x14ac:dyDescent="0.2">
      <c r="A43" s="3" t="str">
        <f>MethodData!A40</f>
        <v>Game: fireSingleShot(IPosition, boolean)</v>
      </c>
      <c r="B43" s="4">
        <f>MethodData!B40</f>
        <v>6</v>
      </c>
      <c r="C43" s="4">
        <f>MethodData!P40</f>
        <v>33</v>
      </c>
      <c r="D43" s="4">
        <f>MethodData!U40</f>
        <v>2</v>
      </c>
      <c r="F43" s="11">
        <f t="shared" si="4"/>
        <v>0.15789473684210525</v>
      </c>
      <c r="G43" s="11">
        <f t="shared" si="5"/>
        <v>0.25</v>
      </c>
      <c r="H43" s="11">
        <f t="shared" si="6"/>
        <v>0.5</v>
      </c>
      <c r="I43" s="11">
        <f t="shared" si="7"/>
        <v>0.90789473684210531</v>
      </c>
    </row>
    <row r="44" spans="1:9" ht="15" customHeight="1" x14ac:dyDescent="0.2">
      <c r="A44" s="3" t="str">
        <f>MethodData!A41</f>
        <v>Game: fireSingleShotAtAlien(IPosition, boolean)</v>
      </c>
      <c r="B44" s="4">
        <f>MethodData!B41</f>
        <v>5</v>
      </c>
      <c r="C44" s="4">
        <f>MethodData!P41</f>
        <v>19</v>
      </c>
      <c r="D44" s="4">
        <f>MethodData!U41</f>
        <v>2</v>
      </c>
      <c r="F44" s="11">
        <f t="shared" si="4"/>
        <v>0.13157894736842105</v>
      </c>
      <c r="G44" s="11">
        <f t="shared" si="5"/>
        <v>0.14393939393939395</v>
      </c>
      <c r="H44" s="11">
        <f t="shared" si="6"/>
        <v>0.5</v>
      </c>
      <c r="I44" s="11">
        <f t="shared" si="7"/>
        <v>0.77551834130781505</v>
      </c>
    </row>
    <row r="45" spans="1:9" ht="15" customHeight="1" x14ac:dyDescent="0.2">
      <c r="A45" s="3" t="str">
        <f>MethodData!A42</f>
        <v>Game: getAlienFleet()</v>
      </c>
      <c r="B45" s="4">
        <f>MethodData!B42</f>
        <v>1</v>
      </c>
      <c r="C45" s="4">
        <f>MethodData!P42</f>
        <v>5</v>
      </c>
      <c r="D45" s="4">
        <f>MethodData!U42</f>
        <v>0</v>
      </c>
      <c r="F45" s="11">
        <f t="shared" si="4"/>
        <v>2.6315789473684209E-2</v>
      </c>
      <c r="G45" s="11">
        <f t="shared" si="5"/>
        <v>3.787878787878788E-2</v>
      </c>
      <c r="H45" s="11">
        <f t="shared" si="6"/>
        <v>0</v>
      </c>
      <c r="I45" s="11">
        <f t="shared" si="7"/>
        <v>6.4194577352472082E-2</v>
      </c>
    </row>
    <row r="46" spans="1:9" ht="15" customHeight="1" x14ac:dyDescent="0.2">
      <c r="A46" s="3" t="str">
        <f>MethodData!A43</f>
        <v>Game: getAlienMoves()</v>
      </c>
      <c r="B46" s="4">
        <f>MethodData!B43</f>
        <v>1</v>
      </c>
      <c r="C46" s="4">
        <f>MethodData!P43</f>
        <v>5</v>
      </c>
      <c r="D46" s="4">
        <f>MethodData!U43</f>
        <v>0</v>
      </c>
      <c r="F46" s="11">
        <f t="shared" si="4"/>
        <v>2.6315789473684209E-2</v>
      </c>
      <c r="G46" s="11">
        <f t="shared" si="5"/>
        <v>3.787878787878788E-2</v>
      </c>
      <c r="H46" s="11">
        <f t="shared" si="6"/>
        <v>0</v>
      </c>
      <c r="I46" s="11">
        <f t="shared" si="7"/>
        <v>6.4194577352472082E-2</v>
      </c>
    </row>
    <row r="47" spans="1:9" ht="15" customHeight="1" x14ac:dyDescent="0.2">
      <c r="A47" s="3" t="str">
        <f>MethodData!A44</f>
        <v>Game: getHits()</v>
      </c>
      <c r="B47" s="4">
        <f>MethodData!B44</f>
        <v>1</v>
      </c>
      <c r="C47" s="4">
        <f>MethodData!P44</f>
        <v>5</v>
      </c>
      <c r="D47" s="4">
        <f>MethodData!U44</f>
        <v>0</v>
      </c>
      <c r="F47" s="11">
        <f t="shared" si="4"/>
        <v>2.6315789473684209E-2</v>
      </c>
      <c r="G47" s="11">
        <f t="shared" si="5"/>
        <v>3.787878787878788E-2</v>
      </c>
      <c r="H47" s="11">
        <f t="shared" si="6"/>
        <v>0</v>
      </c>
      <c r="I47" s="11">
        <f t="shared" si="7"/>
        <v>6.4194577352472082E-2</v>
      </c>
    </row>
    <row r="48" spans="1:9" ht="15" customHeight="1" x14ac:dyDescent="0.2">
      <c r="A48" s="3" t="str">
        <f>MethodData!A45</f>
        <v>Game: getInvalidShots()</v>
      </c>
      <c r="B48" s="4">
        <f>MethodData!B45</f>
        <v>1</v>
      </c>
      <c r="C48" s="4">
        <f>MethodData!P45</f>
        <v>5</v>
      </c>
      <c r="D48" s="4">
        <f>MethodData!U45</f>
        <v>0</v>
      </c>
      <c r="F48" s="11">
        <f t="shared" si="4"/>
        <v>2.6315789473684209E-2</v>
      </c>
      <c r="G48" s="11">
        <f t="shared" si="5"/>
        <v>3.787878787878788E-2</v>
      </c>
      <c r="H48" s="11">
        <f t="shared" si="6"/>
        <v>0</v>
      </c>
      <c r="I48" s="11">
        <f t="shared" si="7"/>
        <v>6.4194577352472082E-2</v>
      </c>
    </row>
    <row r="49" spans="1:9" ht="15" customHeight="1" x14ac:dyDescent="0.2">
      <c r="A49" s="3" t="str">
        <f>MethodData!A46</f>
        <v>Game: getMyFleet()</v>
      </c>
      <c r="B49" s="4">
        <f>MethodData!B46</f>
        <v>1</v>
      </c>
      <c r="C49" s="4">
        <f>MethodData!P46</f>
        <v>5</v>
      </c>
      <c r="D49" s="4">
        <f>MethodData!U46</f>
        <v>0</v>
      </c>
      <c r="F49" s="11">
        <f t="shared" si="4"/>
        <v>2.6315789473684209E-2</v>
      </c>
      <c r="G49" s="11">
        <f t="shared" si="5"/>
        <v>3.787878787878788E-2</v>
      </c>
      <c r="H49" s="11">
        <f t="shared" si="6"/>
        <v>0</v>
      </c>
      <c r="I49" s="11">
        <f t="shared" si="7"/>
        <v>6.4194577352472082E-2</v>
      </c>
    </row>
    <row r="50" spans="1:9" ht="15" customHeight="1" x14ac:dyDescent="0.2">
      <c r="A50" s="3" t="str">
        <f>MethodData!A47</f>
        <v>Game: getMyMoves()</v>
      </c>
      <c r="B50" s="4">
        <f>MethodData!B47</f>
        <v>1</v>
      </c>
      <c r="C50" s="4">
        <f>MethodData!P47</f>
        <v>5</v>
      </c>
      <c r="D50" s="4">
        <f>MethodData!U47</f>
        <v>0</v>
      </c>
      <c r="F50" s="11">
        <f t="shared" si="4"/>
        <v>2.6315789473684209E-2</v>
      </c>
      <c r="G50" s="11">
        <f t="shared" si="5"/>
        <v>3.787878787878788E-2</v>
      </c>
      <c r="H50" s="11">
        <f t="shared" si="6"/>
        <v>0</v>
      </c>
      <c r="I50" s="11">
        <f t="shared" si="7"/>
        <v>6.4194577352472082E-2</v>
      </c>
    </row>
    <row r="51" spans="1:9" ht="15" customHeight="1" x14ac:dyDescent="0.2">
      <c r="A51" s="3" t="str">
        <f>MethodData!A48</f>
        <v>Game: getRemainingShips()</v>
      </c>
      <c r="B51" s="4">
        <f>MethodData!B48</f>
        <v>1</v>
      </c>
      <c r="C51" s="4">
        <f>MethodData!P48</f>
        <v>6</v>
      </c>
      <c r="D51" s="4">
        <f>MethodData!U48</f>
        <v>0</v>
      </c>
      <c r="F51" s="11">
        <f t="shared" si="4"/>
        <v>2.6315789473684209E-2</v>
      </c>
      <c r="G51" s="11">
        <f t="shared" si="5"/>
        <v>4.5454545454545456E-2</v>
      </c>
      <c r="H51" s="11">
        <f t="shared" si="6"/>
        <v>0</v>
      </c>
      <c r="I51" s="11">
        <f t="shared" si="7"/>
        <v>7.1770334928229665E-2</v>
      </c>
    </row>
    <row r="52" spans="1:9" ht="15" customHeight="1" x14ac:dyDescent="0.2">
      <c r="A52" s="3" t="str">
        <f>MethodData!A49</f>
        <v>Game: getRepeatedShots()</v>
      </c>
      <c r="B52" s="4">
        <f>MethodData!B49</f>
        <v>1</v>
      </c>
      <c r="C52" s="4">
        <f>MethodData!P49</f>
        <v>5</v>
      </c>
      <c r="D52" s="4">
        <f>MethodData!U49</f>
        <v>0</v>
      </c>
      <c r="F52" s="11">
        <f t="shared" si="4"/>
        <v>2.6315789473684209E-2</v>
      </c>
      <c r="G52" s="11">
        <f t="shared" si="5"/>
        <v>3.787878787878788E-2</v>
      </c>
      <c r="H52" s="11">
        <f t="shared" si="6"/>
        <v>0</v>
      </c>
      <c r="I52" s="11">
        <f t="shared" si="7"/>
        <v>6.4194577352472082E-2</v>
      </c>
    </row>
    <row r="53" spans="1:9" ht="15" customHeight="1" x14ac:dyDescent="0.2">
      <c r="A53" s="3" t="str">
        <f>MethodData!A50</f>
        <v>Game: getSunkShips()</v>
      </c>
      <c r="B53" s="4">
        <f>MethodData!B50</f>
        <v>1</v>
      </c>
      <c r="C53" s="4">
        <f>MethodData!P50</f>
        <v>5</v>
      </c>
      <c r="D53" s="4">
        <f>MethodData!U50</f>
        <v>0</v>
      </c>
      <c r="F53" s="11">
        <f t="shared" si="4"/>
        <v>2.6315789473684209E-2</v>
      </c>
      <c r="G53" s="11">
        <f t="shared" si="5"/>
        <v>3.787878787878788E-2</v>
      </c>
      <c r="H53" s="11">
        <f t="shared" si="6"/>
        <v>0</v>
      </c>
      <c r="I53" s="11">
        <f t="shared" si="7"/>
        <v>6.4194577352472082E-2</v>
      </c>
    </row>
    <row r="54" spans="1:9" ht="15" customHeight="1" x14ac:dyDescent="0.2">
      <c r="A54" s="3" t="str">
        <f>MethodData!A51</f>
        <v>Game: jsonShots(List&lt;IPosition&gt;)</v>
      </c>
      <c r="B54" s="4">
        <f>MethodData!B51</f>
        <v>3</v>
      </c>
      <c r="C54" s="4">
        <f>MethodData!P51</f>
        <v>38</v>
      </c>
      <c r="D54" s="4">
        <f>MethodData!U51</f>
        <v>1</v>
      </c>
      <c r="F54" s="11">
        <f t="shared" si="4"/>
        <v>7.8947368421052627E-2</v>
      </c>
      <c r="G54" s="11">
        <f t="shared" si="5"/>
        <v>0.2878787878787879</v>
      </c>
      <c r="H54" s="11">
        <f t="shared" si="6"/>
        <v>0.25</v>
      </c>
      <c r="I54" s="11">
        <f t="shared" si="7"/>
        <v>0.6168261562998405</v>
      </c>
    </row>
    <row r="55" spans="1:9" ht="15" customHeight="1" x14ac:dyDescent="0.2">
      <c r="A55" s="3" t="str">
        <f>MethodData!A52</f>
        <v>Game: jsonToShots(String)</v>
      </c>
      <c r="B55" s="4">
        <f>MethodData!B52</f>
        <v>6</v>
      </c>
      <c r="C55" s="4">
        <f>MethodData!P52</f>
        <v>28</v>
      </c>
      <c r="D55" s="4">
        <f>MethodData!U52</f>
        <v>1</v>
      </c>
      <c r="F55" s="11">
        <f t="shared" si="4"/>
        <v>0.15789473684210525</v>
      </c>
      <c r="G55" s="11">
        <f t="shared" si="5"/>
        <v>0.21212121212121213</v>
      </c>
      <c r="H55" s="11">
        <f t="shared" si="6"/>
        <v>0.25</v>
      </c>
      <c r="I55" s="11">
        <f t="shared" si="7"/>
        <v>0.62001594896331735</v>
      </c>
    </row>
    <row r="56" spans="1:9" ht="15" customHeight="1" x14ac:dyDescent="0.2">
      <c r="A56" s="3" t="str">
        <f>MethodData!A53</f>
        <v>Game: over()</v>
      </c>
      <c r="B56" s="4">
        <f>MethodData!B53</f>
        <v>1</v>
      </c>
      <c r="C56" s="4">
        <f>MethodData!P53</f>
        <v>7</v>
      </c>
      <c r="D56" s="4">
        <f>MethodData!U53</f>
        <v>0</v>
      </c>
      <c r="F56" s="11">
        <f t="shared" si="4"/>
        <v>2.6315789473684209E-2</v>
      </c>
      <c r="G56" s="11">
        <f t="shared" si="5"/>
        <v>5.3030303030303032E-2</v>
      </c>
      <c r="H56" s="11">
        <f t="shared" si="6"/>
        <v>0</v>
      </c>
      <c r="I56" s="11">
        <f t="shared" si="7"/>
        <v>7.9346092503987248E-2</v>
      </c>
    </row>
    <row r="57" spans="1:9" ht="15" customHeight="1" x14ac:dyDescent="0.2">
      <c r="A57" s="3" t="str">
        <f>MethodData!A54</f>
        <v>Game: printAlienBoard(boolean, boolean)</v>
      </c>
      <c r="B57" s="4">
        <f>MethodData!B54</f>
        <v>1</v>
      </c>
      <c r="C57" s="4">
        <f>MethodData!P54</f>
        <v>7</v>
      </c>
      <c r="D57" s="4">
        <f>MethodData!U54</f>
        <v>2</v>
      </c>
      <c r="F57" s="11">
        <f t="shared" si="4"/>
        <v>2.6315789473684209E-2</v>
      </c>
      <c r="G57" s="11">
        <f t="shared" si="5"/>
        <v>5.3030303030303032E-2</v>
      </c>
      <c r="H57" s="11">
        <f t="shared" si="6"/>
        <v>0.5</v>
      </c>
      <c r="I57" s="11">
        <f t="shared" si="7"/>
        <v>0.57934609250398728</v>
      </c>
    </row>
    <row r="58" spans="1:9" ht="15" customHeight="1" x14ac:dyDescent="0.2">
      <c r="A58" s="3" t="str">
        <f>MethodData!A55</f>
        <v>Game: printBoard(IFleet, List&lt;IMove&gt;, boolean, boolean)</v>
      </c>
      <c r="B58" s="4">
        <f>MethodData!B55</f>
        <v>0</v>
      </c>
      <c r="C58" s="4">
        <f>MethodData!P55</f>
        <v>70</v>
      </c>
      <c r="D58" s="4">
        <f>MethodData!U55</f>
        <v>4</v>
      </c>
      <c r="F58" s="11">
        <f t="shared" si="4"/>
        <v>0</v>
      </c>
      <c r="G58" s="11">
        <f t="shared" si="5"/>
        <v>0.53030303030303028</v>
      </c>
      <c r="H58" s="11">
        <f t="shared" si="6"/>
        <v>1</v>
      </c>
      <c r="I58" s="11">
        <f t="shared" si="7"/>
        <v>1.5303030303030303</v>
      </c>
    </row>
    <row r="59" spans="1:9" ht="15" customHeight="1" x14ac:dyDescent="0.2">
      <c r="A59" s="3" t="str">
        <f>MethodData!A56</f>
        <v>Game: printBothBoards(boolean)</v>
      </c>
      <c r="B59" s="4">
        <f>MethodData!B56</f>
        <v>3</v>
      </c>
      <c r="C59" s="4">
        <f>MethodData!P56</f>
        <v>11</v>
      </c>
      <c r="D59" s="4">
        <f>MethodData!U56</f>
        <v>1</v>
      </c>
      <c r="F59" s="11">
        <f t="shared" si="4"/>
        <v>7.8947368421052627E-2</v>
      </c>
      <c r="G59" s="11">
        <f t="shared" si="5"/>
        <v>8.3333333333333329E-2</v>
      </c>
      <c r="H59" s="11">
        <f t="shared" si="6"/>
        <v>0.25</v>
      </c>
      <c r="I59" s="11">
        <f t="shared" si="7"/>
        <v>0.41228070175438597</v>
      </c>
    </row>
    <row r="60" spans="1:9" ht="15" customHeight="1" x14ac:dyDescent="0.2">
      <c r="A60" s="3" t="str">
        <f>MethodData!A57</f>
        <v>Game: printMyBoard(boolean, boolean)</v>
      </c>
      <c r="B60" s="4">
        <f>MethodData!B57</f>
        <v>1</v>
      </c>
      <c r="C60" s="4">
        <f>MethodData!P57</f>
        <v>7</v>
      </c>
      <c r="D60" s="4">
        <f>MethodData!U57</f>
        <v>2</v>
      </c>
      <c r="F60" s="11">
        <f t="shared" si="4"/>
        <v>2.6315789473684209E-2</v>
      </c>
      <c r="G60" s="11">
        <f t="shared" si="5"/>
        <v>5.3030303030303032E-2</v>
      </c>
      <c r="H60" s="11">
        <f t="shared" si="6"/>
        <v>0.5</v>
      </c>
      <c r="I60" s="11">
        <f t="shared" si="7"/>
        <v>0.57934609250398728</v>
      </c>
    </row>
    <row r="61" spans="1:9" ht="15" customHeight="1" x14ac:dyDescent="0.2">
      <c r="A61" s="3" t="str">
        <f>MethodData!A58</f>
        <v>Game: randomEnemyFire()</v>
      </c>
      <c r="B61" s="4">
        <f>MethodData!B58</f>
        <v>10</v>
      </c>
      <c r="C61" s="4">
        <f>MethodData!P58</f>
        <v>46</v>
      </c>
      <c r="D61" s="4">
        <f>MethodData!U58</f>
        <v>0</v>
      </c>
      <c r="F61" s="11">
        <f t="shared" si="4"/>
        <v>0.26315789473684209</v>
      </c>
      <c r="G61" s="11">
        <f t="shared" si="5"/>
        <v>0.34848484848484851</v>
      </c>
      <c r="H61" s="11">
        <f t="shared" si="6"/>
        <v>0</v>
      </c>
      <c r="I61" s="11">
        <f t="shared" si="7"/>
        <v>0.61164274322169065</v>
      </c>
    </row>
    <row r="62" spans="1:9" ht="15" customHeight="1" x14ac:dyDescent="0.2">
      <c r="A62" s="3" t="str">
        <f>MethodData!A59</f>
        <v>Game: randomPlayerFire()</v>
      </c>
      <c r="B62" s="4">
        <f>MethodData!B59</f>
        <v>10</v>
      </c>
      <c r="C62" s="4">
        <f>MethodData!P59</f>
        <v>42</v>
      </c>
      <c r="D62" s="4">
        <f>MethodData!U59</f>
        <v>0</v>
      </c>
      <c r="F62" s="11">
        <f t="shared" si="4"/>
        <v>0.26315789473684209</v>
      </c>
      <c r="G62" s="11">
        <f t="shared" si="5"/>
        <v>0.31818181818181818</v>
      </c>
      <c r="H62" s="11">
        <f t="shared" si="6"/>
        <v>0</v>
      </c>
      <c r="I62" s="11">
        <f t="shared" si="7"/>
        <v>0.58133971291866027</v>
      </c>
    </row>
    <row r="63" spans="1:9" ht="15" customHeight="1" x14ac:dyDescent="0.2">
      <c r="A63" s="3" t="str">
        <f>MethodData!A60</f>
        <v>Game: readAlienFire(Scanner)</v>
      </c>
      <c r="B63" s="4">
        <f>MethodData!B60</f>
        <v>12</v>
      </c>
      <c r="C63" s="4">
        <f>MethodData!P60</f>
        <v>50</v>
      </c>
      <c r="D63" s="4">
        <f>MethodData!U60</f>
        <v>1</v>
      </c>
      <c r="F63" s="11">
        <f t="shared" si="4"/>
        <v>0.31578947368421051</v>
      </c>
      <c r="G63" s="11">
        <f t="shared" si="5"/>
        <v>0.37878787878787878</v>
      </c>
      <c r="H63" s="11">
        <f t="shared" si="6"/>
        <v>0.25</v>
      </c>
      <c r="I63" s="11">
        <f t="shared" si="7"/>
        <v>0.94457735247208929</v>
      </c>
    </row>
    <row r="64" spans="1:9" ht="15" customHeight="1" x14ac:dyDescent="0.2">
      <c r="A64" s="3" t="str">
        <f>MethodData!A61</f>
        <v>Game: readEnemyFire(Scanner)</v>
      </c>
      <c r="B64" s="4">
        <f>MethodData!B61</f>
        <v>12</v>
      </c>
      <c r="C64" s="4">
        <f>MethodData!P61</f>
        <v>52</v>
      </c>
      <c r="D64" s="4">
        <f>MethodData!U61</f>
        <v>1</v>
      </c>
      <c r="F64" s="11">
        <f t="shared" si="4"/>
        <v>0.31578947368421051</v>
      </c>
      <c r="G64" s="11">
        <f t="shared" si="5"/>
        <v>0.39393939393939392</v>
      </c>
      <c r="H64" s="11">
        <f t="shared" si="6"/>
        <v>0.25</v>
      </c>
      <c r="I64" s="11">
        <f t="shared" si="7"/>
        <v>0.95972886762360443</v>
      </c>
    </row>
    <row r="65" spans="1:9" ht="15" customHeight="1" x14ac:dyDescent="0.2">
      <c r="A65" s="3" t="str">
        <f>MethodData!A62</f>
        <v>Game: repeatedShot(IPosition)</v>
      </c>
      <c r="B65" s="4">
        <f>MethodData!B62</f>
        <v>3</v>
      </c>
      <c r="C65" s="4">
        <f>MethodData!P62</f>
        <v>8</v>
      </c>
      <c r="D65" s="4">
        <f>MethodData!U62</f>
        <v>1</v>
      </c>
      <c r="F65" s="11">
        <f t="shared" si="4"/>
        <v>7.8947368421052627E-2</v>
      </c>
      <c r="G65" s="11">
        <f t="shared" si="5"/>
        <v>6.0606060606060608E-2</v>
      </c>
      <c r="H65" s="11">
        <f t="shared" si="6"/>
        <v>0.25</v>
      </c>
      <c r="I65" s="11">
        <f t="shared" si="7"/>
        <v>0.38955342902711321</v>
      </c>
    </row>
    <row r="66" spans="1:9" ht="15" customHeight="1" x14ac:dyDescent="0.2">
      <c r="A66" s="3" t="str">
        <f>MethodData!A63</f>
        <v>Game: repeatedShotAtAlien(IPosition)</v>
      </c>
      <c r="B66" s="4">
        <f>MethodData!B63</f>
        <v>3</v>
      </c>
      <c r="C66" s="4">
        <f>MethodData!P63</f>
        <v>14</v>
      </c>
      <c r="D66" s="4">
        <f>MethodData!U63</f>
        <v>1</v>
      </c>
      <c r="F66" s="11">
        <f t="shared" si="4"/>
        <v>7.8947368421052627E-2</v>
      </c>
      <c r="G66" s="11">
        <f t="shared" si="5"/>
        <v>0.10606060606060606</v>
      </c>
      <c r="H66" s="11">
        <f t="shared" si="6"/>
        <v>0.25</v>
      </c>
      <c r="I66" s="11">
        <f t="shared" si="7"/>
        <v>0.43500797448165868</v>
      </c>
    </row>
    <row r="67" spans="1:9" ht="15" customHeight="1" x14ac:dyDescent="0.2">
      <c r="A67" s="3" t="str">
        <f>MethodData!A64</f>
        <v>GameResult: GameResult()</v>
      </c>
      <c r="B67" s="4">
        <f>MethodData!B64</f>
        <v>1</v>
      </c>
      <c r="C67" s="4">
        <f>MethodData!P64</f>
        <v>3</v>
      </c>
      <c r="D67" s="4">
        <f>MethodData!U64</f>
        <v>0</v>
      </c>
      <c r="F67" s="11">
        <f t="shared" si="4"/>
        <v>2.6315789473684209E-2</v>
      </c>
      <c r="G67" s="11">
        <f t="shared" si="5"/>
        <v>2.2727272727272728E-2</v>
      </c>
      <c r="H67" s="11">
        <f t="shared" si="6"/>
        <v>0</v>
      </c>
      <c r="I67" s="11">
        <f t="shared" si="7"/>
        <v>4.9043062200956937E-2</v>
      </c>
    </row>
    <row r="68" spans="1:9" ht="15" customHeight="1" x14ac:dyDescent="0.2">
      <c r="A68" s="3" t="str">
        <f>MethodData!A65</f>
        <v>GameResult: GameResult(String, int, boolean)</v>
      </c>
      <c r="B68" s="4">
        <f>MethodData!B65</f>
        <v>1</v>
      </c>
      <c r="C68" s="4">
        <f>MethodData!P65</f>
        <v>13</v>
      </c>
      <c r="D68" s="4">
        <f>MethodData!U65</f>
        <v>3</v>
      </c>
      <c r="F68" s="11">
        <f t="shared" si="4"/>
        <v>2.6315789473684209E-2</v>
      </c>
      <c r="G68" s="11">
        <f t="shared" si="5"/>
        <v>9.8484848484848481E-2</v>
      </c>
      <c r="H68" s="11">
        <f t="shared" si="6"/>
        <v>0.75</v>
      </c>
      <c r="I68" s="11">
        <f t="shared" si="7"/>
        <v>0.87480063795853269</v>
      </c>
    </row>
    <row r="69" spans="1:9" ht="15" customHeight="1" x14ac:dyDescent="0.2">
      <c r="A69" s="3" t="str">
        <f>MethodData!A66</f>
        <v>GameResult: getDate()</v>
      </c>
      <c r="B69" s="4">
        <f>MethodData!B66</f>
        <v>1</v>
      </c>
      <c r="C69" s="4">
        <f>MethodData!P66</f>
        <v>1</v>
      </c>
      <c r="D69" s="4">
        <f>MethodData!U66</f>
        <v>0</v>
      </c>
      <c r="F69" s="11">
        <f t="shared" ref="F69:F100" si="8">IF(B$3-B$2=0,0,(B69-B$2)/(B$3-B$2))</f>
        <v>2.6315789473684209E-2</v>
      </c>
      <c r="G69" s="11">
        <f t="shared" ref="G69:G100" si="9">IF(C$3-C$2=0,0,(C69-C$2)/(C$3-C$2))</f>
        <v>7.575757575757576E-3</v>
      </c>
      <c r="H69" s="11">
        <f t="shared" ref="H69:H100" si="10">IF(D$3-D$2=0,0,(D69-D$2)/(D$3-D$2))</f>
        <v>0</v>
      </c>
      <c r="I69" s="11">
        <f t="shared" ref="I69:I100" si="11">SUM(F69:H69)</f>
        <v>3.3891547049441785E-2</v>
      </c>
    </row>
    <row r="70" spans="1:9" ht="15" customHeight="1" x14ac:dyDescent="0.2">
      <c r="A70" s="3" t="str">
        <f>MethodData!A67</f>
        <v>GameResult: getPlayerName()</v>
      </c>
      <c r="B70" s="4">
        <f>MethodData!B67</f>
        <v>1</v>
      </c>
      <c r="C70" s="4">
        <f>MethodData!P67</f>
        <v>1</v>
      </c>
      <c r="D70" s="4">
        <f>MethodData!U67</f>
        <v>0</v>
      </c>
      <c r="F70" s="11">
        <f t="shared" si="8"/>
        <v>2.6315789473684209E-2</v>
      </c>
      <c r="G70" s="11">
        <f t="shared" si="9"/>
        <v>7.575757575757576E-3</v>
      </c>
      <c r="H70" s="11">
        <f t="shared" si="10"/>
        <v>0</v>
      </c>
      <c r="I70" s="11">
        <f t="shared" si="11"/>
        <v>3.3891547049441785E-2</v>
      </c>
    </row>
    <row r="71" spans="1:9" ht="15" customHeight="1" x14ac:dyDescent="0.2">
      <c r="A71" s="3" t="str">
        <f>MethodData!A68</f>
        <v>GameResult: getTotalMoves()</v>
      </c>
      <c r="B71" s="4">
        <f>MethodData!B68</f>
        <v>1</v>
      </c>
      <c r="C71" s="4">
        <f>MethodData!P68</f>
        <v>1</v>
      </c>
      <c r="D71" s="4">
        <f>MethodData!U68</f>
        <v>0</v>
      </c>
      <c r="F71" s="11">
        <f t="shared" si="8"/>
        <v>2.6315789473684209E-2</v>
      </c>
      <c r="G71" s="11">
        <f t="shared" si="9"/>
        <v>7.575757575757576E-3</v>
      </c>
      <c r="H71" s="11">
        <f t="shared" si="10"/>
        <v>0</v>
      </c>
      <c r="I71" s="11">
        <f t="shared" si="11"/>
        <v>3.3891547049441785E-2</v>
      </c>
    </row>
    <row r="72" spans="1:9" ht="15" customHeight="1" x14ac:dyDescent="0.2">
      <c r="A72" s="3" t="str">
        <f>MethodData!A69</f>
        <v>GameResult: isPlayerWon()</v>
      </c>
      <c r="B72" s="4">
        <f>MethodData!B69</f>
        <v>1</v>
      </c>
      <c r="C72" s="4">
        <f>MethodData!P69</f>
        <v>1</v>
      </c>
      <c r="D72" s="4">
        <f>MethodData!U69</f>
        <v>0</v>
      </c>
      <c r="F72" s="11">
        <f t="shared" si="8"/>
        <v>2.6315789473684209E-2</v>
      </c>
      <c r="G72" s="11">
        <f t="shared" si="9"/>
        <v>7.575757575757576E-3</v>
      </c>
      <c r="H72" s="11">
        <f t="shared" si="10"/>
        <v>0</v>
      </c>
      <c r="I72" s="11">
        <f t="shared" si="11"/>
        <v>3.3891547049441785E-2</v>
      </c>
    </row>
    <row r="73" spans="1:9" ht="15" customHeight="1" x14ac:dyDescent="0.2">
      <c r="A73" s="3" t="str">
        <f>MethodData!A70</f>
        <v>GameResult: setDate(LocalDateTime)</v>
      </c>
      <c r="B73" s="4">
        <f>MethodData!B70</f>
        <v>1</v>
      </c>
      <c r="C73" s="4">
        <f>MethodData!P70</f>
        <v>1</v>
      </c>
      <c r="D73" s="4">
        <f>MethodData!U70</f>
        <v>1</v>
      </c>
      <c r="F73" s="11">
        <f t="shared" si="8"/>
        <v>2.6315789473684209E-2</v>
      </c>
      <c r="G73" s="11">
        <f t="shared" si="9"/>
        <v>7.575757575757576E-3</v>
      </c>
      <c r="H73" s="11">
        <f t="shared" si="10"/>
        <v>0.25</v>
      </c>
      <c r="I73" s="11">
        <f t="shared" si="11"/>
        <v>0.28389154704944181</v>
      </c>
    </row>
    <row r="74" spans="1:9" ht="15" customHeight="1" x14ac:dyDescent="0.2">
      <c r="A74" s="3" t="str">
        <f>MethodData!A71</f>
        <v>GameResult: setPlayerName(String)</v>
      </c>
      <c r="B74" s="4">
        <f>MethodData!B71</f>
        <v>1</v>
      </c>
      <c r="C74" s="4">
        <f>MethodData!P71</f>
        <v>1</v>
      </c>
      <c r="D74" s="4">
        <f>MethodData!U71</f>
        <v>1</v>
      </c>
      <c r="F74" s="11">
        <f t="shared" si="8"/>
        <v>2.6315789473684209E-2</v>
      </c>
      <c r="G74" s="11">
        <f t="shared" si="9"/>
        <v>7.575757575757576E-3</v>
      </c>
      <c r="H74" s="11">
        <f t="shared" si="10"/>
        <v>0.25</v>
      </c>
      <c r="I74" s="11">
        <f t="shared" si="11"/>
        <v>0.28389154704944181</v>
      </c>
    </row>
    <row r="75" spans="1:9" ht="15" customHeight="1" x14ac:dyDescent="0.2">
      <c r="A75" s="3" t="str">
        <f>MethodData!A72</f>
        <v>GameResult: setPlayerWon(boolean)</v>
      </c>
      <c r="B75" s="4">
        <f>MethodData!B72</f>
        <v>1</v>
      </c>
      <c r="C75" s="4">
        <f>MethodData!P72</f>
        <v>1</v>
      </c>
      <c r="D75" s="4">
        <f>MethodData!U72</f>
        <v>1</v>
      </c>
      <c r="F75" s="11">
        <f t="shared" si="8"/>
        <v>2.6315789473684209E-2</v>
      </c>
      <c r="G75" s="11">
        <f t="shared" si="9"/>
        <v>7.575757575757576E-3</v>
      </c>
      <c r="H75" s="11">
        <f t="shared" si="10"/>
        <v>0.25</v>
      </c>
      <c r="I75" s="11">
        <f t="shared" si="11"/>
        <v>0.28389154704944181</v>
      </c>
    </row>
    <row r="76" spans="1:9" ht="15" customHeight="1" x14ac:dyDescent="0.2">
      <c r="A76" s="3" t="str">
        <f>MethodData!A73</f>
        <v>GameResult: setTotalMoves(int)</v>
      </c>
      <c r="B76" s="4">
        <f>MethodData!B73</f>
        <v>1</v>
      </c>
      <c r="C76" s="4">
        <f>MethodData!P73</f>
        <v>1</v>
      </c>
      <c r="D76" s="4">
        <f>MethodData!U73</f>
        <v>1</v>
      </c>
      <c r="F76" s="11">
        <f t="shared" si="8"/>
        <v>2.6315789473684209E-2</v>
      </c>
      <c r="G76" s="11">
        <f t="shared" si="9"/>
        <v>7.575757575757576E-3</v>
      </c>
      <c r="H76" s="11">
        <f t="shared" si="10"/>
        <v>0.25</v>
      </c>
      <c r="I76" s="11">
        <f t="shared" si="11"/>
        <v>0.28389154704944181</v>
      </c>
    </row>
    <row r="77" spans="1:9" ht="15" customHeight="1" x14ac:dyDescent="0.2">
      <c r="A77" s="3" t="str">
        <f>MethodData!A74</f>
        <v>IFleet: addShip(IShip)</v>
      </c>
      <c r="B77" s="4">
        <f>MethodData!B74</f>
        <v>1</v>
      </c>
      <c r="C77" s="4">
        <f>MethodData!P74</f>
        <v>0</v>
      </c>
      <c r="D77" s="4">
        <f>MethodData!U74</f>
        <v>1</v>
      </c>
      <c r="F77" s="11">
        <f t="shared" si="8"/>
        <v>2.6315789473684209E-2</v>
      </c>
      <c r="G77" s="11">
        <f t="shared" si="9"/>
        <v>0</v>
      </c>
      <c r="H77" s="11">
        <f t="shared" si="10"/>
        <v>0.25</v>
      </c>
      <c r="I77" s="11">
        <f t="shared" si="11"/>
        <v>0.27631578947368418</v>
      </c>
    </row>
    <row r="78" spans="1:9" ht="15" customHeight="1" x14ac:dyDescent="0.2">
      <c r="A78" s="3" t="str">
        <f>MethodData!A75</f>
        <v>IFleet: getFloatingShips()</v>
      </c>
      <c r="B78" s="4">
        <f>MethodData!B75</f>
        <v>1</v>
      </c>
      <c r="C78" s="4">
        <f>MethodData!P75</f>
        <v>0</v>
      </c>
      <c r="D78" s="4">
        <f>MethodData!U75</f>
        <v>0</v>
      </c>
      <c r="F78" s="11">
        <f t="shared" si="8"/>
        <v>2.6315789473684209E-2</v>
      </c>
      <c r="G78" s="11">
        <f t="shared" si="9"/>
        <v>0</v>
      </c>
      <c r="H78" s="11">
        <f t="shared" si="10"/>
        <v>0</v>
      </c>
      <c r="I78" s="11">
        <f t="shared" si="11"/>
        <v>2.6315789473684209E-2</v>
      </c>
    </row>
    <row r="79" spans="1:9" ht="15" customHeight="1" x14ac:dyDescent="0.2">
      <c r="A79" s="3" t="str">
        <f>MethodData!A76</f>
        <v>IFleet: getShips()</v>
      </c>
      <c r="B79" s="4">
        <f>MethodData!B76</f>
        <v>1</v>
      </c>
      <c r="C79" s="4">
        <f>MethodData!P76</f>
        <v>0</v>
      </c>
      <c r="D79" s="4">
        <f>MethodData!U76</f>
        <v>0</v>
      </c>
      <c r="F79" s="11">
        <f t="shared" si="8"/>
        <v>2.6315789473684209E-2</v>
      </c>
      <c r="G79" s="11">
        <f t="shared" si="9"/>
        <v>0</v>
      </c>
      <c r="H79" s="11">
        <f t="shared" si="10"/>
        <v>0</v>
      </c>
      <c r="I79" s="11">
        <f t="shared" si="11"/>
        <v>2.6315789473684209E-2</v>
      </c>
    </row>
    <row r="80" spans="1:9" ht="15" customHeight="1" x14ac:dyDescent="0.2">
      <c r="A80" s="3" t="str">
        <f>MethodData!A77</f>
        <v>IFleet: getShipsLike(String)</v>
      </c>
      <c r="B80" s="4">
        <f>MethodData!B77</f>
        <v>1</v>
      </c>
      <c r="C80" s="4">
        <f>MethodData!P77</f>
        <v>0</v>
      </c>
      <c r="D80" s="4">
        <f>MethodData!U77</f>
        <v>1</v>
      </c>
      <c r="F80" s="11">
        <f t="shared" si="8"/>
        <v>2.6315789473684209E-2</v>
      </c>
      <c r="G80" s="11">
        <f t="shared" si="9"/>
        <v>0</v>
      </c>
      <c r="H80" s="11">
        <f t="shared" si="10"/>
        <v>0.25</v>
      </c>
      <c r="I80" s="11">
        <f t="shared" si="11"/>
        <v>0.27631578947368418</v>
      </c>
    </row>
    <row r="81" spans="1:9" ht="15" customHeight="1" x14ac:dyDescent="0.2">
      <c r="A81" s="3" t="str">
        <f>MethodData!A78</f>
        <v>IFleet: getSunkShips()</v>
      </c>
      <c r="B81" s="4">
        <f>MethodData!B78</f>
        <v>1</v>
      </c>
      <c r="C81" s="4">
        <f>MethodData!P78</f>
        <v>0</v>
      </c>
      <c r="D81" s="4">
        <f>MethodData!U78</f>
        <v>0</v>
      </c>
      <c r="F81" s="11">
        <f t="shared" si="8"/>
        <v>2.6315789473684209E-2</v>
      </c>
      <c r="G81" s="11">
        <f t="shared" si="9"/>
        <v>0</v>
      </c>
      <c r="H81" s="11">
        <f t="shared" si="10"/>
        <v>0</v>
      </c>
      <c r="I81" s="11">
        <f t="shared" si="11"/>
        <v>2.6315789473684209E-2</v>
      </c>
    </row>
    <row r="82" spans="1:9" ht="15" customHeight="1" x14ac:dyDescent="0.2">
      <c r="A82" s="3" t="str">
        <f>MethodData!A79</f>
        <v>IFleet: printStatus()</v>
      </c>
      <c r="B82" s="4">
        <f>MethodData!B79</f>
        <v>1</v>
      </c>
      <c r="C82" s="4">
        <f>MethodData!P79</f>
        <v>0</v>
      </c>
      <c r="D82" s="4">
        <f>MethodData!U79</f>
        <v>0</v>
      </c>
      <c r="F82" s="11">
        <f t="shared" si="8"/>
        <v>2.6315789473684209E-2</v>
      </c>
      <c r="G82" s="11">
        <f t="shared" si="9"/>
        <v>0</v>
      </c>
      <c r="H82" s="11">
        <f t="shared" si="10"/>
        <v>0</v>
      </c>
      <c r="I82" s="11">
        <f t="shared" si="11"/>
        <v>2.6315789473684209E-2</v>
      </c>
    </row>
    <row r="83" spans="1:9" ht="15" customHeight="1" x14ac:dyDescent="0.2">
      <c r="A83" s="3" t="str">
        <f>MethodData!A80</f>
        <v>IFleet: shipAt(IPosition)</v>
      </c>
      <c r="B83" s="4">
        <f>MethodData!B80</f>
        <v>1</v>
      </c>
      <c r="C83" s="4">
        <f>MethodData!P80</f>
        <v>0</v>
      </c>
      <c r="D83" s="4">
        <f>MethodData!U80</f>
        <v>1</v>
      </c>
      <c r="F83" s="11">
        <f t="shared" si="8"/>
        <v>2.6315789473684209E-2</v>
      </c>
      <c r="G83" s="11">
        <f t="shared" si="9"/>
        <v>0</v>
      </c>
      <c r="H83" s="11">
        <f t="shared" si="10"/>
        <v>0.25</v>
      </c>
      <c r="I83" s="11">
        <f t="shared" si="11"/>
        <v>0.27631578947368418</v>
      </c>
    </row>
    <row r="84" spans="1:9" ht="15" customHeight="1" x14ac:dyDescent="0.2">
      <c r="A84" s="3" t="str">
        <f>MethodData!A81</f>
        <v>IGame: fireShots(List&lt;IPosition&gt;)</v>
      </c>
      <c r="B84" s="4">
        <f>MethodData!B81</f>
        <v>1</v>
      </c>
      <c r="C84" s="4">
        <f>MethodData!P81</f>
        <v>0</v>
      </c>
      <c r="D84" s="4">
        <f>MethodData!U81</f>
        <v>1</v>
      </c>
      <c r="F84" s="11">
        <f t="shared" si="8"/>
        <v>2.6315789473684209E-2</v>
      </c>
      <c r="G84" s="11">
        <f t="shared" si="9"/>
        <v>0</v>
      </c>
      <c r="H84" s="11">
        <f t="shared" si="10"/>
        <v>0.25</v>
      </c>
      <c r="I84" s="11">
        <f t="shared" si="11"/>
        <v>0.27631578947368418</v>
      </c>
    </row>
    <row r="85" spans="1:9" ht="15" customHeight="1" x14ac:dyDescent="0.2">
      <c r="A85" s="3" t="str">
        <f>MethodData!A82</f>
        <v>IGame: fireSingleShot(IPosition, boolean)</v>
      </c>
      <c r="B85" s="4">
        <f>MethodData!B82</f>
        <v>1</v>
      </c>
      <c r="C85" s="4">
        <f>MethodData!P82</f>
        <v>0</v>
      </c>
      <c r="D85" s="4">
        <f>MethodData!U82</f>
        <v>2</v>
      </c>
      <c r="F85" s="11">
        <f t="shared" si="8"/>
        <v>2.6315789473684209E-2</v>
      </c>
      <c r="G85" s="11">
        <f t="shared" si="9"/>
        <v>0</v>
      </c>
      <c r="H85" s="11">
        <f t="shared" si="10"/>
        <v>0.5</v>
      </c>
      <c r="I85" s="11">
        <f t="shared" si="11"/>
        <v>0.52631578947368418</v>
      </c>
    </row>
    <row r="86" spans="1:9" ht="15" customHeight="1" x14ac:dyDescent="0.2">
      <c r="A86" s="3" t="str">
        <f>MethodData!A83</f>
        <v>IGame: getAlienFleet()</v>
      </c>
      <c r="B86" s="4">
        <f>MethodData!B83</f>
        <v>1</v>
      </c>
      <c r="C86" s="4">
        <f>MethodData!P83</f>
        <v>0</v>
      </c>
      <c r="D86" s="4">
        <f>MethodData!U83</f>
        <v>0</v>
      </c>
      <c r="F86" s="11">
        <f t="shared" si="8"/>
        <v>2.6315789473684209E-2</v>
      </c>
      <c r="G86" s="11">
        <f t="shared" si="9"/>
        <v>0</v>
      </c>
      <c r="H86" s="11">
        <f t="shared" si="10"/>
        <v>0</v>
      </c>
      <c r="I86" s="11">
        <f t="shared" si="11"/>
        <v>2.6315789473684209E-2</v>
      </c>
    </row>
    <row r="87" spans="1:9" ht="15" customHeight="1" x14ac:dyDescent="0.2">
      <c r="A87" s="3" t="str">
        <f>MethodData!A84</f>
        <v>IGame: getAlienMoves()</v>
      </c>
      <c r="B87" s="4">
        <f>MethodData!B84</f>
        <v>1</v>
      </c>
      <c r="C87" s="4">
        <f>MethodData!P84</f>
        <v>0</v>
      </c>
      <c r="D87" s="4">
        <f>MethodData!U84</f>
        <v>0</v>
      </c>
      <c r="F87" s="11">
        <f t="shared" si="8"/>
        <v>2.6315789473684209E-2</v>
      </c>
      <c r="G87" s="11">
        <f t="shared" si="9"/>
        <v>0</v>
      </c>
      <c r="H87" s="11">
        <f t="shared" si="10"/>
        <v>0</v>
      </c>
      <c r="I87" s="11">
        <f t="shared" si="11"/>
        <v>2.6315789473684209E-2</v>
      </c>
    </row>
    <row r="88" spans="1:9" ht="15" customHeight="1" x14ac:dyDescent="0.2">
      <c r="A88" s="3" t="str">
        <f>MethodData!A85</f>
        <v>IGame: getHits()</v>
      </c>
      <c r="B88" s="4">
        <f>MethodData!B85</f>
        <v>1</v>
      </c>
      <c r="C88" s="4">
        <f>MethodData!P85</f>
        <v>0</v>
      </c>
      <c r="D88" s="4">
        <f>MethodData!U85</f>
        <v>0</v>
      </c>
      <c r="F88" s="11">
        <f t="shared" si="8"/>
        <v>2.6315789473684209E-2</v>
      </c>
      <c r="G88" s="11">
        <f t="shared" si="9"/>
        <v>0</v>
      </c>
      <c r="H88" s="11">
        <f t="shared" si="10"/>
        <v>0</v>
      </c>
      <c r="I88" s="11">
        <f t="shared" si="11"/>
        <v>2.6315789473684209E-2</v>
      </c>
    </row>
    <row r="89" spans="1:9" ht="15" customHeight="1" x14ac:dyDescent="0.2">
      <c r="A89" s="3" t="str">
        <f>MethodData!A86</f>
        <v>IGame: getInvalidShots()</v>
      </c>
      <c r="B89" s="4">
        <f>MethodData!B86</f>
        <v>1</v>
      </c>
      <c r="C89" s="4">
        <f>MethodData!P86</f>
        <v>0</v>
      </c>
      <c r="D89" s="4">
        <f>MethodData!U86</f>
        <v>0</v>
      </c>
      <c r="F89" s="11">
        <f t="shared" si="8"/>
        <v>2.6315789473684209E-2</v>
      </c>
      <c r="G89" s="11">
        <f t="shared" si="9"/>
        <v>0</v>
      </c>
      <c r="H89" s="11">
        <f t="shared" si="10"/>
        <v>0</v>
      </c>
      <c r="I89" s="11">
        <f t="shared" si="11"/>
        <v>2.6315789473684209E-2</v>
      </c>
    </row>
    <row r="90" spans="1:9" ht="15" customHeight="1" x14ac:dyDescent="0.2">
      <c r="A90" s="3" t="str">
        <f>MethodData!A87</f>
        <v>IGame: getMyFleet()</v>
      </c>
      <c r="B90" s="4">
        <f>MethodData!B87</f>
        <v>1</v>
      </c>
      <c r="C90" s="4">
        <f>MethodData!P87</f>
        <v>0</v>
      </c>
      <c r="D90" s="4">
        <f>MethodData!U87</f>
        <v>0</v>
      </c>
      <c r="F90" s="11">
        <f t="shared" si="8"/>
        <v>2.6315789473684209E-2</v>
      </c>
      <c r="G90" s="11">
        <f t="shared" si="9"/>
        <v>0</v>
      </c>
      <c r="H90" s="11">
        <f t="shared" si="10"/>
        <v>0</v>
      </c>
      <c r="I90" s="11">
        <f t="shared" si="11"/>
        <v>2.6315789473684209E-2</v>
      </c>
    </row>
    <row r="91" spans="1:9" ht="15" customHeight="1" x14ac:dyDescent="0.2">
      <c r="A91" s="3" t="str">
        <f>MethodData!A88</f>
        <v>IGame: getMyMoves()</v>
      </c>
      <c r="B91" s="4">
        <f>MethodData!B88</f>
        <v>1</v>
      </c>
      <c r="C91" s="4">
        <f>MethodData!P88</f>
        <v>0</v>
      </c>
      <c r="D91" s="4">
        <f>MethodData!U88</f>
        <v>0</v>
      </c>
      <c r="F91" s="11">
        <f t="shared" si="8"/>
        <v>2.6315789473684209E-2</v>
      </c>
      <c r="G91" s="11">
        <f t="shared" si="9"/>
        <v>0</v>
      </c>
      <c r="H91" s="11">
        <f t="shared" si="10"/>
        <v>0</v>
      </c>
      <c r="I91" s="11">
        <f t="shared" si="11"/>
        <v>2.6315789473684209E-2</v>
      </c>
    </row>
    <row r="92" spans="1:9" ht="15" customHeight="1" x14ac:dyDescent="0.2">
      <c r="A92" s="3" t="str">
        <f>MethodData!A89</f>
        <v>IGame: getRemainingShips()</v>
      </c>
      <c r="B92" s="4">
        <f>MethodData!B89</f>
        <v>1</v>
      </c>
      <c r="C92" s="4">
        <f>MethodData!P89</f>
        <v>0</v>
      </c>
      <c r="D92" s="4">
        <f>MethodData!U89</f>
        <v>0</v>
      </c>
      <c r="F92" s="11">
        <f t="shared" si="8"/>
        <v>2.6315789473684209E-2</v>
      </c>
      <c r="G92" s="11">
        <f t="shared" si="9"/>
        <v>0</v>
      </c>
      <c r="H92" s="11">
        <f t="shared" si="10"/>
        <v>0</v>
      </c>
      <c r="I92" s="11">
        <f t="shared" si="11"/>
        <v>2.6315789473684209E-2</v>
      </c>
    </row>
    <row r="93" spans="1:9" ht="15" customHeight="1" x14ac:dyDescent="0.2">
      <c r="A93" s="3" t="str">
        <f>MethodData!A90</f>
        <v>IGame: getRepeatedShots()</v>
      </c>
      <c r="B93" s="4">
        <f>MethodData!B90</f>
        <v>1</v>
      </c>
      <c r="C93" s="4">
        <f>MethodData!P90</f>
        <v>0</v>
      </c>
      <c r="D93" s="4">
        <f>MethodData!U90</f>
        <v>0</v>
      </c>
      <c r="F93" s="11">
        <f t="shared" si="8"/>
        <v>2.6315789473684209E-2</v>
      </c>
      <c r="G93" s="11">
        <f t="shared" si="9"/>
        <v>0</v>
      </c>
      <c r="H93" s="11">
        <f t="shared" si="10"/>
        <v>0</v>
      </c>
      <c r="I93" s="11">
        <f t="shared" si="11"/>
        <v>2.6315789473684209E-2</v>
      </c>
    </row>
    <row r="94" spans="1:9" ht="15" customHeight="1" x14ac:dyDescent="0.2">
      <c r="A94" s="3" t="str">
        <f>MethodData!A91</f>
        <v>IGame: getSunkShips()</v>
      </c>
      <c r="B94" s="4">
        <f>MethodData!B91</f>
        <v>1</v>
      </c>
      <c r="C94" s="4">
        <f>MethodData!P91</f>
        <v>0</v>
      </c>
      <c r="D94" s="4">
        <f>MethodData!U91</f>
        <v>0</v>
      </c>
      <c r="F94" s="11">
        <f t="shared" si="8"/>
        <v>2.6315789473684209E-2</v>
      </c>
      <c r="G94" s="11">
        <f t="shared" si="9"/>
        <v>0</v>
      </c>
      <c r="H94" s="11">
        <f t="shared" si="10"/>
        <v>0</v>
      </c>
      <c r="I94" s="11">
        <f t="shared" si="11"/>
        <v>2.6315789473684209E-2</v>
      </c>
    </row>
    <row r="95" spans="1:9" ht="15" customHeight="1" x14ac:dyDescent="0.2">
      <c r="A95" s="3" t="str">
        <f>MethodData!A92</f>
        <v>IGame: over()</v>
      </c>
      <c r="B95" s="4">
        <f>MethodData!B92</f>
        <v>1</v>
      </c>
      <c r="C95" s="4">
        <f>MethodData!P92</f>
        <v>0</v>
      </c>
      <c r="D95" s="4">
        <f>MethodData!U92</f>
        <v>0</v>
      </c>
      <c r="F95" s="11">
        <f t="shared" si="8"/>
        <v>2.6315789473684209E-2</v>
      </c>
      <c r="G95" s="11">
        <f t="shared" si="9"/>
        <v>0</v>
      </c>
      <c r="H95" s="11">
        <f t="shared" si="10"/>
        <v>0</v>
      </c>
      <c r="I95" s="11">
        <f t="shared" si="11"/>
        <v>2.6315789473684209E-2</v>
      </c>
    </row>
    <row r="96" spans="1:9" ht="15" customHeight="1" x14ac:dyDescent="0.2">
      <c r="A96" s="3" t="str">
        <f>MethodData!A93</f>
        <v>IGame: printAlienBoard(boolean, boolean)</v>
      </c>
      <c r="B96" s="4">
        <f>MethodData!B93</f>
        <v>1</v>
      </c>
      <c r="C96" s="4">
        <f>MethodData!P93</f>
        <v>0</v>
      </c>
      <c r="D96" s="4">
        <f>MethodData!U93</f>
        <v>2</v>
      </c>
      <c r="F96" s="11">
        <f t="shared" si="8"/>
        <v>2.6315789473684209E-2</v>
      </c>
      <c r="G96" s="11">
        <f t="shared" si="9"/>
        <v>0</v>
      </c>
      <c r="H96" s="11">
        <f t="shared" si="10"/>
        <v>0.5</v>
      </c>
      <c r="I96" s="11">
        <f t="shared" si="11"/>
        <v>0.52631578947368418</v>
      </c>
    </row>
    <row r="97" spans="1:9" ht="15" customHeight="1" x14ac:dyDescent="0.2">
      <c r="A97" s="3" t="str">
        <f>MethodData!A94</f>
        <v>IGame: printMyBoard(boolean, boolean)</v>
      </c>
      <c r="B97" s="4">
        <f>MethodData!B94</f>
        <v>1</v>
      </c>
      <c r="C97" s="4">
        <f>MethodData!P94</f>
        <v>0</v>
      </c>
      <c r="D97" s="4">
        <f>MethodData!U94</f>
        <v>2</v>
      </c>
      <c r="F97" s="11">
        <f t="shared" si="8"/>
        <v>2.6315789473684209E-2</v>
      </c>
      <c r="G97" s="11">
        <f t="shared" si="9"/>
        <v>0</v>
      </c>
      <c r="H97" s="11">
        <f t="shared" si="10"/>
        <v>0.5</v>
      </c>
      <c r="I97" s="11">
        <f t="shared" si="11"/>
        <v>0.52631578947368418</v>
      </c>
    </row>
    <row r="98" spans="1:9" ht="15" customHeight="1" x14ac:dyDescent="0.2">
      <c r="A98" s="3" t="str">
        <f>MethodData!A95</f>
        <v>IGame: randomEnemyFire()</v>
      </c>
      <c r="B98" s="4">
        <f>MethodData!B95</f>
        <v>1</v>
      </c>
      <c r="C98" s="4">
        <f>MethodData!P95</f>
        <v>0</v>
      </c>
      <c r="D98" s="4">
        <f>MethodData!U95</f>
        <v>0</v>
      </c>
      <c r="F98" s="11">
        <f t="shared" si="8"/>
        <v>2.6315789473684209E-2</v>
      </c>
      <c r="G98" s="11">
        <f t="shared" si="9"/>
        <v>0</v>
      </c>
      <c r="H98" s="11">
        <f t="shared" si="10"/>
        <v>0</v>
      </c>
      <c r="I98" s="11">
        <f t="shared" si="11"/>
        <v>2.6315789473684209E-2</v>
      </c>
    </row>
    <row r="99" spans="1:9" ht="15" customHeight="1" x14ac:dyDescent="0.2">
      <c r="A99" s="3" t="str">
        <f>MethodData!A96</f>
        <v>IGame: readEnemyFire(Scanner)</v>
      </c>
      <c r="B99" s="4">
        <f>MethodData!B96</f>
        <v>1</v>
      </c>
      <c r="C99" s="4">
        <f>MethodData!P96</f>
        <v>0</v>
      </c>
      <c r="D99" s="4">
        <f>MethodData!U96</f>
        <v>1</v>
      </c>
      <c r="F99" s="11">
        <f t="shared" si="8"/>
        <v>2.6315789473684209E-2</v>
      </c>
      <c r="G99" s="11">
        <f t="shared" si="9"/>
        <v>0</v>
      </c>
      <c r="H99" s="11">
        <f t="shared" si="10"/>
        <v>0.25</v>
      </c>
      <c r="I99" s="11">
        <f t="shared" si="11"/>
        <v>0.27631578947368418</v>
      </c>
    </row>
    <row r="100" spans="1:9" ht="15" customHeight="1" x14ac:dyDescent="0.2">
      <c r="A100" s="3" t="str">
        <f>MethodData!A97</f>
        <v>IMove: getNumber()</v>
      </c>
      <c r="B100" s="4">
        <f>MethodData!B97</f>
        <v>1</v>
      </c>
      <c r="C100" s="4">
        <f>MethodData!P97</f>
        <v>0</v>
      </c>
      <c r="D100" s="4">
        <f>MethodData!U97</f>
        <v>0</v>
      </c>
      <c r="F100" s="11">
        <f t="shared" si="8"/>
        <v>2.6315789473684209E-2</v>
      </c>
      <c r="G100" s="11">
        <f t="shared" si="9"/>
        <v>0</v>
      </c>
      <c r="H100" s="11">
        <f t="shared" si="10"/>
        <v>0</v>
      </c>
      <c r="I100" s="11">
        <f t="shared" si="11"/>
        <v>2.6315789473684209E-2</v>
      </c>
    </row>
    <row r="101" spans="1:9" ht="15" customHeight="1" x14ac:dyDescent="0.2">
      <c r="A101" s="3" t="str">
        <f>MethodData!A98</f>
        <v>IMove: getShotResults()</v>
      </c>
      <c r="B101" s="4">
        <f>MethodData!B98</f>
        <v>1</v>
      </c>
      <c r="C101" s="4">
        <f>MethodData!P98</f>
        <v>0</v>
      </c>
      <c r="D101" s="4">
        <f>MethodData!U98</f>
        <v>0</v>
      </c>
      <c r="F101" s="11">
        <f t="shared" ref="F101:F132" si="12">IF(B$3-B$2=0,0,(B101-B$2)/(B$3-B$2))</f>
        <v>2.6315789473684209E-2</v>
      </c>
      <c r="G101" s="11">
        <f t="shared" ref="G101:G132" si="13">IF(C$3-C$2=0,0,(C101-C$2)/(C$3-C$2))</f>
        <v>0</v>
      </c>
      <c r="H101" s="11">
        <f t="shared" ref="H101:H132" si="14">IF(D$3-D$2=0,0,(D101-D$2)/(D$3-D$2))</f>
        <v>0</v>
      </c>
      <c r="I101" s="11">
        <f t="shared" ref="I101:I132" si="15">SUM(F101:H101)</f>
        <v>2.6315789473684209E-2</v>
      </c>
    </row>
    <row r="102" spans="1:9" ht="15" customHeight="1" x14ac:dyDescent="0.2">
      <c r="A102" s="3" t="str">
        <f>MethodData!A99</f>
        <v>IMove: getShots()</v>
      </c>
      <c r="B102" s="4">
        <f>MethodData!B99</f>
        <v>1</v>
      </c>
      <c r="C102" s="4">
        <f>MethodData!P99</f>
        <v>0</v>
      </c>
      <c r="D102" s="4">
        <f>MethodData!U99</f>
        <v>0</v>
      </c>
      <c r="F102" s="11">
        <f t="shared" si="12"/>
        <v>2.6315789473684209E-2</v>
      </c>
      <c r="G102" s="11">
        <f t="shared" si="13"/>
        <v>0</v>
      </c>
      <c r="H102" s="11">
        <f t="shared" si="14"/>
        <v>0</v>
      </c>
      <c r="I102" s="11">
        <f t="shared" si="15"/>
        <v>2.6315789473684209E-2</v>
      </c>
    </row>
    <row r="103" spans="1:9" ht="15" customHeight="1" x14ac:dyDescent="0.2">
      <c r="A103" s="3" t="str">
        <f>MethodData!A100</f>
        <v>IMove: processEnemyFire(boolean)</v>
      </c>
      <c r="B103" s="4">
        <f>MethodData!B100</f>
        <v>1</v>
      </c>
      <c r="C103" s="4">
        <f>MethodData!P100</f>
        <v>0</v>
      </c>
      <c r="D103" s="4">
        <f>MethodData!U100</f>
        <v>1</v>
      </c>
      <c r="F103" s="11">
        <f t="shared" si="12"/>
        <v>2.6315789473684209E-2</v>
      </c>
      <c r="G103" s="11">
        <f t="shared" si="13"/>
        <v>0</v>
      </c>
      <c r="H103" s="11">
        <f t="shared" si="14"/>
        <v>0.25</v>
      </c>
      <c r="I103" s="11">
        <f t="shared" si="15"/>
        <v>0.27631578947368418</v>
      </c>
    </row>
    <row r="104" spans="1:9" ht="15" customHeight="1" x14ac:dyDescent="0.2">
      <c r="A104" s="3" t="str">
        <f>MethodData!A101</f>
        <v>IMove: readMove(int, Scanner)</v>
      </c>
      <c r="B104" s="4">
        <f>MethodData!B101</f>
        <v>2</v>
      </c>
      <c r="C104" s="4">
        <f>MethodData!P101</f>
        <v>10</v>
      </c>
      <c r="D104" s="4">
        <f>MethodData!U101</f>
        <v>2</v>
      </c>
      <c r="F104" s="11">
        <f t="shared" si="12"/>
        <v>5.2631578947368418E-2</v>
      </c>
      <c r="G104" s="11">
        <f t="shared" si="13"/>
        <v>7.575757575757576E-2</v>
      </c>
      <c r="H104" s="11">
        <f t="shared" si="14"/>
        <v>0.5</v>
      </c>
      <c r="I104" s="11">
        <f t="shared" si="15"/>
        <v>0.62838915470494416</v>
      </c>
    </row>
    <row r="105" spans="1:9" ht="15" customHeight="1" x14ac:dyDescent="0.2">
      <c r="A105" s="3" t="str">
        <f>MethodData!A102</f>
        <v>IMove: toString()</v>
      </c>
      <c r="B105" s="4">
        <f>MethodData!B102</f>
        <v>1</v>
      </c>
      <c r="C105" s="4">
        <f>MethodData!P102</f>
        <v>0</v>
      </c>
      <c r="D105" s="4">
        <f>MethodData!U102</f>
        <v>0</v>
      </c>
      <c r="F105" s="11">
        <f t="shared" si="12"/>
        <v>2.6315789473684209E-2</v>
      </c>
      <c r="G105" s="11">
        <f t="shared" si="13"/>
        <v>0</v>
      </c>
      <c r="H105" s="11">
        <f t="shared" si="14"/>
        <v>0</v>
      </c>
      <c r="I105" s="11">
        <f t="shared" si="15"/>
        <v>2.6315789473684209E-2</v>
      </c>
    </row>
    <row r="106" spans="1:9" ht="15" customHeight="1" x14ac:dyDescent="0.2">
      <c r="A106" s="3" t="str">
        <f>MethodData!A103</f>
        <v>IPosition: adjacentPositions()</v>
      </c>
      <c r="B106" s="4">
        <f>MethodData!B103</f>
        <v>1</v>
      </c>
      <c r="C106" s="4">
        <f>MethodData!P103</f>
        <v>0</v>
      </c>
      <c r="D106" s="4">
        <f>MethodData!U103</f>
        <v>0</v>
      </c>
      <c r="F106" s="11">
        <f t="shared" si="12"/>
        <v>2.6315789473684209E-2</v>
      </c>
      <c r="G106" s="11">
        <f t="shared" si="13"/>
        <v>0</v>
      </c>
      <c r="H106" s="11">
        <f t="shared" si="14"/>
        <v>0</v>
      </c>
      <c r="I106" s="11">
        <f t="shared" si="15"/>
        <v>2.6315789473684209E-2</v>
      </c>
    </row>
    <row r="107" spans="1:9" ht="15" customHeight="1" x14ac:dyDescent="0.2">
      <c r="A107" s="3" t="str">
        <f>MethodData!A104</f>
        <v>IPosition: equals(Object)</v>
      </c>
      <c r="B107" s="4">
        <f>MethodData!B104</f>
        <v>1</v>
      </c>
      <c r="C107" s="4">
        <f>MethodData!P104</f>
        <v>0</v>
      </c>
      <c r="D107" s="4">
        <f>MethodData!U104</f>
        <v>1</v>
      </c>
      <c r="F107" s="11">
        <f t="shared" si="12"/>
        <v>2.6315789473684209E-2</v>
      </c>
      <c r="G107" s="11">
        <f t="shared" si="13"/>
        <v>0</v>
      </c>
      <c r="H107" s="11">
        <f t="shared" si="14"/>
        <v>0.25</v>
      </c>
      <c r="I107" s="11">
        <f t="shared" si="15"/>
        <v>0.27631578947368418</v>
      </c>
    </row>
    <row r="108" spans="1:9" ht="15" customHeight="1" x14ac:dyDescent="0.2">
      <c r="A108" s="3" t="str">
        <f>MethodData!A105</f>
        <v>IPosition: getClassicColumn()</v>
      </c>
      <c r="B108" s="4">
        <f>MethodData!B105</f>
        <v>1</v>
      </c>
      <c r="C108" s="4">
        <f>MethodData!P105</f>
        <v>0</v>
      </c>
      <c r="D108" s="4">
        <f>MethodData!U105</f>
        <v>0</v>
      </c>
      <c r="F108" s="11">
        <f t="shared" si="12"/>
        <v>2.6315789473684209E-2</v>
      </c>
      <c r="G108" s="11">
        <f t="shared" si="13"/>
        <v>0</v>
      </c>
      <c r="H108" s="11">
        <f t="shared" si="14"/>
        <v>0</v>
      </c>
      <c r="I108" s="11">
        <f t="shared" si="15"/>
        <v>2.6315789473684209E-2</v>
      </c>
    </row>
    <row r="109" spans="1:9" ht="15" customHeight="1" x14ac:dyDescent="0.2">
      <c r="A109" s="3" t="str">
        <f>MethodData!A106</f>
        <v>IPosition: getClassicRow()</v>
      </c>
      <c r="B109" s="4">
        <f>MethodData!B106</f>
        <v>1</v>
      </c>
      <c r="C109" s="4">
        <f>MethodData!P106</f>
        <v>0</v>
      </c>
      <c r="D109" s="4">
        <f>MethodData!U106</f>
        <v>0</v>
      </c>
      <c r="F109" s="11">
        <f t="shared" si="12"/>
        <v>2.6315789473684209E-2</v>
      </c>
      <c r="G109" s="11">
        <f t="shared" si="13"/>
        <v>0</v>
      </c>
      <c r="H109" s="11">
        <f t="shared" si="14"/>
        <v>0</v>
      </c>
      <c r="I109" s="11">
        <f t="shared" si="15"/>
        <v>2.6315789473684209E-2</v>
      </c>
    </row>
    <row r="110" spans="1:9" ht="15" customHeight="1" x14ac:dyDescent="0.2">
      <c r="A110" s="3" t="str">
        <f>MethodData!A107</f>
        <v>IPosition: getColumn()</v>
      </c>
      <c r="B110" s="4">
        <f>MethodData!B107</f>
        <v>1</v>
      </c>
      <c r="C110" s="4">
        <f>MethodData!P107</f>
        <v>0</v>
      </c>
      <c r="D110" s="4">
        <f>MethodData!U107</f>
        <v>0</v>
      </c>
      <c r="F110" s="11">
        <f t="shared" si="12"/>
        <v>2.6315789473684209E-2</v>
      </c>
      <c r="G110" s="11">
        <f t="shared" si="13"/>
        <v>0</v>
      </c>
      <c r="H110" s="11">
        <f t="shared" si="14"/>
        <v>0</v>
      </c>
      <c r="I110" s="11">
        <f t="shared" si="15"/>
        <v>2.6315789473684209E-2</v>
      </c>
    </row>
    <row r="111" spans="1:9" ht="15" customHeight="1" x14ac:dyDescent="0.2">
      <c r="A111" s="3" t="str">
        <f>MethodData!A108</f>
        <v>IPosition: getRow()</v>
      </c>
      <c r="B111" s="4">
        <f>MethodData!B108</f>
        <v>1</v>
      </c>
      <c r="C111" s="4">
        <f>MethodData!P108</f>
        <v>0</v>
      </c>
      <c r="D111" s="4">
        <f>MethodData!U108</f>
        <v>0</v>
      </c>
      <c r="F111" s="11">
        <f t="shared" si="12"/>
        <v>2.6315789473684209E-2</v>
      </c>
      <c r="G111" s="11">
        <f t="shared" si="13"/>
        <v>0</v>
      </c>
      <c r="H111" s="11">
        <f t="shared" si="14"/>
        <v>0</v>
      </c>
      <c r="I111" s="11">
        <f t="shared" si="15"/>
        <v>2.6315789473684209E-2</v>
      </c>
    </row>
    <row r="112" spans="1:9" ht="15" customHeight="1" x14ac:dyDescent="0.2">
      <c r="A112" s="3" t="str">
        <f>MethodData!A109</f>
        <v>IPosition: isAdjacentTo(IPosition)</v>
      </c>
      <c r="B112" s="4">
        <f>MethodData!B109</f>
        <v>1</v>
      </c>
      <c r="C112" s="4">
        <f>MethodData!P109</f>
        <v>0</v>
      </c>
      <c r="D112" s="4">
        <f>MethodData!U109</f>
        <v>1</v>
      </c>
      <c r="F112" s="11">
        <f t="shared" si="12"/>
        <v>2.6315789473684209E-2</v>
      </c>
      <c r="G112" s="11">
        <f t="shared" si="13"/>
        <v>0</v>
      </c>
      <c r="H112" s="11">
        <f t="shared" si="14"/>
        <v>0.25</v>
      </c>
      <c r="I112" s="11">
        <f t="shared" si="15"/>
        <v>0.27631578947368418</v>
      </c>
    </row>
    <row r="113" spans="1:9" ht="15" customHeight="1" x14ac:dyDescent="0.2">
      <c r="A113" s="3" t="str">
        <f>MethodData!A110</f>
        <v>IPosition: isHit()</v>
      </c>
      <c r="B113" s="4">
        <f>MethodData!B110</f>
        <v>1</v>
      </c>
      <c r="C113" s="4">
        <f>MethodData!P110</f>
        <v>0</v>
      </c>
      <c r="D113" s="4">
        <f>MethodData!U110</f>
        <v>0</v>
      </c>
      <c r="F113" s="11">
        <f t="shared" si="12"/>
        <v>2.6315789473684209E-2</v>
      </c>
      <c r="G113" s="11">
        <f t="shared" si="13"/>
        <v>0</v>
      </c>
      <c r="H113" s="11">
        <f t="shared" si="14"/>
        <v>0</v>
      </c>
      <c r="I113" s="11">
        <f t="shared" si="15"/>
        <v>2.6315789473684209E-2</v>
      </c>
    </row>
    <row r="114" spans="1:9" ht="15" customHeight="1" x14ac:dyDescent="0.2">
      <c r="A114" s="3" t="str">
        <f>MethodData!A111</f>
        <v>IPosition: isInside()</v>
      </c>
      <c r="B114" s="4">
        <f>MethodData!B111</f>
        <v>1</v>
      </c>
      <c r="C114" s="4">
        <f>MethodData!P111</f>
        <v>0</v>
      </c>
      <c r="D114" s="4">
        <f>MethodData!U111</f>
        <v>0</v>
      </c>
      <c r="F114" s="11">
        <f t="shared" si="12"/>
        <v>2.6315789473684209E-2</v>
      </c>
      <c r="G114" s="11">
        <f t="shared" si="13"/>
        <v>0</v>
      </c>
      <c r="H114" s="11">
        <f t="shared" si="14"/>
        <v>0</v>
      </c>
      <c r="I114" s="11">
        <f t="shared" si="15"/>
        <v>2.6315789473684209E-2</v>
      </c>
    </row>
    <row r="115" spans="1:9" ht="15" customHeight="1" x14ac:dyDescent="0.2">
      <c r="A115" s="3" t="str">
        <f>MethodData!A112</f>
        <v>IPosition: isOccupied()</v>
      </c>
      <c r="B115" s="4">
        <f>MethodData!B112</f>
        <v>1</v>
      </c>
      <c r="C115" s="4">
        <f>MethodData!P112</f>
        <v>0</v>
      </c>
      <c r="D115" s="4">
        <f>MethodData!U112</f>
        <v>0</v>
      </c>
      <c r="F115" s="11">
        <f t="shared" si="12"/>
        <v>2.6315789473684209E-2</v>
      </c>
      <c r="G115" s="11">
        <f t="shared" si="13"/>
        <v>0</v>
      </c>
      <c r="H115" s="11">
        <f t="shared" si="14"/>
        <v>0</v>
      </c>
      <c r="I115" s="11">
        <f t="shared" si="15"/>
        <v>2.6315789473684209E-2</v>
      </c>
    </row>
    <row r="116" spans="1:9" ht="15" customHeight="1" x14ac:dyDescent="0.2">
      <c r="A116" s="3" t="str">
        <f>MethodData!A113</f>
        <v>IPosition: occupy()</v>
      </c>
      <c r="B116" s="4">
        <f>MethodData!B113</f>
        <v>1</v>
      </c>
      <c r="C116" s="4">
        <f>MethodData!P113</f>
        <v>0</v>
      </c>
      <c r="D116" s="4">
        <f>MethodData!U113</f>
        <v>0</v>
      </c>
      <c r="F116" s="11">
        <f t="shared" si="12"/>
        <v>2.6315789473684209E-2</v>
      </c>
      <c r="G116" s="11">
        <f t="shared" si="13"/>
        <v>0</v>
      </c>
      <c r="H116" s="11">
        <f t="shared" si="14"/>
        <v>0</v>
      </c>
      <c r="I116" s="11">
        <f t="shared" si="15"/>
        <v>2.6315789473684209E-2</v>
      </c>
    </row>
    <row r="117" spans="1:9" ht="15" customHeight="1" x14ac:dyDescent="0.2">
      <c r="A117" s="3" t="str">
        <f>MethodData!A114</f>
        <v>IPosition: shoot()</v>
      </c>
      <c r="B117" s="4">
        <f>MethodData!B114</f>
        <v>1</v>
      </c>
      <c r="C117" s="4">
        <f>MethodData!P114</f>
        <v>0</v>
      </c>
      <c r="D117" s="4">
        <f>MethodData!U114</f>
        <v>0</v>
      </c>
      <c r="F117" s="11">
        <f t="shared" si="12"/>
        <v>2.6315789473684209E-2</v>
      </c>
      <c r="G117" s="11">
        <f t="shared" si="13"/>
        <v>0</v>
      </c>
      <c r="H117" s="11">
        <f t="shared" si="14"/>
        <v>0</v>
      </c>
      <c r="I117" s="11">
        <f t="shared" si="15"/>
        <v>2.6315789473684209E-2</v>
      </c>
    </row>
    <row r="118" spans="1:9" ht="15" customHeight="1" x14ac:dyDescent="0.2">
      <c r="A118" s="3" t="str">
        <f>MethodData!A115</f>
        <v>IShip: getAdjacentPositions()</v>
      </c>
      <c r="B118" s="4">
        <f>MethodData!B115</f>
        <v>1</v>
      </c>
      <c r="C118" s="4">
        <f>MethodData!P115</f>
        <v>0</v>
      </c>
      <c r="D118" s="4">
        <f>MethodData!U115</f>
        <v>0</v>
      </c>
      <c r="F118" s="11">
        <f t="shared" si="12"/>
        <v>2.6315789473684209E-2</v>
      </c>
      <c r="G118" s="11">
        <f t="shared" si="13"/>
        <v>0</v>
      </c>
      <c r="H118" s="11">
        <f t="shared" si="14"/>
        <v>0</v>
      </c>
      <c r="I118" s="11">
        <f t="shared" si="15"/>
        <v>2.6315789473684209E-2</v>
      </c>
    </row>
    <row r="119" spans="1:9" ht="15" customHeight="1" x14ac:dyDescent="0.2">
      <c r="A119" s="3" t="str">
        <f>MethodData!A116</f>
        <v>IShip: getBearing()</v>
      </c>
      <c r="B119" s="4">
        <f>MethodData!B116</f>
        <v>1</v>
      </c>
      <c r="C119" s="4">
        <f>MethodData!P116</f>
        <v>0</v>
      </c>
      <c r="D119" s="4">
        <f>MethodData!U116</f>
        <v>0</v>
      </c>
      <c r="F119" s="11">
        <f t="shared" si="12"/>
        <v>2.6315789473684209E-2</v>
      </c>
      <c r="G119" s="11">
        <f t="shared" si="13"/>
        <v>0</v>
      </c>
      <c r="H119" s="11">
        <f t="shared" si="14"/>
        <v>0</v>
      </c>
      <c r="I119" s="11">
        <f t="shared" si="15"/>
        <v>2.6315789473684209E-2</v>
      </c>
    </row>
    <row r="120" spans="1:9" ht="15" customHeight="1" x14ac:dyDescent="0.2">
      <c r="A120" s="3" t="str">
        <f>MethodData!A117</f>
        <v>IShip: getBottomMostPos()</v>
      </c>
      <c r="B120" s="4">
        <f>MethodData!B117</f>
        <v>1</v>
      </c>
      <c r="C120" s="4">
        <f>MethodData!P117</f>
        <v>0</v>
      </c>
      <c r="D120" s="4">
        <f>MethodData!U117</f>
        <v>0</v>
      </c>
      <c r="F120" s="11">
        <f t="shared" si="12"/>
        <v>2.6315789473684209E-2</v>
      </c>
      <c r="G120" s="11">
        <f t="shared" si="13"/>
        <v>0</v>
      </c>
      <c r="H120" s="11">
        <f t="shared" si="14"/>
        <v>0</v>
      </c>
      <c r="I120" s="11">
        <f t="shared" si="15"/>
        <v>2.6315789473684209E-2</v>
      </c>
    </row>
    <row r="121" spans="1:9" ht="15" customHeight="1" x14ac:dyDescent="0.2">
      <c r="A121" s="3" t="str">
        <f>MethodData!A118</f>
        <v>IShip: getCategory()</v>
      </c>
      <c r="B121" s="4">
        <f>MethodData!B118</f>
        <v>1</v>
      </c>
      <c r="C121" s="4">
        <f>MethodData!P118</f>
        <v>0</v>
      </c>
      <c r="D121" s="4">
        <f>MethodData!U118</f>
        <v>0</v>
      </c>
      <c r="F121" s="11">
        <f t="shared" si="12"/>
        <v>2.6315789473684209E-2</v>
      </c>
      <c r="G121" s="11">
        <f t="shared" si="13"/>
        <v>0</v>
      </c>
      <c r="H121" s="11">
        <f t="shared" si="14"/>
        <v>0</v>
      </c>
      <c r="I121" s="11">
        <f t="shared" si="15"/>
        <v>2.6315789473684209E-2</v>
      </c>
    </row>
    <row r="122" spans="1:9" ht="15" customHeight="1" x14ac:dyDescent="0.2">
      <c r="A122" s="3" t="str">
        <f>MethodData!A119</f>
        <v>IShip: getLeftMostPos()</v>
      </c>
      <c r="B122" s="4">
        <f>MethodData!B119</f>
        <v>1</v>
      </c>
      <c r="C122" s="4">
        <f>MethodData!P119</f>
        <v>0</v>
      </c>
      <c r="D122" s="4">
        <f>MethodData!U119</f>
        <v>0</v>
      </c>
      <c r="F122" s="11">
        <f t="shared" si="12"/>
        <v>2.6315789473684209E-2</v>
      </c>
      <c r="G122" s="11">
        <f t="shared" si="13"/>
        <v>0</v>
      </c>
      <c r="H122" s="11">
        <f t="shared" si="14"/>
        <v>0</v>
      </c>
      <c r="I122" s="11">
        <f t="shared" si="15"/>
        <v>2.6315789473684209E-2</v>
      </c>
    </row>
    <row r="123" spans="1:9" ht="15" customHeight="1" x14ac:dyDescent="0.2">
      <c r="A123" s="3" t="str">
        <f>MethodData!A120</f>
        <v>IShip: getPosition()</v>
      </c>
      <c r="B123" s="4">
        <f>MethodData!B120</f>
        <v>1</v>
      </c>
      <c r="C123" s="4">
        <f>MethodData!P120</f>
        <v>0</v>
      </c>
      <c r="D123" s="4">
        <f>MethodData!U120</f>
        <v>0</v>
      </c>
      <c r="F123" s="11">
        <f t="shared" si="12"/>
        <v>2.6315789473684209E-2</v>
      </c>
      <c r="G123" s="11">
        <f t="shared" si="13"/>
        <v>0</v>
      </c>
      <c r="H123" s="11">
        <f t="shared" si="14"/>
        <v>0</v>
      </c>
      <c r="I123" s="11">
        <f t="shared" si="15"/>
        <v>2.6315789473684209E-2</v>
      </c>
    </row>
    <row r="124" spans="1:9" ht="15" customHeight="1" x14ac:dyDescent="0.2">
      <c r="A124" s="3" t="str">
        <f>MethodData!A121</f>
        <v>IShip: getPositions()</v>
      </c>
      <c r="B124" s="4">
        <f>MethodData!B121</f>
        <v>1</v>
      </c>
      <c r="C124" s="4">
        <f>MethodData!P121</f>
        <v>0</v>
      </c>
      <c r="D124" s="4">
        <f>MethodData!U121</f>
        <v>0</v>
      </c>
      <c r="F124" s="11">
        <f t="shared" si="12"/>
        <v>2.6315789473684209E-2</v>
      </c>
      <c r="G124" s="11">
        <f t="shared" si="13"/>
        <v>0</v>
      </c>
      <c r="H124" s="11">
        <f t="shared" si="14"/>
        <v>0</v>
      </c>
      <c r="I124" s="11">
        <f t="shared" si="15"/>
        <v>2.6315789473684209E-2</v>
      </c>
    </row>
    <row r="125" spans="1:9" ht="15" customHeight="1" x14ac:dyDescent="0.2">
      <c r="A125" s="3" t="str">
        <f>MethodData!A122</f>
        <v>IShip: getRightMostPos()</v>
      </c>
      <c r="B125" s="4">
        <f>MethodData!B122</f>
        <v>1</v>
      </c>
      <c r="C125" s="4">
        <f>MethodData!P122</f>
        <v>0</v>
      </c>
      <c r="D125" s="4">
        <f>MethodData!U122</f>
        <v>0</v>
      </c>
      <c r="F125" s="11">
        <f t="shared" si="12"/>
        <v>2.6315789473684209E-2</v>
      </c>
      <c r="G125" s="11">
        <f t="shared" si="13"/>
        <v>0</v>
      </c>
      <c r="H125" s="11">
        <f t="shared" si="14"/>
        <v>0</v>
      </c>
      <c r="I125" s="11">
        <f t="shared" si="15"/>
        <v>2.6315789473684209E-2</v>
      </c>
    </row>
    <row r="126" spans="1:9" ht="15" customHeight="1" x14ac:dyDescent="0.2">
      <c r="A126" s="3" t="str">
        <f>MethodData!A123</f>
        <v>IShip: getSize()</v>
      </c>
      <c r="B126" s="4">
        <f>MethodData!B123</f>
        <v>1</v>
      </c>
      <c r="C126" s="4">
        <f>MethodData!P123</f>
        <v>0</v>
      </c>
      <c r="D126" s="4">
        <f>MethodData!U123</f>
        <v>0</v>
      </c>
      <c r="F126" s="11">
        <f t="shared" si="12"/>
        <v>2.6315789473684209E-2</v>
      </c>
      <c r="G126" s="11">
        <f t="shared" si="13"/>
        <v>0</v>
      </c>
      <c r="H126" s="11">
        <f t="shared" si="14"/>
        <v>0</v>
      </c>
      <c r="I126" s="11">
        <f t="shared" si="15"/>
        <v>2.6315789473684209E-2</v>
      </c>
    </row>
    <row r="127" spans="1:9" ht="15" customHeight="1" x14ac:dyDescent="0.2">
      <c r="A127" s="3" t="str">
        <f>MethodData!A124</f>
        <v>IShip: getTopMostPos()</v>
      </c>
      <c r="B127" s="4">
        <f>MethodData!B124</f>
        <v>1</v>
      </c>
      <c r="C127" s="4">
        <f>MethodData!P124</f>
        <v>0</v>
      </c>
      <c r="D127" s="4">
        <f>MethodData!U124</f>
        <v>0</v>
      </c>
      <c r="F127" s="11">
        <f t="shared" si="12"/>
        <v>2.6315789473684209E-2</v>
      </c>
      <c r="G127" s="11">
        <f t="shared" si="13"/>
        <v>0</v>
      </c>
      <c r="H127" s="11">
        <f t="shared" si="14"/>
        <v>0</v>
      </c>
      <c r="I127" s="11">
        <f t="shared" si="15"/>
        <v>2.6315789473684209E-2</v>
      </c>
    </row>
    <row r="128" spans="1:9" ht="15" customHeight="1" x14ac:dyDescent="0.2">
      <c r="A128" s="3" t="str">
        <f>MethodData!A125</f>
        <v>IShip: occupies(IPosition)</v>
      </c>
      <c r="B128" s="4">
        <f>MethodData!B125</f>
        <v>1</v>
      </c>
      <c r="C128" s="4">
        <f>MethodData!P125</f>
        <v>0</v>
      </c>
      <c r="D128" s="4">
        <f>MethodData!U125</f>
        <v>1</v>
      </c>
      <c r="F128" s="11">
        <f t="shared" si="12"/>
        <v>2.6315789473684209E-2</v>
      </c>
      <c r="G128" s="11">
        <f t="shared" si="13"/>
        <v>0</v>
      </c>
      <c r="H128" s="11">
        <f t="shared" si="14"/>
        <v>0.25</v>
      </c>
      <c r="I128" s="11">
        <f t="shared" si="15"/>
        <v>0.27631578947368418</v>
      </c>
    </row>
    <row r="129" spans="1:9" ht="15" customHeight="1" x14ac:dyDescent="0.2">
      <c r="A129" s="3" t="str">
        <f>MethodData!A126</f>
        <v>IShip: shoot(IPosition)</v>
      </c>
      <c r="B129" s="4">
        <f>MethodData!B126</f>
        <v>1</v>
      </c>
      <c r="C129" s="4">
        <f>MethodData!P126</f>
        <v>0</v>
      </c>
      <c r="D129" s="4">
        <f>MethodData!U126</f>
        <v>1</v>
      </c>
      <c r="F129" s="11">
        <f t="shared" si="12"/>
        <v>2.6315789473684209E-2</v>
      </c>
      <c r="G129" s="11">
        <f t="shared" si="13"/>
        <v>0</v>
      </c>
      <c r="H129" s="11">
        <f t="shared" si="14"/>
        <v>0.25</v>
      </c>
      <c r="I129" s="11">
        <f t="shared" si="15"/>
        <v>0.27631578947368418</v>
      </c>
    </row>
    <row r="130" spans="1:9" ht="15" customHeight="1" x14ac:dyDescent="0.2">
      <c r="A130" s="3" t="str">
        <f>MethodData!A127</f>
        <v>IShip: sink()</v>
      </c>
      <c r="B130" s="4">
        <f>MethodData!B127</f>
        <v>1</v>
      </c>
      <c r="C130" s="4">
        <f>MethodData!P127</f>
        <v>0</v>
      </c>
      <c r="D130" s="4">
        <f>MethodData!U127</f>
        <v>0</v>
      </c>
      <c r="F130" s="11">
        <f t="shared" si="12"/>
        <v>2.6315789473684209E-2</v>
      </c>
      <c r="G130" s="11">
        <f t="shared" si="13"/>
        <v>0</v>
      </c>
      <c r="H130" s="11">
        <f t="shared" si="14"/>
        <v>0</v>
      </c>
      <c r="I130" s="11">
        <f t="shared" si="15"/>
        <v>2.6315789473684209E-2</v>
      </c>
    </row>
    <row r="131" spans="1:9" ht="15" customHeight="1" x14ac:dyDescent="0.2">
      <c r="A131" s="3" t="str">
        <f>MethodData!A128</f>
        <v>IShip: stillFloating()</v>
      </c>
      <c r="B131" s="4">
        <f>MethodData!B128</f>
        <v>1</v>
      </c>
      <c r="C131" s="4">
        <f>MethodData!P128</f>
        <v>0</v>
      </c>
      <c r="D131" s="4">
        <f>MethodData!U128</f>
        <v>0</v>
      </c>
      <c r="F131" s="11">
        <f t="shared" si="12"/>
        <v>2.6315789473684209E-2</v>
      </c>
      <c r="G131" s="11">
        <f t="shared" si="13"/>
        <v>0</v>
      </c>
      <c r="H131" s="11">
        <f t="shared" si="14"/>
        <v>0</v>
      </c>
      <c r="I131" s="11">
        <f t="shared" si="15"/>
        <v>2.6315789473684209E-2</v>
      </c>
    </row>
    <row r="132" spans="1:9" ht="15" customHeight="1" x14ac:dyDescent="0.2">
      <c r="A132" s="3" t="str">
        <f>MethodData!A129</f>
        <v>IShip: tooCloseTo(IPosition)</v>
      </c>
      <c r="B132" s="4">
        <f>MethodData!B129</f>
        <v>1</v>
      </c>
      <c r="C132" s="4">
        <f>MethodData!P129</f>
        <v>0</v>
      </c>
      <c r="D132" s="4">
        <f>MethodData!U129</f>
        <v>1</v>
      </c>
      <c r="F132" s="11">
        <f t="shared" si="12"/>
        <v>2.6315789473684209E-2</v>
      </c>
      <c r="G132" s="11">
        <f t="shared" si="13"/>
        <v>0</v>
      </c>
      <c r="H132" s="11">
        <f t="shared" si="14"/>
        <v>0.25</v>
      </c>
      <c r="I132" s="11">
        <f t="shared" si="15"/>
        <v>0.27631578947368418</v>
      </c>
    </row>
    <row r="133" spans="1:9" ht="15" customHeight="1" x14ac:dyDescent="0.2">
      <c r="A133" s="3" t="str">
        <f>MethodData!A130</f>
        <v>IShip: tooCloseTo(IShip)</v>
      </c>
      <c r="B133" s="4">
        <f>MethodData!B130</f>
        <v>1</v>
      </c>
      <c r="C133" s="4">
        <f>MethodData!P130</f>
        <v>0</v>
      </c>
      <c r="D133" s="4">
        <f>MethodData!U130</f>
        <v>1</v>
      </c>
      <c r="F133" s="11">
        <f t="shared" ref="F133:F164" si="16">IF(B$3-B$2=0,0,(B133-B$2)/(B$3-B$2))</f>
        <v>2.6315789473684209E-2</v>
      </c>
      <c r="G133" s="11">
        <f t="shared" ref="G133:G164" si="17">IF(C$3-C$2=0,0,(C133-C$2)/(C$3-C$2))</f>
        <v>0</v>
      </c>
      <c r="H133" s="11">
        <f t="shared" ref="H133:H164" si="18">IF(D$3-D$2=0,0,(D133-D$2)/(D$3-D$2))</f>
        <v>0.25</v>
      </c>
      <c r="I133" s="11">
        <f t="shared" ref="I133:I164" si="19">SUM(F133:H133)</f>
        <v>0.27631578947368418</v>
      </c>
    </row>
    <row r="134" spans="1:9" ht="15" customHeight="1" x14ac:dyDescent="0.2">
      <c r="A134" s="3" t="str">
        <f>MethodData!A131</f>
        <v>Main: main(String[])</v>
      </c>
      <c r="B134" s="4">
        <f>MethodData!B131</f>
        <v>1</v>
      </c>
      <c r="C134" s="4">
        <f>MethodData!P131</f>
        <v>10</v>
      </c>
      <c r="D134" s="4">
        <f>MethodData!U131</f>
        <v>1</v>
      </c>
      <c r="F134" s="11">
        <f t="shared" si="16"/>
        <v>2.6315789473684209E-2</v>
      </c>
      <c r="G134" s="11">
        <f t="shared" si="17"/>
        <v>7.575757575757576E-2</v>
      </c>
      <c r="H134" s="11">
        <f t="shared" si="18"/>
        <v>0.25</v>
      </c>
      <c r="I134" s="11">
        <f t="shared" si="19"/>
        <v>0.35207336523125998</v>
      </c>
    </row>
    <row r="135" spans="1:9" ht="15" customHeight="1" x14ac:dyDescent="0.2">
      <c r="A135" s="3" t="str">
        <f>MethodData!A132</f>
        <v>Move: Move(int, List&lt;IPosition&gt;, List&lt;ShotResult&gt;)</v>
      </c>
      <c r="B135" s="4">
        <f>MethodData!B132</f>
        <v>1</v>
      </c>
      <c r="C135" s="4">
        <f>MethodData!P132</f>
        <v>6</v>
      </c>
      <c r="D135" s="4">
        <f>MethodData!U132</f>
        <v>3</v>
      </c>
      <c r="F135" s="11">
        <f t="shared" si="16"/>
        <v>2.6315789473684209E-2</v>
      </c>
      <c r="G135" s="11">
        <f t="shared" si="17"/>
        <v>4.5454545454545456E-2</v>
      </c>
      <c r="H135" s="11">
        <f t="shared" si="18"/>
        <v>0.75</v>
      </c>
      <c r="I135" s="11">
        <f t="shared" si="19"/>
        <v>0.82177033492822971</v>
      </c>
    </row>
    <row r="136" spans="1:9" ht="15" customHeight="1" x14ac:dyDescent="0.2">
      <c r="A136" s="3" t="str">
        <f>MethodData!A133</f>
        <v>Move: getNumber()</v>
      </c>
      <c r="B136" s="4">
        <f>MethodData!B133</f>
        <v>1</v>
      </c>
      <c r="C136" s="4">
        <f>MethodData!P133</f>
        <v>4</v>
      </c>
      <c r="D136" s="4">
        <f>MethodData!U133</f>
        <v>0</v>
      </c>
      <c r="F136" s="11">
        <f t="shared" si="16"/>
        <v>2.6315789473684209E-2</v>
      </c>
      <c r="G136" s="11">
        <f t="shared" si="17"/>
        <v>3.0303030303030304E-2</v>
      </c>
      <c r="H136" s="11">
        <f t="shared" si="18"/>
        <v>0</v>
      </c>
      <c r="I136" s="11">
        <f t="shared" si="19"/>
        <v>5.6618819776714513E-2</v>
      </c>
    </row>
    <row r="137" spans="1:9" ht="15" customHeight="1" x14ac:dyDescent="0.2">
      <c r="A137" s="3" t="str">
        <f>MethodData!A134</f>
        <v>Move: getShotResults()</v>
      </c>
      <c r="B137" s="4">
        <f>MethodData!B134</f>
        <v>1</v>
      </c>
      <c r="C137" s="4">
        <f>MethodData!P134</f>
        <v>4</v>
      </c>
      <c r="D137" s="4">
        <f>MethodData!U134</f>
        <v>0</v>
      </c>
      <c r="F137" s="11">
        <f t="shared" si="16"/>
        <v>2.6315789473684209E-2</v>
      </c>
      <c r="G137" s="11">
        <f t="shared" si="17"/>
        <v>3.0303030303030304E-2</v>
      </c>
      <c r="H137" s="11">
        <f t="shared" si="18"/>
        <v>0</v>
      </c>
      <c r="I137" s="11">
        <f t="shared" si="19"/>
        <v>5.6618819776714513E-2</v>
      </c>
    </row>
    <row r="138" spans="1:9" ht="15" customHeight="1" x14ac:dyDescent="0.2">
      <c r="A138" s="3" t="str">
        <f>MethodData!A135</f>
        <v>Move: getShots()</v>
      </c>
      <c r="B138" s="4">
        <f>MethodData!B135</f>
        <v>1</v>
      </c>
      <c r="C138" s="4">
        <f>MethodData!P135</f>
        <v>4</v>
      </c>
      <c r="D138" s="4">
        <f>MethodData!U135</f>
        <v>0</v>
      </c>
      <c r="F138" s="11">
        <f t="shared" si="16"/>
        <v>2.6315789473684209E-2</v>
      </c>
      <c r="G138" s="11">
        <f t="shared" si="17"/>
        <v>3.0303030303030304E-2</v>
      </c>
      <c r="H138" s="11">
        <f t="shared" si="18"/>
        <v>0</v>
      </c>
      <c r="I138" s="11">
        <f t="shared" si="19"/>
        <v>5.6618819776714513E-2</v>
      </c>
    </row>
    <row r="139" spans="1:9" ht="15" customHeight="1" x14ac:dyDescent="0.2">
      <c r="A139" s="3" t="str">
        <f>MethodData!A136</f>
        <v>Move: processEnemyFire(boolean)</v>
      </c>
      <c r="B139" s="4">
        <f>MethodData!B136</f>
        <v>38</v>
      </c>
      <c r="C139" s="4">
        <f>MethodData!P136</f>
        <v>132</v>
      </c>
      <c r="D139" s="4">
        <f>MethodData!U136</f>
        <v>1</v>
      </c>
      <c r="F139" s="11">
        <f t="shared" si="16"/>
        <v>1</v>
      </c>
      <c r="G139" s="11">
        <f t="shared" si="17"/>
        <v>1</v>
      </c>
      <c r="H139" s="11">
        <f t="shared" si="18"/>
        <v>0.25</v>
      </c>
      <c r="I139" s="11">
        <f t="shared" si="19"/>
        <v>2.25</v>
      </c>
    </row>
    <row r="140" spans="1:9" ht="15" customHeight="1" x14ac:dyDescent="0.2">
      <c r="A140" s="3" t="str">
        <f>MethodData!A137</f>
        <v>Move: toString()</v>
      </c>
      <c r="B140" s="4">
        <f>MethodData!B137</f>
        <v>1</v>
      </c>
      <c r="C140" s="4">
        <f>MethodData!P137</f>
        <v>8</v>
      </c>
      <c r="D140" s="4">
        <f>MethodData!U137</f>
        <v>0</v>
      </c>
      <c r="F140" s="11">
        <f t="shared" si="16"/>
        <v>2.6315789473684209E-2</v>
      </c>
      <c r="G140" s="11">
        <f t="shared" si="17"/>
        <v>6.0606060606060608E-2</v>
      </c>
      <c r="H140" s="11">
        <f t="shared" si="18"/>
        <v>0</v>
      </c>
      <c r="I140" s="11">
        <f t="shared" si="19"/>
        <v>8.6921850079744817E-2</v>
      </c>
    </row>
    <row r="141" spans="1:9" ht="15" customHeight="1" x14ac:dyDescent="0.2">
      <c r="A141" s="3" t="str">
        <f>MethodData!A138</f>
        <v>PdfExporter: checkPagination(PDDocument, PdfState, float)</v>
      </c>
      <c r="B141" s="4">
        <f>MethodData!B138</f>
        <v>2</v>
      </c>
      <c r="C141" s="4">
        <f>MethodData!P138</f>
        <v>13</v>
      </c>
      <c r="D141" s="4">
        <f>MethodData!U138</f>
        <v>3</v>
      </c>
      <c r="F141" s="11">
        <f t="shared" si="16"/>
        <v>5.2631578947368418E-2</v>
      </c>
      <c r="G141" s="11">
        <f t="shared" si="17"/>
        <v>9.8484848484848481E-2</v>
      </c>
      <c r="H141" s="11">
        <f t="shared" si="18"/>
        <v>0.75</v>
      </c>
      <c r="I141" s="11">
        <f t="shared" si="19"/>
        <v>0.90111642743221687</v>
      </c>
    </row>
    <row r="142" spans="1:9" ht="15" customHeight="1" x14ac:dyDescent="0.2">
      <c r="A142" s="3" t="str">
        <f>MethodData!A139</f>
        <v>PdfExporter: exportGameReport(IGame, String)</v>
      </c>
      <c r="B142" s="4">
        <f>MethodData!B139</f>
        <v>2</v>
      </c>
      <c r="C142" s="4">
        <f>MethodData!P139</f>
        <v>34</v>
      </c>
      <c r="D142" s="4">
        <f>MethodData!U139</f>
        <v>2</v>
      </c>
      <c r="F142" s="11">
        <f t="shared" si="16"/>
        <v>5.2631578947368418E-2</v>
      </c>
      <c r="G142" s="11">
        <f t="shared" si="17"/>
        <v>0.25757575757575757</v>
      </c>
      <c r="H142" s="11">
        <f t="shared" si="18"/>
        <v>0.5</v>
      </c>
      <c r="I142" s="11">
        <f t="shared" si="19"/>
        <v>0.81020733652312593</v>
      </c>
    </row>
    <row r="143" spans="1:9" ht="15" customHeight="1" x14ac:dyDescent="0.2">
      <c r="A143" s="3" t="str">
        <f>MethodData!A140</f>
        <v>PdfExporter: printMoveSection(PDDocument, PdfState, String, List&lt;IMove&gt;)</v>
      </c>
      <c r="B143" s="4">
        <f>MethodData!B140</f>
        <v>9</v>
      </c>
      <c r="C143" s="4">
        <f>MethodData!P140</f>
        <v>71</v>
      </c>
      <c r="D143" s="4">
        <f>MethodData!U140</f>
        <v>4</v>
      </c>
      <c r="F143" s="11">
        <f t="shared" si="16"/>
        <v>0.23684210526315788</v>
      </c>
      <c r="G143" s="11">
        <f t="shared" si="17"/>
        <v>0.53787878787878785</v>
      </c>
      <c r="H143" s="11">
        <f t="shared" si="18"/>
        <v>1</v>
      </c>
      <c r="I143" s="11">
        <f t="shared" si="19"/>
        <v>1.7747208931419456</v>
      </c>
    </row>
    <row r="144" spans="1:9" ht="15" customHeight="1" x14ac:dyDescent="0.2">
      <c r="A144" s="3" t="str">
        <f>MethodData!A141</f>
        <v>Position: Position(char, int)</v>
      </c>
      <c r="B144" s="4">
        <f>MethodData!B141</f>
        <v>1</v>
      </c>
      <c r="C144" s="4">
        <f>MethodData!P141</f>
        <v>13</v>
      </c>
      <c r="D144" s="4">
        <f>MethodData!U141</f>
        <v>2</v>
      </c>
      <c r="F144" s="11">
        <f t="shared" si="16"/>
        <v>2.6315789473684209E-2</v>
      </c>
      <c r="G144" s="11">
        <f t="shared" si="17"/>
        <v>9.8484848484848481E-2</v>
      </c>
      <c r="H144" s="11">
        <f t="shared" si="18"/>
        <v>0.5</v>
      </c>
      <c r="I144" s="11">
        <f t="shared" si="19"/>
        <v>0.62480063795853269</v>
      </c>
    </row>
    <row r="145" spans="1:9" ht="15" customHeight="1" x14ac:dyDescent="0.2">
      <c r="A145" s="3" t="str">
        <f>MethodData!A142</f>
        <v>Position: Position(int, int)</v>
      </c>
      <c r="B145" s="4">
        <f>MethodData!B142</f>
        <v>1</v>
      </c>
      <c r="C145" s="4">
        <f>MethodData!P142</f>
        <v>13</v>
      </c>
      <c r="D145" s="4">
        <f>MethodData!U142</f>
        <v>2</v>
      </c>
      <c r="F145" s="11">
        <f t="shared" si="16"/>
        <v>2.6315789473684209E-2</v>
      </c>
      <c r="G145" s="11">
        <f t="shared" si="17"/>
        <v>9.8484848484848481E-2</v>
      </c>
      <c r="H145" s="11">
        <f t="shared" si="18"/>
        <v>0.5</v>
      </c>
      <c r="I145" s="11">
        <f t="shared" si="19"/>
        <v>0.62480063795853269</v>
      </c>
    </row>
    <row r="146" spans="1:9" ht="15" customHeight="1" x14ac:dyDescent="0.2">
      <c r="A146" s="3" t="str">
        <f>MethodData!A143</f>
        <v>Position: adjacentPositions()</v>
      </c>
      <c r="B146" s="4">
        <f>MethodData!B143</f>
        <v>3</v>
      </c>
      <c r="C146" s="4">
        <f>MethodData!P143</f>
        <v>31</v>
      </c>
      <c r="D146" s="4">
        <f>MethodData!U143</f>
        <v>0</v>
      </c>
      <c r="F146" s="11">
        <f t="shared" si="16"/>
        <v>7.8947368421052627E-2</v>
      </c>
      <c r="G146" s="11">
        <f t="shared" si="17"/>
        <v>0.23484848484848486</v>
      </c>
      <c r="H146" s="11">
        <f t="shared" si="18"/>
        <v>0</v>
      </c>
      <c r="I146" s="11">
        <f t="shared" si="19"/>
        <v>0.31379585326953752</v>
      </c>
    </row>
    <row r="147" spans="1:9" ht="15" customHeight="1" x14ac:dyDescent="0.2">
      <c r="A147" s="3" t="str">
        <f>MethodData!A144</f>
        <v>Position: equals(Object)</v>
      </c>
      <c r="B147" s="4">
        <f>MethodData!B144</f>
        <v>4</v>
      </c>
      <c r="C147" s="4">
        <f>MethodData!P144</f>
        <v>18</v>
      </c>
      <c r="D147" s="4">
        <f>MethodData!U144</f>
        <v>1</v>
      </c>
      <c r="F147" s="11">
        <f t="shared" si="16"/>
        <v>0.10526315789473684</v>
      </c>
      <c r="G147" s="11">
        <f t="shared" si="17"/>
        <v>0.13636363636363635</v>
      </c>
      <c r="H147" s="11">
        <f t="shared" si="18"/>
        <v>0.25</v>
      </c>
      <c r="I147" s="11">
        <f t="shared" si="19"/>
        <v>0.49162679425837319</v>
      </c>
    </row>
    <row r="148" spans="1:9" ht="15" customHeight="1" x14ac:dyDescent="0.2">
      <c r="A148" s="3" t="str">
        <f>MethodData!A145</f>
        <v>Position: getClassicColumn()</v>
      </c>
      <c r="B148" s="4">
        <f>MethodData!B145</f>
        <v>1</v>
      </c>
      <c r="C148" s="4">
        <f>MethodData!P145</f>
        <v>8</v>
      </c>
      <c r="D148" s="4">
        <f>MethodData!U145</f>
        <v>0</v>
      </c>
      <c r="F148" s="11">
        <f t="shared" si="16"/>
        <v>2.6315789473684209E-2</v>
      </c>
      <c r="G148" s="11">
        <f t="shared" si="17"/>
        <v>6.0606060606060608E-2</v>
      </c>
      <c r="H148" s="11">
        <f t="shared" si="18"/>
        <v>0</v>
      </c>
      <c r="I148" s="11">
        <f t="shared" si="19"/>
        <v>8.6921850079744817E-2</v>
      </c>
    </row>
    <row r="149" spans="1:9" ht="15" customHeight="1" x14ac:dyDescent="0.2">
      <c r="A149" s="3" t="str">
        <f>MethodData!A146</f>
        <v>Position: getClassicRow()</v>
      </c>
      <c r="B149" s="4">
        <f>MethodData!B146</f>
        <v>1</v>
      </c>
      <c r="C149" s="4">
        <f>MethodData!P146</f>
        <v>8</v>
      </c>
      <c r="D149" s="4">
        <f>MethodData!U146</f>
        <v>0</v>
      </c>
      <c r="F149" s="11">
        <f t="shared" si="16"/>
        <v>2.6315789473684209E-2</v>
      </c>
      <c r="G149" s="11">
        <f t="shared" si="17"/>
        <v>6.0606060606060608E-2</v>
      </c>
      <c r="H149" s="11">
        <f t="shared" si="18"/>
        <v>0</v>
      </c>
      <c r="I149" s="11">
        <f t="shared" si="19"/>
        <v>8.6921850079744817E-2</v>
      </c>
    </row>
    <row r="150" spans="1:9" ht="15" customHeight="1" x14ac:dyDescent="0.2">
      <c r="A150" s="3" t="str">
        <f>MethodData!A147</f>
        <v>Position: getColumn()</v>
      </c>
      <c r="B150" s="4">
        <f>MethodData!B147</f>
        <v>1</v>
      </c>
      <c r="C150" s="4">
        <f>MethodData!P147</f>
        <v>9</v>
      </c>
      <c r="D150" s="4">
        <f>MethodData!U147</f>
        <v>0</v>
      </c>
      <c r="F150" s="11">
        <f t="shared" si="16"/>
        <v>2.6315789473684209E-2</v>
      </c>
      <c r="G150" s="11">
        <f t="shared" si="17"/>
        <v>6.8181818181818177E-2</v>
      </c>
      <c r="H150" s="11">
        <f t="shared" si="18"/>
        <v>0</v>
      </c>
      <c r="I150" s="11">
        <f t="shared" si="19"/>
        <v>9.4497607655502386E-2</v>
      </c>
    </row>
    <row r="151" spans="1:9" ht="15" customHeight="1" x14ac:dyDescent="0.2">
      <c r="A151" s="3" t="str">
        <f>MethodData!A148</f>
        <v>Position: getRow()</v>
      </c>
      <c r="B151" s="4">
        <f>MethodData!B148</f>
        <v>1</v>
      </c>
      <c r="C151" s="4">
        <f>MethodData!P148</f>
        <v>9</v>
      </c>
      <c r="D151" s="4">
        <f>MethodData!U148</f>
        <v>0</v>
      </c>
      <c r="F151" s="11">
        <f t="shared" si="16"/>
        <v>2.6315789473684209E-2</v>
      </c>
      <c r="G151" s="11">
        <f t="shared" si="17"/>
        <v>6.8181818181818177E-2</v>
      </c>
      <c r="H151" s="11">
        <f t="shared" si="18"/>
        <v>0</v>
      </c>
      <c r="I151" s="11">
        <f t="shared" si="19"/>
        <v>9.4497607655502386E-2</v>
      </c>
    </row>
    <row r="152" spans="1:9" ht="15" customHeight="1" x14ac:dyDescent="0.2">
      <c r="A152" s="3" t="str">
        <f>MethodData!A149</f>
        <v>Position: hashCode()</v>
      </c>
      <c r="B152" s="4">
        <f>MethodData!B149</f>
        <v>1</v>
      </c>
      <c r="C152" s="4">
        <f>MethodData!P149</f>
        <v>9</v>
      </c>
      <c r="D152" s="4">
        <f>MethodData!U149</f>
        <v>0</v>
      </c>
      <c r="F152" s="11">
        <f t="shared" si="16"/>
        <v>2.6315789473684209E-2</v>
      </c>
      <c r="G152" s="11">
        <f t="shared" si="17"/>
        <v>6.8181818181818177E-2</v>
      </c>
      <c r="H152" s="11">
        <f t="shared" si="18"/>
        <v>0</v>
      </c>
      <c r="I152" s="11">
        <f t="shared" si="19"/>
        <v>9.4497607655502386E-2</v>
      </c>
    </row>
    <row r="153" spans="1:9" ht="15" customHeight="1" x14ac:dyDescent="0.2">
      <c r="A153" s="3" t="str">
        <f>MethodData!A150</f>
        <v>Position: isAdjacentTo(IPosition)</v>
      </c>
      <c r="B153" s="4">
        <f>MethodData!B150</f>
        <v>2</v>
      </c>
      <c r="C153" s="4">
        <f>MethodData!P150</f>
        <v>11</v>
      </c>
      <c r="D153" s="4">
        <f>MethodData!U150</f>
        <v>1</v>
      </c>
      <c r="F153" s="11">
        <f t="shared" si="16"/>
        <v>5.2631578947368418E-2</v>
      </c>
      <c r="G153" s="11">
        <f t="shared" si="17"/>
        <v>8.3333333333333329E-2</v>
      </c>
      <c r="H153" s="11">
        <f t="shared" si="18"/>
        <v>0.25</v>
      </c>
      <c r="I153" s="11">
        <f t="shared" si="19"/>
        <v>0.38596491228070173</v>
      </c>
    </row>
    <row r="154" spans="1:9" ht="15" customHeight="1" x14ac:dyDescent="0.2">
      <c r="A154" s="3" t="str">
        <f>MethodData!A151</f>
        <v>Position: isHit()</v>
      </c>
      <c r="B154" s="4">
        <f>MethodData!B151</f>
        <v>1</v>
      </c>
      <c r="C154" s="4">
        <f>MethodData!P151</f>
        <v>9</v>
      </c>
      <c r="D154" s="4">
        <f>MethodData!U151</f>
        <v>0</v>
      </c>
      <c r="F154" s="11">
        <f t="shared" si="16"/>
        <v>2.6315789473684209E-2</v>
      </c>
      <c r="G154" s="11">
        <f t="shared" si="17"/>
        <v>6.8181818181818177E-2</v>
      </c>
      <c r="H154" s="11">
        <f t="shared" si="18"/>
        <v>0</v>
      </c>
      <c r="I154" s="11">
        <f t="shared" si="19"/>
        <v>9.4497607655502386E-2</v>
      </c>
    </row>
    <row r="155" spans="1:9" ht="15" customHeight="1" x14ac:dyDescent="0.2">
      <c r="A155" s="3" t="str">
        <f>MethodData!A152</f>
        <v>Position: isInside()</v>
      </c>
      <c r="B155" s="4">
        <f>MethodData!B152</f>
        <v>4</v>
      </c>
      <c r="C155" s="4">
        <f>MethodData!P152</f>
        <v>10</v>
      </c>
      <c r="D155" s="4">
        <f>MethodData!U152</f>
        <v>0</v>
      </c>
      <c r="F155" s="11">
        <f t="shared" si="16"/>
        <v>0.10526315789473684</v>
      </c>
      <c r="G155" s="11">
        <f t="shared" si="17"/>
        <v>7.575757575757576E-2</v>
      </c>
      <c r="H155" s="11">
        <f t="shared" si="18"/>
        <v>0</v>
      </c>
      <c r="I155" s="11">
        <f t="shared" si="19"/>
        <v>0.18102073365231258</v>
      </c>
    </row>
    <row r="156" spans="1:9" ht="15" customHeight="1" x14ac:dyDescent="0.2">
      <c r="A156" s="3" t="str">
        <f>MethodData!A153</f>
        <v>Position: isOccupied()</v>
      </c>
      <c r="B156" s="4">
        <f>MethodData!B153</f>
        <v>1</v>
      </c>
      <c r="C156" s="4">
        <f>MethodData!P153</f>
        <v>9</v>
      </c>
      <c r="D156" s="4">
        <f>MethodData!U153</f>
        <v>0</v>
      </c>
      <c r="F156" s="11">
        <f t="shared" si="16"/>
        <v>2.6315789473684209E-2</v>
      </c>
      <c r="G156" s="11">
        <f t="shared" si="17"/>
        <v>6.8181818181818177E-2</v>
      </c>
      <c r="H156" s="11">
        <f t="shared" si="18"/>
        <v>0</v>
      </c>
      <c r="I156" s="11">
        <f t="shared" si="19"/>
        <v>9.4497607655502386E-2</v>
      </c>
    </row>
    <row r="157" spans="1:9" ht="15" customHeight="1" x14ac:dyDescent="0.2">
      <c r="A157" s="3" t="str">
        <f>MethodData!A154</f>
        <v>Position: occupy()</v>
      </c>
      <c r="B157" s="4">
        <f>MethodData!B154</f>
        <v>1</v>
      </c>
      <c r="C157" s="4">
        <f>MethodData!P154</f>
        <v>7</v>
      </c>
      <c r="D157" s="4">
        <f>MethodData!U154</f>
        <v>0</v>
      </c>
      <c r="F157" s="11">
        <f t="shared" si="16"/>
        <v>2.6315789473684209E-2</v>
      </c>
      <c r="G157" s="11">
        <f t="shared" si="17"/>
        <v>5.3030303030303032E-2</v>
      </c>
      <c r="H157" s="11">
        <f t="shared" si="18"/>
        <v>0</v>
      </c>
      <c r="I157" s="11">
        <f t="shared" si="19"/>
        <v>7.9346092503987248E-2</v>
      </c>
    </row>
    <row r="158" spans="1:9" ht="15" customHeight="1" x14ac:dyDescent="0.2">
      <c r="A158" s="3" t="str">
        <f>MethodData!A155</f>
        <v>Position: randomPosition()</v>
      </c>
      <c r="B158" s="4">
        <f>MethodData!B155</f>
        <v>1</v>
      </c>
      <c r="C158" s="4">
        <f>MethodData!P155</f>
        <v>7</v>
      </c>
      <c r="D158" s="4">
        <f>MethodData!U155</f>
        <v>0</v>
      </c>
      <c r="F158" s="11">
        <f t="shared" si="16"/>
        <v>2.6315789473684209E-2</v>
      </c>
      <c r="G158" s="11">
        <f t="shared" si="17"/>
        <v>5.3030303030303032E-2</v>
      </c>
      <c r="H158" s="11">
        <f t="shared" si="18"/>
        <v>0</v>
      </c>
      <c r="I158" s="11">
        <f t="shared" si="19"/>
        <v>7.9346092503987248E-2</v>
      </c>
    </row>
    <row r="159" spans="1:9" ht="15" customHeight="1" x14ac:dyDescent="0.2">
      <c r="A159" s="3" t="str">
        <f>MethodData!A156</f>
        <v>Position: shoot()</v>
      </c>
      <c r="B159" s="4">
        <f>MethodData!B156</f>
        <v>1</v>
      </c>
      <c r="C159" s="4">
        <f>MethodData!P156</f>
        <v>7</v>
      </c>
      <c r="D159" s="4">
        <f>MethodData!U156</f>
        <v>0</v>
      </c>
      <c r="F159" s="11">
        <f t="shared" si="16"/>
        <v>2.6315789473684209E-2</v>
      </c>
      <c r="G159" s="11">
        <f t="shared" si="17"/>
        <v>5.3030303030303032E-2</v>
      </c>
      <c r="H159" s="11">
        <f t="shared" si="18"/>
        <v>0</v>
      </c>
      <c r="I159" s="11">
        <f t="shared" si="19"/>
        <v>7.9346092503987248E-2</v>
      </c>
    </row>
    <row r="160" spans="1:9" ht="15" customHeight="1" x14ac:dyDescent="0.2">
      <c r="A160" s="3" t="str">
        <f>MethodData!A157</f>
        <v>Position: toString()</v>
      </c>
      <c r="B160" s="4">
        <f>MethodData!B157</f>
        <v>1</v>
      </c>
      <c r="C160" s="4">
        <f>MethodData!P157</f>
        <v>11</v>
      </c>
      <c r="D160" s="4">
        <f>MethodData!U157</f>
        <v>0</v>
      </c>
      <c r="F160" s="11">
        <f t="shared" si="16"/>
        <v>2.6315789473684209E-2</v>
      </c>
      <c r="G160" s="11">
        <f t="shared" si="17"/>
        <v>8.3333333333333329E-2</v>
      </c>
      <c r="H160" s="11">
        <f t="shared" si="18"/>
        <v>0</v>
      </c>
      <c r="I160" s="11">
        <f t="shared" si="19"/>
        <v>0.10964912280701754</v>
      </c>
    </row>
    <row r="161" spans="1:9" ht="15" customHeight="1" x14ac:dyDescent="0.2">
      <c r="A161" s="3" t="str">
        <f>MethodData!A158</f>
        <v>Scoreboard: displayScoreboard(int)</v>
      </c>
      <c r="B161" s="4">
        <f>MethodData!B158</f>
        <v>5</v>
      </c>
      <c r="C161" s="4">
        <f>MethodData!P158</f>
        <v>44</v>
      </c>
      <c r="D161" s="4">
        <f>MethodData!U158</f>
        <v>1</v>
      </c>
      <c r="F161" s="11">
        <f t="shared" si="16"/>
        <v>0.13157894736842105</v>
      </c>
      <c r="G161" s="11">
        <f t="shared" si="17"/>
        <v>0.33333333333333331</v>
      </c>
      <c r="H161" s="11">
        <f t="shared" si="18"/>
        <v>0.25</v>
      </c>
      <c r="I161" s="11">
        <f t="shared" si="19"/>
        <v>0.71491228070175439</v>
      </c>
    </row>
    <row r="162" spans="1:9" ht="15" customHeight="1" x14ac:dyDescent="0.2">
      <c r="A162" s="3" t="str">
        <f>MethodData!A159</f>
        <v>Scoreboard: interactiveDisplay(Scanner)</v>
      </c>
      <c r="B162" s="4">
        <f>MethodData!B159</f>
        <v>3</v>
      </c>
      <c r="C162" s="4">
        <f>MethodData!P159</f>
        <v>17</v>
      </c>
      <c r="D162" s="4">
        <f>MethodData!U159</f>
        <v>1</v>
      </c>
      <c r="F162" s="11">
        <f t="shared" si="16"/>
        <v>7.8947368421052627E-2</v>
      </c>
      <c r="G162" s="11">
        <f t="shared" si="17"/>
        <v>0.12878787878787878</v>
      </c>
      <c r="H162" s="11">
        <f t="shared" si="18"/>
        <v>0.25</v>
      </c>
      <c r="I162" s="11">
        <f t="shared" si="19"/>
        <v>0.45773524720893144</v>
      </c>
    </row>
    <row r="163" spans="1:9" ht="15" customHeight="1" x14ac:dyDescent="0.2">
      <c r="A163" s="3" t="str">
        <f>MethodData!A160</f>
        <v>Scoreboard: loadResults()</v>
      </c>
      <c r="B163" s="4">
        <f>MethodData!B160</f>
        <v>3</v>
      </c>
      <c r="C163" s="4">
        <f>MethodData!P160</f>
        <v>15</v>
      </c>
      <c r="D163" s="4">
        <f>MethodData!U160</f>
        <v>0</v>
      </c>
      <c r="F163" s="11">
        <f t="shared" si="16"/>
        <v>7.8947368421052627E-2</v>
      </c>
      <c r="G163" s="11">
        <f t="shared" si="17"/>
        <v>0.11363636363636363</v>
      </c>
      <c r="H163" s="11">
        <f t="shared" si="18"/>
        <v>0</v>
      </c>
      <c r="I163" s="11">
        <f t="shared" si="19"/>
        <v>0.19258373205741625</v>
      </c>
    </row>
    <row r="164" spans="1:9" ht="15" customHeight="1" x14ac:dyDescent="0.2">
      <c r="A164" s="3" t="str">
        <f>MethodData!A161</f>
        <v>Scoreboard: saveResult(GameResult)</v>
      </c>
      <c r="B164" s="4">
        <f>MethodData!B161</f>
        <v>2</v>
      </c>
      <c r="C164" s="4">
        <f>MethodData!P161</f>
        <v>17</v>
      </c>
      <c r="D164" s="4">
        <f>MethodData!U161</f>
        <v>1</v>
      </c>
      <c r="F164" s="11">
        <f t="shared" si="16"/>
        <v>5.2631578947368418E-2</v>
      </c>
      <c r="G164" s="11">
        <f t="shared" si="17"/>
        <v>0.12878787878787878</v>
      </c>
      <c r="H164" s="11">
        <f t="shared" si="18"/>
        <v>0.25</v>
      </c>
      <c r="I164" s="11">
        <f t="shared" si="19"/>
        <v>0.4314194577352472</v>
      </c>
    </row>
    <row r="165" spans="1:9" ht="15" customHeight="1" x14ac:dyDescent="0.2">
      <c r="A165" s="3" t="str">
        <f>MethodData!A162</f>
        <v>Ship: Ship(String, Compass, IPosition, int)</v>
      </c>
      <c r="B165" s="4">
        <f>MethodData!B162</f>
        <v>1</v>
      </c>
      <c r="C165" s="4">
        <f>MethodData!P162</f>
        <v>19</v>
      </c>
      <c r="D165" s="4">
        <f>MethodData!U162</f>
        <v>4</v>
      </c>
      <c r="F165" s="11">
        <f t="shared" ref="F165:F190" si="20">IF(B$3-B$2=0,0,(B165-B$2)/(B$3-B$2))</f>
        <v>2.6315789473684209E-2</v>
      </c>
      <c r="G165" s="11">
        <f t="shared" ref="G165:G190" si="21">IF(C$3-C$2=0,0,(C165-C$2)/(C$3-C$2))</f>
        <v>0.14393939393939395</v>
      </c>
      <c r="H165" s="11">
        <f t="shared" ref="H165:H190" si="22">IF(D$3-D$2=0,0,(D165-D$2)/(D$3-D$2))</f>
        <v>1</v>
      </c>
      <c r="I165" s="11">
        <f t="shared" ref="I165:I196" si="23">SUM(F165:H165)</f>
        <v>1.1702551834130781</v>
      </c>
    </row>
    <row r="166" spans="1:9" ht="15" customHeight="1" x14ac:dyDescent="0.2">
      <c r="A166" s="3" t="str">
        <f>MethodData!A163</f>
        <v>Ship: buildShip(String, Compass, Position)</v>
      </c>
      <c r="B166" s="4">
        <f>MethodData!B163</f>
        <v>7</v>
      </c>
      <c r="C166" s="4">
        <f>MethodData!P163</f>
        <v>36</v>
      </c>
      <c r="D166" s="4">
        <f>MethodData!U163</f>
        <v>3</v>
      </c>
      <c r="F166" s="11">
        <f t="shared" si="20"/>
        <v>0.18421052631578946</v>
      </c>
      <c r="G166" s="11">
        <f t="shared" si="21"/>
        <v>0.27272727272727271</v>
      </c>
      <c r="H166" s="11">
        <f t="shared" si="22"/>
        <v>0.75</v>
      </c>
      <c r="I166" s="11">
        <f t="shared" si="23"/>
        <v>1.2069377990430623</v>
      </c>
    </row>
    <row r="167" spans="1:9" ht="15" customHeight="1" x14ac:dyDescent="0.2">
      <c r="A167" s="3" t="str">
        <f>MethodData!A164</f>
        <v>Ship: getAdjacentPositions()</v>
      </c>
      <c r="B167" s="4">
        <f>MethodData!B164</f>
        <v>5</v>
      </c>
      <c r="C167" s="4">
        <f>MethodData!P164</f>
        <v>19</v>
      </c>
      <c r="D167" s="4">
        <f>MethodData!U164</f>
        <v>0</v>
      </c>
      <c r="F167" s="11">
        <f t="shared" si="20"/>
        <v>0.13157894736842105</v>
      </c>
      <c r="G167" s="11">
        <f t="shared" si="21"/>
        <v>0.14393939393939395</v>
      </c>
      <c r="H167" s="11">
        <f t="shared" si="22"/>
        <v>0</v>
      </c>
      <c r="I167" s="11">
        <f t="shared" si="23"/>
        <v>0.275518341307815</v>
      </c>
    </row>
    <row r="168" spans="1:9" ht="15" customHeight="1" x14ac:dyDescent="0.2">
      <c r="A168" s="3" t="str">
        <f>MethodData!A165</f>
        <v>Ship: getBearing()</v>
      </c>
      <c r="B168" s="4">
        <f>MethodData!B165</f>
        <v>1</v>
      </c>
      <c r="C168" s="4">
        <f>MethodData!P165</f>
        <v>15</v>
      </c>
      <c r="D168" s="4">
        <f>MethodData!U165</f>
        <v>0</v>
      </c>
      <c r="F168" s="11">
        <f t="shared" si="20"/>
        <v>2.6315789473684209E-2</v>
      </c>
      <c r="G168" s="11">
        <f t="shared" si="21"/>
        <v>0.11363636363636363</v>
      </c>
      <c r="H168" s="11">
        <f t="shared" si="22"/>
        <v>0</v>
      </c>
      <c r="I168" s="11">
        <f t="shared" si="23"/>
        <v>0.13995215311004783</v>
      </c>
    </row>
    <row r="169" spans="1:9" ht="15" customHeight="1" x14ac:dyDescent="0.2">
      <c r="A169" s="3" t="str">
        <f>MethodData!A166</f>
        <v>Ship: getBottomMostPos()</v>
      </c>
      <c r="B169" s="4">
        <f>MethodData!B166</f>
        <v>3</v>
      </c>
      <c r="C169" s="4">
        <f>MethodData!P166</f>
        <v>19</v>
      </c>
      <c r="D169" s="4">
        <f>MethodData!U166</f>
        <v>0</v>
      </c>
      <c r="F169" s="11">
        <f t="shared" si="20"/>
        <v>7.8947368421052627E-2</v>
      </c>
      <c r="G169" s="11">
        <f t="shared" si="21"/>
        <v>0.14393939393939395</v>
      </c>
      <c r="H169" s="11">
        <f t="shared" si="22"/>
        <v>0</v>
      </c>
      <c r="I169" s="11">
        <f t="shared" si="23"/>
        <v>0.22288676236044658</v>
      </c>
    </row>
    <row r="170" spans="1:9" ht="15" customHeight="1" x14ac:dyDescent="0.2">
      <c r="A170" s="3" t="str">
        <f>MethodData!A167</f>
        <v>Ship: getCategory()</v>
      </c>
      <c r="B170" s="4">
        <f>MethodData!B167</f>
        <v>1</v>
      </c>
      <c r="C170" s="4">
        <f>MethodData!P167</f>
        <v>15</v>
      </c>
      <c r="D170" s="4">
        <f>MethodData!U167</f>
        <v>0</v>
      </c>
      <c r="F170" s="11">
        <f t="shared" si="20"/>
        <v>2.6315789473684209E-2</v>
      </c>
      <c r="G170" s="11">
        <f t="shared" si="21"/>
        <v>0.11363636363636363</v>
      </c>
      <c r="H170" s="11">
        <f t="shared" si="22"/>
        <v>0</v>
      </c>
      <c r="I170" s="11">
        <f t="shared" si="23"/>
        <v>0.13995215311004783</v>
      </c>
    </row>
    <row r="171" spans="1:9" ht="15" customHeight="1" x14ac:dyDescent="0.2">
      <c r="A171" s="3" t="str">
        <f>MethodData!A168</f>
        <v>Ship: getLeftMostPos()</v>
      </c>
      <c r="B171" s="4">
        <f>MethodData!B168</f>
        <v>3</v>
      </c>
      <c r="C171" s="4">
        <f>MethodData!P168</f>
        <v>19</v>
      </c>
      <c r="D171" s="4">
        <f>MethodData!U168</f>
        <v>0</v>
      </c>
      <c r="F171" s="11">
        <f t="shared" si="20"/>
        <v>7.8947368421052627E-2</v>
      </c>
      <c r="G171" s="11">
        <f t="shared" si="21"/>
        <v>0.14393939393939395</v>
      </c>
      <c r="H171" s="11">
        <f t="shared" si="22"/>
        <v>0</v>
      </c>
      <c r="I171" s="11">
        <f t="shared" si="23"/>
        <v>0.22288676236044658</v>
      </c>
    </row>
    <row r="172" spans="1:9" ht="15" customHeight="1" x14ac:dyDescent="0.2">
      <c r="A172" s="3" t="str">
        <f>MethodData!A169</f>
        <v>Ship: getPosition()</v>
      </c>
      <c r="B172" s="4">
        <f>MethodData!B169</f>
        <v>1</v>
      </c>
      <c r="C172" s="4">
        <f>MethodData!P169</f>
        <v>15</v>
      </c>
      <c r="D172" s="4">
        <f>MethodData!U169</f>
        <v>0</v>
      </c>
      <c r="F172" s="11">
        <f t="shared" si="20"/>
        <v>2.6315789473684209E-2</v>
      </c>
      <c r="G172" s="11">
        <f t="shared" si="21"/>
        <v>0.11363636363636363</v>
      </c>
      <c r="H172" s="11">
        <f t="shared" si="22"/>
        <v>0</v>
      </c>
      <c r="I172" s="11">
        <f t="shared" si="23"/>
        <v>0.13995215311004783</v>
      </c>
    </row>
    <row r="173" spans="1:9" ht="15" customHeight="1" x14ac:dyDescent="0.2">
      <c r="A173" s="3" t="str">
        <f>MethodData!A170</f>
        <v>Ship: getPositions()</v>
      </c>
      <c r="B173" s="4">
        <f>MethodData!B170</f>
        <v>1</v>
      </c>
      <c r="C173" s="4">
        <f>MethodData!P170</f>
        <v>9</v>
      </c>
      <c r="D173" s="4">
        <f>MethodData!U170</f>
        <v>0</v>
      </c>
      <c r="F173" s="11">
        <f t="shared" si="20"/>
        <v>2.6315789473684209E-2</v>
      </c>
      <c r="G173" s="11">
        <f t="shared" si="21"/>
        <v>6.8181818181818177E-2</v>
      </c>
      <c r="H173" s="11">
        <f t="shared" si="22"/>
        <v>0</v>
      </c>
      <c r="I173" s="11">
        <f t="shared" si="23"/>
        <v>9.4497607655502386E-2</v>
      </c>
    </row>
    <row r="174" spans="1:9" ht="15" customHeight="1" x14ac:dyDescent="0.2">
      <c r="A174" s="3" t="str">
        <f>MethodData!A171</f>
        <v>Ship: getRightMostPos()</v>
      </c>
      <c r="B174" s="4">
        <f>MethodData!B171</f>
        <v>3</v>
      </c>
      <c r="C174" s="4">
        <f>MethodData!P171</f>
        <v>19</v>
      </c>
      <c r="D174" s="4">
        <f>MethodData!U171</f>
        <v>0</v>
      </c>
      <c r="F174" s="11">
        <f t="shared" si="20"/>
        <v>7.8947368421052627E-2</v>
      </c>
      <c r="G174" s="11">
        <f t="shared" si="21"/>
        <v>0.14393939393939395</v>
      </c>
      <c r="H174" s="11">
        <f t="shared" si="22"/>
        <v>0</v>
      </c>
      <c r="I174" s="11">
        <f t="shared" si="23"/>
        <v>0.22288676236044658</v>
      </c>
    </row>
    <row r="175" spans="1:9" ht="15" customHeight="1" x14ac:dyDescent="0.2">
      <c r="A175" s="3" t="str">
        <f>MethodData!A172</f>
        <v>Ship: getSize()</v>
      </c>
      <c r="B175" s="4">
        <f>MethodData!B172</f>
        <v>1</v>
      </c>
      <c r="C175" s="4">
        <f>MethodData!P172</f>
        <v>9</v>
      </c>
      <c r="D175" s="4">
        <f>MethodData!U172</f>
        <v>0</v>
      </c>
      <c r="F175" s="11">
        <f t="shared" si="20"/>
        <v>2.6315789473684209E-2</v>
      </c>
      <c r="G175" s="11">
        <f t="shared" si="21"/>
        <v>6.8181818181818177E-2</v>
      </c>
      <c r="H175" s="11">
        <f t="shared" si="22"/>
        <v>0</v>
      </c>
      <c r="I175" s="11">
        <f t="shared" si="23"/>
        <v>9.4497607655502386E-2</v>
      </c>
    </row>
    <row r="176" spans="1:9" ht="15" customHeight="1" x14ac:dyDescent="0.2">
      <c r="A176" s="3" t="str">
        <f>MethodData!A173</f>
        <v>Ship: getTopMostPos()</v>
      </c>
      <c r="B176" s="4">
        <f>MethodData!B173</f>
        <v>3</v>
      </c>
      <c r="C176" s="4">
        <f>MethodData!P173</f>
        <v>19</v>
      </c>
      <c r="D176" s="4">
        <f>MethodData!U173</f>
        <v>0</v>
      </c>
      <c r="F176" s="11">
        <f t="shared" si="20"/>
        <v>7.8947368421052627E-2</v>
      </c>
      <c r="G176" s="11">
        <f t="shared" si="21"/>
        <v>0.14393939393939395</v>
      </c>
      <c r="H176" s="11">
        <f t="shared" si="22"/>
        <v>0</v>
      </c>
      <c r="I176" s="11">
        <f t="shared" si="23"/>
        <v>0.22288676236044658</v>
      </c>
    </row>
    <row r="177" spans="1:9" ht="15" customHeight="1" x14ac:dyDescent="0.2">
      <c r="A177" s="3" t="str">
        <f>MethodData!A174</f>
        <v>Ship: occupies(IPosition)</v>
      </c>
      <c r="B177" s="4">
        <f>MethodData!B174</f>
        <v>3</v>
      </c>
      <c r="C177" s="4">
        <f>MethodData!P174</f>
        <v>20</v>
      </c>
      <c r="D177" s="4">
        <f>MethodData!U174</f>
        <v>1</v>
      </c>
      <c r="F177" s="11">
        <f t="shared" si="20"/>
        <v>7.8947368421052627E-2</v>
      </c>
      <c r="G177" s="11">
        <f t="shared" si="21"/>
        <v>0.15151515151515152</v>
      </c>
      <c r="H177" s="11">
        <f t="shared" si="22"/>
        <v>0.25</v>
      </c>
      <c r="I177" s="11">
        <f t="shared" si="23"/>
        <v>0.48046251993620415</v>
      </c>
    </row>
    <row r="178" spans="1:9" ht="15" customHeight="1" x14ac:dyDescent="0.2">
      <c r="A178" s="3" t="str">
        <f>MethodData!A175</f>
        <v>Ship: shoot(IPosition)</v>
      </c>
      <c r="B178" s="4">
        <f>MethodData!B175</f>
        <v>3</v>
      </c>
      <c r="C178" s="4">
        <f>MethodData!P175</f>
        <v>21</v>
      </c>
      <c r="D178" s="4">
        <f>MethodData!U175</f>
        <v>1</v>
      </c>
      <c r="F178" s="11">
        <f t="shared" si="20"/>
        <v>7.8947368421052627E-2</v>
      </c>
      <c r="G178" s="11">
        <f t="shared" si="21"/>
        <v>0.15909090909090909</v>
      </c>
      <c r="H178" s="11">
        <f t="shared" si="22"/>
        <v>0.25</v>
      </c>
      <c r="I178" s="11">
        <f t="shared" si="23"/>
        <v>0.48803827751196172</v>
      </c>
    </row>
    <row r="179" spans="1:9" ht="15" customHeight="1" x14ac:dyDescent="0.2">
      <c r="A179" s="3" t="str">
        <f>MethodData!A176</f>
        <v>Ship: sink()</v>
      </c>
      <c r="B179" s="4">
        <f>MethodData!B176</f>
        <v>2</v>
      </c>
      <c r="C179" s="4">
        <f>MethodData!P176</f>
        <v>13</v>
      </c>
      <c r="D179" s="4">
        <f>MethodData!U176</f>
        <v>0</v>
      </c>
      <c r="F179" s="11">
        <f t="shared" si="20"/>
        <v>5.2631578947368418E-2</v>
      </c>
      <c r="G179" s="11">
        <f t="shared" si="21"/>
        <v>9.8484848484848481E-2</v>
      </c>
      <c r="H179" s="11">
        <f t="shared" si="22"/>
        <v>0</v>
      </c>
      <c r="I179" s="11">
        <f t="shared" si="23"/>
        <v>0.1511164274322169</v>
      </c>
    </row>
    <row r="180" spans="1:9" ht="15" customHeight="1" x14ac:dyDescent="0.2">
      <c r="A180" s="3" t="str">
        <f>MethodData!A177</f>
        <v>Ship: stillFloating()</v>
      </c>
      <c r="B180" s="4">
        <f>MethodData!B177</f>
        <v>3</v>
      </c>
      <c r="C180" s="4">
        <f>MethodData!P177</f>
        <v>18</v>
      </c>
      <c r="D180" s="4">
        <f>MethodData!U177</f>
        <v>0</v>
      </c>
      <c r="F180" s="11">
        <f t="shared" si="20"/>
        <v>7.8947368421052627E-2</v>
      </c>
      <c r="G180" s="11">
        <f t="shared" si="21"/>
        <v>0.13636363636363635</v>
      </c>
      <c r="H180" s="11">
        <f t="shared" si="22"/>
        <v>0</v>
      </c>
      <c r="I180" s="11">
        <f t="shared" si="23"/>
        <v>0.21531100478468898</v>
      </c>
    </row>
    <row r="181" spans="1:9" ht="15" customHeight="1" x14ac:dyDescent="0.2">
      <c r="A181" s="3" t="str">
        <f>MethodData!A178</f>
        <v>Ship: toString()</v>
      </c>
      <c r="B181" s="4">
        <f>MethodData!B178</f>
        <v>1</v>
      </c>
      <c r="C181" s="4">
        <f>MethodData!P178</f>
        <v>10</v>
      </c>
      <c r="D181" s="4">
        <f>MethodData!U178</f>
        <v>0</v>
      </c>
      <c r="F181" s="11">
        <f t="shared" si="20"/>
        <v>2.6315789473684209E-2</v>
      </c>
      <c r="G181" s="11">
        <f t="shared" si="21"/>
        <v>7.575757575757576E-2</v>
      </c>
      <c r="H181" s="11">
        <f t="shared" si="22"/>
        <v>0</v>
      </c>
      <c r="I181" s="11">
        <f t="shared" si="23"/>
        <v>0.10207336523125997</v>
      </c>
    </row>
    <row r="182" spans="1:9" ht="15" customHeight="1" x14ac:dyDescent="0.2">
      <c r="A182" s="3" t="str">
        <f>MethodData!A179</f>
        <v>Ship: tooCloseTo(IPosition)</v>
      </c>
      <c r="B182" s="4">
        <f>MethodData!B179</f>
        <v>3</v>
      </c>
      <c r="C182" s="4">
        <f>MethodData!P179</f>
        <v>20</v>
      </c>
      <c r="D182" s="4">
        <f>MethodData!U179</f>
        <v>1</v>
      </c>
      <c r="F182" s="11">
        <f t="shared" si="20"/>
        <v>7.8947368421052627E-2</v>
      </c>
      <c r="G182" s="11">
        <f t="shared" si="21"/>
        <v>0.15151515151515152</v>
      </c>
      <c r="H182" s="11">
        <f t="shared" si="22"/>
        <v>0.25</v>
      </c>
      <c r="I182" s="11">
        <f t="shared" si="23"/>
        <v>0.48046251993620415</v>
      </c>
    </row>
    <row r="183" spans="1:9" ht="15" customHeight="1" x14ac:dyDescent="0.2">
      <c r="A183" s="3" t="str">
        <f>MethodData!A180</f>
        <v>Ship: tooCloseTo(IShip)</v>
      </c>
      <c r="B183" s="4">
        <f>MethodData!B180</f>
        <v>3</v>
      </c>
      <c r="C183" s="4">
        <f>MethodData!P180</f>
        <v>21</v>
      </c>
      <c r="D183" s="4">
        <f>MethodData!U180</f>
        <v>1</v>
      </c>
      <c r="F183" s="11">
        <f t="shared" si="20"/>
        <v>7.8947368421052627E-2</v>
      </c>
      <c r="G183" s="11">
        <f t="shared" si="21"/>
        <v>0.15909090909090909</v>
      </c>
      <c r="H183" s="11">
        <f t="shared" si="22"/>
        <v>0.25</v>
      </c>
      <c r="I183" s="11">
        <f t="shared" si="23"/>
        <v>0.48803827751196172</v>
      </c>
    </row>
    <row r="184" spans="1:9" ht="15" customHeight="1" x14ac:dyDescent="0.2">
      <c r="A184" s="3" t="str">
        <f>MethodData!A181</f>
        <v>Tasks: askPlayerName(Scanner)</v>
      </c>
      <c r="B184" s="4">
        <f>MethodData!B181</f>
        <v>3</v>
      </c>
      <c r="C184" s="4">
        <f>MethodData!P181</f>
        <v>19</v>
      </c>
      <c r="D184" s="4">
        <f>MethodData!U181</f>
        <v>1</v>
      </c>
      <c r="F184" s="11">
        <f t="shared" si="20"/>
        <v>7.8947368421052627E-2</v>
      </c>
      <c r="G184" s="11">
        <f t="shared" si="21"/>
        <v>0.14393939393939395</v>
      </c>
      <c r="H184" s="11">
        <f t="shared" si="22"/>
        <v>0.25</v>
      </c>
      <c r="I184" s="11">
        <f t="shared" si="23"/>
        <v>0.47288676236044658</v>
      </c>
    </row>
    <row r="185" spans="1:9" ht="15" customHeight="1" x14ac:dyDescent="0.2">
      <c r="A185" s="3" t="str">
        <f>MethodData!A182</f>
        <v>Tasks: buildFleet(Scanner)</v>
      </c>
      <c r="B185" s="4">
        <f>MethodData!B182</f>
        <v>4</v>
      </c>
      <c r="C185" s="4">
        <f>MethodData!P182</f>
        <v>25</v>
      </c>
      <c r="D185" s="4">
        <f>MethodData!U182</f>
        <v>1</v>
      </c>
      <c r="F185" s="11">
        <f t="shared" si="20"/>
        <v>0.10526315789473684</v>
      </c>
      <c r="G185" s="11">
        <f t="shared" si="21"/>
        <v>0.18939393939393939</v>
      </c>
      <c r="H185" s="11">
        <f t="shared" si="22"/>
        <v>0.25</v>
      </c>
      <c r="I185" s="11">
        <f t="shared" si="23"/>
        <v>0.54465709728867617</v>
      </c>
    </row>
    <row r="186" spans="1:9" ht="15" customHeight="1" x14ac:dyDescent="0.2">
      <c r="A186" s="3" t="str">
        <f>MethodData!A183</f>
        <v>Tasks: menu()</v>
      </c>
      <c r="B186" s="4">
        <f>MethodData!B183</f>
        <v>29</v>
      </c>
      <c r="C186" s="4">
        <f>MethodData!P183</f>
        <v>122</v>
      </c>
      <c r="D186" s="4">
        <f>MethodData!U183</f>
        <v>0</v>
      </c>
      <c r="F186" s="11">
        <f t="shared" si="20"/>
        <v>0.76315789473684215</v>
      </c>
      <c r="G186" s="11">
        <f t="shared" si="21"/>
        <v>0.9242424242424242</v>
      </c>
      <c r="H186" s="11">
        <f t="shared" si="22"/>
        <v>0</v>
      </c>
      <c r="I186" s="11">
        <f t="shared" si="23"/>
        <v>1.6874003189792663</v>
      </c>
    </row>
    <row r="187" spans="1:9" ht="15" customHeight="1" x14ac:dyDescent="0.2">
      <c r="A187" s="3" t="str">
        <f>MethodData!A184</f>
        <v>Tasks: menuHelp()</v>
      </c>
      <c r="B187" s="4">
        <f>MethodData!B184</f>
        <v>1</v>
      </c>
      <c r="C187" s="4">
        <f>MethodData!P184</f>
        <v>19</v>
      </c>
      <c r="D187" s="4">
        <f>MethodData!U184</f>
        <v>0</v>
      </c>
      <c r="F187" s="11">
        <f t="shared" si="20"/>
        <v>2.6315789473684209E-2</v>
      </c>
      <c r="G187" s="11">
        <f t="shared" si="21"/>
        <v>0.14393939393939395</v>
      </c>
      <c r="H187" s="11">
        <f t="shared" si="22"/>
        <v>0</v>
      </c>
      <c r="I187" s="11">
        <f t="shared" si="23"/>
        <v>0.17025518341307816</v>
      </c>
    </row>
    <row r="188" spans="1:9" ht="15" customHeight="1" x14ac:dyDescent="0.2">
      <c r="A188" s="3" t="str">
        <f>MethodData!A185</f>
        <v>Tasks: readClassicPosition(Scanner)</v>
      </c>
      <c r="B188" s="4">
        <f>MethodData!B185</f>
        <v>8</v>
      </c>
      <c r="C188" s="4">
        <f>MethodData!P185</f>
        <v>28</v>
      </c>
      <c r="D188" s="4">
        <f>MethodData!U185</f>
        <v>1</v>
      </c>
      <c r="F188" s="11">
        <f t="shared" si="20"/>
        <v>0.21052631578947367</v>
      </c>
      <c r="G188" s="11">
        <f t="shared" si="21"/>
        <v>0.21212121212121213</v>
      </c>
      <c r="H188" s="11">
        <f t="shared" si="22"/>
        <v>0.25</v>
      </c>
      <c r="I188" s="11">
        <f t="shared" si="23"/>
        <v>0.67264752791068583</v>
      </c>
    </row>
    <row r="189" spans="1:9" ht="15" customHeight="1" x14ac:dyDescent="0.2">
      <c r="A189" s="3" t="str">
        <f>MethodData!A186</f>
        <v>Tasks: readPosition(Scanner)</v>
      </c>
      <c r="B189" s="4">
        <f>MethodData!B186</f>
        <v>1</v>
      </c>
      <c r="C189" s="4">
        <f>MethodData!P186</f>
        <v>12</v>
      </c>
      <c r="D189" s="4">
        <f>MethodData!U186</f>
        <v>1</v>
      </c>
      <c r="F189" s="11">
        <f t="shared" si="20"/>
        <v>2.6315789473684209E-2</v>
      </c>
      <c r="G189" s="11">
        <f t="shared" si="21"/>
        <v>9.0909090909090912E-2</v>
      </c>
      <c r="H189" s="11">
        <f t="shared" si="22"/>
        <v>0.25</v>
      </c>
      <c r="I189" s="11">
        <f t="shared" si="23"/>
        <v>0.36722488038277512</v>
      </c>
    </row>
    <row r="190" spans="1:9" ht="15" customHeight="1" x14ac:dyDescent="0.2">
      <c r="A190" s="3" t="str">
        <f>MethodData!A187</f>
        <v>Tasks: readShip(Scanner)</v>
      </c>
      <c r="B190" s="4">
        <f>MethodData!B187</f>
        <v>1</v>
      </c>
      <c r="C190" s="4">
        <f>MethodData!P187</f>
        <v>14</v>
      </c>
      <c r="D190" s="4">
        <f>MethodData!U187</f>
        <v>1</v>
      </c>
      <c r="F190" s="11">
        <f t="shared" si="20"/>
        <v>2.6315789473684209E-2</v>
      </c>
      <c r="G190" s="11">
        <f t="shared" si="21"/>
        <v>0.10606060606060606</v>
      </c>
      <c r="H190" s="11">
        <f t="shared" si="22"/>
        <v>0.25</v>
      </c>
      <c r="I190" s="11">
        <f t="shared" si="23"/>
        <v>0.38237639553429026</v>
      </c>
    </row>
    <row r="193" spans="1:5" ht="15" customHeight="1" x14ac:dyDescent="0.2">
      <c r="A193" s="6" t="s">
        <v>548</v>
      </c>
    </row>
    <row r="194" spans="1:5" ht="15" customHeight="1" x14ac:dyDescent="0.2">
      <c r="A194" s="1" t="s">
        <v>549</v>
      </c>
      <c r="B194" s="1" t="s">
        <v>0</v>
      </c>
      <c r="C194" s="9" t="s">
        <v>523</v>
      </c>
      <c r="D194" s="9" t="s">
        <v>537</v>
      </c>
      <c r="E194" s="9" t="s">
        <v>542</v>
      </c>
    </row>
    <row r="195" spans="1:5" ht="15" customHeight="1" x14ac:dyDescent="0.2">
      <c r="A195" s="3">
        <v>1</v>
      </c>
      <c r="B195" s="3" t="str">
        <f>INDEX($A$5:$A$190,MATCH(LARGE(I$5:I$190,1),I$5:I$190,0))</f>
        <v>Move: processEnemyFire(boolean)</v>
      </c>
      <c r="C195" s="11">
        <f>INDEX(F$5:F$190,MATCH(LARGE(I$5:I$190,1),I$5:I$190,0))</f>
        <v>1</v>
      </c>
      <c r="D195" s="11">
        <f>INDEX(G$5:G$190,MATCH(LARGE(I$5:I$190,1),I$5:I$190,0))</f>
        <v>1</v>
      </c>
      <c r="E195" s="11">
        <f>INDEX(H$5:H$190,MATCH(LARGE(I$5:I$190,1),I$5:I$190,0))</f>
        <v>0.25</v>
      </c>
    </row>
    <row r="196" spans="1:5" ht="15" customHeight="1" x14ac:dyDescent="0.2">
      <c r="A196" s="3">
        <v>2</v>
      </c>
      <c r="B196" s="3" t="str">
        <f>INDEX($A$5:$A$190,MATCH(LARGE(I$5:I$190,2),I$5:I$190,0))</f>
        <v>Game: buildMap(IFleet, List&lt;IMove&gt;, boolean, boolean)</v>
      </c>
      <c r="C196" s="11">
        <f>INDEX(F$5:F$190,MATCH(LARGE(I$5:I$190,2),I$5:I$190,0))</f>
        <v>0.47368421052631576</v>
      </c>
      <c r="D196" s="11">
        <f>INDEX(G$5:G$190,MATCH(LARGE(I$5:I$190,2),I$5:I$190,0))</f>
        <v>0.32575757575757575</v>
      </c>
      <c r="E196" s="11">
        <f>INDEX(H$5:H$190,MATCH(LARGE(I$5:I$190,2),I$5:I$190,0))</f>
        <v>1</v>
      </c>
    </row>
    <row r="197" spans="1:5" ht="15" customHeight="1" x14ac:dyDescent="0.2">
      <c r="A197" s="3">
        <v>3</v>
      </c>
      <c r="B197" s="3" t="str">
        <f>INDEX($A$5:$A$190,MATCH(LARGE(I$5:I$190,3),I$5:I$190,0))</f>
        <v>PdfExporter: printMoveSection(PDDocument, PdfState, String, List&lt;IMove&gt;)</v>
      </c>
      <c r="C197" s="11">
        <f>INDEX(F$5:F$190,MATCH(LARGE(I$5:I$190,3),I$5:I$190,0))</f>
        <v>0.23684210526315788</v>
      </c>
      <c r="D197" s="11">
        <f>INDEX(G$5:G$190,MATCH(LARGE(I$5:I$190,3),I$5:I$190,0))</f>
        <v>0.53787878787878785</v>
      </c>
      <c r="E197" s="11">
        <f>INDEX(H$5:H$190,MATCH(LARGE(I$5:I$190,3),I$5:I$190,0))</f>
        <v>1</v>
      </c>
    </row>
    <row r="198" spans="1:5" ht="15" customHeight="1" x14ac:dyDescent="0.2">
      <c r="A198" s="3">
        <v>4</v>
      </c>
      <c r="B198" s="3" t="str">
        <f>INDEX($A$5:$A$190,MATCH(LARGE(I$5:I$190,4),I$5:I$190,0))</f>
        <v>Tasks: menu()</v>
      </c>
      <c r="C198" s="11">
        <f>INDEX(F$5:F$190,MATCH(LARGE(I$5:I$190,4),I$5:I$190,0))</f>
        <v>0.76315789473684215</v>
      </c>
      <c r="D198" s="11">
        <f>INDEX(G$5:G$190,MATCH(LARGE(I$5:I$190,4),I$5:I$190,0))</f>
        <v>0.9242424242424242</v>
      </c>
      <c r="E198" s="11">
        <f>INDEX(H$5:H$190,MATCH(LARGE(I$5:I$190,4),I$5:I$190,0))</f>
        <v>0</v>
      </c>
    </row>
    <row r="199" spans="1:5" ht="15" customHeight="1" x14ac:dyDescent="0.2">
      <c r="A199" s="3">
        <v>5</v>
      </c>
      <c r="B199" s="3" t="str">
        <f>INDEX($A$5:$A$190,MATCH(LARGE(I$5:I$190,5),I$5:I$190,0))</f>
        <v>Game: printBoard(IFleet, List&lt;IMove&gt;, boolean, boolean)</v>
      </c>
      <c r="C199" s="11">
        <f>INDEX(F$5:F$190,MATCH(LARGE(I$5:I$190,5),I$5:I$190,0))</f>
        <v>0</v>
      </c>
      <c r="D199" s="11">
        <f>INDEX(G$5:G$190,MATCH(LARGE(I$5:I$190,5),I$5:I$190,0))</f>
        <v>0.53030303030303028</v>
      </c>
      <c r="E199" s="11">
        <f>INDEX(H$5:H$190,MATCH(LARGE(I$5:I$190,5),I$5:I$190,0))</f>
        <v>1</v>
      </c>
    </row>
    <row r="200" spans="1:5" ht="15" customHeight="1" x14ac:dyDescent="0.2">
      <c r="A200" s="3">
        <v>6</v>
      </c>
      <c r="B200" s="3" t="str">
        <f>INDEX($A$5:$A$190,MATCH(LARGE(I$5:I$190,6),I$5:I$190,0))</f>
        <v>BoardWindow: show(char[][], char[][], List&lt;IPosition&gt;, List&lt;IPosition&gt;)</v>
      </c>
      <c r="C200" s="11">
        <f>INDEX(F$5:F$190,MATCH(LARGE(I$5:I$190,6),I$5:I$190,0))</f>
        <v>5.2631578947368418E-2</v>
      </c>
      <c r="D200" s="11">
        <f>INDEX(G$5:G$190,MATCH(LARGE(I$5:I$190,6),I$5:I$190,0))</f>
        <v>0.22727272727272727</v>
      </c>
      <c r="E200" s="11">
        <f>INDEX(H$5:H$190,MATCH(LARGE(I$5:I$190,6),I$5:I$190,0))</f>
        <v>1</v>
      </c>
    </row>
    <row r="201" spans="1:5" ht="15" customHeight="1" x14ac:dyDescent="0.2">
      <c r="A201" s="3">
        <v>7</v>
      </c>
      <c r="B201" s="3" t="str">
        <f>INDEX($A$5:$A$190,MATCH(LARGE(I$5:I$190,7),I$5:I$190,0))</f>
        <v>Ship: buildShip(String, Compass, Position)</v>
      </c>
      <c r="C201" s="11">
        <f>INDEX(F$5:F$190,MATCH(LARGE(I$5:I$190,7),I$5:I$190,0))</f>
        <v>0.18421052631578946</v>
      </c>
      <c r="D201" s="11">
        <f>INDEX(G$5:G$190,MATCH(LARGE(I$5:I$190,7),I$5:I$190,0))</f>
        <v>0.27272727272727271</v>
      </c>
      <c r="E201" s="11">
        <f>INDEX(H$5:H$190,MATCH(LARGE(I$5:I$190,7),I$5:I$190,0))</f>
        <v>0.75</v>
      </c>
    </row>
    <row r="202" spans="1:5" ht="15" customHeight="1" x14ac:dyDescent="0.2">
      <c r="A202" s="3">
        <v>8</v>
      </c>
      <c r="B202" s="3" t="str">
        <f>INDEX($A$5:$A$190,MATCH(LARGE(I$5:I$190,8),I$5:I$190,0))</f>
        <v>Ship: Ship(String, Compass, IPosition, int)</v>
      </c>
      <c r="C202" s="11">
        <f>INDEX(F$5:F$190,MATCH(LARGE(I$5:I$190,8),I$5:I$190,0))</f>
        <v>2.6315789473684209E-2</v>
      </c>
      <c r="D202" s="11">
        <f>INDEX(G$5:G$190,MATCH(LARGE(I$5:I$190,8),I$5:I$190,0))</f>
        <v>0.14393939393939395</v>
      </c>
      <c r="E202" s="11">
        <f>INDEX(H$5:H$190,MATCH(LARGE(I$5:I$190,8),I$5:I$190,0))</f>
        <v>1</v>
      </c>
    </row>
    <row r="203" spans="1:5" ht="15" customHeight="1" x14ac:dyDescent="0.2">
      <c r="A203" s="3">
        <v>9</v>
      </c>
      <c r="B203" s="3" t="str">
        <f>INDEX($A$5:$A$190,MATCH(LARGE(I$5:I$190,9),I$5:I$190,0))</f>
        <v>BoardWindow: createBoardPanel(char[][], List&lt;IPosition&gt;)</v>
      </c>
      <c r="C203" s="11">
        <f>INDEX(F$5:F$190,MATCH(LARGE(I$5:I$190,9),I$5:I$190,0))</f>
        <v>0.26315789473684209</v>
      </c>
      <c r="D203" s="11">
        <f>INDEX(G$5:G$190,MATCH(LARGE(I$5:I$190,9),I$5:I$190,0))</f>
        <v>0.32575757575757575</v>
      </c>
      <c r="E203" s="11">
        <f>INDEX(H$5:H$190,MATCH(LARGE(I$5:I$190,9),I$5:I$190,0))</f>
        <v>0.5</v>
      </c>
    </row>
    <row r="204" spans="1:5" ht="15" customHeight="1" x14ac:dyDescent="0.2">
      <c r="A204" s="3">
        <v>10</v>
      </c>
      <c r="B204" s="3" t="str">
        <f>INDEX($A$5:$A$190,MATCH(LARGE(I$5:I$190,10),I$5:I$190,0))</f>
        <v>Game: readEnemyFire(Scanner)</v>
      </c>
      <c r="C204" s="11">
        <f>INDEX(F$5:F$190,MATCH(LARGE(I$5:I$190,10),I$5:I$190,0))</f>
        <v>0.31578947368421051</v>
      </c>
      <c r="D204" s="11">
        <f>INDEX(G$5:G$190,MATCH(LARGE(I$5:I$190,10),I$5:I$190,0))</f>
        <v>0.39393939393939392</v>
      </c>
      <c r="E204" s="11">
        <f>INDEX(H$5:H$190,MATCH(LARGE(I$5:I$190,10),I$5:I$190,0))</f>
        <v>0.25</v>
      </c>
    </row>
    <row r="205" spans="1:5" ht="15" customHeight="1" x14ac:dyDescent="0.2">
      <c r="A205" s="3">
        <v>11</v>
      </c>
      <c r="B205" s="3" t="str">
        <f>INDEX($A$5:$A$190,MATCH(LARGE(I$5:I$190,11),I$5:I$190,0))</f>
        <v>Game: readAlienFire(Scanner)</v>
      </c>
      <c r="C205" s="11">
        <f>INDEX(F$5:F$190,MATCH(LARGE(I$5:I$190,11),I$5:I$190,0))</f>
        <v>0.31578947368421051</v>
      </c>
      <c r="D205" s="11">
        <f>INDEX(G$5:G$190,MATCH(LARGE(I$5:I$190,11),I$5:I$190,0))</f>
        <v>0.37878787878787878</v>
      </c>
      <c r="E205" s="11">
        <f>INDEX(H$5:H$190,MATCH(LARGE(I$5:I$190,11),I$5:I$190,0))</f>
        <v>0.25</v>
      </c>
    </row>
    <row r="206" spans="1:5" ht="15" customHeight="1" x14ac:dyDescent="0.2">
      <c r="A206" s="3">
        <v>12</v>
      </c>
      <c r="B206" s="3" t="str">
        <f>INDEX($A$5:$A$190,MATCH(LARGE(I$5:I$190,12),I$5:I$190,0))</f>
        <v>Caravel: Caravel(Compass, IPosition)</v>
      </c>
      <c r="C206" s="11">
        <f>INDEX(F$5:F$190,MATCH(LARGE(I$5:I$190,12),I$5:I$190,0))</f>
        <v>0.23684210526315788</v>
      </c>
      <c r="D206" s="11">
        <f>INDEX(G$5:G$190,MATCH(LARGE(I$5:I$190,12),I$5:I$190,0))</f>
        <v>0.20454545454545456</v>
      </c>
      <c r="E206" s="11">
        <f>INDEX(H$5:H$190,MATCH(LARGE(I$5:I$190,12),I$5:I$190,0))</f>
        <v>0.5</v>
      </c>
    </row>
    <row r="207" spans="1:5" ht="15" customHeight="1" x14ac:dyDescent="0.2">
      <c r="A207" s="3">
        <v>13</v>
      </c>
      <c r="B207" s="3" t="str">
        <f>INDEX($A$5:$A$190,MATCH(LARGE(I$5:I$190,13),I$5:I$190,0))</f>
        <v>Caravel: Caravel(Compass, IPosition)</v>
      </c>
      <c r="C207" s="11">
        <f>INDEX(F$5:F$190,MATCH(LARGE(I$5:I$190,13),I$5:I$190,0))</f>
        <v>0.23684210526315788</v>
      </c>
      <c r="D207" s="11">
        <f>INDEX(G$5:G$190,MATCH(LARGE(I$5:I$190,13),I$5:I$190,0))</f>
        <v>0.20454545454545456</v>
      </c>
      <c r="E207" s="11">
        <f>INDEX(H$5:H$190,MATCH(LARGE(I$5:I$190,13),I$5:I$190,0))</f>
        <v>0.5</v>
      </c>
    </row>
    <row r="208" spans="1:5" ht="15" customHeight="1" x14ac:dyDescent="0.2">
      <c r="A208" s="3">
        <v>14</v>
      </c>
      <c r="B208" s="3" t="str">
        <f>INDEX($A$5:$A$190,MATCH(LARGE(I$5:I$190,14),I$5:I$190,0))</f>
        <v>Caravel: Caravel(Compass, IPosition)</v>
      </c>
      <c r="C208" s="11">
        <f>INDEX(F$5:F$190,MATCH(LARGE(I$5:I$190,14),I$5:I$190,0))</f>
        <v>0.23684210526315788</v>
      </c>
      <c r="D208" s="11">
        <f>INDEX(G$5:G$190,MATCH(LARGE(I$5:I$190,14),I$5:I$190,0))</f>
        <v>0.20454545454545456</v>
      </c>
      <c r="E208" s="11">
        <f>INDEX(H$5:H$190,MATCH(LARGE(I$5:I$190,14),I$5:I$190,0))</f>
        <v>0.5</v>
      </c>
    </row>
    <row r="209" spans="1:5" ht="15" customHeight="1" x14ac:dyDescent="0.2">
      <c r="A209" s="3">
        <v>15</v>
      </c>
      <c r="B209" s="3" t="str">
        <f>INDEX($A$5:$A$190,MATCH(LARGE(I$5:I$190,15),I$5:I$190,0))</f>
        <v>Game: fireSingleShot(IPosition, boolean)</v>
      </c>
      <c r="C209" s="11">
        <f>INDEX(F$5:F$190,MATCH(LARGE(I$5:I$190,15),I$5:I$190,0))</f>
        <v>0.15789473684210525</v>
      </c>
      <c r="D209" s="11">
        <f>INDEX(G$5:G$190,MATCH(LARGE(I$5:I$190,15),I$5:I$190,0))</f>
        <v>0.25</v>
      </c>
      <c r="E209" s="11">
        <f>INDEX(H$5:H$190,MATCH(LARGE(I$5:I$190,15),I$5:I$190,0))</f>
        <v>0.5</v>
      </c>
    </row>
    <row r="210" spans="1:5" ht="15" customHeight="1" x14ac:dyDescent="0.2">
      <c r="A210" s="3">
        <v>16</v>
      </c>
      <c r="B210" s="3" t="str">
        <f>INDEX($A$5:$A$190,MATCH(LARGE(I$5:I$190,16),I$5:I$190,0))</f>
        <v>PdfExporter: checkPagination(PDDocument, PdfState, float)</v>
      </c>
      <c r="C210" s="11">
        <f>INDEX(F$5:F$190,MATCH(LARGE(I$5:I$190,16),I$5:I$190,0))</f>
        <v>5.2631578947368418E-2</v>
      </c>
      <c r="D210" s="11">
        <f>INDEX(G$5:G$190,MATCH(LARGE(I$5:I$190,16),I$5:I$190,0))</f>
        <v>9.8484848484848481E-2</v>
      </c>
      <c r="E210" s="11">
        <f>INDEX(H$5:H$190,MATCH(LARGE(I$5:I$190,16),I$5:I$190,0))</f>
        <v>0.75</v>
      </c>
    </row>
    <row r="211" spans="1:5" ht="15" customHeight="1" x14ac:dyDescent="0.2">
      <c r="A211" s="3">
        <v>17</v>
      </c>
      <c r="B211" s="3" t="str">
        <f>INDEX($A$5:$A$190,MATCH(LARGE(I$5:I$190,17),I$5:I$190,0))</f>
        <v>GameResult: GameResult(String, int, boolean)</v>
      </c>
      <c r="C211" s="11">
        <f>INDEX(F$5:F$190,MATCH(LARGE(I$5:I$190,17),I$5:I$190,0))</f>
        <v>2.6315789473684209E-2</v>
      </c>
      <c r="D211" s="11">
        <f>INDEX(G$5:G$190,MATCH(LARGE(I$5:I$190,17),I$5:I$190,0))</f>
        <v>9.8484848484848481E-2</v>
      </c>
      <c r="E211" s="11">
        <f>INDEX(H$5:H$190,MATCH(LARGE(I$5:I$190,17),I$5:I$190,0))</f>
        <v>0.75</v>
      </c>
    </row>
    <row r="212" spans="1:5" ht="15" customHeight="1" x14ac:dyDescent="0.2">
      <c r="A212" s="3">
        <v>18</v>
      </c>
      <c r="B212" s="3" t="str">
        <f>INDEX($A$5:$A$190,MATCH(LARGE(I$5:I$190,18),I$5:I$190,0))</f>
        <v>Move: Move(int, List&lt;IPosition&gt;, List&lt;ShotResult&gt;)</v>
      </c>
      <c r="C212" s="11">
        <f>INDEX(F$5:F$190,MATCH(LARGE(I$5:I$190,18),I$5:I$190,0))</f>
        <v>2.6315789473684209E-2</v>
      </c>
      <c r="D212" s="11">
        <f>INDEX(G$5:G$190,MATCH(LARGE(I$5:I$190,18),I$5:I$190,0))</f>
        <v>4.5454545454545456E-2</v>
      </c>
      <c r="E212" s="11">
        <f>INDEX(H$5:H$190,MATCH(LARGE(I$5:I$190,18),I$5:I$190,0))</f>
        <v>0.75</v>
      </c>
    </row>
    <row r="213" spans="1:5" ht="15" customHeight="1" x14ac:dyDescent="0.2">
      <c r="A213" s="3">
        <v>19</v>
      </c>
      <c r="B213" s="3" t="str">
        <f>INDEX($A$5:$A$190,MATCH(LARGE(I$5:I$190,19),I$5:I$190,0))</f>
        <v>PdfExporter: exportGameReport(IGame, String)</v>
      </c>
      <c r="C213" s="11">
        <f>INDEX(F$5:F$190,MATCH(LARGE(I$5:I$190,19),I$5:I$190,0))</f>
        <v>5.2631578947368418E-2</v>
      </c>
      <c r="D213" s="11">
        <f>INDEX(G$5:G$190,MATCH(LARGE(I$5:I$190,19),I$5:I$190,0))</f>
        <v>0.25757575757575757</v>
      </c>
      <c r="E213" s="11">
        <f>INDEX(H$5:H$190,MATCH(LARGE(I$5:I$190,19),I$5:I$190,0))</f>
        <v>0.5</v>
      </c>
    </row>
    <row r="214" spans="1:5" ht="15" customHeight="1" x14ac:dyDescent="0.2">
      <c r="A214" s="3">
        <v>20</v>
      </c>
      <c r="B214" s="3" t="str">
        <f>INDEX($A$5:$A$190,MATCH(LARGE(I$5:I$190,20),I$5:I$190,0))</f>
        <v>Galleon: Galleon(Compass, IPosition)</v>
      </c>
      <c r="C214" s="11">
        <f>INDEX(F$5:F$190,MATCH(LARGE(I$5:I$190,20),I$5:I$190,0))</f>
        <v>0.13157894736842105</v>
      </c>
      <c r="D214" s="11">
        <f>INDEX(G$5:G$190,MATCH(LARGE(I$5:I$190,20),I$5:I$190,0))</f>
        <v>0.17424242424242425</v>
      </c>
      <c r="E214" s="11">
        <f>INDEX(H$5:H$190,MATCH(LARGE(I$5:I$190,20),I$5:I$190,0))</f>
        <v>0.5</v>
      </c>
    </row>
    <row r="215" spans="1:5" ht="15" customHeight="1" x14ac:dyDescent="0.2">
      <c r="A215" s="3">
        <v>21</v>
      </c>
      <c r="B215" s="3" t="str">
        <f>INDEX($A$5:$A$190,MATCH(LARGE(I$5:I$190,21),I$5:I$190,0))</f>
        <v>Game: fireSingleShotAtAlien(IPosition, boolean)</v>
      </c>
      <c r="C215" s="11">
        <f>INDEX(F$5:F$190,MATCH(LARGE(I$5:I$190,21),I$5:I$190,0))</f>
        <v>0.13157894736842105</v>
      </c>
      <c r="D215" s="11">
        <f>INDEX(G$5:G$190,MATCH(LARGE(I$5:I$190,21),I$5:I$190,0))</f>
        <v>0.14393939393939395</v>
      </c>
      <c r="E215" s="11">
        <f>INDEX(H$5:H$190,MATCH(LARGE(I$5:I$190,21),I$5:I$190,0))</f>
        <v>0.5</v>
      </c>
    </row>
    <row r="216" spans="1:5" ht="15" customHeight="1" x14ac:dyDescent="0.2">
      <c r="A216" s="3">
        <v>22</v>
      </c>
      <c r="B216" s="3" t="str">
        <f>INDEX($A$5:$A$190,MATCH(LARGE(I$5:I$190,22),I$5:I$190,0))</f>
        <v>Scoreboard: displayScoreboard(int)</v>
      </c>
      <c r="C216" s="11">
        <f>INDEX(F$5:F$190,MATCH(LARGE(I$5:I$190,22),I$5:I$190,0))</f>
        <v>0.13157894736842105</v>
      </c>
      <c r="D216" s="11">
        <f>INDEX(G$5:G$190,MATCH(LARGE(I$5:I$190,22),I$5:I$190,0))</f>
        <v>0.33333333333333331</v>
      </c>
      <c r="E216" s="11">
        <f>INDEX(H$5:H$190,MATCH(LARGE(I$5:I$190,22),I$5:I$190,0))</f>
        <v>0.25</v>
      </c>
    </row>
    <row r="217" spans="1:5" ht="15" customHeight="1" x14ac:dyDescent="0.2">
      <c r="A217" s="3">
        <v>23</v>
      </c>
      <c r="B217" s="3" t="str">
        <f>INDEX($A$5:$A$190,MATCH(LARGE(I$5:I$190,23),I$5:I$190,0))</f>
        <v>Tasks: readClassicPosition(Scanner)</v>
      </c>
      <c r="C217" s="11">
        <f>INDEX(F$5:F$190,MATCH(LARGE(I$5:I$190,23),I$5:I$190,0))</f>
        <v>0.21052631578947367</v>
      </c>
      <c r="D217" s="11">
        <f>INDEX(G$5:G$190,MATCH(LARGE(I$5:I$190,23),I$5:I$190,0))</f>
        <v>0.21212121212121213</v>
      </c>
      <c r="E217" s="11">
        <f>INDEX(H$5:H$190,MATCH(LARGE(I$5:I$190,23),I$5:I$190,0))</f>
        <v>0.25</v>
      </c>
    </row>
    <row r="218" spans="1:5" ht="15" customHeight="1" x14ac:dyDescent="0.2">
      <c r="A218" s="3">
        <v>24</v>
      </c>
      <c r="B218" s="3" t="str">
        <f>INDEX($A$5:$A$190,MATCH(LARGE(I$5:I$190,24),I$5:I$190,0))</f>
        <v>IMove: readMove(int, Scanner)</v>
      </c>
      <c r="C218" s="11">
        <f>INDEX(F$5:F$190,MATCH(LARGE(I$5:I$190,24),I$5:I$190,0))</f>
        <v>5.2631578947368418E-2</v>
      </c>
      <c r="D218" s="11">
        <f>INDEX(G$5:G$190,MATCH(LARGE(I$5:I$190,24),I$5:I$190,0))</f>
        <v>7.575757575757576E-2</v>
      </c>
      <c r="E218" s="11">
        <f>INDEX(H$5:H$190,MATCH(LARGE(I$5:I$190,24),I$5:I$190,0))</f>
        <v>0.5</v>
      </c>
    </row>
    <row r="219" spans="1:5" ht="15" customHeight="1" x14ac:dyDescent="0.2">
      <c r="A219" s="3">
        <v>25</v>
      </c>
      <c r="B219" s="3" t="str">
        <f>INDEX($A$5:$A$190,MATCH(LARGE(I$5:I$190,25),I$5:I$190,0))</f>
        <v>Position: Position(char, int)</v>
      </c>
      <c r="C219" s="11">
        <f>INDEX(F$5:F$190,MATCH(LARGE(I$5:I$190,25),I$5:I$190,0))</f>
        <v>2.6315789473684209E-2</v>
      </c>
      <c r="D219" s="11">
        <f>INDEX(G$5:G$190,MATCH(LARGE(I$5:I$190,25),I$5:I$190,0))</f>
        <v>9.8484848484848481E-2</v>
      </c>
      <c r="E219" s="11">
        <f>INDEX(H$5:H$190,MATCH(LARGE(I$5:I$190,25),I$5:I$190,0))</f>
        <v>0.5</v>
      </c>
    </row>
    <row r="220" spans="1:5" ht="15" customHeight="1" x14ac:dyDescent="0.2">
      <c r="A220" s="3">
        <v>26</v>
      </c>
      <c r="B220" s="3" t="str">
        <f>INDEX($A$5:$A$190,MATCH(LARGE(I$5:I$190,26),I$5:I$190,0))</f>
        <v>Position: Position(char, int)</v>
      </c>
      <c r="C220" s="11">
        <f>INDEX(F$5:F$190,MATCH(LARGE(I$5:I$190,26),I$5:I$190,0))</f>
        <v>2.6315789473684209E-2</v>
      </c>
      <c r="D220" s="11">
        <f>INDEX(G$5:G$190,MATCH(LARGE(I$5:I$190,26),I$5:I$190,0))</f>
        <v>9.8484848484848481E-2</v>
      </c>
      <c r="E220" s="11">
        <f>INDEX(H$5:H$190,MATCH(LARGE(I$5:I$190,26),I$5:I$190,0))</f>
        <v>0.5</v>
      </c>
    </row>
    <row r="221" spans="1:5" ht="15" customHeight="1" x14ac:dyDescent="0.2">
      <c r="A221" s="3">
        <v>27</v>
      </c>
      <c r="B221" s="3" t="str">
        <f>INDEX($A$5:$A$190,MATCH(LARGE(I$5:I$190,27),I$5:I$190,0))</f>
        <v>Compass: charToCompass(char)</v>
      </c>
      <c r="C221" s="11">
        <f>INDEX(F$5:F$190,MATCH(LARGE(I$5:I$190,27),I$5:I$190,0))</f>
        <v>0.15789473684210525</v>
      </c>
      <c r="D221" s="11">
        <f>INDEX(G$5:G$190,MATCH(LARGE(I$5:I$190,27),I$5:I$190,0))</f>
        <v>0.21212121212121213</v>
      </c>
      <c r="E221" s="11">
        <f>INDEX(H$5:H$190,MATCH(LARGE(I$5:I$190,27),I$5:I$190,0))</f>
        <v>0.25</v>
      </c>
    </row>
    <row r="222" spans="1:5" ht="15" customHeight="1" x14ac:dyDescent="0.2">
      <c r="A222" s="3">
        <v>28</v>
      </c>
      <c r="B222" s="3" t="str">
        <f>INDEX($A$5:$A$190,MATCH(LARGE(I$5:I$190,28),I$5:I$190,0))</f>
        <v>Compass: charToCompass(char)</v>
      </c>
      <c r="C222" s="11">
        <f>INDEX(F$5:F$190,MATCH(LARGE(I$5:I$190,28),I$5:I$190,0))</f>
        <v>0.15789473684210525</v>
      </c>
      <c r="D222" s="11">
        <f>INDEX(G$5:G$190,MATCH(LARGE(I$5:I$190,28),I$5:I$190,0))</f>
        <v>0.21212121212121213</v>
      </c>
      <c r="E222" s="11">
        <f>INDEX(H$5:H$190,MATCH(LARGE(I$5:I$190,28),I$5:I$190,0))</f>
        <v>0.25</v>
      </c>
    </row>
    <row r="223" spans="1:5" ht="15" customHeight="1" x14ac:dyDescent="0.2">
      <c r="A223" s="3">
        <v>29</v>
      </c>
      <c r="B223" s="3" t="str">
        <f>INDEX($A$5:$A$190,MATCH(LARGE(I$5:I$190,29),I$5:I$190,0))</f>
        <v>Game: jsonShots(List&lt;IPosition&gt;)</v>
      </c>
      <c r="C223" s="11">
        <f>INDEX(F$5:F$190,MATCH(LARGE(I$5:I$190,29),I$5:I$190,0))</f>
        <v>7.8947368421052627E-2</v>
      </c>
      <c r="D223" s="11">
        <f>INDEX(G$5:G$190,MATCH(LARGE(I$5:I$190,29),I$5:I$190,0))</f>
        <v>0.2878787878787879</v>
      </c>
      <c r="E223" s="11">
        <f>INDEX(H$5:H$190,MATCH(LARGE(I$5:I$190,29),I$5:I$190,0))</f>
        <v>0.25</v>
      </c>
    </row>
    <row r="224" spans="1:5" ht="15" customHeight="1" x14ac:dyDescent="0.2">
      <c r="A224" s="3">
        <v>30</v>
      </c>
      <c r="B224" s="3" t="str">
        <f>INDEX($A$5:$A$190,MATCH(LARGE(I$5:I$190,30),I$5:I$190,0))</f>
        <v>Game: randomEnemyFire()</v>
      </c>
      <c r="C224" s="11">
        <f>INDEX(F$5:F$190,MATCH(LARGE(I$5:I$190,30),I$5:I$190,0))</f>
        <v>0.26315789473684209</v>
      </c>
      <c r="D224" s="11">
        <f>INDEX(G$5:G$190,MATCH(LARGE(I$5:I$190,30),I$5:I$190,0))</f>
        <v>0.34848484848484851</v>
      </c>
      <c r="E224" s="11">
        <f>INDEX(H$5:H$190,MATCH(LARGE(I$5:I$190,30),I$5:I$190,0))</f>
        <v>0</v>
      </c>
    </row>
    <row r="225" spans="1:5" ht="15" customHeight="1" x14ac:dyDescent="0.2">
      <c r="A225" s="3">
        <v>31</v>
      </c>
      <c r="B225" s="3" t="str">
        <f>INDEX($A$5:$A$190,MATCH(LARGE(I$5:I$190,31),I$5:I$190,0))</f>
        <v>Barge: Barge(Compass, IPosition)</v>
      </c>
      <c r="C225" s="11">
        <f>INDEX(F$5:F$190,MATCH(LARGE(I$5:I$190,31),I$5:I$190,0))</f>
        <v>2.6315789473684209E-2</v>
      </c>
      <c r="D225" s="11">
        <f>INDEX(G$5:G$190,MATCH(LARGE(I$5:I$190,31),I$5:I$190,0))</f>
        <v>8.3333333333333329E-2</v>
      </c>
      <c r="E225" s="11">
        <f>INDEX(H$5:H$190,MATCH(LARGE(I$5:I$190,31),I$5:I$190,0))</f>
        <v>0.5</v>
      </c>
    </row>
    <row r="226" spans="1:5" ht="15" customHeight="1" x14ac:dyDescent="0.2">
      <c r="A226" s="3">
        <v>32</v>
      </c>
      <c r="B226" s="3" t="str">
        <f>INDEX($A$5:$A$190,MATCH(LARGE(I$5:I$190,32),I$5:I$190,0))</f>
        <v>Game: randomPlayerFire()</v>
      </c>
      <c r="C226" s="11">
        <f>INDEX(F$5:F$190,MATCH(LARGE(I$5:I$190,32),I$5:I$190,0))</f>
        <v>0.26315789473684209</v>
      </c>
      <c r="D226" s="11">
        <f>INDEX(G$5:G$190,MATCH(LARGE(I$5:I$190,32),I$5:I$190,0))</f>
        <v>0.31818181818181818</v>
      </c>
      <c r="E226" s="11">
        <f>INDEX(H$5:H$190,MATCH(LARGE(I$5:I$190,32),I$5:I$190,0))</f>
        <v>0</v>
      </c>
    </row>
    <row r="227" spans="1:5" ht="15" customHeight="1" x14ac:dyDescent="0.2">
      <c r="A227" s="3">
        <v>33</v>
      </c>
      <c r="B227" s="3" t="str">
        <f>INDEX($A$5:$A$190,MATCH(LARGE(I$5:I$190,33),I$5:I$190,0))</f>
        <v>Game: printAlienBoard(boolean, boolean)</v>
      </c>
      <c r="C227" s="11">
        <f>INDEX(F$5:F$190,MATCH(LARGE(I$5:I$190,33),I$5:I$190,0))</f>
        <v>2.6315789473684209E-2</v>
      </c>
      <c r="D227" s="11">
        <f>INDEX(G$5:G$190,MATCH(LARGE(I$5:I$190,33),I$5:I$190,0))</f>
        <v>5.3030303030303032E-2</v>
      </c>
      <c r="E227" s="11">
        <f>INDEX(H$5:H$190,MATCH(LARGE(I$5:I$190,33),I$5:I$190,0))</f>
        <v>0.5</v>
      </c>
    </row>
    <row r="228" spans="1:5" ht="15" customHeight="1" x14ac:dyDescent="0.2">
      <c r="A228" s="3">
        <v>34</v>
      </c>
      <c r="B228" s="3" t="str">
        <f>INDEX($A$5:$A$190,MATCH(LARGE(I$5:I$190,34),I$5:I$190,0))</f>
        <v>Game: printAlienBoard(boolean, boolean)</v>
      </c>
      <c r="C228" s="11">
        <f>INDEX(F$5:F$190,MATCH(LARGE(I$5:I$190,34),I$5:I$190,0))</f>
        <v>2.6315789473684209E-2</v>
      </c>
      <c r="D228" s="11">
        <f>INDEX(G$5:G$190,MATCH(LARGE(I$5:I$190,34),I$5:I$190,0))</f>
        <v>5.3030303030303032E-2</v>
      </c>
      <c r="E228" s="11">
        <f>INDEX(H$5:H$190,MATCH(LARGE(I$5:I$190,34),I$5:I$190,0))</f>
        <v>0.5</v>
      </c>
    </row>
    <row r="229" spans="1:5" ht="15" customHeight="1" x14ac:dyDescent="0.2">
      <c r="A229" s="3">
        <v>35</v>
      </c>
      <c r="B229" s="3" t="str">
        <f>INDEX($A$5:$A$190,MATCH(LARGE(I$5:I$190,35),I$5:I$190,0))</f>
        <v>Game: fireShots(List&lt;IPosition&gt;)</v>
      </c>
      <c r="C229" s="11">
        <f>INDEX(F$5:F$190,MATCH(LARGE(I$5:I$190,35),I$5:I$190,0))</f>
        <v>7.8947368421052627E-2</v>
      </c>
      <c r="D229" s="11">
        <f>INDEX(G$5:G$190,MATCH(LARGE(I$5:I$190,35),I$5:I$190,0))</f>
        <v>0.22727272727272727</v>
      </c>
      <c r="E229" s="11">
        <f>INDEX(H$5:H$190,MATCH(LARGE(I$5:I$190,35),I$5:I$190,0))</f>
        <v>0.25</v>
      </c>
    </row>
    <row r="230" spans="1:5" ht="15" customHeight="1" x14ac:dyDescent="0.2">
      <c r="A230" s="3">
        <v>36</v>
      </c>
      <c r="B230" s="3" t="str">
        <f>INDEX($A$5:$A$190,MATCH(LARGE(I$5:I$190,36),I$5:I$190,0))</f>
        <v>Tasks: buildFleet(Scanner)</v>
      </c>
      <c r="C230" s="11">
        <f>INDEX(F$5:F$190,MATCH(LARGE(I$5:I$190,36),I$5:I$190,0))</f>
        <v>0.10526315789473684</v>
      </c>
      <c r="D230" s="11">
        <f>INDEX(G$5:G$190,MATCH(LARGE(I$5:I$190,36),I$5:I$190,0))</f>
        <v>0.18939393939393939</v>
      </c>
      <c r="E230" s="11">
        <f>INDEX(H$5:H$190,MATCH(LARGE(I$5:I$190,36),I$5:I$190,0))</f>
        <v>0.25</v>
      </c>
    </row>
    <row r="231" spans="1:5" ht="15" customHeight="1" x14ac:dyDescent="0.2">
      <c r="A231" s="3">
        <v>37</v>
      </c>
      <c r="B231" s="3" t="str">
        <f>INDEX($A$5:$A$190,MATCH(LARGE(I$5:I$190,37),I$5:I$190,0))</f>
        <v>Fleet: addShip(IShip)</v>
      </c>
      <c r="C231" s="11">
        <f>INDEX(F$5:F$190,MATCH(LARGE(I$5:I$190,37),I$5:I$190,0))</f>
        <v>0.10526315789473684</v>
      </c>
      <c r="D231" s="11">
        <f>INDEX(G$5:G$190,MATCH(LARGE(I$5:I$190,37),I$5:I$190,0))</f>
        <v>0.17424242424242425</v>
      </c>
      <c r="E231" s="11">
        <f>INDEX(H$5:H$190,MATCH(LARGE(I$5:I$190,37),I$5:I$190,0))</f>
        <v>0.25</v>
      </c>
    </row>
    <row r="232" spans="1:5" ht="15" customHeight="1" x14ac:dyDescent="0.2">
      <c r="A232" s="3">
        <v>38</v>
      </c>
      <c r="B232" s="3" t="str">
        <f>INDEX($A$5:$A$190,MATCH(LARGE(I$5:I$190,38),I$5:I$190,0))</f>
        <v>IGame: fireSingleShot(IPosition, boolean)</v>
      </c>
      <c r="C232" s="11">
        <f>INDEX(F$5:F$190,MATCH(LARGE(I$5:I$190,38),I$5:I$190,0))</f>
        <v>2.6315789473684209E-2</v>
      </c>
      <c r="D232" s="11">
        <f>INDEX(G$5:G$190,MATCH(LARGE(I$5:I$190,38),I$5:I$190,0))</f>
        <v>0</v>
      </c>
      <c r="E232" s="11">
        <f>INDEX(H$5:H$190,MATCH(LARGE(I$5:I$190,38),I$5:I$190,0))</f>
        <v>0.5</v>
      </c>
    </row>
    <row r="233" spans="1:5" ht="15" customHeight="1" x14ac:dyDescent="0.2">
      <c r="A233" s="3">
        <v>39</v>
      </c>
      <c r="B233" s="3" t="str">
        <f>INDEX($A$5:$A$190,MATCH(LARGE(I$5:I$190,39),I$5:I$190,0))</f>
        <v>IGame: fireSingleShot(IPosition, boolean)</v>
      </c>
      <c r="C233" s="11">
        <f>INDEX(F$5:F$190,MATCH(LARGE(I$5:I$190,39),I$5:I$190,0))</f>
        <v>2.6315789473684209E-2</v>
      </c>
      <c r="D233" s="11">
        <f>INDEX(G$5:G$190,MATCH(LARGE(I$5:I$190,39),I$5:I$190,0))</f>
        <v>0</v>
      </c>
      <c r="E233" s="11">
        <f>INDEX(H$5:H$190,MATCH(LARGE(I$5:I$190,39),I$5:I$190,0))</f>
        <v>0.5</v>
      </c>
    </row>
    <row r="234" spans="1:5" ht="15" customHeight="1" x14ac:dyDescent="0.2">
      <c r="A234" s="3">
        <v>40</v>
      </c>
      <c r="B234" s="3" t="str">
        <f>INDEX($A$5:$A$190,MATCH(LARGE(I$5:I$190,40),I$5:I$190,0))</f>
        <v>IGame: fireSingleShot(IPosition, boolean)</v>
      </c>
      <c r="C234" s="11">
        <f>INDEX(F$5:F$190,MATCH(LARGE(I$5:I$190,40),I$5:I$190,0))</f>
        <v>2.6315789473684209E-2</v>
      </c>
      <c r="D234" s="11">
        <f>INDEX(G$5:G$190,MATCH(LARGE(I$5:I$190,40),I$5:I$190,0))</f>
        <v>0</v>
      </c>
      <c r="E234" s="11">
        <f>INDEX(H$5:H$190,MATCH(LARGE(I$5:I$190,40),I$5:I$190,0))</f>
        <v>0.5</v>
      </c>
    </row>
    <row r="235" spans="1:5" ht="15" customHeight="1" x14ac:dyDescent="0.2">
      <c r="A235" s="3">
        <v>41</v>
      </c>
      <c r="B235" s="3" t="str">
        <f>INDEX($A$5:$A$190,MATCH(LARGE(I$5:I$190,41),I$5:I$190,0))</f>
        <v>Game: fireShotsAtAlien(List&lt;IPosition&gt;)</v>
      </c>
      <c r="C235" s="11">
        <f>INDEX(F$5:F$190,MATCH(LARGE(I$5:I$190,41),I$5:I$190,0))</f>
        <v>7.8947368421052627E-2</v>
      </c>
      <c r="D235" s="11">
        <f>INDEX(G$5:G$190,MATCH(LARGE(I$5:I$190,41),I$5:I$190,0))</f>
        <v>0.16666666666666666</v>
      </c>
      <c r="E235" s="11">
        <f>INDEX(H$5:H$190,MATCH(LARGE(I$5:I$190,41),I$5:I$190,0))</f>
        <v>0.25</v>
      </c>
    </row>
    <row r="236" spans="1:5" ht="15" customHeight="1" x14ac:dyDescent="0.2">
      <c r="A236" s="3">
        <v>42</v>
      </c>
      <c r="B236" s="3" t="str">
        <f>INDEX($A$5:$A$190,MATCH(LARGE(I$5:I$190,42),I$5:I$190,0))</f>
        <v>Position: equals(Object)</v>
      </c>
      <c r="C236" s="11">
        <f>INDEX(F$5:F$190,MATCH(LARGE(I$5:I$190,42),I$5:I$190,0))</f>
        <v>0.10526315789473684</v>
      </c>
      <c r="D236" s="11">
        <f>INDEX(G$5:G$190,MATCH(LARGE(I$5:I$190,42),I$5:I$190,0))</f>
        <v>0.13636363636363635</v>
      </c>
      <c r="E236" s="11">
        <f>INDEX(H$5:H$190,MATCH(LARGE(I$5:I$190,42),I$5:I$190,0))</f>
        <v>0.25</v>
      </c>
    </row>
    <row r="237" spans="1:5" ht="15" customHeight="1" x14ac:dyDescent="0.2">
      <c r="A237" s="3">
        <v>43</v>
      </c>
      <c r="B237" s="3" t="str">
        <f>INDEX($A$5:$A$190,MATCH(LARGE(I$5:I$190,43),I$5:I$190,0))</f>
        <v>Fleet: getShipsLike(String)</v>
      </c>
      <c r="C237" s="11">
        <f>INDEX(F$5:F$190,MATCH(LARGE(I$5:I$190,43),I$5:I$190,0))</f>
        <v>7.8947368421052627E-2</v>
      </c>
      <c r="D237" s="11">
        <f>INDEX(G$5:G$190,MATCH(LARGE(I$5:I$190,43),I$5:I$190,0))</f>
        <v>0.15909090909090909</v>
      </c>
      <c r="E237" s="11">
        <f>INDEX(H$5:H$190,MATCH(LARGE(I$5:I$190,43),I$5:I$190,0))</f>
        <v>0.25</v>
      </c>
    </row>
    <row r="238" spans="1:5" ht="15" customHeight="1" x14ac:dyDescent="0.2">
      <c r="A238" s="3">
        <v>44</v>
      </c>
      <c r="B238" s="3" t="str">
        <f>INDEX($A$5:$A$190,MATCH(LARGE(I$5:I$190,44),I$5:I$190,0))</f>
        <v>Fleet: getShipsLike(String)</v>
      </c>
      <c r="C238" s="11">
        <f>INDEX(F$5:F$190,MATCH(LARGE(I$5:I$190,44),I$5:I$190,0))</f>
        <v>7.8947368421052627E-2</v>
      </c>
      <c r="D238" s="11">
        <f>INDEX(G$5:G$190,MATCH(LARGE(I$5:I$190,44),I$5:I$190,0))</f>
        <v>0.15909090909090909</v>
      </c>
      <c r="E238" s="11">
        <f>INDEX(H$5:H$190,MATCH(LARGE(I$5:I$190,44),I$5:I$190,0))</f>
        <v>0.25</v>
      </c>
    </row>
    <row r="239" spans="1:5" ht="15" customHeight="1" x14ac:dyDescent="0.2">
      <c r="A239" s="3">
        <v>45</v>
      </c>
      <c r="B239" s="3" t="str">
        <f>INDEX($A$5:$A$190,MATCH(LARGE(I$5:I$190,45),I$5:I$190,0))</f>
        <v>Fleet: getShipsLike(String)</v>
      </c>
      <c r="C239" s="11">
        <f>INDEX(F$5:F$190,MATCH(LARGE(I$5:I$190,45),I$5:I$190,0))</f>
        <v>7.8947368421052627E-2</v>
      </c>
      <c r="D239" s="11">
        <f>INDEX(G$5:G$190,MATCH(LARGE(I$5:I$190,45),I$5:I$190,0))</f>
        <v>0.15909090909090909</v>
      </c>
      <c r="E239" s="11">
        <f>INDEX(H$5:H$190,MATCH(LARGE(I$5:I$190,45),I$5:I$190,0))</f>
        <v>0.25</v>
      </c>
    </row>
    <row r="240" spans="1:5" ht="15" customHeight="1" x14ac:dyDescent="0.2">
      <c r="A240" s="3">
        <v>46</v>
      </c>
      <c r="B240" s="3" t="str">
        <f>INDEX($A$5:$A$190,MATCH(LARGE(I$5:I$190,46),I$5:I$190,0))</f>
        <v>Fleet: shipAt(IPosition)</v>
      </c>
      <c r="C240" s="11">
        <f>INDEX(F$5:F$190,MATCH(LARGE(I$5:I$190,46),I$5:I$190,0))</f>
        <v>7.8947368421052627E-2</v>
      </c>
      <c r="D240" s="11">
        <f>INDEX(G$5:G$190,MATCH(LARGE(I$5:I$190,46),I$5:I$190,0))</f>
        <v>0.15151515151515152</v>
      </c>
      <c r="E240" s="11">
        <f>INDEX(H$5:H$190,MATCH(LARGE(I$5:I$190,46),I$5:I$190,0))</f>
        <v>0.25</v>
      </c>
    </row>
    <row r="241" spans="1:5" ht="15" customHeight="1" x14ac:dyDescent="0.2">
      <c r="A241" s="3">
        <v>47</v>
      </c>
      <c r="B241" s="3" t="str">
        <f>INDEX($A$5:$A$190,MATCH(LARGE(I$5:I$190,47),I$5:I$190,0))</f>
        <v>Fleet: shipAt(IPosition)</v>
      </c>
      <c r="C241" s="11">
        <f>INDEX(F$5:F$190,MATCH(LARGE(I$5:I$190,47),I$5:I$190,0))</f>
        <v>7.8947368421052627E-2</v>
      </c>
      <c r="D241" s="11">
        <f>INDEX(G$5:G$190,MATCH(LARGE(I$5:I$190,47),I$5:I$190,0))</f>
        <v>0.15151515151515152</v>
      </c>
      <c r="E241" s="11">
        <f>INDEX(H$5:H$190,MATCH(LARGE(I$5:I$190,47),I$5:I$190,0))</f>
        <v>0.25</v>
      </c>
    </row>
    <row r="242" spans="1:5" ht="15" customHeight="1" x14ac:dyDescent="0.2">
      <c r="A242" s="3">
        <v>48</v>
      </c>
      <c r="B242" s="3" t="str">
        <f>INDEX($A$5:$A$190,MATCH(LARGE(I$5:I$190,48),I$5:I$190,0))</f>
        <v>Fleet: shipAt(IPosition)</v>
      </c>
      <c r="C242" s="11">
        <f>INDEX(F$5:F$190,MATCH(LARGE(I$5:I$190,48),I$5:I$190,0))</f>
        <v>7.8947368421052627E-2</v>
      </c>
      <c r="D242" s="11">
        <f>INDEX(G$5:G$190,MATCH(LARGE(I$5:I$190,48),I$5:I$190,0))</f>
        <v>0.15151515151515152</v>
      </c>
      <c r="E242" s="11">
        <f>INDEX(H$5:H$190,MATCH(LARGE(I$5:I$190,48),I$5:I$190,0))</f>
        <v>0.25</v>
      </c>
    </row>
    <row r="243" spans="1:5" ht="15" customHeight="1" x14ac:dyDescent="0.2">
      <c r="A243" s="3">
        <v>49</v>
      </c>
      <c r="B243" s="3" t="str">
        <f>INDEX($A$5:$A$190,MATCH(LARGE(I$5:I$190,49),I$5:I$190,0))</f>
        <v>Tasks: askPlayerName(Scanner)</v>
      </c>
      <c r="C243" s="11">
        <f>INDEX(F$5:F$190,MATCH(LARGE(I$5:I$190,49),I$5:I$190,0))</f>
        <v>7.8947368421052627E-2</v>
      </c>
      <c r="D243" s="11">
        <f>INDEX(G$5:G$190,MATCH(LARGE(I$5:I$190,49),I$5:I$190,0))</f>
        <v>0.14393939393939395</v>
      </c>
      <c r="E243" s="11">
        <f>INDEX(H$5:H$190,MATCH(LARGE(I$5:I$190,49),I$5:I$190,0))</f>
        <v>0.25</v>
      </c>
    </row>
    <row r="244" spans="1:5" ht="15" customHeight="1" x14ac:dyDescent="0.2">
      <c r="A244" s="3">
        <v>50</v>
      </c>
      <c r="B244" s="3" t="str">
        <f>INDEX($A$5:$A$190,MATCH(LARGE(I$5:I$190,50),I$5:I$190,0))</f>
        <v>Scoreboard: interactiveDisplay(Scanner)</v>
      </c>
      <c r="C244" s="11">
        <f>INDEX(F$5:F$190,MATCH(LARGE(I$5:I$190,50),I$5:I$190,0))</f>
        <v>7.8947368421052627E-2</v>
      </c>
      <c r="D244" s="11">
        <f>INDEX(G$5:G$190,MATCH(LARGE(I$5:I$190,50),I$5:I$190,0))</f>
        <v>0.12878787878787878</v>
      </c>
      <c r="E244" s="11">
        <f>INDEX(H$5:H$190,MATCH(LARGE(I$5:I$190,50),I$5:I$190,0))</f>
        <v>0.25</v>
      </c>
    </row>
    <row r="245" spans="1:5" ht="15" customHeight="1" x14ac:dyDescent="0.2">
      <c r="A245" s="3">
        <v>51</v>
      </c>
      <c r="B245" s="3" t="str">
        <f>INDEX($A$5:$A$190,MATCH(LARGE(I$5:I$190,51),I$5:I$190,0))</f>
        <v>Fleet: colisionRisk(IShip)</v>
      </c>
      <c r="C245" s="11">
        <f>INDEX(F$5:F$190,MATCH(LARGE(I$5:I$190,51),I$5:I$190,0))</f>
        <v>7.8947368421052627E-2</v>
      </c>
      <c r="D245" s="11">
        <f>INDEX(G$5:G$190,MATCH(LARGE(I$5:I$190,51),I$5:I$190,0))</f>
        <v>0.12121212121212122</v>
      </c>
      <c r="E245" s="11">
        <f>INDEX(H$5:H$190,MATCH(LARGE(I$5:I$190,51),I$5:I$190,0))</f>
        <v>0.25</v>
      </c>
    </row>
    <row r="246" spans="1:5" ht="15" customHeight="1" x14ac:dyDescent="0.2">
      <c r="A246" s="3">
        <v>52</v>
      </c>
      <c r="B246" s="3" t="str">
        <f>INDEX($A$5:$A$190,MATCH(LARGE(I$5:I$190,52),I$5:I$190,0))</f>
        <v>Fleet: isInsideBoard(IShip)</v>
      </c>
      <c r="C246" s="11">
        <f>INDEX(F$5:F$190,MATCH(LARGE(I$5:I$190,52),I$5:I$190,0))</f>
        <v>0.10526315789473684</v>
      </c>
      <c r="D246" s="11">
        <f>INDEX(G$5:G$190,MATCH(LARGE(I$5:I$190,52),I$5:I$190,0))</f>
        <v>9.0909090909090912E-2</v>
      </c>
      <c r="E246" s="11">
        <f>INDEX(H$5:H$190,MATCH(LARGE(I$5:I$190,52),I$5:I$190,0))</f>
        <v>0.25</v>
      </c>
    </row>
    <row r="247" spans="1:5" ht="15" customHeight="1" x14ac:dyDescent="0.2">
      <c r="A247" s="3">
        <v>53</v>
      </c>
      <c r="B247" s="3" t="str">
        <f>INDEX($A$5:$A$190,MATCH(LARGE(I$5:I$190,53),I$5:I$190,0))</f>
        <v>Game: repeatedShotAtAlien(IPosition)</v>
      </c>
      <c r="C247" s="11">
        <f>INDEX(F$5:F$190,MATCH(LARGE(I$5:I$190,53),I$5:I$190,0))</f>
        <v>7.8947368421052627E-2</v>
      </c>
      <c r="D247" s="11">
        <f>INDEX(G$5:G$190,MATCH(LARGE(I$5:I$190,53),I$5:I$190,0))</f>
        <v>0.10606060606060606</v>
      </c>
      <c r="E247" s="11">
        <f>INDEX(H$5:H$190,MATCH(LARGE(I$5:I$190,53),I$5:I$190,0))</f>
        <v>0.25</v>
      </c>
    </row>
    <row r="248" spans="1:5" ht="15" customHeight="1" x14ac:dyDescent="0.2">
      <c r="A248" s="3">
        <v>54</v>
      </c>
      <c r="B248" s="3" t="str">
        <f>INDEX($A$5:$A$190,MATCH(LARGE(I$5:I$190,54),I$5:I$190,0))</f>
        <v>Scoreboard: saveResult(GameResult)</v>
      </c>
      <c r="C248" s="11">
        <f>INDEX(F$5:F$190,MATCH(LARGE(I$5:I$190,54),I$5:I$190,0))</f>
        <v>5.2631578947368418E-2</v>
      </c>
      <c r="D248" s="11">
        <f>INDEX(G$5:G$190,MATCH(LARGE(I$5:I$190,54),I$5:I$190,0))</f>
        <v>0.12878787878787878</v>
      </c>
      <c r="E248" s="11">
        <f>INDEX(H$5:H$190,MATCH(LARGE(I$5:I$190,54),I$5:I$190,0))</f>
        <v>0.25</v>
      </c>
    </row>
    <row r="249" spans="1:5" ht="15" customHeight="1" x14ac:dyDescent="0.2">
      <c r="A249" s="3">
        <v>55</v>
      </c>
      <c r="B249" s="3" t="str">
        <f>INDEX($A$5:$A$190,MATCH(LARGE(I$5:I$190,55),I$5:I$190,0))</f>
        <v>Galleon: fillSouth(IPosition)</v>
      </c>
      <c r="C249" s="11">
        <f>INDEX(F$5:F$190,MATCH(LARGE(I$5:I$190,55),I$5:I$190,0))</f>
        <v>7.8947368421052627E-2</v>
      </c>
      <c r="D249" s="11">
        <f>INDEX(G$5:G$190,MATCH(LARGE(I$5:I$190,55),I$5:I$190,0))</f>
        <v>9.8484848484848481E-2</v>
      </c>
      <c r="E249" s="11">
        <f>INDEX(H$5:H$190,MATCH(LARGE(I$5:I$190,55),I$5:I$190,0))</f>
        <v>0.25</v>
      </c>
    </row>
    <row r="250" spans="1:5" ht="15" customHeight="1" x14ac:dyDescent="0.2">
      <c r="A250" s="3">
        <v>56</v>
      </c>
      <c r="B250" s="3" t="str">
        <f>INDEX($A$5:$A$190,MATCH(LARGE(I$5:I$190,56),I$5:I$190,0))</f>
        <v>Game: printBothBoards(boolean)</v>
      </c>
      <c r="C250" s="11">
        <f>INDEX(F$5:F$190,MATCH(LARGE(I$5:I$190,56),I$5:I$190,0))</f>
        <v>7.8947368421052627E-2</v>
      </c>
      <c r="D250" s="11">
        <f>INDEX(G$5:G$190,MATCH(LARGE(I$5:I$190,56),I$5:I$190,0))</f>
        <v>8.3333333333333329E-2</v>
      </c>
      <c r="E250" s="11">
        <f>INDEX(H$5:H$190,MATCH(LARGE(I$5:I$190,56),I$5:I$190,0))</f>
        <v>0.25</v>
      </c>
    </row>
    <row r="251" spans="1:5" ht="15" customHeight="1" x14ac:dyDescent="0.2">
      <c r="A251" s="3">
        <v>57</v>
      </c>
      <c r="B251" s="3" t="str">
        <f>INDEX($A$5:$A$190,MATCH(LARGE(I$5:I$190,57),I$5:I$190,0))</f>
        <v>Galleon: fillEast(IPosition)</v>
      </c>
      <c r="C251" s="11">
        <f>INDEX(F$5:F$190,MATCH(LARGE(I$5:I$190,57),I$5:I$190,0))</f>
        <v>5.2631578947368418E-2</v>
      </c>
      <c r="D251" s="11">
        <f>INDEX(G$5:G$190,MATCH(LARGE(I$5:I$190,57),I$5:I$190,0))</f>
        <v>9.0909090909090912E-2</v>
      </c>
      <c r="E251" s="11">
        <f>INDEX(H$5:H$190,MATCH(LARGE(I$5:I$190,57),I$5:I$190,0))</f>
        <v>0.25</v>
      </c>
    </row>
    <row r="252" spans="1:5" ht="15" customHeight="1" x14ac:dyDescent="0.2">
      <c r="A252" s="3">
        <v>58</v>
      </c>
      <c r="B252" s="3" t="str">
        <f>INDEX($A$5:$A$190,MATCH(LARGE(I$5:I$190,58),I$5:I$190,0))</f>
        <v>Galleon: fillEast(IPosition)</v>
      </c>
      <c r="C252" s="11">
        <f>INDEX(F$5:F$190,MATCH(LARGE(I$5:I$190,58),I$5:I$190,0))</f>
        <v>5.2631578947368418E-2</v>
      </c>
      <c r="D252" s="11">
        <f>INDEX(G$5:G$190,MATCH(LARGE(I$5:I$190,58),I$5:I$190,0))</f>
        <v>9.0909090909090912E-2</v>
      </c>
      <c r="E252" s="11">
        <f>INDEX(H$5:H$190,MATCH(LARGE(I$5:I$190,58),I$5:I$190,0))</f>
        <v>0.25</v>
      </c>
    </row>
    <row r="253" spans="1:5" ht="15" customHeight="1" x14ac:dyDescent="0.2">
      <c r="A253" s="3">
        <v>59</v>
      </c>
      <c r="B253" s="3" t="str">
        <f>INDEX($A$5:$A$190,MATCH(LARGE(I$5:I$190,59),I$5:I$190,0))</f>
        <v>Galleon: fillEast(IPosition)</v>
      </c>
      <c r="C253" s="11">
        <f>INDEX(F$5:F$190,MATCH(LARGE(I$5:I$190,59),I$5:I$190,0))</f>
        <v>5.2631578947368418E-2</v>
      </c>
      <c r="D253" s="11">
        <f>INDEX(G$5:G$190,MATCH(LARGE(I$5:I$190,59),I$5:I$190,0))</f>
        <v>9.0909090909090912E-2</v>
      </c>
      <c r="E253" s="11">
        <f>INDEX(H$5:H$190,MATCH(LARGE(I$5:I$190,59),I$5:I$190,0))</f>
        <v>0.25</v>
      </c>
    </row>
    <row r="254" spans="1:5" ht="15" customHeight="1" x14ac:dyDescent="0.2">
      <c r="A254" s="3">
        <v>60</v>
      </c>
      <c r="B254" s="3" t="str">
        <f>INDEX($A$5:$A$190,MATCH(LARGE(I$5:I$190,60),I$5:I$190,0))</f>
        <v>Game: repeatedShot(IPosition)</v>
      </c>
      <c r="C254" s="11">
        <f>INDEX(F$5:F$190,MATCH(LARGE(I$5:I$190,60),I$5:I$190,0))</f>
        <v>7.8947368421052627E-2</v>
      </c>
      <c r="D254" s="11">
        <f>INDEX(G$5:G$190,MATCH(LARGE(I$5:I$190,60),I$5:I$190,0))</f>
        <v>6.0606060606060608E-2</v>
      </c>
      <c r="E254" s="11">
        <f>INDEX(H$5:H$190,MATCH(LARGE(I$5:I$190,60),I$5:I$190,0))</f>
        <v>0.25</v>
      </c>
    </row>
    <row r="255" spans="1:5" ht="15" customHeight="1" x14ac:dyDescent="0.2">
      <c r="A255" s="3">
        <v>61</v>
      </c>
      <c r="B255" s="3" t="str">
        <f>INDEX($A$5:$A$190,MATCH(LARGE(I$5:I$190,61),I$5:I$190,0))</f>
        <v>Fleet: printShips(List&lt;IShip&gt;)</v>
      </c>
      <c r="C255" s="11">
        <f>INDEX(F$5:F$190,MATCH(LARGE(I$5:I$190,61),I$5:I$190,0))</f>
        <v>5.2631578947368418E-2</v>
      </c>
      <c r="D255" s="11">
        <f>INDEX(G$5:G$190,MATCH(LARGE(I$5:I$190,61),I$5:I$190,0))</f>
        <v>8.3333333333333329E-2</v>
      </c>
      <c r="E255" s="11">
        <f>INDEX(H$5:H$190,MATCH(LARGE(I$5:I$190,61),I$5:I$190,0))</f>
        <v>0.25</v>
      </c>
    </row>
    <row r="256" spans="1:5" ht="15" customHeight="1" x14ac:dyDescent="0.2">
      <c r="A256" s="3">
        <v>62</v>
      </c>
      <c r="B256" s="3" t="str">
        <f>INDEX($A$5:$A$190,MATCH(LARGE(I$5:I$190,62),I$5:I$190,0))</f>
        <v>Fleet: printShips(List&lt;IShip&gt;)</v>
      </c>
      <c r="C256" s="11">
        <f>INDEX(F$5:F$190,MATCH(LARGE(I$5:I$190,62),I$5:I$190,0))</f>
        <v>5.2631578947368418E-2</v>
      </c>
      <c r="D256" s="11">
        <f>INDEX(G$5:G$190,MATCH(LARGE(I$5:I$190,62),I$5:I$190,0))</f>
        <v>8.3333333333333329E-2</v>
      </c>
      <c r="E256" s="11">
        <f>INDEX(H$5:H$190,MATCH(LARGE(I$5:I$190,62),I$5:I$190,0))</f>
        <v>0.25</v>
      </c>
    </row>
    <row r="257" spans="1:5" ht="15" customHeight="1" x14ac:dyDescent="0.2">
      <c r="A257" s="3">
        <v>63</v>
      </c>
      <c r="B257" s="3" t="str">
        <f>INDEX($A$5:$A$190,MATCH(LARGE(I$5:I$190,63),I$5:I$190,0))</f>
        <v>Game: Game(IFleet)</v>
      </c>
      <c r="C257" s="11">
        <f>INDEX(F$5:F$190,MATCH(LARGE(I$5:I$190,63),I$5:I$190,0))</f>
        <v>2.6315789473684209E-2</v>
      </c>
      <c r="D257" s="11">
        <f>INDEX(G$5:G$190,MATCH(LARGE(I$5:I$190,63),I$5:I$190,0))</f>
        <v>0.10606060606060606</v>
      </c>
      <c r="E257" s="11">
        <f>INDEX(H$5:H$190,MATCH(LARGE(I$5:I$190,63),I$5:I$190,0))</f>
        <v>0.25</v>
      </c>
    </row>
    <row r="258" spans="1:5" ht="15" customHeight="1" x14ac:dyDescent="0.2">
      <c r="A258" s="3">
        <v>64</v>
      </c>
      <c r="B258" s="3" t="str">
        <f>INDEX($A$5:$A$190,MATCH(LARGE(I$5:I$190,64),I$5:I$190,0))</f>
        <v>Game: Game(IFleet)</v>
      </c>
      <c r="C258" s="11">
        <f>INDEX(F$5:F$190,MATCH(LARGE(I$5:I$190,64),I$5:I$190,0))</f>
        <v>2.6315789473684209E-2</v>
      </c>
      <c r="D258" s="11">
        <f>INDEX(G$5:G$190,MATCH(LARGE(I$5:I$190,64),I$5:I$190,0))</f>
        <v>0.10606060606060606</v>
      </c>
      <c r="E258" s="11">
        <f>INDEX(H$5:H$190,MATCH(LARGE(I$5:I$190,64),I$5:I$190,0))</f>
        <v>0.25</v>
      </c>
    </row>
    <row r="259" spans="1:5" ht="15" customHeight="1" x14ac:dyDescent="0.2">
      <c r="A259" s="3">
        <v>65</v>
      </c>
      <c r="B259" s="3" t="str">
        <f>INDEX($A$5:$A$190,MATCH(LARGE(I$5:I$190,65),I$5:I$190,0))</f>
        <v>Tasks: readPosition(Scanner)</v>
      </c>
      <c r="C259" s="11">
        <f>INDEX(F$5:F$190,MATCH(LARGE(I$5:I$190,65),I$5:I$190,0))</f>
        <v>2.6315789473684209E-2</v>
      </c>
      <c r="D259" s="11">
        <f>INDEX(G$5:G$190,MATCH(LARGE(I$5:I$190,65),I$5:I$190,0))</f>
        <v>9.0909090909090912E-2</v>
      </c>
      <c r="E259" s="11">
        <f>INDEX(H$5:H$190,MATCH(LARGE(I$5:I$190,65),I$5:I$190,0))</f>
        <v>0.25</v>
      </c>
    </row>
    <row r="260" spans="1:5" ht="15" customHeight="1" x14ac:dyDescent="0.2">
      <c r="A260" s="3">
        <v>66</v>
      </c>
      <c r="B260" s="3" t="str">
        <f>INDEX($A$5:$A$190,MATCH(LARGE(I$5:I$190,66),I$5:I$190,0))</f>
        <v>Fleet: printShipsByCategory(String)</v>
      </c>
      <c r="C260" s="11">
        <f>INDEX(F$5:F$190,MATCH(LARGE(I$5:I$190,66),I$5:I$190,0))</f>
        <v>2.6315789473684209E-2</v>
      </c>
      <c r="D260" s="11">
        <f>INDEX(G$5:G$190,MATCH(LARGE(I$5:I$190,66),I$5:I$190,0))</f>
        <v>8.3333333333333329E-2</v>
      </c>
      <c r="E260" s="11">
        <f>INDEX(H$5:H$190,MATCH(LARGE(I$5:I$190,66),I$5:I$190,0))</f>
        <v>0.25</v>
      </c>
    </row>
    <row r="261" spans="1:5" ht="15" customHeight="1" x14ac:dyDescent="0.2">
      <c r="A261" s="3">
        <v>67</v>
      </c>
      <c r="B261" s="3" t="str">
        <f>INDEX($A$5:$A$190,MATCH(LARGE(I$5:I$190,67),I$5:I$190,0))</f>
        <v>Main: main(String[])</v>
      </c>
      <c r="C261" s="11">
        <f>INDEX(F$5:F$190,MATCH(LARGE(I$5:I$190,67),I$5:I$190,0))</f>
        <v>2.6315789473684209E-2</v>
      </c>
      <c r="D261" s="11">
        <f>INDEX(G$5:G$190,MATCH(LARGE(I$5:I$190,67),I$5:I$190,0))</f>
        <v>7.575757575757576E-2</v>
      </c>
      <c r="E261" s="11">
        <f>INDEX(H$5:H$190,MATCH(LARGE(I$5:I$190,67),I$5:I$190,0))</f>
        <v>0.25</v>
      </c>
    </row>
    <row r="262" spans="1:5" ht="15" customHeight="1" x14ac:dyDescent="0.2">
      <c r="A262" s="3">
        <v>68</v>
      </c>
      <c r="B262" s="3" t="str">
        <f>INDEX($A$5:$A$190,MATCH(LARGE(I$5:I$190,68),I$5:I$190,0))</f>
        <v>Compass: Compass(char)</v>
      </c>
      <c r="C262" s="11">
        <f>INDEX(F$5:F$190,MATCH(LARGE(I$5:I$190,68),I$5:I$190,0))</f>
        <v>2.6315789473684209E-2</v>
      </c>
      <c r="D262" s="11">
        <f>INDEX(G$5:G$190,MATCH(LARGE(I$5:I$190,68),I$5:I$190,0))</f>
        <v>6.8181818181818177E-2</v>
      </c>
      <c r="E262" s="11">
        <f>INDEX(H$5:H$190,MATCH(LARGE(I$5:I$190,68),I$5:I$190,0))</f>
        <v>0.25</v>
      </c>
    </row>
    <row r="263" spans="1:5" ht="15" customHeight="1" x14ac:dyDescent="0.2">
      <c r="A263" s="3">
        <v>69</v>
      </c>
      <c r="B263" s="3" t="str">
        <f>INDEX($A$5:$A$190,MATCH(LARGE(I$5:I$190,69),I$5:I$190,0))</f>
        <v>Position: adjacentPositions()</v>
      </c>
      <c r="C263" s="11">
        <f>INDEX(F$5:F$190,MATCH(LARGE(I$5:I$190,69),I$5:I$190,0))</f>
        <v>7.8947368421052627E-2</v>
      </c>
      <c r="D263" s="11">
        <f>INDEX(G$5:G$190,MATCH(LARGE(I$5:I$190,69),I$5:I$190,0))</f>
        <v>0.23484848484848486</v>
      </c>
      <c r="E263" s="11">
        <f>INDEX(H$5:H$190,MATCH(LARGE(I$5:I$190,69),I$5:I$190,0))</f>
        <v>0</v>
      </c>
    </row>
    <row r="264" spans="1:5" ht="15" customHeight="1" x14ac:dyDescent="0.2">
      <c r="A264" s="3">
        <v>70</v>
      </c>
      <c r="B264" s="3" t="str">
        <f>INDEX($A$5:$A$190,MATCH(LARGE(I$5:I$190,70),I$5:I$190,0))</f>
        <v>Fleet: createRandom()</v>
      </c>
      <c r="C264" s="11">
        <f>INDEX(F$5:F$190,MATCH(LARGE(I$5:I$190,70),I$5:I$190,0))</f>
        <v>0.10526315789473684</v>
      </c>
      <c r="D264" s="11">
        <f>INDEX(G$5:G$190,MATCH(LARGE(I$5:I$190,70),I$5:I$190,0))</f>
        <v>0.20454545454545456</v>
      </c>
      <c r="E264" s="11">
        <f>INDEX(H$5:H$190,MATCH(LARGE(I$5:I$190,70),I$5:I$190,0))</f>
        <v>0</v>
      </c>
    </row>
    <row r="265" spans="1:5" ht="15" customHeight="1" x14ac:dyDescent="0.2">
      <c r="A265" s="3">
        <v>71</v>
      </c>
      <c r="B265" s="3" t="str">
        <f>INDEX($A$5:$A$190,MATCH(LARGE(I$5:I$190,71),I$5:I$190,0))</f>
        <v>GameResult: setDate(LocalDateTime)</v>
      </c>
      <c r="C265" s="11">
        <f>INDEX(F$5:F$190,MATCH(LARGE(I$5:I$190,71),I$5:I$190,0))</f>
        <v>2.6315789473684209E-2</v>
      </c>
      <c r="D265" s="11">
        <f>INDEX(G$5:G$190,MATCH(LARGE(I$5:I$190,71),I$5:I$190,0))</f>
        <v>7.575757575757576E-3</v>
      </c>
      <c r="E265" s="11">
        <f>INDEX(H$5:H$190,MATCH(LARGE(I$5:I$190,71),I$5:I$190,0))</f>
        <v>0.25</v>
      </c>
    </row>
    <row r="266" spans="1:5" ht="15" customHeight="1" x14ac:dyDescent="0.2">
      <c r="A266" s="3">
        <v>72</v>
      </c>
      <c r="B266" s="3" t="str">
        <f>INDEX($A$5:$A$190,MATCH(LARGE(I$5:I$190,72),I$5:I$190,0))</f>
        <v>GameResult: setDate(LocalDateTime)</v>
      </c>
      <c r="C266" s="11">
        <f>INDEX(F$5:F$190,MATCH(LARGE(I$5:I$190,72),I$5:I$190,0))</f>
        <v>2.6315789473684209E-2</v>
      </c>
      <c r="D266" s="11">
        <f>INDEX(G$5:G$190,MATCH(LARGE(I$5:I$190,72),I$5:I$190,0))</f>
        <v>7.575757575757576E-3</v>
      </c>
      <c r="E266" s="11">
        <f>INDEX(H$5:H$190,MATCH(LARGE(I$5:I$190,72),I$5:I$190,0))</f>
        <v>0.25</v>
      </c>
    </row>
    <row r="267" spans="1:5" ht="15" customHeight="1" x14ac:dyDescent="0.2">
      <c r="A267" s="3">
        <v>73</v>
      </c>
      <c r="B267" s="3" t="str">
        <f>INDEX($A$5:$A$190,MATCH(LARGE(I$5:I$190,73),I$5:I$190,0))</f>
        <v>GameResult: setDate(LocalDateTime)</v>
      </c>
      <c r="C267" s="11">
        <f>INDEX(F$5:F$190,MATCH(LARGE(I$5:I$190,73),I$5:I$190,0))</f>
        <v>2.6315789473684209E-2</v>
      </c>
      <c r="D267" s="11">
        <f>INDEX(G$5:G$190,MATCH(LARGE(I$5:I$190,73),I$5:I$190,0))</f>
        <v>7.575757575757576E-3</v>
      </c>
      <c r="E267" s="11">
        <f>INDEX(H$5:H$190,MATCH(LARGE(I$5:I$190,73),I$5:I$190,0))</f>
        <v>0.25</v>
      </c>
    </row>
    <row r="268" spans="1:5" ht="15" customHeight="1" x14ac:dyDescent="0.2">
      <c r="A268" s="3">
        <v>74</v>
      </c>
      <c r="B268" s="3" t="str">
        <f>INDEX($A$5:$A$190,MATCH(LARGE(I$5:I$190,74),I$5:I$190,0))</f>
        <v>GameResult: setDate(LocalDateTime)</v>
      </c>
      <c r="C268" s="11">
        <f>INDEX(F$5:F$190,MATCH(LARGE(I$5:I$190,74),I$5:I$190,0))</f>
        <v>2.6315789473684209E-2</v>
      </c>
      <c r="D268" s="11">
        <f>INDEX(G$5:G$190,MATCH(LARGE(I$5:I$190,74),I$5:I$190,0))</f>
        <v>7.575757575757576E-3</v>
      </c>
      <c r="E268" s="11">
        <f>INDEX(H$5:H$190,MATCH(LARGE(I$5:I$190,74),I$5:I$190,0))</f>
        <v>0.25</v>
      </c>
    </row>
    <row r="269" spans="1:5" ht="15" customHeight="1" x14ac:dyDescent="0.2">
      <c r="A269" s="3">
        <v>75</v>
      </c>
      <c r="B269" s="3" t="str">
        <f>INDEX($A$5:$A$190,MATCH(LARGE(I$5:I$190,75),I$5:I$190,0))</f>
        <v>Compass: valueOf(String)</v>
      </c>
      <c r="C269" s="11">
        <f>INDEX(F$5:F$190,MATCH(LARGE(I$5:I$190,75),I$5:I$190,0))</f>
        <v>2.6315789473684209E-2</v>
      </c>
      <c r="D269" s="11">
        <f>INDEX(G$5:G$190,MATCH(LARGE(I$5:I$190,75),I$5:I$190,0))</f>
        <v>0</v>
      </c>
      <c r="E269" s="11">
        <f>INDEX(H$5:H$190,MATCH(LARGE(I$5:I$190,75),I$5:I$190,0))</f>
        <v>0.25</v>
      </c>
    </row>
    <row r="270" spans="1:5" ht="15" customHeight="1" x14ac:dyDescent="0.2">
      <c r="A270" s="3">
        <v>76</v>
      </c>
      <c r="B270" s="3" t="str">
        <f>INDEX($A$5:$A$190,MATCH(LARGE(I$5:I$190,76),I$5:I$190,0))</f>
        <v>Compass: valueOf(String)</v>
      </c>
      <c r="C270" s="11">
        <f>INDEX(F$5:F$190,MATCH(LARGE(I$5:I$190,76),I$5:I$190,0))</f>
        <v>2.6315789473684209E-2</v>
      </c>
      <c r="D270" s="11">
        <f>INDEX(G$5:G$190,MATCH(LARGE(I$5:I$190,76),I$5:I$190,0))</f>
        <v>0</v>
      </c>
      <c r="E270" s="11">
        <f>INDEX(H$5:H$190,MATCH(LARGE(I$5:I$190,76),I$5:I$190,0))</f>
        <v>0.25</v>
      </c>
    </row>
    <row r="271" spans="1:5" ht="15" customHeight="1" x14ac:dyDescent="0.2">
      <c r="A271" s="3">
        <v>77</v>
      </c>
      <c r="B271" s="3" t="str">
        <f>INDEX($A$5:$A$190,MATCH(LARGE(I$5:I$190,77),I$5:I$190,0))</f>
        <v>Compass: valueOf(String)</v>
      </c>
      <c r="C271" s="11">
        <f>INDEX(F$5:F$190,MATCH(LARGE(I$5:I$190,77),I$5:I$190,0))</f>
        <v>2.6315789473684209E-2</v>
      </c>
      <c r="D271" s="11">
        <f>INDEX(G$5:G$190,MATCH(LARGE(I$5:I$190,77),I$5:I$190,0))</f>
        <v>0</v>
      </c>
      <c r="E271" s="11">
        <f>INDEX(H$5:H$190,MATCH(LARGE(I$5:I$190,77),I$5:I$190,0))</f>
        <v>0.25</v>
      </c>
    </row>
    <row r="272" spans="1:5" ht="15" customHeight="1" x14ac:dyDescent="0.2">
      <c r="A272" s="3">
        <v>78</v>
      </c>
      <c r="B272" s="3" t="str">
        <f>INDEX($A$5:$A$190,MATCH(LARGE(I$5:I$190,78),I$5:I$190,0))</f>
        <v>Compass: valueOf(String)</v>
      </c>
      <c r="C272" s="11">
        <f>INDEX(F$5:F$190,MATCH(LARGE(I$5:I$190,78),I$5:I$190,0))</f>
        <v>2.6315789473684209E-2</v>
      </c>
      <c r="D272" s="11">
        <f>INDEX(G$5:G$190,MATCH(LARGE(I$5:I$190,78),I$5:I$190,0))</f>
        <v>0</v>
      </c>
      <c r="E272" s="11">
        <f>INDEX(H$5:H$190,MATCH(LARGE(I$5:I$190,78),I$5:I$190,0))</f>
        <v>0.25</v>
      </c>
    </row>
    <row r="273" spans="1:5" ht="15" customHeight="1" x14ac:dyDescent="0.2">
      <c r="A273" s="3">
        <v>79</v>
      </c>
      <c r="B273" s="3" t="str">
        <f>INDEX($A$5:$A$190,MATCH(LARGE(I$5:I$190,79),I$5:I$190,0))</f>
        <v>Compass: valueOf(String)</v>
      </c>
      <c r="C273" s="11">
        <f>INDEX(F$5:F$190,MATCH(LARGE(I$5:I$190,79),I$5:I$190,0))</f>
        <v>2.6315789473684209E-2</v>
      </c>
      <c r="D273" s="11">
        <f>INDEX(G$5:G$190,MATCH(LARGE(I$5:I$190,79),I$5:I$190,0))</f>
        <v>0</v>
      </c>
      <c r="E273" s="11">
        <f>INDEX(H$5:H$190,MATCH(LARGE(I$5:I$190,79),I$5:I$190,0))</f>
        <v>0.25</v>
      </c>
    </row>
    <row r="274" spans="1:5" ht="15" customHeight="1" x14ac:dyDescent="0.2">
      <c r="A274" s="3">
        <v>80</v>
      </c>
      <c r="B274" s="3" t="str">
        <f>INDEX($A$5:$A$190,MATCH(LARGE(I$5:I$190,80),I$5:I$190,0))</f>
        <v>Compass: valueOf(String)</v>
      </c>
      <c r="C274" s="11">
        <f>INDEX(F$5:F$190,MATCH(LARGE(I$5:I$190,80),I$5:I$190,0))</f>
        <v>2.6315789473684209E-2</v>
      </c>
      <c r="D274" s="11">
        <f>INDEX(G$5:G$190,MATCH(LARGE(I$5:I$190,80),I$5:I$190,0))</f>
        <v>0</v>
      </c>
      <c r="E274" s="11">
        <f>INDEX(H$5:H$190,MATCH(LARGE(I$5:I$190,80),I$5:I$190,0))</f>
        <v>0.25</v>
      </c>
    </row>
    <row r="275" spans="1:5" ht="15" customHeight="1" x14ac:dyDescent="0.2">
      <c r="A275" s="3">
        <v>81</v>
      </c>
      <c r="B275" s="3" t="str">
        <f>INDEX($A$5:$A$190,MATCH(LARGE(I$5:I$190,81),I$5:I$190,0))</f>
        <v>Compass: valueOf(String)</v>
      </c>
      <c r="C275" s="11">
        <f>INDEX(F$5:F$190,MATCH(LARGE(I$5:I$190,81),I$5:I$190,0))</f>
        <v>2.6315789473684209E-2</v>
      </c>
      <c r="D275" s="11">
        <f>INDEX(G$5:G$190,MATCH(LARGE(I$5:I$190,81),I$5:I$190,0))</f>
        <v>0</v>
      </c>
      <c r="E275" s="11">
        <f>INDEX(H$5:H$190,MATCH(LARGE(I$5:I$190,81),I$5:I$190,0))</f>
        <v>0.25</v>
      </c>
    </row>
    <row r="276" spans="1:5" ht="15" customHeight="1" x14ac:dyDescent="0.2">
      <c r="A276" s="3">
        <v>82</v>
      </c>
      <c r="B276" s="3" t="str">
        <f>INDEX($A$5:$A$190,MATCH(LARGE(I$5:I$190,82),I$5:I$190,0))</f>
        <v>Compass: valueOf(String)</v>
      </c>
      <c r="C276" s="11">
        <f>INDEX(F$5:F$190,MATCH(LARGE(I$5:I$190,82),I$5:I$190,0))</f>
        <v>2.6315789473684209E-2</v>
      </c>
      <c r="D276" s="11">
        <f>INDEX(G$5:G$190,MATCH(LARGE(I$5:I$190,82),I$5:I$190,0))</f>
        <v>0</v>
      </c>
      <c r="E276" s="11">
        <f>INDEX(H$5:H$190,MATCH(LARGE(I$5:I$190,82),I$5:I$190,0))</f>
        <v>0.25</v>
      </c>
    </row>
    <row r="277" spans="1:5" ht="15" customHeight="1" x14ac:dyDescent="0.2">
      <c r="A277" s="3">
        <v>83</v>
      </c>
      <c r="B277" s="3" t="str">
        <f>INDEX($A$5:$A$190,MATCH(LARGE(I$5:I$190,83),I$5:I$190,0))</f>
        <v>Compass: valueOf(String)</v>
      </c>
      <c r="C277" s="11">
        <f>INDEX(F$5:F$190,MATCH(LARGE(I$5:I$190,83),I$5:I$190,0))</f>
        <v>2.6315789473684209E-2</v>
      </c>
      <c r="D277" s="11">
        <f>INDEX(G$5:G$190,MATCH(LARGE(I$5:I$190,83),I$5:I$190,0))</f>
        <v>0</v>
      </c>
      <c r="E277" s="11">
        <f>INDEX(H$5:H$190,MATCH(LARGE(I$5:I$190,83),I$5:I$190,0))</f>
        <v>0.25</v>
      </c>
    </row>
    <row r="278" spans="1:5" ht="15" customHeight="1" x14ac:dyDescent="0.2">
      <c r="A278" s="3">
        <v>84</v>
      </c>
      <c r="B278" s="3" t="str">
        <f>INDEX($A$5:$A$190,MATCH(LARGE(I$5:I$190,84),I$5:I$190,0))</f>
        <v>Compass: valueOf(String)</v>
      </c>
      <c r="C278" s="11">
        <f>INDEX(F$5:F$190,MATCH(LARGE(I$5:I$190,84),I$5:I$190,0))</f>
        <v>2.6315789473684209E-2</v>
      </c>
      <c r="D278" s="11">
        <f>INDEX(G$5:G$190,MATCH(LARGE(I$5:I$190,84),I$5:I$190,0))</f>
        <v>0</v>
      </c>
      <c r="E278" s="11">
        <f>INDEX(H$5:H$190,MATCH(LARGE(I$5:I$190,84),I$5:I$190,0))</f>
        <v>0.25</v>
      </c>
    </row>
    <row r="279" spans="1:5" ht="15" customHeight="1" x14ac:dyDescent="0.2">
      <c r="A279" s="3">
        <v>85</v>
      </c>
      <c r="B279" s="3" t="str">
        <f>INDEX($A$5:$A$190,MATCH(LARGE(I$5:I$190,85),I$5:I$190,0))</f>
        <v>Compass: valueOf(String)</v>
      </c>
      <c r="C279" s="11">
        <f>INDEX(F$5:F$190,MATCH(LARGE(I$5:I$190,85),I$5:I$190,0))</f>
        <v>2.6315789473684209E-2</v>
      </c>
      <c r="D279" s="11">
        <f>INDEX(G$5:G$190,MATCH(LARGE(I$5:I$190,85),I$5:I$190,0))</f>
        <v>0</v>
      </c>
      <c r="E279" s="11">
        <f>INDEX(H$5:H$190,MATCH(LARGE(I$5:I$190,85),I$5:I$190,0))</f>
        <v>0.25</v>
      </c>
    </row>
    <row r="280" spans="1:5" ht="15" customHeight="1" x14ac:dyDescent="0.2">
      <c r="A280" s="3">
        <v>86</v>
      </c>
      <c r="B280" s="3" t="str">
        <f>INDEX($A$5:$A$190,MATCH(LARGE(I$5:I$190,86),I$5:I$190,0))</f>
        <v>Compass: valueOf(String)</v>
      </c>
      <c r="C280" s="11">
        <f>INDEX(F$5:F$190,MATCH(LARGE(I$5:I$190,86),I$5:I$190,0))</f>
        <v>2.6315789473684209E-2</v>
      </c>
      <c r="D280" s="11">
        <f>INDEX(G$5:G$190,MATCH(LARGE(I$5:I$190,86),I$5:I$190,0))</f>
        <v>0</v>
      </c>
      <c r="E280" s="11">
        <f>INDEX(H$5:H$190,MATCH(LARGE(I$5:I$190,86),I$5:I$190,0))</f>
        <v>0.25</v>
      </c>
    </row>
    <row r="281" spans="1:5" ht="15" customHeight="1" x14ac:dyDescent="0.2">
      <c r="A281" s="3">
        <v>87</v>
      </c>
      <c r="B281" s="3" t="str">
        <f>INDEX($A$5:$A$190,MATCH(LARGE(I$5:I$190,87),I$5:I$190,0))</f>
        <v>Compass: valueOf(String)</v>
      </c>
      <c r="C281" s="11">
        <f>INDEX(F$5:F$190,MATCH(LARGE(I$5:I$190,87),I$5:I$190,0))</f>
        <v>2.6315789473684209E-2</v>
      </c>
      <c r="D281" s="11">
        <f>INDEX(G$5:G$190,MATCH(LARGE(I$5:I$190,87),I$5:I$190,0))</f>
        <v>0</v>
      </c>
      <c r="E281" s="11">
        <f>INDEX(H$5:H$190,MATCH(LARGE(I$5:I$190,87),I$5:I$190,0))</f>
        <v>0.25</v>
      </c>
    </row>
    <row r="282" spans="1:5" ht="15" customHeight="1" x14ac:dyDescent="0.2">
      <c r="A282" s="3">
        <v>88</v>
      </c>
      <c r="B282" s="3" t="str">
        <f>INDEX($A$5:$A$190,MATCH(LARGE(I$5:I$190,88),I$5:I$190,0))</f>
        <v>Ship: getAdjacentPositions()</v>
      </c>
      <c r="C282" s="11">
        <f>INDEX(F$5:F$190,MATCH(LARGE(I$5:I$190,88),I$5:I$190,0))</f>
        <v>0.13157894736842105</v>
      </c>
      <c r="D282" s="11">
        <f>INDEX(G$5:G$190,MATCH(LARGE(I$5:I$190,88),I$5:I$190,0))</f>
        <v>0.14393939393939395</v>
      </c>
      <c r="E282" s="11">
        <f>INDEX(H$5:H$190,MATCH(LARGE(I$5:I$190,88),I$5:I$190,0))</f>
        <v>0</v>
      </c>
    </row>
    <row r="283" spans="1:5" ht="15" customHeight="1" x14ac:dyDescent="0.2">
      <c r="A283" s="3">
        <v>89</v>
      </c>
      <c r="B283" s="3" t="str">
        <f>INDEX($A$5:$A$190,MATCH(LARGE(I$5:I$190,89),I$5:I$190,0))</f>
        <v>Fleet: getFloatingShips()</v>
      </c>
      <c r="C283" s="11">
        <f>INDEX(F$5:F$190,MATCH(LARGE(I$5:I$190,89),I$5:I$190,0))</f>
        <v>7.8947368421052627E-2</v>
      </c>
      <c r="D283" s="11">
        <f>INDEX(G$5:G$190,MATCH(LARGE(I$5:I$190,89),I$5:I$190,0))</f>
        <v>0.14393939393939395</v>
      </c>
      <c r="E283" s="11">
        <f>INDEX(H$5:H$190,MATCH(LARGE(I$5:I$190,89),I$5:I$190,0))</f>
        <v>0</v>
      </c>
    </row>
    <row r="284" spans="1:5" ht="15" customHeight="1" x14ac:dyDescent="0.2">
      <c r="A284" s="3">
        <v>90</v>
      </c>
      <c r="B284" s="3" t="str">
        <f>INDEX($A$5:$A$190,MATCH(LARGE(I$5:I$190,90),I$5:I$190,0))</f>
        <v>Fleet: getFloatingShips()</v>
      </c>
      <c r="C284" s="11">
        <f>INDEX(F$5:F$190,MATCH(LARGE(I$5:I$190,90),I$5:I$190,0))</f>
        <v>7.8947368421052627E-2</v>
      </c>
      <c r="D284" s="11">
        <f>INDEX(G$5:G$190,MATCH(LARGE(I$5:I$190,90),I$5:I$190,0))</f>
        <v>0.14393939393939395</v>
      </c>
      <c r="E284" s="11">
        <f>INDEX(H$5:H$190,MATCH(LARGE(I$5:I$190,90),I$5:I$190,0))</f>
        <v>0</v>
      </c>
    </row>
    <row r="285" spans="1:5" ht="15" customHeight="1" x14ac:dyDescent="0.2">
      <c r="A285" s="3">
        <v>91</v>
      </c>
      <c r="B285" s="3" t="str">
        <f>INDEX($A$5:$A$190,MATCH(LARGE(I$5:I$190,91),I$5:I$190,0))</f>
        <v>Fleet: getFloatingShips()</v>
      </c>
      <c r="C285" s="11">
        <f>INDEX(F$5:F$190,MATCH(LARGE(I$5:I$190,91),I$5:I$190,0))</f>
        <v>7.8947368421052627E-2</v>
      </c>
      <c r="D285" s="11">
        <f>INDEX(G$5:G$190,MATCH(LARGE(I$5:I$190,91),I$5:I$190,0))</f>
        <v>0.14393939393939395</v>
      </c>
      <c r="E285" s="11">
        <f>INDEX(H$5:H$190,MATCH(LARGE(I$5:I$190,91),I$5:I$190,0))</f>
        <v>0</v>
      </c>
    </row>
    <row r="286" spans="1:5" ht="15" customHeight="1" x14ac:dyDescent="0.2">
      <c r="A286" s="3">
        <v>92</v>
      </c>
      <c r="B286" s="3" t="str">
        <f>INDEX($A$5:$A$190,MATCH(LARGE(I$5:I$190,92),I$5:I$190,0))</f>
        <v>Fleet: getFloatingShips()</v>
      </c>
      <c r="C286" s="11">
        <f>INDEX(F$5:F$190,MATCH(LARGE(I$5:I$190,92),I$5:I$190,0))</f>
        <v>7.8947368421052627E-2</v>
      </c>
      <c r="D286" s="11">
        <f>INDEX(G$5:G$190,MATCH(LARGE(I$5:I$190,92),I$5:I$190,0))</f>
        <v>0.14393939393939395</v>
      </c>
      <c r="E286" s="11">
        <f>INDEX(H$5:H$190,MATCH(LARGE(I$5:I$190,92),I$5:I$190,0))</f>
        <v>0</v>
      </c>
    </row>
    <row r="287" spans="1:5" ht="15" customHeight="1" x14ac:dyDescent="0.2">
      <c r="A287" s="3">
        <v>93</v>
      </c>
      <c r="B287" s="3" t="str">
        <f>INDEX($A$5:$A$190,MATCH(LARGE(I$5:I$190,93),I$5:I$190,0))</f>
        <v>Fleet: getFloatingShips()</v>
      </c>
      <c r="C287" s="11">
        <f>INDEX(F$5:F$190,MATCH(LARGE(I$5:I$190,93),I$5:I$190,0))</f>
        <v>7.8947368421052627E-2</v>
      </c>
      <c r="D287" s="11">
        <f>INDEX(G$5:G$190,MATCH(LARGE(I$5:I$190,93),I$5:I$190,0))</f>
        <v>0.14393939393939395</v>
      </c>
      <c r="E287" s="11">
        <f>INDEX(H$5:H$190,MATCH(LARGE(I$5:I$190,93),I$5:I$190,0))</f>
        <v>0</v>
      </c>
    </row>
    <row r="288" spans="1:5" ht="15" customHeight="1" x14ac:dyDescent="0.2">
      <c r="A288" s="3">
        <v>94</v>
      </c>
      <c r="B288" s="3" t="str">
        <f>INDEX($A$5:$A$190,MATCH(LARGE(I$5:I$190,94),I$5:I$190,0))</f>
        <v>Fleet: getFloatingShips()</v>
      </c>
      <c r="C288" s="11">
        <f>INDEX(F$5:F$190,MATCH(LARGE(I$5:I$190,94),I$5:I$190,0))</f>
        <v>7.8947368421052627E-2</v>
      </c>
      <c r="D288" s="11">
        <f>INDEX(G$5:G$190,MATCH(LARGE(I$5:I$190,94),I$5:I$190,0))</f>
        <v>0.14393939393939395</v>
      </c>
      <c r="E288" s="11">
        <f>INDEX(H$5:H$190,MATCH(LARGE(I$5:I$190,94),I$5:I$190,0))</f>
        <v>0</v>
      </c>
    </row>
    <row r="289" spans="1:5" ht="15" customHeight="1" x14ac:dyDescent="0.2">
      <c r="A289" s="3">
        <v>95</v>
      </c>
      <c r="B289" s="3" t="str">
        <f>INDEX($A$5:$A$190,MATCH(LARGE(I$5:I$190,95),I$5:I$190,0))</f>
        <v>Ship: stillFloating()</v>
      </c>
      <c r="C289" s="11">
        <f>INDEX(F$5:F$190,MATCH(LARGE(I$5:I$190,95),I$5:I$190,0))</f>
        <v>7.8947368421052627E-2</v>
      </c>
      <c r="D289" s="11">
        <f>INDEX(G$5:G$190,MATCH(LARGE(I$5:I$190,95),I$5:I$190,0))</f>
        <v>0.13636363636363635</v>
      </c>
      <c r="E289" s="11">
        <f>INDEX(H$5:H$190,MATCH(LARGE(I$5:I$190,95),I$5:I$190,0))</f>
        <v>0</v>
      </c>
    </row>
    <row r="290" spans="1:5" ht="15" customHeight="1" x14ac:dyDescent="0.2">
      <c r="A290" s="3">
        <v>96</v>
      </c>
      <c r="B290" s="3" t="str">
        <f>INDEX($A$5:$A$190,MATCH(LARGE(I$5:I$190,96),I$5:I$190,0))</f>
        <v>Scoreboard: loadResults()</v>
      </c>
      <c r="C290" s="11">
        <f>INDEX(F$5:F$190,MATCH(LARGE(I$5:I$190,96),I$5:I$190,0))</f>
        <v>7.8947368421052627E-2</v>
      </c>
      <c r="D290" s="11">
        <f>INDEX(G$5:G$190,MATCH(LARGE(I$5:I$190,96),I$5:I$190,0))</f>
        <v>0.11363636363636363</v>
      </c>
      <c r="E290" s="11">
        <f>INDEX(H$5:H$190,MATCH(LARGE(I$5:I$190,96),I$5:I$190,0))</f>
        <v>0</v>
      </c>
    </row>
    <row r="291" spans="1:5" ht="15" customHeight="1" x14ac:dyDescent="0.2">
      <c r="A291" s="3">
        <v>97</v>
      </c>
      <c r="B291" s="3" t="str">
        <f>INDEX($A$5:$A$190,MATCH(LARGE(I$5:I$190,97),I$5:I$190,0))</f>
        <v>Position: isInside()</v>
      </c>
      <c r="C291" s="11">
        <f>INDEX(F$5:F$190,MATCH(LARGE(I$5:I$190,97),I$5:I$190,0))</f>
        <v>0.10526315789473684</v>
      </c>
      <c r="D291" s="11">
        <f>INDEX(G$5:G$190,MATCH(LARGE(I$5:I$190,97),I$5:I$190,0))</f>
        <v>7.575757575757576E-2</v>
      </c>
      <c r="E291" s="11">
        <f>INDEX(H$5:H$190,MATCH(LARGE(I$5:I$190,97),I$5:I$190,0))</f>
        <v>0</v>
      </c>
    </row>
    <row r="292" spans="1:5" ht="15" customHeight="1" x14ac:dyDescent="0.2">
      <c r="A292" s="3">
        <v>98</v>
      </c>
      <c r="B292" s="3" t="str">
        <f>INDEX($A$5:$A$190,MATCH(LARGE(I$5:I$190,98),I$5:I$190,0))</f>
        <v>Tasks: menuHelp()</v>
      </c>
      <c r="C292" s="11">
        <f>INDEX(F$5:F$190,MATCH(LARGE(I$5:I$190,98),I$5:I$190,0))</f>
        <v>2.6315789473684209E-2</v>
      </c>
      <c r="D292" s="11">
        <f>INDEX(G$5:G$190,MATCH(LARGE(I$5:I$190,98),I$5:I$190,0))</f>
        <v>0.14393939393939395</v>
      </c>
      <c r="E292" s="11">
        <f>INDEX(H$5:H$190,MATCH(LARGE(I$5:I$190,98),I$5:I$190,0))</f>
        <v>0</v>
      </c>
    </row>
    <row r="293" spans="1:5" ht="15" customHeight="1" x14ac:dyDescent="0.2">
      <c r="A293" s="3">
        <v>99</v>
      </c>
      <c r="B293" s="3" t="str">
        <f>INDEX($A$5:$A$190,MATCH(LARGE(I$5:I$190,99),I$5:I$190,0))</f>
        <v>Ship: sink()</v>
      </c>
      <c r="C293" s="11">
        <f>INDEX(F$5:F$190,MATCH(LARGE(I$5:I$190,99),I$5:I$190,0))</f>
        <v>5.2631578947368418E-2</v>
      </c>
      <c r="D293" s="11">
        <f>INDEX(G$5:G$190,MATCH(LARGE(I$5:I$190,99),I$5:I$190,0))</f>
        <v>9.8484848484848481E-2</v>
      </c>
      <c r="E293" s="11">
        <f>INDEX(H$5:H$190,MATCH(LARGE(I$5:I$190,99),I$5:I$190,0))</f>
        <v>0</v>
      </c>
    </row>
    <row r="294" spans="1:5" ht="15" customHeight="1" x14ac:dyDescent="0.2">
      <c r="A294" s="3">
        <v>100</v>
      </c>
      <c r="B294" s="3" t="str">
        <f>INDEX($A$5:$A$190,MATCH(LARGE(I$5:I$190,100),I$5:I$190,0))</f>
        <v>Ship: getBearing()</v>
      </c>
      <c r="C294" s="11">
        <f>INDEX(F$5:F$190,MATCH(LARGE(I$5:I$190,100),I$5:I$190,0))</f>
        <v>2.6315789473684209E-2</v>
      </c>
      <c r="D294" s="11">
        <f>INDEX(G$5:G$190,MATCH(LARGE(I$5:I$190,100),I$5:I$190,0))</f>
        <v>0.11363636363636363</v>
      </c>
      <c r="E294" s="11">
        <f>INDEX(H$5:H$190,MATCH(LARGE(I$5:I$190,100),I$5:I$190,0))</f>
        <v>0</v>
      </c>
    </row>
    <row r="295" spans="1:5" ht="15" customHeight="1" x14ac:dyDescent="0.2">
      <c r="A295" s="3">
        <v>101</v>
      </c>
      <c r="B295" s="3" t="str">
        <f>INDEX($A$5:$A$190,MATCH(LARGE(I$5:I$190,101),I$5:I$190,0))</f>
        <v>Ship: getBearing()</v>
      </c>
      <c r="C295" s="11">
        <f>INDEX(F$5:F$190,MATCH(LARGE(I$5:I$190,101),I$5:I$190,0))</f>
        <v>2.6315789473684209E-2</v>
      </c>
      <c r="D295" s="11">
        <f>INDEX(G$5:G$190,MATCH(LARGE(I$5:I$190,101),I$5:I$190,0))</f>
        <v>0.11363636363636363</v>
      </c>
      <c r="E295" s="11">
        <f>INDEX(H$5:H$190,MATCH(LARGE(I$5:I$190,101),I$5:I$190,0))</f>
        <v>0</v>
      </c>
    </row>
    <row r="296" spans="1:5" ht="15" customHeight="1" x14ac:dyDescent="0.2">
      <c r="A296" s="3">
        <v>102</v>
      </c>
      <c r="B296" s="3" t="str">
        <f>INDEX($A$5:$A$190,MATCH(LARGE(I$5:I$190,102),I$5:I$190,0))</f>
        <v>Ship: getBearing()</v>
      </c>
      <c r="C296" s="11">
        <f>INDEX(F$5:F$190,MATCH(LARGE(I$5:I$190,102),I$5:I$190,0))</f>
        <v>2.6315789473684209E-2</v>
      </c>
      <c r="D296" s="11">
        <f>INDEX(G$5:G$190,MATCH(LARGE(I$5:I$190,102),I$5:I$190,0))</f>
        <v>0.11363636363636363</v>
      </c>
      <c r="E296" s="11">
        <f>INDEX(H$5:H$190,MATCH(LARGE(I$5:I$190,102),I$5:I$190,0))</f>
        <v>0</v>
      </c>
    </row>
    <row r="297" spans="1:5" ht="15" customHeight="1" x14ac:dyDescent="0.2">
      <c r="A297" s="3">
        <v>103</v>
      </c>
      <c r="B297" s="3" t="str">
        <f>INDEX($A$5:$A$190,MATCH(LARGE(I$5:I$190,103),I$5:I$190,0))</f>
        <v>Fleet: printStatus()</v>
      </c>
      <c r="C297" s="11">
        <f>INDEX(F$5:F$190,MATCH(LARGE(I$5:I$190,103),I$5:I$190,0))</f>
        <v>2.6315789473684209E-2</v>
      </c>
      <c r="D297" s="11">
        <f>INDEX(G$5:G$190,MATCH(LARGE(I$5:I$190,103),I$5:I$190,0))</f>
        <v>0.10606060606060606</v>
      </c>
      <c r="E297" s="11">
        <f>INDEX(H$5:H$190,MATCH(LARGE(I$5:I$190,103),I$5:I$190,0))</f>
        <v>0</v>
      </c>
    </row>
    <row r="298" spans="1:5" ht="15" customHeight="1" x14ac:dyDescent="0.2">
      <c r="A298" s="3">
        <v>104</v>
      </c>
      <c r="B298" s="3" t="str">
        <f>INDEX($A$5:$A$190,MATCH(LARGE(I$5:I$190,104),I$5:I$190,0))</f>
        <v>Position: toString()</v>
      </c>
      <c r="C298" s="11">
        <f>INDEX(F$5:F$190,MATCH(LARGE(I$5:I$190,104),I$5:I$190,0))</f>
        <v>2.6315789473684209E-2</v>
      </c>
      <c r="D298" s="11">
        <f>INDEX(G$5:G$190,MATCH(LARGE(I$5:I$190,104),I$5:I$190,0))</f>
        <v>8.3333333333333329E-2</v>
      </c>
      <c r="E298" s="11">
        <f>INDEX(H$5:H$190,MATCH(LARGE(I$5:I$190,104),I$5:I$190,0))</f>
        <v>0</v>
      </c>
    </row>
    <row r="299" spans="1:5" ht="15" customHeight="1" x14ac:dyDescent="0.2">
      <c r="A299" s="3">
        <v>105</v>
      </c>
      <c r="B299" s="3" t="str">
        <f>INDEX($A$5:$A$190,MATCH(LARGE(I$5:I$190,105),I$5:I$190,0))</f>
        <v>Compass: randomBearing()</v>
      </c>
      <c r="C299" s="11">
        <f>INDEX(F$5:F$190,MATCH(LARGE(I$5:I$190,105),I$5:I$190,0))</f>
        <v>2.6315789473684209E-2</v>
      </c>
      <c r="D299" s="11">
        <f>INDEX(G$5:G$190,MATCH(LARGE(I$5:I$190,105),I$5:I$190,0))</f>
        <v>7.575757575757576E-2</v>
      </c>
      <c r="E299" s="11">
        <f>INDEX(H$5:H$190,MATCH(LARGE(I$5:I$190,105),I$5:I$190,0))</f>
        <v>0</v>
      </c>
    </row>
    <row r="300" spans="1:5" ht="15" customHeight="1" x14ac:dyDescent="0.2">
      <c r="A300" s="3">
        <v>106</v>
      </c>
      <c r="B300" s="3" t="str">
        <f>INDEX($A$5:$A$190,MATCH(LARGE(I$5:I$190,106),I$5:I$190,0))</f>
        <v>Compass: randomBearing()</v>
      </c>
      <c r="C300" s="11">
        <f>INDEX(F$5:F$190,MATCH(LARGE(I$5:I$190,106),I$5:I$190,0))</f>
        <v>2.6315789473684209E-2</v>
      </c>
      <c r="D300" s="11">
        <f>INDEX(G$5:G$190,MATCH(LARGE(I$5:I$190,106),I$5:I$190,0))</f>
        <v>7.575757575757576E-2</v>
      </c>
      <c r="E300" s="11">
        <f>INDEX(H$5:H$190,MATCH(LARGE(I$5:I$190,106),I$5:I$190,0))</f>
        <v>0</v>
      </c>
    </row>
    <row r="301" spans="1:5" ht="15" customHeight="1" x14ac:dyDescent="0.2">
      <c r="A301" s="3">
        <v>107</v>
      </c>
      <c r="B301" s="3" t="str">
        <f>INDEX($A$5:$A$190,MATCH(LARGE(I$5:I$190,107),I$5:I$190,0))</f>
        <v>Compass: randomBearing()</v>
      </c>
      <c r="C301" s="11">
        <f>INDEX(F$5:F$190,MATCH(LARGE(I$5:I$190,107),I$5:I$190,0))</f>
        <v>2.6315789473684209E-2</v>
      </c>
      <c r="D301" s="11">
        <f>INDEX(G$5:G$190,MATCH(LARGE(I$5:I$190,107),I$5:I$190,0))</f>
        <v>7.575757575757576E-2</v>
      </c>
      <c r="E301" s="11">
        <f>INDEX(H$5:H$190,MATCH(LARGE(I$5:I$190,107),I$5:I$190,0))</f>
        <v>0</v>
      </c>
    </row>
    <row r="302" spans="1:5" ht="15" customHeight="1" x14ac:dyDescent="0.2">
      <c r="A302" s="3">
        <v>108</v>
      </c>
      <c r="B302" s="3" t="str">
        <f>INDEX($A$5:$A$190,MATCH(LARGE(I$5:I$190,108),I$5:I$190,0))</f>
        <v>Compass: randomBearing()</v>
      </c>
      <c r="C302" s="11">
        <f>INDEX(F$5:F$190,MATCH(LARGE(I$5:I$190,108),I$5:I$190,0))</f>
        <v>2.6315789473684209E-2</v>
      </c>
      <c r="D302" s="11">
        <f>INDEX(G$5:G$190,MATCH(LARGE(I$5:I$190,108),I$5:I$190,0))</f>
        <v>7.575757575757576E-2</v>
      </c>
      <c r="E302" s="11">
        <f>INDEX(H$5:H$190,MATCH(LARGE(I$5:I$190,108),I$5:I$190,0))</f>
        <v>0</v>
      </c>
    </row>
    <row r="303" spans="1:5" ht="15" customHeight="1" x14ac:dyDescent="0.2">
      <c r="A303" s="3">
        <v>109</v>
      </c>
      <c r="B303" s="3" t="str">
        <f>INDEX($A$5:$A$190,MATCH(LARGE(I$5:I$190,109),I$5:I$190,0))</f>
        <v>BoardWindow: close()</v>
      </c>
      <c r="C303" s="11">
        <f>INDEX(F$5:F$190,MATCH(LARGE(I$5:I$190,109),I$5:I$190,0))</f>
        <v>5.2631578947368418E-2</v>
      </c>
      <c r="D303" s="11">
        <f>INDEX(G$5:G$190,MATCH(LARGE(I$5:I$190,109),I$5:I$190,0))</f>
        <v>4.5454545454545456E-2</v>
      </c>
      <c r="E303" s="11">
        <f>INDEX(H$5:H$190,MATCH(LARGE(I$5:I$190,109),I$5:I$190,0))</f>
        <v>0</v>
      </c>
    </row>
    <row r="304" spans="1:5" ht="15" customHeight="1" x14ac:dyDescent="0.2">
      <c r="A304" s="3">
        <v>110</v>
      </c>
      <c r="B304" s="3" t="str">
        <f>INDEX($A$5:$A$190,MATCH(LARGE(I$5:I$190,110),I$5:I$190,0))</f>
        <v>Compass: getDirection()</v>
      </c>
      <c r="C304" s="11">
        <f>INDEX(F$5:F$190,MATCH(LARGE(I$5:I$190,110),I$5:I$190,0))</f>
        <v>2.6315789473684209E-2</v>
      </c>
      <c r="D304" s="11">
        <f>INDEX(G$5:G$190,MATCH(LARGE(I$5:I$190,110),I$5:I$190,0))</f>
        <v>6.8181818181818177E-2</v>
      </c>
      <c r="E304" s="11">
        <f>INDEX(H$5:H$190,MATCH(LARGE(I$5:I$190,110),I$5:I$190,0))</f>
        <v>0</v>
      </c>
    </row>
    <row r="305" spans="1:5" ht="15" customHeight="1" x14ac:dyDescent="0.2">
      <c r="A305" s="3">
        <v>111</v>
      </c>
      <c r="B305" s="3" t="str">
        <f>INDEX($A$5:$A$190,MATCH(LARGE(I$5:I$190,111),I$5:I$190,0))</f>
        <v>Compass: getDirection()</v>
      </c>
      <c r="C305" s="11">
        <f>INDEX(F$5:F$190,MATCH(LARGE(I$5:I$190,111),I$5:I$190,0))</f>
        <v>2.6315789473684209E-2</v>
      </c>
      <c r="D305" s="11">
        <f>INDEX(G$5:G$190,MATCH(LARGE(I$5:I$190,111),I$5:I$190,0))</f>
        <v>6.8181818181818177E-2</v>
      </c>
      <c r="E305" s="11">
        <f>INDEX(H$5:H$190,MATCH(LARGE(I$5:I$190,111),I$5:I$190,0))</f>
        <v>0</v>
      </c>
    </row>
    <row r="306" spans="1:5" ht="15" customHeight="1" x14ac:dyDescent="0.2">
      <c r="A306" s="3">
        <v>112</v>
      </c>
      <c r="B306" s="3" t="str">
        <f>INDEX($A$5:$A$190,MATCH(LARGE(I$5:I$190,112),I$5:I$190,0))</f>
        <v>Compass: getDirection()</v>
      </c>
      <c r="C306" s="11">
        <f>INDEX(F$5:F$190,MATCH(LARGE(I$5:I$190,112),I$5:I$190,0))</f>
        <v>2.6315789473684209E-2</v>
      </c>
      <c r="D306" s="11">
        <f>INDEX(G$5:G$190,MATCH(LARGE(I$5:I$190,112),I$5:I$190,0))</f>
        <v>6.8181818181818177E-2</v>
      </c>
      <c r="E306" s="11">
        <f>INDEX(H$5:H$190,MATCH(LARGE(I$5:I$190,112),I$5:I$190,0))</f>
        <v>0</v>
      </c>
    </row>
    <row r="307" spans="1:5" ht="15" customHeight="1" x14ac:dyDescent="0.2">
      <c r="A307" s="3">
        <v>113</v>
      </c>
      <c r="B307" s="3" t="str">
        <f>INDEX($A$5:$A$190,MATCH(LARGE(I$5:I$190,113),I$5:I$190,0))</f>
        <v>Compass: getDirection()</v>
      </c>
      <c r="C307" s="11">
        <f>INDEX(F$5:F$190,MATCH(LARGE(I$5:I$190,113),I$5:I$190,0))</f>
        <v>2.6315789473684209E-2</v>
      </c>
      <c r="D307" s="11">
        <f>INDEX(G$5:G$190,MATCH(LARGE(I$5:I$190,113),I$5:I$190,0))</f>
        <v>6.8181818181818177E-2</v>
      </c>
      <c r="E307" s="11">
        <f>INDEX(H$5:H$190,MATCH(LARGE(I$5:I$190,113),I$5:I$190,0))</f>
        <v>0</v>
      </c>
    </row>
    <row r="308" spans="1:5" ht="15" customHeight="1" x14ac:dyDescent="0.2">
      <c r="A308" s="3">
        <v>114</v>
      </c>
      <c r="B308" s="3" t="str">
        <f>INDEX($A$5:$A$190,MATCH(LARGE(I$5:I$190,114),I$5:I$190,0))</f>
        <v>Compass: getDirection()</v>
      </c>
      <c r="C308" s="11">
        <f>INDEX(F$5:F$190,MATCH(LARGE(I$5:I$190,114),I$5:I$190,0))</f>
        <v>2.6315789473684209E-2</v>
      </c>
      <c r="D308" s="11">
        <f>INDEX(G$5:G$190,MATCH(LARGE(I$5:I$190,114),I$5:I$190,0))</f>
        <v>6.8181818181818177E-2</v>
      </c>
      <c r="E308" s="11">
        <f>INDEX(H$5:H$190,MATCH(LARGE(I$5:I$190,114),I$5:I$190,0))</f>
        <v>0</v>
      </c>
    </row>
    <row r="309" spans="1:5" ht="15" customHeight="1" x14ac:dyDescent="0.2">
      <c r="A309" s="3">
        <v>115</v>
      </c>
      <c r="B309" s="3" t="str">
        <f>INDEX($A$5:$A$190,MATCH(LARGE(I$5:I$190,115),I$5:I$190,0))</f>
        <v>Compass: getDirection()</v>
      </c>
      <c r="C309" s="11">
        <f>INDEX(F$5:F$190,MATCH(LARGE(I$5:I$190,115),I$5:I$190,0))</f>
        <v>2.6315789473684209E-2</v>
      </c>
      <c r="D309" s="11">
        <f>INDEX(G$5:G$190,MATCH(LARGE(I$5:I$190,115),I$5:I$190,0))</f>
        <v>6.8181818181818177E-2</v>
      </c>
      <c r="E309" s="11">
        <f>INDEX(H$5:H$190,MATCH(LARGE(I$5:I$190,115),I$5:I$190,0))</f>
        <v>0</v>
      </c>
    </row>
    <row r="310" spans="1:5" ht="15" customHeight="1" x14ac:dyDescent="0.2">
      <c r="A310" s="3">
        <v>116</v>
      </c>
      <c r="B310" s="3" t="str">
        <f>INDEX($A$5:$A$190,MATCH(LARGE(I$5:I$190,116),I$5:I$190,0))</f>
        <v>Compass: getDirection()</v>
      </c>
      <c r="C310" s="11">
        <f>INDEX(F$5:F$190,MATCH(LARGE(I$5:I$190,116),I$5:I$190,0))</f>
        <v>2.6315789473684209E-2</v>
      </c>
      <c r="D310" s="11">
        <f>INDEX(G$5:G$190,MATCH(LARGE(I$5:I$190,116),I$5:I$190,0))</f>
        <v>6.8181818181818177E-2</v>
      </c>
      <c r="E310" s="11">
        <f>INDEX(H$5:H$190,MATCH(LARGE(I$5:I$190,116),I$5:I$190,0))</f>
        <v>0</v>
      </c>
    </row>
    <row r="311" spans="1:5" ht="15" customHeight="1" x14ac:dyDescent="0.2">
      <c r="A311" s="3">
        <v>117</v>
      </c>
      <c r="B311" s="3" t="str">
        <f>INDEX($A$5:$A$190,MATCH(LARGE(I$5:I$190,117),I$5:I$190,0))</f>
        <v>Compass: getDirection()</v>
      </c>
      <c r="C311" s="11">
        <f>INDEX(F$5:F$190,MATCH(LARGE(I$5:I$190,117),I$5:I$190,0))</f>
        <v>2.6315789473684209E-2</v>
      </c>
      <c r="D311" s="11">
        <f>INDEX(G$5:G$190,MATCH(LARGE(I$5:I$190,117),I$5:I$190,0))</f>
        <v>6.8181818181818177E-2</v>
      </c>
      <c r="E311" s="11">
        <f>INDEX(H$5:H$190,MATCH(LARGE(I$5:I$190,117),I$5:I$190,0))</f>
        <v>0</v>
      </c>
    </row>
    <row r="312" spans="1:5" ht="15" customHeight="1" x14ac:dyDescent="0.2">
      <c r="A312" s="3">
        <v>118</v>
      </c>
      <c r="B312" s="3" t="str">
        <f>INDEX($A$5:$A$190,MATCH(LARGE(I$5:I$190,118),I$5:I$190,0))</f>
        <v>Move: toString()</v>
      </c>
      <c r="C312" s="11">
        <f>INDEX(F$5:F$190,MATCH(LARGE(I$5:I$190,118),I$5:I$190,0))</f>
        <v>2.6315789473684209E-2</v>
      </c>
      <c r="D312" s="11">
        <f>INDEX(G$5:G$190,MATCH(LARGE(I$5:I$190,118),I$5:I$190,0))</f>
        <v>6.0606060606060608E-2</v>
      </c>
      <c r="E312" s="11">
        <f>INDEX(H$5:H$190,MATCH(LARGE(I$5:I$190,118),I$5:I$190,0))</f>
        <v>0</v>
      </c>
    </row>
    <row r="313" spans="1:5" ht="15" customHeight="1" x14ac:dyDescent="0.2">
      <c r="A313" s="3">
        <v>119</v>
      </c>
      <c r="B313" s="3" t="str">
        <f>INDEX($A$5:$A$190,MATCH(LARGE(I$5:I$190,119),I$5:I$190,0))</f>
        <v>Move: toString()</v>
      </c>
      <c r="C313" s="11">
        <f>INDEX(F$5:F$190,MATCH(LARGE(I$5:I$190,119),I$5:I$190,0))</f>
        <v>2.6315789473684209E-2</v>
      </c>
      <c r="D313" s="11">
        <f>INDEX(G$5:G$190,MATCH(LARGE(I$5:I$190,119),I$5:I$190,0))</f>
        <v>6.0606060606060608E-2</v>
      </c>
      <c r="E313" s="11">
        <f>INDEX(H$5:H$190,MATCH(LARGE(I$5:I$190,119),I$5:I$190,0))</f>
        <v>0</v>
      </c>
    </row>
    <row r="314" spans="1:5" ht="15" customHeight="1" x14ac:dyDescent="0.2">
      <c r="A314" s="3">
        <v>120</v>
      </c>
      <c r="B314" s="3" t="str">
        <f>INDEX($A$5:$A$190,MATCH(LARGE(I$5:I$190,120),I$5:I$190,0))</f>
        <v>Move: toString()</v>
      </c>
      <c r="C314" s="11">
        <f>INDEX(F$5:F$190,MATCH(LARGE(I$5:I$190,120),I$5:I$190,0))</f>
        <v>2.6315789473684209E-2</v>
      </c>
      <c r="D314" s="11">
        <f>INDEX(G$5:G$190,MATCH(LARGE(I$5:I$190,120),I$5:I$190,0))</f>
        <v>6.0606060606060608E-2</v>
      </c>
      <c r="E314" s="11">
        <f>INDEX(H$5:H$190,MATCH(LARGE(I$5:I$190,120),I$5:I$190,0))</f>
        <v>0</v>
      </c>
    </row>
    <row r="315" spans="1:5" ht="15" customHeight="1" x14ac:dyDescent="0.2">
      <c r="A315" s="3">
        <v>121</v>
      </c>
      <c r="B315" s="3" t="str">
        <f>INDEX($A$5:$A$190,MATCH(LARGE(I$5:I$190,121),I$5:I$190,0))</f>
        <v>Fleet: Fleet()</v>
      </c>
      <c r="C315" s="11">
        <f>INDEX(F$5:F$190,MATCH(LARGE(I$5:I$190,121),I$5:I$190,0))</f>
        <v>2.6315789473684209E-2</v>
      </c>
      <c r="D315" s="11">
        <f>INDEX(G$5:G$190,MATCH(LARGE(I$5:I$190,121),I$5:I$190,0))</f>
        <v>5.3030303030303032E-2</v>
      </c>
      <c r="E315" s="11">
        <f>INDEX(H$5:H$190,MATCH(LARGE(I$5:I$190,121),I$5:I$190,0))</f>
        <v>0</v>
      </c>
    </row>
    <row r="316" spans="1:5" ht="15" customHeight="1" x14ac:dyDescent="0.2">
      <c r="A316" s="3">
        <v>122</v>
      </c>
      <c r="B316" s="3" t="str">
        <f>INDEX($A$5:$A$190,MATCH(LARGE(I$5:I$190,122),I$5:I$190,0))</f>
        <v>Fleet: Fleet()</v>
      </c>
      <c r="C316" s="11">
        <f>INDEX(F$5:F$190,MATCH(LARGE(I$5:I$190,122),I$5:I$190,0))</f>
        <v>2.6315789473684209E-2</v>
      </c>
      <c r="D316" s="11">
        <f>INDEX(G$5:G$190,MATCH(LARGE(I$5:I$190,122),I$5:I$190,0))</f>
        <v>5.3030303030303032E-2</v>
      </c>
      <c r="E316" s="11">
        <f>INDEX(H$5:H$190,MATCH(LARGE(I$5:I$190,122),I$5:I$190,0))</f>
        <v>0</v>
      </c>
    </row>
    <row r="317" spans="1:5" ht="15" customHeight="1" x14ac:dyDescent="0.2">
      <c r="A317" s="3">
        <v>123</v>
      </c>
      <c r="B317" s="3" t="str">
        <f>INDEX($A$5:$A$190,MATCH(LARGE(I$5:I$190,123),I$5:I$190,0))</f>
        <v>Fleet: Fleet()</v>
      </c>
      <c r="C317" s="11">
        <f>INDEX(F$5:F$190,MATCH(LARGE(I$5:I$190,123),I$5:I$190,0))</f>
        <v>2.6315789473684209E-2</v>
      </c>
      <c r="D317" s="11">
        <f>INDEX(G$5:G$190,MATCH(LARGE(I$5:I$190,123),I$5:I$190,0))</f>
        <v>5.3030303030303032E-2</v>
      </c>
      <c r="E317" s="11">
        <f>INDEX(H$5:H$190,MATCH(LARGE(I$5:I$190,123),I$5:I$190,0))</f>
        <v>0</v>
      </c>
    </row>
    <row r="318" spans="1:5" ht="15" customHeight="1" x14ac:dyDescent="0.2">
      <c r="A318" s="3">
        <v>124</v>
      </c>
      <c r="B318" s="3" t="str">
        <f>INDEX($A$5:$A$190,MATCH(LARGE(I$5:I$190,124),I$5:I$190,0))</f>
        <v>Fleet: Fleet()</v>
      </c>
      <c r="C318" s="11">
        <f>INDEX(F$5:F$190,MATCH(LARGE(I$5:I$190,124),I$5:I$190,0))</f>
        <v>2.6315789473684209E-2</v>
      </c>
      <c r="D318" s="11">
        <f>INDEX(G$5:G$190,MATCH(LARGE(I$5:I$190,124),I$5:I$190,0))</f>
        <v>5.3030303030303032E-2</v>
      </c>
      <c r="E318" s="11">
        <f>INDEX(H$5:H$190,MATCH(LARGE(I$5:I$190,124),I$5:I$190,0))</f>
        <v>0</v>
      </c>
    </row>
    <row r="319" spans="1:5" ht="15" customHeight="1" x14ac:dyDescent="0.2">
      <c r="A319" s="3">
        <v>125</v>
      </c>
      <c r="B319" s="3" t="str">
        <f>INDEX($A$5:$A$190,MATCH(LARGE(I$5:I$190,125),I$5:I$190,0))</f>
        <v>Fleet: Fleet()</v>
      </c>
      <c r="C319" s="11">
        <f>INDEX(F$5:F$190,MATCH(LARGE(I$5:I$190,125),I$5:I$190,0))</f>
        <v>2.6315789473684209E-2</v>
      </c>
      <c r="D319" s="11">
        <f>INDEX(G$5:G$190,MATCH(LARGE(I$5:I$190,125),I$5:I$190,0))</f>
        <v>5.3030303030303032E-2</v>
      </c>
      <c r="E319" s="11">
        <f>INDEX(H$5:H$190,MATCH(LARGE(I$5:I$190,125),I$5:I$190,0))</f>
        <v>0</v>
      </c>
    </row>
    <row r="320" spans="1:5" ht="15" customHeight="1" x14ac:dyDescent="0.2">
      <c r="A320" s="3">
        <v>126</v>
      </c>
      <c r="B320" s="3" t="str">
        <f>INDEX($A$5:$A$190,MATCH(LARGE(I$5:I$190,126),I$5:I$190,0))</f>
        <v>Fleet: Fleet()</v>
      </c>
      <c r="C320" s="11">
        <f>INDEX(F$5:F$190,MATCH(LARGE(I$5:I$190,126),I$5:I$190,0))</f>
        <v>2.6315789473684209E-2</v>
      </c>
      <c r="D320" s="11">
        <f>INDEX(G$5:G$190,MATCH(LARGE(I$5:I$190,126),I$5:I$190,0))</f>
        <v>5.3030303030303032E-2</v>
      </c>
      <c r="E320" s="11">
        <f>INDEX(H$5:H$190,MATCH(LARGE(I$5:I$190,126),I$5:I$190,0))</f>
        <v>0</v>
      </c>
    </row>
    <row r="321" spans="1:5" ht="15" customHeight="1" x14ac:dyDescent="0.2">
      <c r="A321" s="3">
        <v>127</v>
      </c>
      <c r="B321" s="3" t="str">
        <f>INDEX($A$5:$A$190,MATCH(LARGE(I$5:I$190,127),I$5:I$190,0))</f>
        <v>Fleet: Fleet()</v>
      </c>
      <c r="C321" s="11">
        <f>INDEX(F$5:F$190,MATCH(LARGE(I$5:I$190,127),I$5:I$190,0))</f>
        <v>2.6315789473684209E-2</v>
      </c>
      <c r="D321" s="11">
        <f>INDEX(G$5:G$190,MATCH(LARGE(I$5:I$190,127),I$5:I$190,0))</f>
        <v>5.3030303030303032E-2</v>
      </c>
      <c r="E321" s="11">
        <f>INDEX(H$5:H$190,MATCH(LARGE(I$5:I$190,127),I$5:I$190,0))</f>
        <v>0</v>
      </c>
    </row>
    <row r="322" spans="1:5" ht="15" customHeight="1" x14ac:dyDescent="0.2">
      <c r="A322" s="3">
        <v>128</v>
      </c>
      <c r="B322" s="3" t="str">
        <f>INDEX($A$5:$A$190,MATCH(LARGE(I$5:I$190,128),I$5:I$190,0))</f>
        <v>Game: getRemainingShips()</v>
      </c>
      <c r="C322" s="11">
        <f>INDEX(F$5:F$190,MATCH(LARGE(I$5:I$190,128),I$5:I$190,0))</f>
        <v>2.6315789473684209E-2</v>
      </c>
      <c r="D322" s="11">
        <f>INDEX(G$5:G$190,MATCH(LARGE(I$5:I$190,128),I$5:I$190,0))</f>
        <v>4.5454545454545456E-2</v>
      </c>
      <c r="E322" s="11">
        <f>INDEX(H$5:H$190,MATCH(LARGE(I$5:I$190,128),I$5:I$190,0))</f>
        <v>0</v>
      </c>
    </row>
    <row r="323" spans="1:5" ht="15" customHeight="1" x14ac:dyDescent="0.2">
      <c r="A323" s="3">
        <v>129</v>
      </c>
      <c r="B323" s="3" t="str">
        <f>INDEX($A$5:$A$190,MATCH(LARGE(I$5:I$190,129),I$5:I$190,0))</f>
        <v>Game: getAlienFleet()</v>
      </c>
      <c r="C323" s="11">
        <f>INDEX(F$5:F$190,MATCH(LARGE(I$5:I$190,129),I$5:I$190,0))</f>
        <v>2.6315789473684209E-2</v>
      </c>
      <c r="D323" s="11">
        <f>INDEX(G$5:G$190,MATCH(LARGE(I$5:I$190,129),I$5:I$190,0))</f>
        <v>3.787878787878788E-2</v>
      </c>
      <c r="E323" s="11">
        <f>INDEX(H$5:H$190,MATCH(LARGE(I$5:I$190,129),I$5:I$190,0))</f>
        <v>0</v>
      </c>
    </row>
    <row r="324" spans="1:5" ht="15" customHeight="1" x14ac:dyDescent="0.2">
      <c r="A324" s="3">
        <v>130</v>
      </c>
      <c r="B324" s="3" t="str">
        <f>INDEX($A$5:$A$190,MATCH(LARGE(I$5:I$190,130),I$5:I$190,0))</f>
        <v>Game: getAlienFleet()</v>
      </c>
      <c r="C324" s="11">
        <f>INDEX(F$5:F$190,MATCH(LARGE(I$5:I$190,130),I$5:I$190,0))</f>
        <v>2.6315789473684209E-2</v>
      </c>
      <c r="D324" s="11">
        <f>INDEX(G$5:G$190,MATCH(LARGE(I$5:I$190,130),I$5:I$190,0))</f>
        <v>3.787878787878788E-2</v>
      </c>
      <c r="E324" s="11">
        <f>INDEX(H$5:H$190,MATCH(LARGE(I$5:I$190,130),I$5:I$190,0))</f>
        <v>0</v>
      </c>
    </row>
    <row r="325" spans="1:5" ht="15" customHeight="1" x14ac:dyDescent="0.2">
      <c r="A325" s="3">
        <v>131</v>
      </c>
      <c r="B325" s="3" t="str">
        <f>INDEX($A$5:$A$190,MATCH(LARGE(I$5:I$190,131),I$5:I$190,0))</f>
        <v>Game: getAlienFleet()</v>
      </c>
      <c r="C325" s="11">
        <f>INDEX(F$5:F$190,MATCH(LARGE(I$5:I$190,131),I$5:I$190,0))</f>
        <v>2.6315789473684209E-2</v>
      </c>
      <c r="D325" s="11">
        <f>INDEX(G$5:G$190,MATCH(LARGE(I$5:I$190,131),I$5:I$190,0))</f>
        <v>3.787878787878788E-2</v>
      </c>
      <c r="E325" s="11">
        <f>INDEX(H$5:H$190,MATCH(LARGE(I$5:I$190,131),I$5:I$190,0))</f>
        <v>0</v>
      </c>
    </row>
    <row r="326" spans="1:5" ht="15" customHeight="1" x14ac:dyDescent="0.2">
      <c r="A326" s="3">
        <v>132</v>
      </c>
      <c r="B326" s="3" t="str">
        <f>INDEX($A$5:$A$190,MATCH(LARGE(I$5:I$190,132),I$5:I$190,0))</f>
        <v>Game: getAlienFleet()</v>
      </c>
      <c r="C326" s="11">
        <f>INDEX(F$5:F$190,MATCH(LARGE(I$5:I$190,132),I$5:I$190,0))</f>
        <v>2.6315789473684209E-2</v>
      </c>
      <c r="D326" s="11">
        <f>INDEX(G$5:G$190,MATCH(LARGE(I$5:I$190,132),I$5:I$190,0))</f>
        <v>3.787878787878788E-2</v>
      </c>
      <c r="E326" s="11">
        <f>INDEX(H$5:H$190,MATCH(LARGE(I$5:I$190,132),I$5:I$190,0))</f>
        <v>0</v>
      </c>
    </row>
    <row r="327" spans="1:5" ht="15" customHeight="1" x14ac:dyDescent="0.2">
      <c r="A327" s="3">
        <v>133</v>
      </c>
      <c r="B327" s="3" t="str">
        <f>INDEX($A$5:$A$190,MATCH(LARGE(I$5:I$190,133),I$5:I$190,0))</f>
        <v>Game: getAlienFleet()</v>
      </c>
      <c r="C327" s="11">
        <f>INDEX(F$5:F$190,MATCH(LARGE(I$5:I$190,133),I$5:I$190,0))</f>
        <v>2.6315789473684209E-2</v>
      </c>
      <c r="D327" s="11">
        <f>INDEX(G$5:G$190,MATCH(LARGE(I$5:I$190,133),I$5:I$190,0))</f>
        <v>3.787878787878788E-2</v>
      </c>
      <c r="E327" s="11">
        <f>INDEX(H$5:H$190,MATCH(LARGE(I$5:I$190,133),I$5:I$190,0))</f>
        <v>0</v>
      </c>
    </row>
    <row r="328" spans="1:5" ht="15" customHeight="1" x14ac:dyDescent="0.2">
      <c r="A328" s="3">
        <v>134</v>
      </c>
      <c r="B328" s="3" t="str">
        <f>INDEX($A$5:$A$190,MATCH(LARGE(I$5:I$190,134),I$5:I$190,0))</f>
        <v>Game: getAlienFleet()</v>
      </c>
      <c r="C328" s="11">
        <f>INDEX(F$5:F$190,MATCH(LARGE(I$5:I$190,134),I$5:I$190,0))</f>
        <v>2.6315789473684209E-2</v>
      </c>
      <c r="D328" s="11">
        <f>INDEX(G$5:G$190,MATCH(LARGE(I$5:I$190,134),I$5:I$190,0))</f>
        <v>3.787878787878788E-2</v>
      </c>
      <c r="E328" s="11">
        <f>INDEX(H$5:H$190,MATCH(LARGE(I$5:I$190,134),I$5:I$190,0))</f>
        <v>0</v>
      </c>
    </row>
    <row r="329" spans="1:5" ht="15" customHeight="1" x14ac:dyDescent="0.2">
      <c r="A329" s="3">
        <v>135</v>
      </c>
      <c r="B329" s="3" t="str">
        <f>INDEX($A$5:$A$190,MATCH(LARGE(I$5:I$190,135),I$5:I$190,0))</f>
        <v>Game: getAlienFleet()</v>
      </c>
      <c r="C329" s="11">
        <f>INDEX(F$5:F$190,MATCH(LARGE(I$5:I$190,135),I$5:I$190,0))</f>
        <v>2.6315789473684209E-2</v>
      </c>
      <c r="D329" s="11">
        <f>INDEX(G$5:G$190,MATCH(LARGE(I$5:I$190,135),I$5:I$190,0))</f>
        <v>3.787878787878788E-2</v>
      </c>
      <c r="E329" s="11">
        <f>INDEX(H$5:H$190,MATCH(LARGE(I$5:I$190,135),I$5:I$190,0))</f>
        <v>0</v>
      </c>
    </row>
    <row r="330" spans="1:5" ht="15" customHeight="1" x14ac:dyDescent="0.2">
      <c r="A330" s="3">
        <v>136</v>
      </c>
      <c r="B330" s="3" t="str">
        <f>INDEX($A$5:$A$190,MATCH(LARGE(I$5:I$190,136),I$5:I$190,0))</f>
        <v>Game: getAlienFleet()</v>
      </c>
      <c r="C330" s="11">
        <f>INDEX(F$5:F$190,MATCH(LARGE(I$5:I$190,136),I$5:I$190,0))</f>
        <v>2.6315789473684209E-2</v>
      </c>
      <c r="D330" s="11">
        <f>INDEX(G$5:G$190,MATCH(LARGE(I$5:I$190,136),I$5:I$190,0))</f>
        <v>3.787878787878788E-2</v>
      </c>
      <c r="E330" s="11">
        <f>INDEX(H$5:H$190,MATCH(LARGE(I$5:I$190,136),I$5:I$190,0))</f>
        <v>0</v>
      </c>
    </row>
    <row r="331" spans="1:5" ht="15" customHeight="1" x14ac:dyDescent="0.2">
      <c r="A331" s="3">
        <v>137</v>
      </c>
      <c r="B331" s="3" t="str">
        <f>INDEX($A$5:$A$190,MATCH(LARGE(I$5:I$190,137),I$5:I$190,0))</f>
        <v>Move: getNumber()</v>
      </c>
      <c r="C331" s="11">
        <f>INDEX(F$5:F$190,MATCH(LARGE(I$5:I$190,137),I$5:I$190,0))</f>
        <v>2.6315789473684209E-2</v>
      </c>
      <c r="D331" s="11">
        <f>INDEX(G$5:G$190,MATCH(LARGE(I$5:I$190,137),I$5:I$190,0))</f>
        <v>3.0303030303030304E-2</v>
      </c>
      <c r="E331" s="11">
        <f>INDEX(H$5:H$190,MATCH(LARGE(I$5:I$190,137),I$5:I$190,0))</f>
        <v>0</v>
      </c>
    </row>
    <row r="332" spans="1:5" ht="15" customHeight="1" x14ac:dyDescent="0.2">
      <c r="A332" s="3">
        <v>138</v>
      </c>
      <c r="B332" s="3" t="str">
        <f>INDEX($A$5:$A$190,MATCH(LARGE(I$5:I$190,138),I$5:I$190,0))</f>
        <v>Move: getNumber()</v>
      </c>
      <c r="C332" s="11">
        <f>INDEX(F$5:F$190,MATCH(LARGE(I$5:I$190,138),I$5:I$190,0))</f>
        <v>2.6315789473684209E-2</v>
      </c>
      <c r="D332" s="11">
        <f>INDEX(G$5:G$190,MATCH(LARGE(I$5:I$190,138),I$5:I$190,0))</f>
        <v>3.0303030303030304E-2</v>
      </c>
      <c r="E332" s="11">
        <f>INDEX(H$5:H$190,MATCH(LARGE(I$5:I$190,138),I$5:I$190,0))</f>
        <v>0</v>
      </c>
    </row>
    <row r="333" spans="1:5" ht="15" customHeight="1" x14ac:dyDescent="0.2">
      <c r="A333" s="3">
        <v>139</v>
      </c>
      <c r="B333" s="3" t="str">
        <f>INDEX($A$5:$A$190,MATCH(LARGE(I$5:I$190,139),I$5:I$190,0))</f>
        <v>Move: getNumber()</v>
      </c>
      <c r="C333" s="11">
        <f>INDEX(F$5:F$190,MATCH(LARGE(I$5:I$190,139),I$5:I$190,0))</f>
        <v>2.6315789473684209E-2</v>
      </c>
      <c r="D333" s="11">
        <f>INDEX(G$5:G$190,MATCH(LARGE(I$5:I$190,139),I$5:I$190,0))</f>
        <v>3.0303030303030304E-2</v>
      </c>
      <c r="E333" s="11">
        <f>INDEX(H$5:H$190,MATCH(LARGE(I$5:I$190,139),I$5:I$190,0))</f>
        <v>0</v>
      </c>
    </row>
    <row r="334" spans="1:5" ht="15" customHeight="1" x14ac:dyDescent="0.2">
      <c r="A334" s="3">
        <v>140</v>
      </c>
      <c r="B334" s="3" t="str">
        <f>INDEX($A$5:$A$190,MATCH(LARGE(I$5:I$190,140),I$5:I$190,0))</f>
        <v>GameResult: GameResult()</v>
      </c>
      <c r="C334" s="11">
        <f>INDEX(F$5:F$190,MATCH(LARGE(I$5:I$190,140),I$5:I$190,0))</f>
        <v>2.6315789473684209E-2</v>
      </c>
      <c r="D334" s="11">
        <f>INDEX(G$5:G$190,MATCH(LARGE(I$5:I$190,140),I$5:I$190,0))</f>
        <v>2.2727272727272728E-2</v>
      </c>
      <c r="E334" s="11">
        <f>INDEX(H$5:H$190,MATCH(LARGE(I$5:I$190,140),I$5:I$190,0))</f>
        <v>0</v>
      </c>
    </row>
    <row r="335" spans="1:5" ht="15" customHeight="1" x14ac:dyDescent="0.2">
      <c r="A335" s="3">
        <v>141</v>
      </c>
      <c r="B335" s="3" t="str">
        <f>INDEX($A$5:$A$190,MATCH(LARGE(I$5:I$190,141),I$5:I$190,0))</f>
        <v>GameResult: getDate()</v>
      </c>
      <c r="C335" s="11">
        <f>INDEX(F$5:F$190,MATCH(LARGE(I$5:I$190,141),I$5:I$190,0))</f>
        <v>2.6315789473684209E-2</v>
      </c>
      <c r="D335" s="11">
        <f>INDEX(G$5:G$190,MATCH(LARGE(I$5:I$190,141),I$5:I$190,0))</f>
        <v>7.575757575757576E-3</v>
      </c>
      <c r="E335" s="11">
        <f>INDEX(H$5:H$190,MATCH(LARGE(I$5:I$190,141),I$5:I$190,0))</f>
        <v>0</v>
      </c>
    </row>
    <row r="336" spans="1:5" ht="15" customHeight="1" x14ac:dyDescent="0.2">
      <c r="A336" s="3">
        <v>142</v>
      </c>
      <c r="B336" s="3" t="str">
        <f>INDEX($A$5:$A$190,MATCH(LARGE(I$5:I$190,142),I$5:I$190,0))</f>
        <v>GameResult: getDate()</v>
      </c>
      <c r="C336" s="11">
        <f>INDEX(F$5:F$190,MATCH(LARGE(I$5:I$190,142),I$5:I$190,0))</f>
        <v>2.6315789473684209E-2</v>
      </c>
      <c r="D336" s="11">
        <f>INDEX(G$5:G$190,MATCH(LARGE(I$5:I$190,142),I$5:I$190,0))</f>
        <v>7.575757575757576E-3</v>
      </c>
      <c r="E336" s="11">
        <f>INDEX(H$5:H$190,MATCH(LARGE(I$5:I$190,142),I$5:I$190,0))</f>
        <v>0</v>
      </c>
    </row>
    <row r="337" spans="1:5" ht="15" customHeight="1" x14ac:dyDescent="0.2">
      <c r="A337" s="3">
        <v>143</v>
      </c>
      <c r="B337" s="3" t="str">
        <f>INDEX($A$5:$A$190,MATCH(LARGE(I$5:I$190,143),I$5:I$190,0))</f>
        <v>GameResult: getDate()</v>
      </c>
      <c r="C337" s="11">
        <f>INDEX(F$5:F$190,MATCH(LARGE(I$5:I$190,143),I$5:I$190,0))</f>
        <v>2.6315789473684209E-2</v>
      </c>
      <c r="D337" s="11">
        <f>INDEX(G$5:G$190,MATCH(LARGE(I$5:I$190,143),I$5:I$190,0))</f>
        <v>7.575757575757576E-3</v>
      </c>
      <c r="E337" s="11">
        <f>INDEX(H$5:H$190,MATCH(LARGE(I$5:I$190,143),I$5:I$190,0))</f>
        <v>0</v>
      </c>
    </row>
    <row r="338" spans="1:5" ht="15" customHeight="1" x14ac:dyDescent="0.2">
      <c r="A338" s="3">
        <v>144</v>
      </c>
      <c r="B338" s="3" t="str">
        <f>INDEX($A$5:$A$190,MATCH(LARGE(I$5:I$190,144),I$5:I$190,0))</f>
        <v>GameResult: getDate()</v>
      </c>
      <c r="C338" s="11">
        <f>INDEX(F$5:F$190,MATCH(LARGE(I$5:I$190,144),I$5:I$190,0))</f>
        <v>2.6315789473684209E-2</v>
      </c>
      <c r="D338" s="11">
        <f>INDEX(G$5:G$190,MATCH(LARGE(I$5:I$190,144),I$5:I$190,0))</f>
        <v>7.575757575757576E-3</v>
      </c>
      <c r="E338" s="11">
        <f>INDEX(H$5:H$190,MATCH(LARGE(I$5:I$190,144),I$5:I$190,0))</f>
        <v>0</v>
      </c>
    </row>
    <row r="339" spans="1:5" ht="15" customHeight="1" x14ac:dyDescent="0.2">
      <c r="A339" s="3">
        <v>145</v>
      </c>
      <c r="B339" s="3" t="str">
        <f>INDEX($A$5:$A$190,MATCH(LARGE(I$5:I$190,145),I$5:I$190,0))</f>
        <v>Compass: values()</v>
      </c>
      <c r="C339" s="11">
        <f>INDEX(F$5:F$190,MATCH(LARGE(I$5:I$190,145),I$5:I$190,0))</f>
        <v>2.6315789473684209E-2</v>
      </c>
      <c r="D339" s="11">
        <f>INDEX(G$5:G$190,MATCH(LARGE(I$5:I$190,145),I$5:I$190,0))</f>
        <v>0</v>
      </c>
      <c r="E339" s="11">
        <f>INDEX(H$5:H$190,MATCH(LARGE(I$5:I$190,145),I$5:I$190,0))</f>
        <v>0</v>
      </c>
    </row>
    <row r="340" spans="1:5" ht="15" customHeight="1" x14ac:dyDescent="0.2">
      <c r="A340" s="3">
        <v>146</v>
      </c>
      <c r="B340" s="3" t="str">
        <f>INDEX($A$5:$A$190,MATCH(LARGE(I$5:I$190,146),I$5:I$190,0))</f>
        <v>Compass: values()</v>
      </c>
      <c r="C340" s="11">
        <f>INDEX(F$5:F$190,MATCH(LARGE(I$5:I$190,146),I$5:I$190,0))</f>
        <v>2.6315789473684209E-2</v>
      </c>
      <c r="D340" s="11">
        <f>INDEX(G$5:G$190,MATCH(LARGE(I$5:I$190,146),I$5:I$190,0))</f>
        <v>0</v>
      </c>
      <c r="E340" s="11">
        <f>INDEX(H$5:H$190,MATCH(LARGE(I$5:I$190,146),I$5:I$190,0))</f>
        <v>0</v>
      </c>
    </row>
    <row r="341" spans="1:5" ht="15" customHeight="1" x14ac:dyDescent="0.2">
      <c r="A341" s="3">
        <v>147</v>
      </c>
      <c r="B341" s="3" t="str">
        <f>INDEX($A$5:$A$190,MATCH(LARGE(I$5:I$190,147),I$5:I$190,0))</f>
        <v>Compass: values()</v>
      </c>
      <c r="C341" s="11">
        <f>INDEX(F$5:F$190,MATCH(LARGE(I$5:I$190,147),I$5:I$190,0))</f>
        <v>2.6315789473684209E-2</v>
      </c>
      <c r="D341" s="11">
        <f>INDEX(G$5:G$190,MATCH(LARGE(I$5:I$190,147),I$5:I$190,0))</f>
        <v>0</v>
      </c>
      <c r="E341" s="11">
        <f>INDEX(H$5:H$190,MATCH(LARGE(I$5:I$190,147),I$5:I$190,0))</f>
        <v>0</v>
      </c>
    </row>
    <row r="342" spans="1:5" ht="15" customHeight="1" x14ac:dyDescent="0.2">
      <c r="A342" s="3">
        <v>148</v>
      </c>
      <c r="B342" s="3" t="str">
        <f>INDEX($A$5:$A$190,MATCH(LARGE(I$5:I$190,148),I$5:I$190,0))</f>
        <v>Compass: values()</v>
      </c>
      <c r="C342" s="11">
        <f>INDEX(F$5:F$190,MATCH(LARGE(I$5:I$190,148),I$5:I$190,0))</f>
        <v>2.6315789473684209E-2</v>
      </c>
      <c r="D342" s="11">
        <f>INDEX(G$5:G$190,MATCH(LARGE(I$5:I$190,148),I$5:I$190,0))</f>
        <v>0</v>
      </c>
      <c r="E342" s="11">
        <f>INDEX(H$5:H$190,MATCH(LARGE(I$5:I$190,148),I$5:I$190,0))</f>
        <v>0</v>
      </c>
    </row>
    <row r="343" spans="1:5" ht="15" customHeight="1" x14ac:dyDescent="0.2">
      <c r="A343" s="3">
        <v>149</v>
      </c>
      <c r="B343" s="3" t="str">
        <f>INDEX($A$5:$A$190,MATCH(LARGE(I$5:I$190,149),I$5:I$190,0))</f>
        <v>Compass: values()</v>
      </c>
      <c r="C343" s="11">
        <f>INDEX(F$5:F$190,MATCH(LARGE(I$5:I$190,149),I$5:I$190,0))</f>
        <v>2.6315789473684209E-2</v>
      </c>
      <c r="D343" s="11">
        <f>INDEX(G$5:G$190,MATCH(LARGE(I$5:I$190,149),I$5:I$190,0))</f>
        <v>0</v>
      </c>
      <c r="E343" s="11">
        <f>INDEX(H$5:H$190,MATCH(LARGE(I$5:I$190,149),I$5:I$190,0))</f>
        <v>0</v>
      </c>
    </row>
    <row r="344" spans="1:5" ht="15" customHeight="1" x14ac:dyDescent="0.2">
      <c r="A344" s="3">
        <v>150</v>
      </c>
      <c r="B344" s="3" t="str">
        <f>INDEX($A$5:$A$190,MATCH(LARGE(I$5:I$190,150),I$5:I$190,0))</f>
        <v>Compass: values()</v>
      </c>
      <c r="C344" s="11">
        <f>INDEX(F$5:F$190,MATCH(LARGE(I$5:I$190,150),I$5:I$190,0))</f>
        <v>2.6315789473684209E-2</v>
      </c>
      <c r="D344" s="11">
        <f>INDEX(G$5:G$190,MATCH(LARGE(I$5:I$190,150),I$5:I$190,0))</f>
        <v>0</v>
      </c>
      <c r="E344" s="11">
        <f>INDEX(H$5:H$190,MATCH(LARGE(I$5:I$190,150),I$5:I$190,0))</f>
        <v>0</v>
      </c>
    </row>
    <row r="345" spans="1:5" ht="15" customHeight="1" x14ac:dyDescent="0.2">
      <c r="A345" s="3">
        <v>151</v>
      </c>
      <c r="B345" s="3" t="str">
        <f>INDEX($A$5:$A$190,MATCH(LARGE(I$5:I$190,151),I$5:I$190,0))</f>
        <v>Compass: values()</v>
      </c>
      <c r="C345" s="11">
        <f>INDEX(F$5:F$190,MATCH(LARGE(I$5:I$190,151),I$5:I$190,0))</f>
        <v>2.6315789473684209E-2</v>
      </c>
      <c r="D345" s="11">
        <f>INDEX(G$5:G$190,MATCH(LARGE(I$5:I$190,151),I$5:I$190,0))</f>
        <v>0</v>
      </c>
      <c r="E345" s="11">
        <f>INDEX(H$5:H$190,MATCH(LARGE(I$5:I$190,151),I$5:I$190,0))</f>
        <v>0</v>
      </c>
    </row>
    <row r="346" spans="1:5" ht="15" customHeight="1" x14ac:dyDescent="0.2">
      <c r="A346" s="3">
        <v>152</v>
      </c>
      <c r="B346" s="3" t="str">
        <f>INDEX($A$5:$A$190,MATCH(LARGE(I$5:I$190,152),I$5:I$190,0))</f>
        <v>Compass: values()</v>
      </c>
      <c r="C346" s="11">
        <f>INDEX(F$5:F$190,MATCH(LARGE(I$5:I$190,152),I$5:I$190,0))</f>
        <v>2.6315789473684209E-2</v>
      </c>
      <c r="D346" s="11">
        <f>INDEX(G$5:G$190,MATCH(LARGE(I$5:I$190,152),I$5:I$190,0))</f>
        <v>0</v>
      </c>
      <c r="E346" s="11">
        <f>INDEX(H$5:H$190,MATCH(LARGE(I$5:I$190,152),I$5:I$190,0))</f>
        <v>0</v>
      </c>
    </row>
    <row r="347" spans="1:5" ht="15" customHeight="1" x14ac:dyDescent="0.2">
      <c r="A347" s="3">
        <v>153</v>
      </c>
      <c r="B347" s="3" t="str">
        <f>INDEX($A$5:$A$190,MATCH(LARGE(I$5:I$190,153),I$5:I$190,0))</f>
        <v>Compass: values()</v>
      </c>
      <c r="C347" s="11">
        <f>INDEX(F$5:F$190,MATCH(LARGE(I$5:I$190,153),I$5:I$190,0))</f>
        <v>2.6315789473684209E-2</v>
      </c>
      <c r="D347" s="11">
        <f>INDEX(G$5:G$190,MATCH(LARGE(I$5:I$190,153),I$5:I$190,0))</f>
        <v>0</v>
      </c>
      <c r="E347" s="11">
        <f>INDEX(H$5:H$190,MATCH(LARGE(I$5:I$190,153),I$5:I$190,0))</f>
        <v>0</v>
      </c>
    </row>
    <row r="348" spans="1:5" ht="15" customHeight="1" x14ac:dyDescent="0.2">
      <c r="A348" s="3">
        <v>154</v>
      </c>
      <c r="B348" s="3" t="str">
        <f>INDEX($A$5:$A$190,MATCH(LARGE(I$5:I$190,154),I$5:I$190,0))</f>
        <v>Compass: values()</v>
      </c>
      <c r="C348" s="11">
        <f>INDEX(F$5:F$190,MATCH(LARGE(I$5:I$190,154),I$5:I$190,0))</f>
        <v>2.6315789473684209E-2</v>
      </c>
      <c r="D348" s="11">
        <f>INDEX(G$5:G$190,MATCH(LARGE(I$5:I$190,154),I$5:I$190,0))</f>
        <v>0</v>
      </c>
      <c r="E348" s="11">
        <f>INDEX(H$5:H$190,MATCH(LARGE(I$5:I$190,154),I$5:I$190,0))</f>
        <v>0</v>
      </c>
    </row>
    <row r="349" spans="1:5" ht="15" customHeight="1" x14ac:dyDescent="0.2">
      <c r="A349" s="3">
        <v>155</v>
      </c>
      <c r="B349" s="3" t="str">
        <f>INDEX($A$5:$A$190,MATCH(LARGE(I$5:I$190,155),I$5:I$190,0))</f>
        <v>Compass: values()</v>
      </c>
      <c r="C349" s="11">
        <f>INDEX(F$5:F$190,MATCH(LARGE(I$5:I$190,155),I$5:I$190,0))</f>
        <v>2.6315789473684209E-2</v>
      </c>
      <c r="D349" s="11">
        <f>INDEX(G$5:G$190,MATCH(LARGE(I$5:I$190,155),I$5:I$190,0))</f>
        <v>0</v>
      </c>
      <c r="E349" s="11">
        <f>INDEX(H$5:H$190,MATCH(LARGE(I$5:I$190,155),I$5:I$190,0))</f>
        <v>0</v>
      </c>
    </row>
    <row r="350" spans="1:5" ht="15" customHeight="1" x14ac:dyDescent="0.2">
      <c r="A350" s="3">
        <v>156</v>
      </c>
      <c r="B350" s="3" t="str">
        <f>INDEX($A$5:$A$190,MATCH(LARGE(I$5:I$190,156),I$5:I$190,0))</f>
        <v>Compass: values()</v>
      </c>
      <c r="C350" s="11">
        <f>INDEX(F$5:F$190,MATCH(LARGE(I$5:I$190,156),I$5:I$190,0))</f>
        <v>2.6315789473684209E-2</v>
      </c>
      <c r="D350" s="11">
        <f>INDEX(G$5:G$190,MATCH(LARGE(I$5:I$190,156),I$5:I$190,0))</f>
        <v>0</v>
      </c>
      <c r="E350" s="11">
        <f>INDEX(H$5:H$190,MATCH(LARGE(I$5:I$190,156),I$5:I$190,0))</f>
        <v>0</v>
      </c>
    </row>
    <row r="351" spans="1:5" ht="15" customHeight="1" x14ac:dyDescent="0.2">
      <c r="A351" s="3">
        <v>157</v>
      </c>
      <c r="B351" s="3" t="str">
        <f>INDEX($A$5:$A$190,MATCH(LARGE(I$5:I$190,157),I$5:I$190,0))</f>
        <v>Compass: values()</v>
      </c>
      <c r="C351" s="11">
        <f>INDEX(F$5:F$190,MATCH(LARGE(I$5:I$190,157),I$5:I$190,0))</f>
        <v>2.6315789473684209E-2</v>
      </c>
      <c r="D351" s="11">
        <f>INDEX(G$5:G$190,MATCH(LARGE(I$5:I$190,157),I$5:I$190,0))</f>
        <v>0</v>
      </c>
      <c r="E351" s="11">
        <f>INDEX(H$5:H$190,MATCH(LARGE(I$5:I$190,157),I$5:I$190,0))</f>
        <v>0</v>
      </c>
    </row>
    <row r="352" spans="1:5" ht="15" customHeight="1" x14ac:dyDescent="0.2">
      <c r="A352" s="3">
        <v>158</v>
      </c>
      <c r="B352" s="3" t="str">
        <f>INDEX($A$5:$A$190,MATCH(LARGE(I$5:I$190,158),I$5:I$190,0))</f>
        <v>Compass: values()</v>
      </c>
      <c r="C352" s="11">
        <f>INDEX(F$5:F$190,MATCH(LARGE(I$5:I$190,158),I$5:I$190,0))</f>
        <v>2.6315789473684209E-2</v>
      </c>
      <c r="D352" s="11">
        <f>INDEX(G$5:G$190,MATCH(LARGE(I$5:I$190,158),I$5:I$190,0))</f>
        <v>0</v>
      </c>
      <c r="E352" s="11">
        <f>INDEX(H$5:H$190,MATCH(LARGE(I$5:I$190,158),I$5:I$190,0))</f>
        <v>0</v>
      </c>
    </row>
    <row r="353" spans="1:5" ht="15" customHeight="1" x14ac:dyDescent="0.2">
      <c r="A353" s="3">
        <v>159</v>
      </c>
      <c r="B353" s="3" t="str">
        <f>INDEX($A$5:$A$190,MATCH(LARGE(I$5:I$190,159),I$5:I$190,0))</f>
        <v>Compass: values()</v>
      </c>
      <c r="C353" s="11">
        <f>INDEX(F$5:F$190,MATCH(LARGE(I$5:I$190,159),I$5:I$190,0))</f>
        <v>2.6315789473684209E-2</v>
      </c>
      <c r="D353" s="11">
        <f>INDEX(G$5:G$190,MATCH(LARGE(I$5:I$190,159),I$5:I$190,0))</f>
        <v>0</v>
      </c>
      <c r="E353" s="11">
        <f>INDEX(H$5:H$190,MATCH(LARGE(I$5:I$190,159),I$5:I$190,0))</f>
        <v>0</v>
      </c>
    </row>
    <row r="354" spans="1:5" ht="15" customHeight="1" x14ac:dyDescent="0.2">
      <c r="A354" s="3">
        <v>160</v>
      </c>
      <c r="B354" s="3" t="str">
        <f>INDEX($A$5:$A$190,MATCH(LARGE(I$5:I$190,160),I$5:I$190,0))</f>
        <v>Compass: values()</v>
      </c>
      <c r="C354" s="11">
        <f>INDEX(F$5:F$190,MATCH(LARGE(I$5:I$190,160),I$5:I$190,0))</f>
        <v>2.6315789473684209E-2</v>
      </c>
      <c r="D354" s="11">
        <f>INDEX(G$5:G$190,MATCH(LARGE(I$5:I$190,160),I$5:I$190,0))</f>
        <v>0</v>
      </c>
      <c r="E354" s="11">
        <f>INDEX(H$5:H$190,MATCH(LARGE(I$5:I$190,160),I$5:I$190,0))</f>
        <v>0</v>
      </c>
    </row>
    <row r="355" spans="1:5" ht="15" customHeight="1" x14ac:dyDescent="0.2">
      <c r="A355" s="3">
        <v>161</v>
      </c>
      <c r="B355" s="3" t="str">
        <f>INDEX($A$5:$A$190,MATCH(LARGE(I$5:I$190,161),I$5:I$190,0))</f>
        <v>Compass: values()</v>
      </c>
      <c r="C355" s="11">
        <f>INDEX(F$5:F$190,MATCH(LARGE(I$5:I$190,161),I$5:I$190,0))</f>
        <v>2.6315789473684209E-2</v>
      </c>
      <c r="D355" s="11">
        <f>INDEX(G$5:G$190,MATCH(LARGE(I$5:I$190,161),I$5:I$190,0))</f>
        <v>0</v>
      </c>
      <c r="E355" s="11">
        <f>INDEX(H$5:H$190,MATCH(LARGE(I$5:I$190,161),I$5:I$190,0))</f>
        <v>0</v>
      </c>
    </row>
    <row r="356" spans="1:5" ht="15" customHeight="1" x14ac:dyDescent="0.2">
      <c r="A356" s="3">
        <v>162</v>
      </c>
      <c r="B356" s="3" t="str">
        <f>INDEX($A$5:$A$190,MATCH(LARGE(I$5:I$190,162),I$5:I$190,0))</f>
        <v>Compass: values()</v>
      </c>
      <c r="C356" s="11">
        <f>INDEX(F$5:F$190,MATCH(LARGE(I$5:I$190,162),I$5:I$190,0))</f>
        <v>2.6315789473684209E-2</v>
      </c>
      <c r="D356" s="11">
        <f>INDEX(G$5:G$190,MATCH(LARGE(I$5:I$190,162),I$5:I$190,0))</f>
        <v>0</v>
      </c>
      <c r="E356" s="11">
        <f>INDEX(H$5:H$190,MATCH(LARGE(I$5:I$190,162),I$5:I$190,0))</f>
        <v>0</v>
      </c>
    </row>
    <row r="357" spans="1:5" ht="15" customHeight="1" x14ac:dyDescent="0.2">
      <c r="A357" s="3">
        <v>163</v>
      </c>
      <c r="B357" s="3" t="str">
        <f>INDEX($A$5:$A$190,MATCH(LARGE(I$5:I$190,163),I$5:I$190,0))</f>
        <v>Compass: values()</v>
      </c>
      <c r="C357" s="11">
        <f>INDEX(F$5:F$190,MATCH(LARGE(I$5:I$190,163),I$5:I$190,0))</f>
        <v>2.6315789473684209E-2</v>
      </c>
      <c r="D357" s="11">
        <f>INDEX(G$5:G$190,MATCH(LARGE(I$5:I$190,163),I$5:I$190,0))</f>
        <v>0</v>
      </c>
      <c r="E357" s="11">
        <f>INDEX(H$5:H$190,MATCH(LARGE(I$5:I$190,163),I$5:I$190,0))</f>
        <v>0</v>
      </c>
    </row>
    <row r="358" spans="1:5" ht="15" customHeight="1" x14ac:dyDescent="0.2">
      <c r="A358" s="3">
        <v>164</v>
      </c>
      <c r="B358" s="3" t="str">
        <f>INDEX($A$5:$A$190,MATCH(LARGE(I$5:I$190,164),I$5:I$190,0))</f>
        <v>Compass: values()</v>
      </c>
      <c r="C358" s="11">
        <f>INDEX(F$5:F$190,MATCH(LARGE(I$5:I$190,164),I$5:I$190,0))</f>
        <v>2.6315789473684209E-2</v>
      </c>
      <c r="D358" s="11">
        <f>INDEX(G$5:G$190,MATCH(LARGE(I$5:I$190,164),I$5:I$190,0))</f>
        <v>0</v>
      </c>
      <c r="E358" s="11">
        <f>INDEX(H$5:H$190,MATCH(LARGE(I$5:I$190,164),I$5:I$190,0))</f>
        <v>0</v>
      </c>
    </row>
    <row r="359" spans="1:5" ht="15" customHeight="1" x14ac:dyDescent="0.2">
      <c r="A359" s="3">
        <v>165</v>
      </c>
      <c r="B359" s="3" t="str">
        <f>INDEX($A$5:$A$190,MATCH(LARGE(I$5:I$190,165),I$5:I$190,0))</f>
        <v>Compass: values()</v>
      </c>
      <c r="C359" s="11">
        <f>INDEX(F$5:F$190,MATCH(LARGE(I$5:I$190,165),I$5:I$190,0))</f>
        <v>2.6315789473684209E-2</v>
      </c>
      <c r="D359" s="11">
        <f>INDEX(G$5:G$190,MATCH(LARGE(I$5:I$190,165),I$5:I$190,0))</f>
        <v>0</v>
      </c>
      <c r="E359" s="11">
        <f>INDEX(H$5:H$190,MATCH(LARGE(I$5:I$190,165),I$5:I$190,0))</f>
        <v>0</v>
      </c>
    </row>
    <row r="360" spans="1:5" ht="15" customHeight="1" x14ac:dyDescent="0.2">
      <c r="A360" s="3">
        <v>166</v>
      </c>
      <c r="B360" s="3" t="str">
        <f>INDEX($A$5:$A$190,MATCH(LARGE(I$5:I$190,166),I$5:I$190,0))</f>
        <v>Compass: values()</v>
      </c>
      <c r="C360" s="11">
        <f>INDEX(F$5:F$190,MATCH(LARGE(I$5:I$190,166),I$5:I$190,0))</f>
        <v>2.6315789473684209E-2</v>
      </c>
      <c r="D360" s="11">
        <f>INDEX(G$5:G$190,MATCH(LARGE(I$5:I$190,166),I$5:I$190,0))</f>
        <v>0</v>
      </c>
      <c r="E360" s="11">
        <f>INDEX(H$5:H$190,MATCH(LARGE(I$5:I$190,166),I$5:I$190,0))</f>
        <v>0</v>
      </c>
    </row>
    <row r="361" spans="1:5" ht="15" customHeight="1" x14ac:dyDescent="0.2">
      <c r="A361" s="3">
        <v>167</v>
      </c>
      <c r="B361" s="3" t="str">
        <f>INDEX($A$5:$A$190,MATCH(LARGE(I$5:I$190,167),I$5:I$190,0))</f>
        <v>Compass: values()</v>
      </c>
      <c r="C361" s="11">
        <f>INDEX(F$5:F$190,MATCH(LARGE(I$5:I$190,167),I$5:I$190,0))</f>
        <v>2.6315789473684209E-2</v>
      </c>
      <c r="D361" s="11">
        <f>INDEX(G$5:G$190,MATCH(LARGE(I$5:I$190,167),I$5:I$190,0))</f>
        <v>0</v>
      </c>
      <c r="E361" s="11">
        <f>INDEX(H$5:H$190,MATCH(LARGE(I$5:I$190,167),I$5:I$190,0))</f>
        <v>0</v>
      </c>
    </row>
    <row r="362" spans="1:5" ht="15" customHeight="1" x14ac:dyDescent="0.2">
      <c r="A362" s="3">
        <v>168</v>
      </c>
      <c r="B362" s="3" t="str">
        <f>INDEX($A$5:$A$190,MATCH(LARGE(I$5:I$190,168),I$5:I$190,0))</f>
        <v>Compass: values()</v>
      </c>
      <c r="C362" s="11">
        <f>INDEX(F$5:F$190,MATCH(LARGE(I$5:I$190,168),I$5:I$190,0))</f>
        <v>2.6315789473684209E-2</v>
      </c>
      <c r="D362" s="11">
        <f>INDEX(G$5:G$190,MATCH(LARGE(I$5:I$190,168),I$5:I$190,0))</f>
        <v>0</v>
      </c>
      <c r="E362" s="11">
        <f>INDEX(H$5:H$190,MATCH(LARGE(I$5:I$190,168),I$5:I$190,0))</f>
        <v>0</v>
      </c>
    </row>
    <row r="363" spans="1:5" ht="15" customHeight="1" x14ac:dyDescent="0.2">
      <c r="A363" s="3">
        <v>169</v>
      </c>
      <c r="B363" s="3" t="str">
        <f>INDEX($A$5:$A$190,MATCH(LARGE(I$5:I$190,169),I$5:I$190,0))</f>
        <v>Compass: values()</v>
      </c>
      <c r="C363" s="11">
        <f>INDEX(F$5:F$190,MATCH(LARGE(I$5:I$190,169),I$5:I$190,0))</f>
        <v>2.6315789473684209E-2</v>
      </c>
      <c r="D363" s="11">
        <f>INDEX(G$5:G$190,MATCH(LARGE(I$5:I$190,169),I$5:I$190,0))</f>
        <v>0</v>
      </c>
      <c r="E363" s="11">
        <f>INDEX(H$5:H$190,MATCH(LARGE(I$5:I$190,169),I$5:I$190,0))</f>
        <v>0</v>
      </c>
    </row>
    <row r="364" spans="1:5" ht="15" customHeight="1" x14ac:dyDescent="0.2">
      <c r="A364" s="3">
        <v>170</v>
      </c>
      <c r="B364" s="3" t="str">
        <f>INDEX($A$5:$A$190,MATCH(LARGE(I$5:I$190,170),I$5:I$190,0))</f>
        <v>Compass: values()</v>
      </c>
      <c r="C364" s="11">
        <f>INDEX(F$5:F$190,MATCH(LARGE(I$5:I$190,170),I$5:I$190,0))</f>
        <v>2.6315789473684209E-2</v>
      </c>
      <c r="D364" s="11">
        <f>INDEX(G$5:G$190,MATCH(LARGE(I$5:I$190,170),I$5:I$190,0))</f>
        <v>0</v>
      </c>
      <c r="E364" s="11">
        <f>INDEX(H$5:H$190,MATCH(LARGE(I$5:I$190,170),I$5:I$190,0))</f>
        <v>0</v>
      </c>
    </row>
    <row r="365" spans="1:5" ht="15" customHeight="1" x14ac:dyDescent="0.2">
      <c r="A365" s="3">
        <v>171</v>
      </c>
      <c r="B365" s="3" t="str">
        <f>INDEX($A$5:$A$190,MATCH(LARGE(I$5:I$190,171),I$5:I$190,0))</f>
        <v>Compass: values()</v>
      </c>
      <c r="C365" s="11">
        <f>INDEX(F$5:F$190,MATCH(LARGE(I$5:I$190,171),I$5:I$190,0))</f>
        <v>2.6315789473684209E-2</v>
      </c>
      <c r="D365" s="11">
        <f>INDEX(G$5:G$190,MATCH(LARGE(I$5:I$190,171),I$5:I$190,0))</f>
        <v>0</v>
      </c>
      <c r="E365" s="11">
        <f>INDEX(H$5:H$190,MATCH(LARGE(I$5:I$190,171),I$5:I$190,0))</f>
        <v>0</v>
      </c>
    </row>
    <row r="366" spans="1:5" ht="15" customHeight="1" x14ac:dyDescent="0.2">
      <c r="A366" s="3">
        <v>172</v>
      </c>
      <c r="B366" s="3" t="str">
        <f>INDEX($A$5:$A$190,MATCH(LARGE(I$5:I$190,172),I$5:I$190,0))</f>
        <v>Compass: values()</v>
      </c>
      <c r="C366" s="11">
        <f>INDEX(F$5:F$190,MATCH(LARGE(I$5:I$190,172),I$5:I$190,0))</f>
        <v>2.6315789473684209E-2</v>
      </c>
      <c r="D366" s="11">
        <f>INDEX(G$5:G$190,MATCH(LARGE(I$5:I$190,172),I$5:I$190,0))</f>
        <v>0</v>
      </c>
      <c r="E366" s="11">
        <f>INDEX(H$5:H$190,MATCH(LARGE(I$5:I$190,172),I$5:I$190,0))</f>
        <v>0</v>
      </c>
    </row>
    <row r="367" spans="1:5" ht="15" customHeight="1" x14ac:dyDescent="0.2">
      <c r="A367" s="3">
        <v>173</v>
      </c>
      <c r="B367" s="3" t="str">
        <f>INDEX($A$5:$A$190,MATCH(LARGE(I$5:I$190,173),I$5:I$190,0))</f>
        <v>Compass: values()</v>
      </c>
      <c r="C367" s="11">
        <f>INDEX(F$5:F$190,MATCH(LARGE(I$5:I$190,173),I$5:I$190,0))</f>
        <v>2.6315789473684209E-2</v>
      </c>
      <c r="D367" s="11">
        <f>INDEX(G$5:G$190,MATCH(LARGE(I$5:I$190,173),I$5:I$190,0))</f>
        <v>0</v>
      </c>
      <c r="E367" s="11">
        <f>INDEX(H$5:H$190,MATCH(LARGE(I$5:I$190,173),I$5:I$190,0))</f>
        <v>0</v>
      </c>
    </row>
    <row r="368" spans="1:5" ht="15" customHeight="1" x14ac:dyDescent="0.2">
      <c r="A368" s="3">
        <v>174</v>
      </c>
      <c r="B368" s="3" t="str">
        <f>INDEX($A$5:$A$190,MATCH(LARGE(I$5:I$190,174),I$5:I$190,0))</f>
        <v>Compass: values()</v>
      </c>
      <c r="C368" s="11">
        <f>INDEX(F$5:F$190,MATCH(LARGE(I$5:I$190,174),I$5:I$190,0))</f>
        <v>2.6315789473684209E-2</v>
      </c>
      <c r="D368" s="11">
        <f>INDEX(G$5:G$190,MATCH(LARGE(I$5:I$190,174),I$5:I$190,0))</f>
        <v>0</v>
      </c>
      <c r="E368" s="11">
        <f>INDEX(H$5:H$190,MATCH(LARGE(I$5:I$190,174),I$5:I$190,0))</f>
        <v>0</v>
      </c>
    </row>
    <row r="369" spans="1:5" ht="15" customHeight="1" x14ac:dyDescent="0.2">
      <c r="A369" s="3">
        <v>175</v>
      </c>
      <c r="B369" s="3" t="str">
        <f>INDEX($A$5:$A$190,MATCH(LARGE(I$5:I$190,175),I$5:I$190,0))</f>
        <v>Compass: values()</v>
      </c>
      <c r="C369" s="11">
        <f>INDEX(F$5:F$190,MATCH(LARGE(I$5:I$190,175),I$5:I$190,0))</f>
        <v>2.6315789473684209E-2</v>
      </c>
      <c r="D369" s="11">
        <f>INDEX(G$5:G$190,MATCH(LARGE(I$5:I$190,175),I$5:I$190,0))</f>
        <v>0</v>
      </c>
      <c r="E369" s="11">
        <f>INDEX(H$5:H$190,MATCH(LARGE(I$5:I$190,175),I$5:I$190,0))</f>
        <v>0</v>
      </c>
    </row>
    <row r="370" spans="1:5" ht="15" customHeight="1" x14ac:dyDescent="0.2">
      <c r="A370" s="3">
        <v>176</v>
      </c>
      <c r="B370" s="3" t="str">
        <f>INDEX($A$5:$A$190,MATCH(LARGE(I$5:I$190,176),I$5:I$190,0))</f>
        <v>Compass: values()</v>
      </c>
      <c r="C370" s="11">
        <f>INDEX(F$5:F$190,MATCH(LARGE(I$5:I$190,176),I$5:I$190,0))</f>
        <v>2.6315789473684209E-2</v>
      </c>
      <c r="D370" s="11">
        <f>INDEX(G$5:G$190,MATCH(LARGE(I$5:I$190,176),I$5:I$190,0))</f>
        <v>0</v>
      </c>
      <c r="E370" s="11">
        <f>INDEX(H$5:H$190,MATCH(LARGE(I$5:I$190,176),I$5:I$190,0))</f>
        <v>0</v>
      </c>
    </row>
    <row r="371" spans="1:5" ht="15" customHeight="1" x14ac:dyDescent="0.2">
      <c r="A371" s="3">
        <v>177</v>
      </c>
      <c r="B371" s="3" t="str">
        <f>INDEX($A$5:$A$190,MATCH(LARGE(I$5:I$190,177),I$5:I$190,0))</f>
        <v>Compass: values()</v>
      </c>
      <c r="C371" s="11">
        <f>INDEX(F$5:F$190,MATCH(LARGE(I$5:I$190,177),I$5:I$190,0))</f>
        <v>2.6315789473684209E-2</v>
      </c>
      <c r="D371" s="11">
        <f>INDEX(G$5:G$190,MATCH(LARGE(I$5:I$190,177),I$5:I$190,0))</f>
        <v>0</v>
      </c>
      <c r="E371" s="11">
        <f>INDEX(H$5:H$190,MATCH(LARGE(I$5:I$190,177),I$5:I$190,0))</f>
        <v>0</v>
      </c>
    </row>
    <row r="372" spans="1:5" ht="15" customHeight="1" x14ac:dyDescent="0.2">
      <c r="A372" s="3">
        <v>178</v>
      </c>
      <c r="B372" s="3" t="str">
        <f>INDEX($A$5:$A$190,MATCH(LARGE(I$5:I$190,178),I$5:I$190,0))</f>
        <v>Compass: values()</v>
      </c>
      <c r="C372" s="11">
        <f>INDEX(F$5:F$190,MATCH(LARGE(I$5:I$190,178),I$5:I$190,0))</f>
        <v>2.6315789473684209E-2</v>
      </c>
      <c r="D372" s="11">
        <f>INDEX(G$5:G$190,MATCH(LARGE(I$5:I$190,178),I$5:I$190,0))</f>
        <v>0</v>
      </c>
      <c r="E372" s="11">
        <f>INDEX(H$5:H$190,MATCH(LARGE(I$5:I$190,178),I$5:I$190,0))</f>
        <v>0</v>
      </c>
    </row>
    <row r="373" spans="1:5" ht="15" customHeight="1" x14ac:dyDescent="0.2">
      <c r="A373" s="3">
        <v>179</v>
      </c>
      <c r="B373" s="3" t="str">
        <f>INDEX($A$5:$A$190,MATCH(LARGE(I$5:I$190,179),I$5:I$190,0))</f>
        <v>Compass: values()</v>
      </c>
      <c r="C373" s="11">
        <f>INDEX(F$5:F$190,MATCH(LARGE(I$5:I$190,179),I$5:I$190,0))</f>
        <v>2.6315789473684209E-2</v>
      </c>
      <c r="D373" s="11">
        <f>INDEX(G$5:G$190,MATCH(LARGE(I$5:I$190,179),I$5:I$190,0))</f>
        <v>0</v>
      </c>
      <c r="E373" s="11">
        <f>INDEX(H$5:H$190,MATCH(LARGE(I$5:I$190,179),I$5:I$190,0))</f>
        <v>0</v>
      </c>
    </row>
    <row r="374" spans="1:5" ht="15" customHeight="1" x14ac:dyDescent="0.2">
      <c r="A374" s="3">
        <v>180</v>
      </c>
      <c r="B374" s="3" t="str">
        <f>INDEX($A$5:$A$190,MATCH(LARGE(I$5:I$190,180),I$5:I$190,0))</f>
        <v>Compass: values()</v>
      </c>
      <c r="C374" s="11">
        <f>INDEX(F$5:F$190,MATCH(LARGE(I$5:I$190,180),I$5:I$190,0))</f>
        <v>2.6315789473684209E-2</v>
      </c>
      <c r="D374" s="11">
        <f>INDEX(G$5:G$190,MATCH(LARGE(I$5:I$190,180),I$5:I$190,0))</f>
        <v>0</v>
      </c>
      <c r="E374" s="11">
        <f>INDEX(H$5:H$190,MATCH(LARGE(I$5:I$190,180),I$5:I$190,0))</f>
        <v>0</v>
      </c>
    </row>
    <row r="375" spans="1:5" ht="15" customHeight="1" x14ac:dyDescent="0.2">
      <c r="A375" s="3">
        <v>181</v>
      </c>
      <c r="B375" s="3" t="str">
        <f>INDEX($A$5:$A$190,MATCH(LARGE(I$5:I$190,181),I$5:I$190,0))</f>
        <v>Compass: values()</v>
      </c>
      <c r="C375" s="11">
        <f>INDEX(F$5:F$190,MATCH(LARGE(I$5:I$190,181),I$5:I$190,0))</f>
        <v>2.6315789473684209E-2</v>
      </c>
      <c r="D375" s="11">
        <f>INDEX(G$5:G$190,MATCH(LARGE(I$5:I$190,181),I$5:I$190,0))</f>
        <v>0</v>
      </c>
      <c r="E375" s="11">
        <f>INDEX(H$5:H$190,MATCH(LARGE(I$5:I$190,181),I$5:I$190,0))</f>
        <v>0</v>
      </c>
    </row>
    <row r="376" spans="1:5" ht="15" customHeight="1" x14ac:dyDescent="0.2">
      <c r="A376" s="3">
        <v>182</v>
      </c>
      <c r="B376" s="3" t="str">
        <f>INDEX($A$5:$A$190,MATCH(LARGE(I$5:I$190,182),I$5:I$190,0))</f>
        <v>Compass: values()</v>
      </c>
      <c r="C376" s="11">
        <f>INDEX(F$5:F$190,MATCH(LARGE(I$5:I$190,182),I$5:I$190,0))</f>
        <v>2.6315789473684209E-2</v>
      </c>
      <c r="D376" s="11">
        <f>INDEX(G$5:G$190,MATCH(LARGE(I$5:I$190,182),I$5:I$190,0))</f>
        <v>0</v>
      </c>
      <c r="E376" s="11">
        <f>INDEX(H$5:H$190,MATCH(LARGE(I$5:I$190,182),I$5:I$190,0))</f>
        <v>0</v>
      </c>
    </row>
    <row r="377" spans="1:5" ht="15" customHeight="1" x14ac:dyDescent="0.2">
      <c r="A377" s="3">
        <v>183</v>
      </c>
      <c r="B377" s="3" t="str">
        <f>INDEX($A$5:$A$190,MATCH(LARGE(I$5:I$190,183),I$5:I$190,0))</f>
        <v>Compass: values()</v>
      </c>
      <c r="C377" s="11">
        <f>INDEX(F$5:F$190,MATCH(LARGE(I$5:I$190,183),I$5:I$190,0))</f>
        <v>2.6315789473684209E-2</v>
      </c>
      <c r="D377" s="11">
        <f>INDEX(G$5:G$190,MATCH(LARGE(I$5:I$190,183),I$5:I$190,0))</f>
        <v>0</v>
      </c>
      <c r="E377" s="11">
        <f>INDEX(H$5:H$190,MATCH(LARGE(I$5:I$190,183),I$5:I$190,0))</f>
        <v>0</v>
      </c>
    </row>
    <row r="378" spans="1:5" ht="15" customHeight="1" x14ac:dyDescent="0.2">
      <c r="A378" s="3">
        <v>184</v>
      </c>
      <c r="B378" s="3" t="str">
        <f>INDEX($A$5:$A$190,MATCH(LARGE(I$5:I$190,184),I$5:I$190,0))</f>
        <v>Compass: values()</v>
      </c>
      <c r="C378" s="11">
        <f>INDEX(F$5:F$190,MATCH(LARGE(I$5:I$190,184),I$5:I$190,0))</f>
        <v>2.6315789473684209E-2</v>
      </c>
      <c r="D378" s="11">
        <f>INDEX(G$5:G$190,MATCH(LARGE(I$5:I$190,184),I$5:I$190,0))</f>
        <v>0</v>
      </c>
      <c r="E378" s="11">
        <f>INDEX(H$5:H$190,MATCH(LARGE(I$5:I$190,184),I$5:I$190,0))</f>
        <v>0</v>
      </c>
    </row>
    <row r="379" spans="1:5" ht="15" customHeight="1" x14ac:dyDescent="0.2">
      <c r="A379" s="3">
        <v>185</v>
      </c>
      <c r="B379" s="3" t="str">
        <f>INDEX($A$5:$A$190,MATCH(LARGE(I$5:I$190,185),I$5:I$190,0))</f>
        <v>Compass: values()</v>
      </c>
      <c r="C379" s="11">
        <f>INDEX(F$5:F$190,MATCH(LARGE(I$5:I$190,185),I$5:I$190,0))</f>
        <v>2.6315789473684209E-2</v>
      </c>
      <c r="D379" s="11">
        <f>INDEX(G$5:G$190,MATCH(LARGE(I$5:I$190,185),I$5:I$190,0))</f>
        <v>0</v>
      </c>
      <c r="E379" s="11">
        <f>INDEX(H$5:H$190,MATCH(LARGE(I$5:I$190,185),I$5:I$190,0))</f>
        <v>0</v>
      </c>
    </row>
    <row r="380" spans="1:5" ht="15" customHeight="1" x14ac:dyDescent="0.2">
      <c r="A380" s="3">
        <v>186</v>
      </c>
      <c r="B380" s="3" t="str">
        <f>INDEX($A$5:$A$190,MATCH(LARGE(I$5:I$190,186),I$5:I$190,0))</f>
        <v>Compass: values()</v>
      </c>
      <c r="C380" s="11">
        <f>INDEX(F$5:F$190,MATCH(LARGE(I$5:I$190,186),I$5:I$190,0))</f>
        <v>2.6315789473684209E-2</v>
      </c>
      <c r="D380" s="11">
        <f>INDEX(G$5:G$190,MATCH(LARGE(I$5:I$190,186),I$5:I$190,0))</f>
        <v>0</v>
      </c>
      <c r="E380" s="11">
        <f>INDEX(H$5:H$190,MATCH(LARGE(I$5:I$190,186),I$5:I$190,0))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MethodData</vt:lpstr>
      <vt:lpstr>IGE-93263-Metrics</vt:lpstr>
      <vt:lpstr>System</vt:lpstr>
      <vt:lpstr>Package</vt:lpstr>
      <vt:lpstr>Class</vt:lpstr>
      <vt:lpstr>Method</vt:lpstr>
      <vt:lpstr>Graficos</vt:lpstr>
      <vt:lpstr>Todas Métricas Norm</vt:lpstr>
      <vt:lpstr>3 Métricas 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Soares, Diogo</cp:lastModifiedBy>
  <cp:revision>3</cp:revision>
  <dcterms:created xsi:type="dcterms:W3CDTF">2026-03-22T15:28:03Z</dcterms:created>
  <dcterms:modified xsi:type="dcterms:W3CDTF">2026-03-22T17:41:00Z</dcterms:modified>
  <dc:language>en-US</dc:language>
</cp:coreProperties>
</file>